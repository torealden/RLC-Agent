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5474BA04-7CD4-49F5-84C1-326CF65BD732}" xr6:coauthVersionLast="47" xr6:coauthVersionMax="47" xr10:uidLastSave="{00000000-0000-0000-0000-000000000000}"/>
  <bookViews>
    <workbookView xWindow="1365" yWindow="915" windowWidth="27240" windowHeight="14550" xr2:uid="{682E10E3-1EC7-4B2F-B6D7-2D18A9A5D789}"/>
  </bookViews>
  <sheets>
    <sheet name="Canada Tallow" sheetId="1" r:id="rId1"/>
    <sheet name="Australia Tallow" sheetId="2" r:id="rId2"/>
    <sheet name="New Zealand Tallow" sheetId="3" r:id="rId3"/>
    <sheet name="Paraguay Tallow" sheetId="4" r:id="rId4"/>
    <sheet name="Brazil Tallow" sheetId="5" r:id="rId5"/>
    <sheet name="Uruguay Tallow" sheetId="6" r:id="rId6"/>
    <sheet name="Mexico Tallow" sheetId="7" r:id="rId7"/>
    <sheet name="China Tallow" sheetId="8" r:id="rId8"/>
    <sheet name="EU-28 Tallow" sheetId="9" r:id="rId9"/>
    <sheet name="Tallow Trade Matrix" sheetId="10" r:id="rId10"/>
  </sheets>
  <externalReferences>
    <externalReference r:id="rId11"/>
    <externalReference r:id="rId12"/>
    <externalReference r:id="rId13"/>
    <externalReference r:id="rId1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M59" i="10" l="1"/>
  <c r="EL59" i="10"/>
  <c r="EK59" i="10"/>
  <c r="EJ59" i="10"/>
  <c r="EI59" i="10"/>
  <c r="EH59" i="10"/>
  <c r="EN58" i="10"/>
  <c r="EM58" i="10"/>
  <c r="EL58" i="10"/>
  <c r="EK58" i="10"/>
  <c r="EJ58" i="10"/>
  <c r="EI58" i="10"/>
  <c r="EH58" i="10"/>
  <c r="EN57" i="10"/>
  <c r="EM57" i="10"/>
  <c r="EL57" i="10"/>
  <c r="EK57" i="10"/>
  <c r="EJ57" i="10"/>
  <c r="EI57" i="10"/>
  <c r="EH57" i="10"/>
  <c r="EN56" i="10"/>
  <c r="EM56" i="10"/>
  <c r="EL56" i="10"/>
  <c r="EK56" i="10"/>
  <c r="EJ56" i="10"/>
  <c r="EI56" i="10"/>
  <c r="EH56" i="10"/>
  <c r="EN55" i="10"/>
  <c r="EM55" i="10"/>
  <c r="EL55" i="10"/>
  <c r="EK55" i="10"/>
  <c r="EJ55" i="10"/>
  <c r="EI55" i="10"/>
  <c r="EH55" i="10"/>
  <c r="EN54" i="10"/>
  <c r="EM54" i="10"/>
  <c r="EL54" i="10"/>
  <c r="EK54" i="10"/>
  <c r="EJ54" i="10"/>
  <c r="EI54" i="10"/>
  <c r="EH54" i="10"/>
  <c r="EN53" i="10"/>
  <c r="EM53" i="10"/>
  <c r="EL53" i="10"/>
  <c r="EK53" i="10"/>
  <c r="EJ53" i="10"/>
  <c r="EI53" i="10"/>
  <c r="EH53" i="10"/>
  <c r="EN52" i="10"/>
  <c r="EM52" i="10"/>
  <c r="EL52" i="10"/>
  <c r="EK52" i="10"/>
  <c r="EJ52" i="10"/>
  <c r="EI52" i="10"/>
  <c r="EH52" i="10"/>
  <c r="EN51" i="10"/>
  <c r="EM51" i="10"/>
  <c r="EL51" i="10"/>
  <c r="EK51" i="10"/>
  <c r="EJ51" i="10"/>
  <c r="EI51" i="10"/>
  <c r="EH51" i="10"/>
  <c r="EN50" i="10"/>
  <c r="EM50" i="10"/>
  <c r="EL50" i="10"/>
  <c r="EK50" i="10"/>
  <c r="EJ50" i="10"/>
  <c r="EI50" i="10"/>
  <c r="EH50" i="10"/>
  <c r="EN49" i="10"/>
  <c r="EM49" i="10"/>
  <c r="EL49" i="10"/>
  <c r="EK49" i="10"/>
  <c r="EJ49" i="10"/>
  <c r="EI49" i="10"/>
  <c r="EH49" i="10"/>
  <c r="EN48" i="10"/>
  <c r="EM48" i="10"/>
  <c r="EL48" i="10"/>
  <c r="EK48" i="10"/>
  <c r="EJ48" i="10"/>
  <c r="EI48" i="10"/>
  <c r="EH48" i="10"/>
  <c r="EM45" i="10"/>
  <c r="EL45" i="10"/>
  <c r="EK45" i="10"/>
  <c r="EJ45" i="10"/>
  <c r="EI45" i="10"/>
  <c r="EH45" i="10"/>
  <c r="FO41" i="10"/>
  <c r="EJ41" i="10"/>
  <c r="DP41" i="10"/>
  <c r="DO41" i="10"/>
  <c r="DN41" i="10"/>
  <c r="DM41" i="10"/>
  <c r="DL41" i="10"/>
  <c r="DK41" i="10"/>
  <c r="DJ41" i="10"/>
  <c r="DI41" i="10"/>
  <c r="DH41" i="10"/>
  <c r="DG41" i="10"/>
  <c r="DF41" i="10"/>
  <c r="DE41" i="10"/>
  <c r="CQ41" i="10"/>
  <c r="CP41" i="10"/>
  <c r="CO41" i="10"/>
  <c r="CN41" i="10"/>
  <c r="CM41" i="10"/>
  <c r="CL41" i="10"/>
  <c r="CK41" i="10"/>
  <c r="CJ41" i="10"/>
  <c r="CI41" i="10"/>
  <c r="CH41" i="10"/>
  <c r="CG41" i="10"/>
  <c r="CF41" i="10"/>
  <c r="CE41" i="10"/>
  <c r="CD41" i="10"/>
  <c r="CC41" i="10"/>
  <c r="CB41" i="10"/>
  <c r="CA41" i="10"/>
  <c r="BZ41" i="10"/>
  <c r="BY41" i="10"/>
  <c r="BX41" i="10"/>
  <c r="BU41" i="10"/>
  <c r="BT41" i="10"/>
  <c r="BS41" i="10"/>
  <c r="BR41" i="10"/>
  <c r="BQ41" i="10"/>
  <c r="BP41" i="10"/>
  <c r="BO41" i="10"/>
  <c r="BN41" i="10"/>
  <c r="BM41" i="10"/>
  <c r="BL41" i="10"/>
  <c r="BK41" i="10"/>
  <c r="BJ41" i="10"/>
  <c r="BI41" i="10"/>
  <c r="BH41" i="10"/>
  <c r="BG41" i="10"/>
  <c r="BF41" i="10"/>
  <c r="BE41" i="10"/>
  <c r="BD41" i="10"/>
  <c r="BC41" i="10"/>
  <c r="AW41" i="10"/>
  <c r="AV41" i="10"/>
  <c r="AU41" i="10"/>
  <c r="AT41" i="10"/>
  <c r="AS41" i="10"/>
  <c r="AR41" i="10"/>
  <c r="AQ41" i="10"/>
  <c r="AP41" i="10"/>
  <c r="AO41" i="10"/>
  <c r="AN41" i="10"/>
  <c r="AM41" i="10"/>
  <c r="AL41" i="10"/>
  <c r="AK41" i="10"/>
  <c r="AJ41" i="10"/>
  <c r="AI41" i="10"/>
  <c r="AH41" i="10"/>
  <c r="AG41" i="10"/>
  <c r="AF41" i="10"/>
  <c r="AE41" i="10"/>
  <c r="X41" i="10"/>
  <c r="W41" i="10"/>
  <c r="V41" i="10"/>
  <c r="U41" i="10"/>
  <c r="EI41" i="10" s="1"/>
  <c r="T41" i="10"/>
  <c r="S41" i="10"/>
  <c r="R41" i="10"/>
  <c r="EF41" i="10" s="1"/>
  <c r="Q41" i="10"/>
  <c r="EE41" i="10" s="1"/>
  <c r="P41" i="10"/>
  <c r="ED41" i="10" s="1"/>
  <c r="O41" i="10"/>
  <c r="EC41" i="10" s="1"/>
  <c r="N41" i="10"/>
  <c r="EB41" i="10" s="1"/>
  <c r="M41" i="10"/>
  <c r="L41" i="10"/>
  <c r="K41" i="10"/>
  <c r="J41" i="10"/>
  <c r="I41" i="10"/>
  <c r="H41" i="10"/>
  <c r="G41" i="10"/>
  <c r="F41" i="10"/>
  <c r="E41" i="10"/>
  <c r="D41" i="10"/>
  <c r="C41" i="10"/>
  <c r="B41" i="10"/>
  <c r="BZ40" i="10"/>
  <c r="AU40" i="10"/>
  <c r="AT40" i="10"/>
  <c r="AS40" i="10"/>
  <c r="AI40" i="10"/>
  <c r="AE40" i="10"/>
  <c r="Y40" i="10"/>
  <c r="V40" i="10"/>
  <c r="EB39" i="10"/>
  <c r="DP39" i="10"/>
  <c r="DO39" i="10"/>
  <c r="DN39" i="10"/>
  <c r="DM39" i="10"/>
  <c r="DL39" i="10"/>
  <c r="DK39" i="10"/>
  <c r="DJ39" i="10"/>
  <c r="DI39" i="10"/>
  <c r="DH39" i="10"/>
  <c r="EE39" i="10" s="1"/>
  <c r="DG39" i="10"/>
  <c r="DF39" i="10"/>
  <c r="EC39" i="10" s="1"/>
  <c r="DE39" i="10"/>
  <c r="CQ39" i="10"/>
  <c r="CP39" i="10"/>
  <c r="CO39" i="10"/>
  <c r="CN39" i="10"/>
  <c r="CM39" i="10"/>
  <c r="CL39" i="10"/>
  <c r="CK39" i="10"/>
  <c r="CJ39" i="10"/>
  <c r="CI39" i="10"/>
  <c r="CH39" i="10"/>
  <c r="CG39" i="10"/>
  <c r="CF39" i="10"/>
  <c r="CE39" i="10"/>
  <c r="CD39" i="10"/>
  <c r="CC39" i="10"/>
  <c r="CB39" i="10"/>
  <c r="CA39" i="10"/>
  <c r="BZ39" i="10"/>
  <c r="BY39" i="10"/>
  <c r="BX39" i="10"/>
  <c r="BU39" i="10"/>
  <c r="BT39" i="10"/>
  <c r="BS39" i="10"/>
  <c r="BR39" i="10"/>
  <c r="BQ39" i="10"/>
  <c r="BP39" i="10"/>
  <c r="BO39" i="10"/>
  <c r="BN39" i="10"/>
  <c r="BM39" i="10"/>
  <c r="BL39" i="10"/>
  <c r="BK39" i="10"/>
  <c r="BJ39" i="10"/>
  <c r="BI39" i="10"/>
  <c r="BH39" i="10"/>
  <c r="BG39" i="10"/>
  <c r="BF39" i="10"/>
  <c r="BE39" i="10"/>
  <c r="BD39" i="10"/>
  <c r="BC39" i="10"/>
  <c r="AW39" i="10"/>
  <c r="AV39" i="10"/>
  <c r="AU39" i="10"/>
  <c r="AT39" i="10"/>
  <c r="AS39" i="10"/>
  <c r="AR39" i="10"/>
  <c r="AQ39" i="10"/>
  <c r="AP39" i="10"/>
  <c r="AO39" i="10"/>
  <c r="AN39" i="10"/>
  <c r="AM39" i="10"/>
  <c r="AL39" i="10"/>
  <c r="AK39" i="10"/>
  <c r="AJ39" i="10"/>
  <c r="AI39" i="10"/>
  <c r="AH39" i="10"/>
  <c r="AG39" i="10"/>
  <c r="AF39" i="10"/>
  <c r="AE39" i="10"/>
  <c r="Y39" i="10"/>
  <c r="EM39" i="10" s="1"/>
  <c r="X39" i="10"/>
  <c r="W39" i="10"/>
  <c r="EK39" i="10" s="1"/>
  <c r="V39" i="10"/>
  <c r="U39" i="10"/>
  <c r="EI39" i="10" s="1"/>
  <c r="T39" i="10"/>
  <c r="EH39" i="10" s="1"/>
  <c r="S39" i="10"/>
  <c r="R39" i="10"/>
  <c r="EF39" i="10" s="1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FO38" i="10"/>
  <c r="FO46" i="10" s="1"/>
  <c r="EE38" i="10"/>
  <c r="DP38" i="10"/>
  <c r="DO38" i="10"/>
  <c r="DN38" i="10"/>
  <c r="DM38" i="10"/>
  <c r="DL38" i="10"/>
  <c r="DK38" i="10"/>
  <c r="EH38" i="10" s="1"/>
  <c r="EH46" i="10" s="1"/>
  <c r="EH47" i="10" s="1"/>
  <c r="DJ38" i="10"/>
  <c r="DI38" i="10"/>
  <c r="EF38" i="10" s="1"/>
  <c r="DH38" i="10"/>
  <c r="DG38" i="10"/>
  <c r="DF38" i="10"/>
  <c r="DE38" i="10"/>
  <c r="CQ38" i="10"/>
  <c r="CP38" i="10"/>
  <c r="CO38" i="10"/>
  <c r="CN38" i="10"/>
  <c r="CM38" i="10"/>
  <c r="CL38" i="10"/>
  <c r="CK38" i="10"/>
  <c r="CJ38" i="10"/>
  <c r="CI38" i="10"/>
  <c r="EC38" i="10" s="1"/>
  <c r="CH38" i="10"/>
  <c r="EB38" i="10" s="1"/>
  <c r="CG38" i="10"/>
  <c r="CF38" i="10"/>
  <c r="CE38" i="10"/>
  <c r="CD38" i="10"/>
  <c r="CD40" i="10" s="1"/>
  <c r="CC38" i="10"/>
  <c r="CB38" i="10"/>
  <c r="CB40" i="10" s="1"/>
  <c r="CA38" i="10"/>
  <c r="BZ38" i="10"/>
  <c r="BY38" i="10"/>
  <c r="BX38" i="10"/>
  <c r="BU38" i="10"/>
  <c r="BT38" i="10"/>
  <c r="BS38" i="10"/>
  <c r="BR38" i="10"/>
  <c r="BQ38" i="10"/>
  <c r="BP38" i="10"/>
  <c r="BO38" i="10"/>
  <c r="BN38" i="10"/>
  <c r="BM38" i="10"/>
  <c r="BL38" i="10"/>
  <c r="BK38" i="10"/>
  <c r="BJ38" i="10"/>
  <c r="BI38" i="10"/>
  <c r="BH38" i="10"/>
  <c r="BG38" i="10"/>
  <c r="BF38" i="10"/>
  <c r="BE38" i="10"/>
  <c r="BD38" i="10"/>
  <c r="BC38" i="10"/>
  <c r="AW38" i="10"/>
  <c r="AV38" i="10"/>
  <c r="AU38" i="10"/>
  <c r="AT38" i="10"/>
  <c r="AS38" i="10"/>
  <c r="AR38" i="10"/>
  <c r="AQ38" i="10"/>
  <c r="AP38" i="10"/>
  <c r="AO38" i="10"/>
  <c r="AN38" i="10"/>
  <c r="AM38" i="10"/>
  <c r="AL38" i="10"/>
  <c r="AK38" i="10"/>
  <c r="AJ38" i="10"/>
  <c r="AI38" i="10"/>
  <c r="AH38" i="10"/>
  <c r="AG38" i="10"/>
  <c r="AF38" i="10"/>
  <c r="AE38" i="10"/>
  <c r="Y38" i="10"/>
  <c r="EM38" i="10" s="1"/>
  <c r="EM46" i="10" s="1"/>
  <c r="EM47" i="10" s="1"/>
  <c r="X38" i="10"/>
  <c r="W38" i="10"/>
  <c r="EK38" i="10" s="1"/>
  <c r="EK46" i="10" s="1"/>
  <c r="EK47" i="10" s="1"/>
  <c r="V38" i="10"/>
  <c r="EJ38" i="10" s="1"/>
  <c r="EJ46" i="10" s="1"/>
  <c r="EJ47" i="10" s="1"/>
  <c r="U38" i="10"/>
  <c r="EI38" i="10" s="1"/>
  <c r="EI46" i="10" s="1"/>
  <c r="EI47" i="10" s="1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B40" i="10" s="1"/>
  <c r="EG37" i="10"/>
  <c r="EC37" i="10"/>
  <c r="DP37" i="10"/>
  <c r="DO37" i="10"/>
  <c r="DN37" i="10"/>
  <c r="DM37" i="10"/>
  <c r="EJ37" i="10" s="1"/>
  <c r="DL37" i="10"/>
  <c r="DK37" i="10"/>
  <c r="DJ37" i="10"/>
  <c r="DI37" i="10"/>
  <c r="DH37" i="10"/>
  <c r="DG37" i="10"/>
  <c r="DF37" i="10"/>
  <c r="DE37" i="10"/>
  <c r="CQ37" i="10"/>
  <c r="CP37" i="10"/>
  <c r="CO37" i="10"/>
  <c r="CN37" i="10"/>
  <c r="CM37" i="10"/>
  <c r="CL37" i="10"/>
  <c r="CK37" i="10"/>
  <c r="EE37" i="10" s="1"/>
  <c r="CJ37" i="10"/>
  <c r="ED37" i="10" s="1"/>
  <c r="CI37" i="10"/>
  <c r="CH37" i="10"/>
  <c r="EB37" i="10" s="1"/>
  <c r="CG37" i="10"/>
  <c r="CF37" i="10"/>
  <c r="CE37" i="10"/>
  <c r="CD37" i="10"/>
  <c r="CC37" i="10"/>
  <c r="CB37" i="10"/>
  <c r="CA37" i="10"/>
  <c r="BZ37" i="10"/>
  <c r="BY37" i="10"/>
  <c r="BX37" i="10"/>
  <c r="BU37" i="10"/>
  <c r="BT37" i="10"/>
  <c r="BS37" i="10"/>
  <c r="BR37" i="10"/>
  <c r="BQ37" i="10"/>
  <c r="BP37" i="10"/>
  <c r="BO37" i="10"/>
  <c r="BN37" i="10"/>
  <c r="BM37" i="10"/>
  <c r="BL37" i="10"/>
  <c r="BK37" i="10"/>
  <c r="BJ37" i="10"/>
  <c r="BI37" i="10"/>
  <c r="BH37" i="10"/>
  <c r="BG37" i="10"/>
  <c r="BF37" i="10"/>
  <c r="BE37" i="10"/>
  <c r="BD37" i="10"/>
  <c r="BC37" i="10"/>
  <c r="AW37" i="10"/>
  <c r="AV37" i="10"/>
  <c r="AU37" i="10"/>
  <c r="AT37" i="10"/>
  <c r="AS37" i="10"/>
  <c r="AR37" i="10"/>
  <c r="AQ37" i="10"/>
  <c r="AP37" i="10"/>
  <c r="AO37" i="10"/>
  <c r="AN37" i="10"/>
  <c r="AM37" i="10"/>
  <c r="AL37" i="10"/>
  <c r="AK37" i="10"/>
  <c r="AJ37" i="10"/>
  <c r="AI37" i="10"/>
  <c r="AH37" i="10"/>
  <c r="AG37" i="10"/>
  <c r="AF37" i="10"/>
  <c r="AE37" i="10"/>
  <c r="Y37" i="10"/>
  <c r="EM37" i="10" s="1"/>
  <c r="X37" i="10"/>
  <c r="W37" i="10"/>
  <c r="EK37" i="10" s="1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EI36" i="10"/>
  <c r="EF36" i="10"/>
  <c r="DP36" i="10"/>
  <c r="DO36" i="10"/>
  <c r="DN36" i="10"/>
  <c r="DM36" i="10"/>
  <c r="EJ36" i="10" s="1"/>
  <c r="DL36" i="10"/>
  <c r="DK36" i="10"/>
  <c r="DJ36" i="10"/>
  <c r="DI36" i="10"/>
  <c r="DH36" i="10"/>
  <c r="DG36" i="10"/>
  <c r="DF36" i="10"/>
  <c r="DE36" i="10"/>
  <c r="CQ36" i="10"/>
  <c r="CP36" i="10"/>
  <c r="CO36" i="10"/>
  <c r="CN36" i="10"/>
  <c r="CM36" i="10"/>
  <c r="EG36" i="10" s="1"/>
  <c r="CL36" i="10"/>
  <c r="CK36" i="10"/>
  <c r="EE36" i="10" s="1"/>
  <c r="CJ36" i="10"/>
  <c r="CI36" i="10"/>
  <c r="EC36" i="10" s="1"/>
  <c r="CH36" i="10"/>
  <c r="EB36" i="10" s="1"/>
  <c r="CG36" i="10"/>
  <c r="CF36" i="10"/>
  <c r="CE36" i="10"/>
  <c r="CE40" i="10" s="1"/>
  <c r="CD36" i="10"/>
  <c r="CC36" i="10"/>
  <c r="CB36" i="10"/>
  <c r="CA36" i="10"/>
  <c r="BZ36" i="10"/>
  <c r="BY36" i="10"/>
  <c r="BX36" i="10"/>
  <c r="BU36" i="10"/>
  <c r="BT36" i="10"/>
  <c r="BS36" i="10"/>
  <c r="BR36" i="10"/>
  <c r="BQ36" i="10"/>
  <c r="BP36" i="10"/>
  <c r="BO36" i="10"/>
  <c r="BN36" i="10"/>
  <c r="BM36" i="10"/>
  <c r="BL36" i="10"/>
  <c r="BK36" i="10"/>
  <c r="BJ36" i="10"/>
  <c r="BI36" i="10"/>
  <c r="BH36" i="10"/>
  <c r="BG36" i="10"/>
  <c r="BF36" i="10"/>
  <c r="BE36" i="10"/>
  <c r="BD36" i="10"/>
  <c r="BC36" i="10"/>
  <c r="AW36" i="10"/>
  <c r="AV36" i="10"/>
  <c r="AU36" i="10"/>
  <c r="AT36" i="10"/>
  <c r="AS36" i="10"/>
  <c r="AR36" i="10"/>
  <c r="AQ36" i="10"/>
  <c r="AP36" i="10"/>
  <c r="AO36" i="10"/>
  <c r="AN36" i="10"/>
  <c r="ED36" i="10" s="1"/>
  <c r="AM36" i="10"/>
  <c r="AL36" i="10"/>
  <c r="AK36" i="10"/>
  <c r="AJ36" i="10"/>
  <c r="AI36" i="10"/>
  <c r="AH36" i="10"/>
  <c r="AG36" i="10"/>
  <c r="AF36" i="10"/>
  <c r="AF40" i="10" s="1"/>
  <c r="AE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EK35" i="10"/>
  <c r="EC35" i="10"/>
  <c r="DP35" i="10"/>
  <c r="EM35" i="10" s="1"/>
  <c r="DO35" i="10"/>
  <c r="DN35" i="10"/>
  <c r="DM35" i="10"/>
  <c r="DL35" i="10"/>
  <c r="DK35" i="10"/>
  <c r="DJ35" i="10"/>
  <c r="DI35" i="10"/>
  <c r="DH35" i="10"/>
  <c r="DG35" i="10"/>
  <c r="DF35" i="10"/>
  <c r="DE35" i="10"/>
  <c r="CQ35" i="10"/>
  <c r="CP35" i="10"/>
  <c r="CO35" i="10"/>
  <c r="EI35" i="10" s="1"/>
  <c r="CN35" i="10"/>
  <c r="EH35" i="10" s="1"/>
  <c r="CM35" i="10"/>
  <c r="EG35" i="10" s="1"/>
  <c r="CL35" i="10"/>
  <c r="EF35" i="10" s="1"/>
  <c r="CK35" i="10"/>
  <c r="EE35" i="10" s="1"/>
  <c r="CJ35" i="10"/>
  <c r="ED35" i="10" s="1"/>
  <c r="CI35" i="10"/>
  <c r="CH35" i="10"/>
  <c r="EB35" i="10" s="1"/>
  <c r="CG35" i="10"/>
  <c r="CF35" i="10"/>
  <c r="CE35" i="10"/>
  <c r="CD35" i="10"/>
  <c r="CC35" i="10"/>
  <c r="CB35" i="10"/>
  <c r="CA35" i="10"/>
  <c r="BZ35" i="10"/>
  <c r="BY35" i="10"/>
  <c r="BX35" i="10"/>
  <c r="BU35" i="10"/>
  <c r="BT35" i="10"/>
  <c r="BS35" i="10"/>
  <c r="BR35" i="10"/>
  <c r="BQ35" i="10"/>
  <c r="BP35" i="10"/>
  <c r="BO35" i="10"/>
  <c r="BN35" i="10"/>
  <c r="BM35" i="10"/>
  <c r="BL35" i="10"/>
  <c r="BK35" i="10"/>
  <c r="BJ35" i="10"/>
  <c r="BI35" i="10"/>
  <c r="BH35" i="10"/>
  <c r="BG35" i="10"/>
  <c r="BF35" i="10"/>
  <c r="BE35" i="10"/>
  <c r="BD35" i="10"/>
  <c r="BC35" i="10"/>
  <c r="AW35" i="10"/>
  <c r="AV35" i="10"/>
  <c r="AU35" i="10"/>
  <c r="AT35" i="10"/>
  <c r="AS35" i="10"/>
  <c r="AR35" i="10"/>
  <c r="AQ35" i="10"/>
  <c r="AP35" i="10"/>
  <c r="AO35" i="10"/>
  <c r="AN35" i="10"/>
  <c r="AM35" i="10"/>
  <c r="AL35" i="10"/>
  <c r="AK35" i="10"/>
  <c r="AJ35" i="10"/>
  <c r="AI35" i="10"/>
  <c r="AH35" i="10"/>
  <c r="AG35" i="10"/>
  <c r="AF35" i="10"/>
  <c r="AE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EM34" i="10"/>
  <c r="EJ34" i="10"/>
  <c r="EG34" i="10"/>
  <c r="DP34" i="10"/>
  <c r="DO34" i="10"/>
  <c r="DN34" i="10"/>
  <c r="DM34" i="10"/>
  <c r="DL34" i="10"/>
  <c r="DK34" i="10"/>
  <c r="DJ34" i="10"/>
  <c r="DI34" i="10"/>
  <c r="DH34" i="10"/>
  <c r="DG34" i="10"/>
  <c r="DF34" i="10"/>
  <c r="DE34" i="10"/>
  <c r="CQ34" i="10"/>
  <c r="CP34" i="10"/>
  <c r="CO34" i="10"/>
  <c r="CN34" i="10"/>
  <c r="CM34" i="10"/>
  <c r="CL34" i="10"/>
  <c r="CK34" i="10"/>
  <c r="CJ34" i="10"/>
  <c r="CI34" i="10"/>
  <c r="CH34" i="10"/>
  <c r="CG34" i="10"/>
  <c r="CF34" i="10"/>
  <c r="CE34" i="10"/>
  <c r="CD34" i="10"/>
  <c r="CC34" i="10"/>
  <c r="CB34" i="10"/>
  <c r="CA34" i="10"/>
  <c r="BZ34" i="10"/>
  <c r="BY34" i="10"/>
  <c r="BX34" i="10"/>
  <c r="BU34" i="10"/>
  <c r="BT34" i="10"/>
  <c r="BS34" i="10"/>
  <c r="BR34" i="10"/>
  <c r="BQ34" i="10"/>
  <c r="BP34" i="10"/>
  <c r="BO34" i="10"/>
  <c r="BN34" i="10"/>
  <c r="BM34" i="10"/>
  <c r="BL34" i="10"/>
  <c r="BK34" i="10"/>
  <c r="BJ34" i="10"/>
  <c r="BI34" i="10"/>
  <c r="BH34" i="10"/>
  <c r="BG34" i="10"/>
  <c r="BF34" i="10"/>
  <c r="BE34" i="10"/>
  <c r="BD34" i="10"/>
  <c r="BC34" i="10"/>
  <c r="AW34" i="10"/>
  <c r="AV34" i="10"/>
  <c r="AU34" i="10"/>
  <c r="AT34" i="10"/>
  <c r="AS34" i="10"/>
  <c r="AR34" i="10"/>
  <c r="EH34" i="10" s="1"/>
  <c r="AQ34" i="10"/>
  <c r="AP34" i="10"/>
  <c r="AO34" i="10"/>
  <c r="AN34" i="10"/>
  <c r="AM34" i="10"/>
  <c r="AL34" i="10"/>
  <c r="AK34" i="10"/>
  <c r="AJ34" i="10"/>
  <c r="AI34" i="10"/>
  <c r="AH34" i="10"/>
  <c r="AG34" i="10"/>
  <c r="AF34" i="10"/>
  <c r="AE34" i="10"/>
  <c r="Y34" i="10"/>
  <c r="X34" i="10"/>
  <c r="W34" i="10"/>
  <c r="V34" i="10"/>
  <c r="U34" i="10"/>
  <c r="EI34" i="10" s="1"/>
  <c r="T34" i="10"/>
  <c r="S34" i="10"/>
  <c r="R34" i="10"/>
  <c r="EF34" i="10" s="1"/>
  <c r="Q34" i="10"/>
  <c r="EE34" i="10" s="1"/>
  <c r="P34" i="10"/>
  <c r="O34" i="10"/>
  <c r="EC34" i="10" s="1"/>
  <c r="N34" i="10"/>
  <c r="EB34" i="10" s="1"/>
  <c r="M34" i="10"/>
  <c r="L34" i="10"/>
  <c r="K34" i="10"/>
  <c r="J34" i="10"/>
  <c r="I34" i="10"/>
  <c r="H34" i="10"/>
  <c r="G34" i="10"/>
  <c r="F34" i="10"/>
  <c r="E34" i="10"/>
  <c r="D34" i="10"/>
  <c r="C34" i="10"/>
  <c r="B34" i="10"/>
  <c r="EI33" i="10"/>
  <c r="EG33" i="10"/>
  <c r="EE33" i="10"/>
  <c r="ED33" i="10"/>
  <c r="DP33" i="10"/>
  <c r="DO33" i="10"/>
  <c r="DN33" i="10"/>
  <c r="DM33" i="10"/>
  <c r="DL33" i="10"/>
  <c r="DK33" i="10"/>
  <c r="DJ33" i="10"/>
  <c r="DI33" i="10"/>
  <c r="EF33" i="10" s="1"/>
  <c r="DH33" i="10"/>
  <c r="DG33" i="10"/>
  <c r="DF33" i="10"/>
  <c r="DE33" i="10"/>
  <c r="CQ33" i="10"/>
  <c r="CP33" i="10"/>
  <c r="CO33" i="10"/>
  <c r="CN33" i="10"/>
  <c r="CM33" i="10"/>
  <c r="CL33" i="10"/>
  <c r="CK33" i="10"/>
  <c r="CJ33" i="10"/>
  <c r="CI33" i="10"/>
  <c r="CH33" i="10"/>
  <c r="CG33" i="10"/>
  <c r="CF33" i="10"/>
  <c r="CE33" i="10"/>
  <c r="CD33" i="10"/>
  <c r="CC33" i="10"/>
  <c r="CB33" i="10"/>
  <c r="CA33" i="10"/>
  <c r="BZ33" i="10"/>
  <c r="BY33" i="10"/>
  <c r="BX33" i="10"/>
  <c r="BU33" i="10"/>
  <c r="EM33" i="10" s="1"/>
  <c r="BT33" i="10"/>
  <c r="BS33" i="10"/>
  <c r="BR33" i="10"/>
  <c r="BQ33" i="10"/>
  <c r="BP33" i="10"/>
  <c r="BO33" i="10"/>
  <c r="BN33" i="10"/>
  <c r="BM33" i="10"/>
  <c r="BL33" i="10"/>
  <c r="BK33" i="10"/>
  <c r="BJ33" i="10"/>
  <c r="BI33" i="10"/>
  <c r="BH33" i="10"/>
  <c r="BG33" i="10"/>
  <c r="BF33" i="10"/>
  <c r="BE33" i="10"/>
  <c r="BD33" i="10"/>
  <c r="BC33" i="10"/>
  <c r="AW33" i="10"/>
  <c r="AV33" i="10"/>
  <c r="AU33" i="10"/>
  <c r="AT33" i="10"/>
  <c r="EJ33" i="10" s="1"/>
  <c r="AS33" i="10"/>
  <c r="AR33" i="10"/>
  <c r="AQ33" i="10"/>
  <c r="AP33" i="10"/>
  <c r="AO33" i="10"/>
  <c r="AN33" i="10"/>
  <c r="AM33" i="10"/>
  <c r="AL33" i="10"/>
  <c r="AK33" i="10"/>
  <c r="AJ33" i="10"/>
  <c r="AI33" i="10"/>
  <c r="AH33" i="10"/>
  <c r="AG33" i="10"/>
  <c r="AF33" i="10"/>
  <c r="AE33" i="10"/>
  <c r="Y33" i="10"/>
  <c r="X33" i="10"/>
  <c r="W33" i="10"/>
  <c r="V33" i="10"/>
  <c r="U33" i="10"/>
  <c r="T33" i="10"/>
  <c r="EH33" i="10" s="1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EM32" i="10"/>
  <c r="EK32" i="10"/>
  <c r="EJ32" i="10"/>
  <c r="EI32" i="10"/>
  <c r="EF32" i="10"/>
  <c r="DP32" i="10"/>
  <c r="DO32" i="10"/>
  <c r="DN32" i="10"/>
  <c r="DM32" i="10"/>
  <c r="DL32" i="10"/>
  <c r="DK32" i="10"/>
  <c r="DJ32" i="10"/>
  <c r="DI32" i="10"/>
  <c r="DH32" i="10"/>
  <c r="DG32" i="10"/>
  <c r="DF32" i="10"/>
  <c r="DE32" i="10"/>
  <c r="CQ32" i="10"/>
  <c r="CP32" i="10"/>
  <c r="CO32" i="10"/>
  <c r="CN32" i="10"/>
  <c r="CM32" i="10"/>
  <c r="CL32" i="10"/>
  <c r="CK32" i="10"/>
  <c r="CJ32" i="10"/>
  <c r="CI32" i="10"/>
  <c r="CH32" i="10"/>
  <c r="CG32" i="10"/>
  <c r="CF32" i="10"/>
  <c r="CE32" i="10"/>
  <c r="CD32" i="10"/>
  <c r="CC32" i="10"/>
  <c r="CB32" i="10"/>
  <c r="CA32" i="10"/>
  <c r="BZ32" i="10"/>
  <c r="BY32" i="10"/>
  <c r="BX32" i="10"/>
  <c r="BU32" i="10"/>
  <c r="BT32" i="10"/>
  <c r="BS32" i="10"/>
  <c r="BR32" i="10"/>
  <c r="BQ32" i="10"/>
  <c r="BP32" i="10"/>
  <c r="BO32" i="10"/>
  <c r="BN32" i="10"/>
  <c r="BM32" i="10"/>
  <c r="BL32" i="10"/>
  <c r="BK32" i="10"/>
  <c r="BJ32" i="10"/>
  <c r="BI32" i="10"/>
  <c r="BH32" i="10"/>
  <c r="BG32" i="10"/>
  <c r="BF32" i="10"/>
  <c r="BE32" i="10"/>
  <c r="BD32" i="10"/>
  <c r="BC32" i="10"/>
  <c r="AW32" i="10"/>
  <c r="AV32" i="10"/>
  <c r="AU32" i="10"/>
  <c r="AT32" i="10"/>
  <c r="AS32" i="10"/>
  <c r="AR32" i="10"/>
  <c r="EH32" i="10" s="1"/>
  <c r="AQ32" i="10"/>
  <c r="AP32" i="10"/>
  <c r="AO32" i="10"/>
  <c r="AN32" i="10"/>
  <c r="AM32" i="10"/>
  <c r="AL32" i="10"/>
  <c r="AK32" i="10"/>
  <c r="AJ32" i="10"/>
  <c r="AI32" i="10"/>
  <c r="AH32" i="10"/>
  <c r="AG32" i="10"/>
  <c r="AF32" i="10"/>
  <c r="AE32" i="10"/>
  <c r="Y32" i="10"/>
  <c r="X32" i="10"/>
  <c r="W32" i="10"/>
  <c r="V32" i="10"/>
  <c r="U32" i="10"/>
  <c r="T32" i="10"/>
  <c r="S32" i="10"/>
  <c r="S40" i="10" s="1"/>
  <c r="R32" i="10"/>
  <c r="R40" i="10" s="1"/>
  <c r="Q32" i="10"/>
  <c r="EE32" i="10" s="1"/>
  <c r="P32" i="10"/>
  <c r="O32" i="10"/>
  <c r="EC32" i="10" s="1"/>
  <c r="N32" i="10"/>
  <c r="EB32" i="10" s="1"/>
  <c r="M32" i="10"/>
  <c r="L32" i="10"/>
  <c r="K32" i="10"/>
  <c r="J32" i="10"/>
  <c r="I32" i="10"/>
  <c r="H32" i="10"/>
  <c r="G32" i="10"/>
  <c r="F32" i="10"/>
  <c r="E32" i="10"/>
  <c r="D32" i="10"/>
  <c r="C32" i="10"/>
  <c r="B32" i="10"/>
  <c r="EM31" i="10"/>
  <c r="EK31" i="10"/>
  <c r="EJ31" i="10"/>
  <c r="DP31" i="10"/>
  <c r="DO31" i="10"/>
  <c r="DN31" i="10"/>
  <c r="DM31" i="10"/>
  <c r="DL31" i="10"/>
  <c r="DK31" i="10"/>
  <c r="DJ31" i="10"/>
  <c r="DI31" i="10"/>
  <c r="DH31" i="10"/>
  <c r="DH40" i="10" s="1"/>
  <c r="DG31" i="10"/>
  <c r="DF31" i="10"/>
  <c r="DE31" i="10"/>
  <c r="DE40" i="10" s="1"/>
  <c r="CQ31" i="10"/>
  <c r="CP31" i="10"/>
  <c r="CO31" i="10"/>
  <c r="CN31" i="10"/>
  <c r="CM31" i="10"/>
  <c r="CL31" i="10"/>
  <c r="CK31" i="10"/>
  <c r="CJ31" i="10"/>
  <c r="CI31" i="10"/>
  <c r="CH31" i="10"/>
  <c r="CG31" i="10"/>
  <c r="CF31" i="10"/>
  <c r="CE31" i="10"/>
  <c r="CD31" i="10"/>
  <c r="CC31" i="10"/>
  <c r="CB31" i="10"/>
  <c r="CA31" i="10"/>
  <c r="BZ31" i="10"/>
  <c r="BY31" i="10"/>
  <c r="BX31" i="10"/>
  <c r="BU31" i="10"/>
  <c r="BU40" i="10" s="1"/>
  <c r="BT31" i="10"/>
  <c r="BS31" i="10"/>
  <c r="BR31" i="10"/>
  <c r="BQ31" i="10"/>
  <c r="BP31" i="10"/>
  <c r="BO31" i="10"/>
  <c r="BN31" i="10"/>
  <c r="BM31" i="10"/>
  <c r="BL31" i="10"/>
  <c r="BK31" i="10"/>
  <c r="BJ31" i="10"/>
  <c r="BI31" i="10"/>
  <c r="BH31" i="10"/>
  <c r="BG31" i="10"/>
  <c r="BF31" i="10"/>
  <c r="BE31" i="10"/>
  <c r="BD31" i="10"/>
  <c r="BC31" i="10"/>
  <c r="AW31" i="10"/>
  <c r="AW40" i="10" s="1"/>
  <c r="AV31" i="10"/>
  <c r="AU31" i="10"/>
  <c r="AT31" i="10"/>
  <c r="AS31" i="10"/>
  <c r="AR31" i="10"/>
  <c r="EH31" i="10" s="1"/>
  <c r="AQ31" i="10"/>
  <c r="EG31" i="10" s="1"/>
  <c r="AP31" i="10"/>
  <c r="EF31" i="10" s="1"/>
  <c r="AO31" i="10"/>
  <c r="EE31" i="10" s="1"/>
  <c r="AN31" i="10"/>
  <c r="ED31" i="10" s="1"/>
  <c r="AM31" i="10"/>
  <c r="EC31" i="10" s="1"/>
  <c r="AL31" i="10"/>
  <c r="EB31" i="10" s="1"/>
  <c r="AK31" i="10"/>
  <c r="AJ31" i="10"/>
  <c r="AI31" i="10"/>
  <c r="AH31" i="10"/>
  <c r="AG31" i="10"/>
  <c r="AF31" i="10"/>
  <c r="AE31" i="10"/>
  <c r="EK30" i="10"/>
  <c r="EJ30" i="10"/>
  <c r="EH30" i="10"/>
  <c r="CQ30" i="10"/>
  <c r="CP30" i="10"/>
  <c r="CO30" i="10"/>
  <c r="EI30" i="10" s="1"/>
  <c r="CN30" i="10"/>
  <c r="CM30" i="10"/>
  <c r="CL30" i="10"/>
  <c r="CK30" i="10"/>
  <c r="CJ30" i="10"/>
  <c r="CI30" i="10"/>
  <c r="CH30" i="10"/>
  <c r="CG30" i="10"/>
  <c r="CF30" i="10"/>
  <c r="CE30" i="10"/>
  <c r="CD30" i="10"/>
  <c r="CC30" i="10"/>
  <c r="CC40" i="10" s="1"/>
  <c r="CB30" i="10"/>
  <c r="CA30" i="10"/>
  <c r="BZ30" i="10"/>
  <c r="BY30" i="10"/>
  <c r="BX30" i="10"/>
  <c r="BU30" i="10"/>
  <c r="BT30" i="10"/>
  <c r="BS30" i="10"/>
  <c r="BR30" i="10"/>
  <c r="BQ30" i="10"/>
  <c r="BP30" i="10"/>
  <c r="BO30" i="10"/>
  <c r="BN30" i="10"/>
  <c r="BM30" i="10"/>
  <c r="BL30" i="10"/>
  <c r="BK30" i="10"/>
  <c r="BJ30" i="10"/>
  <c r="BI30" i="10"/>
  <c r="BH30" i="10"/>
  <c r="BG30" i="10"/>
  <c r="BF30" i="10"/>
  <c r="BE30" i="10"/>
  <c r="BD30" i="10"/>
  <c r="BC30" i="10"/>
  <c r="AW30" i="10"/>
  <c r="AV30" i="10"/>
  <c r="AU30" i="10"/>
  <c r="AT30" i="10"/>
  <c r="AS30" i="10"/>
  <c r="AR30" i="10"/>
  <c r="AQ30" i="10"/>
  <c r="AP30" i="10"/>
  <c r="EF30" i="10" s="1"/>
  <c r="AO30" i="10"/>
  <c r="AN30" i="10"/>
  <c r="AM30" i="10"/>
  <c r="AL30" i="10"/>
  <c r="AK30" i="10"/>
  <c r="AJ30" i="10"/>
  <c r="AI30" i="10"/>
  <c r="AH30" i="10"/>
  <c r="AG30" i="10"/>
  <c r="AF30" i="10"/>
  <c r="AE30" i="10"/>
  <c r="Y30" i="10"/>
  <c r="EM30" i="10" s="1"/>
  <c r="X30" i="10"/>
  <c r="W30" i="10"/>
  <c r="V30" i="10"/>
  <c r="U30" i="10"/>
  <c r="T30" i="10"/>
  <c r="S30" i="10"/>
  <c r="EG30" i="10" s="1"/>
  <c r="R30" i="10"/>
  <c r="Q30" i="10"/>
  <c r="P30" i="10"/>
  <c r="O30" i="10"/>
  <c r="N30" i="10"/>
  <c r="EB30" i="10" s="1"/>
  <c r="M30" i="10"/>
  <c r="L30" i="10"/>
  <c r="K30" i="10"/>
  <c r="J30" i="10"/>
  <c r="I30" i="10"/>
  <c r="H30" i="10"/>
  <c r="G30" i="10"/>
  <c r="F30" i="10"/>
  <c r="E30" i="10"/>
  <c r="D30" i="10"/>
  <c r="C30" i="10"/>
  <c r="B30" i="10"/>
  <c r="EJ29" i="10"/>
  <c r="EI29" i="10"/>
  <c r="DP29" i="10"/>
  <c r="DO29" i="10"/>
  <c r="DN29" i="10"/>
  <c r="DM29" i="10"/>
  <c r="DL29" i="10"/>
  <c r="DK29" i="10"/>
  <c r="DJ29" i="10"/>
  <c r="DI29" i="10"/>
  <c r="DH29" i="10"/>
  <c r="DG29" i="10"/>
  <c r="DF29" i="10"/>
  <c r="DE29" i="10"/>
  <c r="CQ29" i="10"/>
  <c r="CP29" i="10"/>
  <c r="CO29" i="10"/>
  <c r="CN29" i="10"/>
  <c r="CM29" i="10"/>
  <c r="CL29" i="10"/>
  <c r="CK29" i="10"/>
  <c r="CK40" i="10" s="1"/>
  <c r="CJ29" i="10"/>
  <c r="CJ40" i="10" s="1"/>
  <c r="CI29" i="10"/>
  <c r="CH29" i="10"/>
  <c r="CG29" i="10"/>
  <c r="CF29" i="10"/>
  <c r="CE29" i="10"/>
  <c r="CD29" i="10"/>
  <c r="CC29" i="10"/>
  <c r="CB29" i="10"/>
  <c r="CA29" i="10"/>
  <c r="BZ29" i="10"/>
  <c r="BY29" i="10"/>
  <c r="BX29" i="10"/>
  <c r="BU29" i="10"/>
  <c r="BT29" i="10"/>
  <c r="BS29" i="10"/>
  <c r="BR29" i="10"/>
  <c r="BQ29" i="10"/>
  <c r="BP29" i="10"/>
  <c r="BO29" i="10"/>
  <c r="BN29" i="10"/>
  <c r="BM29" i="10"/>
  <c r="BM40" i="10" s="1"/>
  <c r="BL29" i="10"/>
  <c r="BL40" i="10" s="1"/>
  <c r="BK29" i="10"/>
  <c r="BJ29" i="10"/>
  <c r="BI29" i="10"/>
  <c r="BH29" i="10"/>
  <c r="BG29" i="10"/>
  <c r="BF29" i="10"/>
  <c r="BE29" i="10"/>
  <c r="BD29" i="10"/>
  <c r="BC29" i="10"/>
  <c r="AW29" i="10"/>
  <c r="AV29" i="10"/>
  <c r="AU29" i="10"/>
  <c r="AT29" i="10"/>
  <c r="AS29" i="10"/>
  <c r="AR29" i="10"/>
  <c r="AQ29" i="10"/>
  <c r="AP29" i="10"/>
  <c r="AO29" i="10"/>
  <c r="AN29" i="10"/>
  <c r="AM29" i="10"/>
  <c r="AL29" i="10"/>
  <c r="AL40" i="10" s="1"/>
  <c r="AK29" i="10"/>
  <c r="AK40" i="10" s="1"/>
  <c r="AJ29" i="10"/>
  <c r="AI29" i="10"/>
  <c r="AH29" i="10"/>
  <c r="AG29" i="10"/>
  <c r="AF29" i="10"/>
  <c r="AE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K40" i="10" s="1"/>
  <c r="J29" i="10"/>
  <c r="J40" i="10" s="1"/>
  <c r="I29" i="10"/>
  <c r="H29" i="10"/>
  <c r="G29" i="10"/>
  <c r="F29" i="10"/>
  <c r="E29" i="10"/>
  <c r="D29" i="10"/>
  <c r="C29" i="10"/>
  <c r="B29" i="10"/>
  <c r="DO28" i="10"/>
  <c r="CJ28" i="10"/>
  <c r="CI28" i="10"/>
  <c r="CH28" i="10"/>
  <c r="CG28" i="10"/>
  <c r="CF28" i="10"/>
  <c r="BN28" i="10"/>
  <c r="BK28" i="10"/>
  <c r="BI28" i="10"/>
  <c r="AJ28" i="10"/>
  <c r="AI28" i="10"/>
  <c r="AH28" i="10"/>
  <c r="AG28" i="10"/>
  <c r="R28" i="10"/>
  <c r="M28" i="10"/>
  <c r="L28" i="10"/>
  <c r="K28" i="10"/>
  <c r="J28" i="10"/>
  <c r="I28" i="10"/>
  <c r="G28" i="10"/>
  <c r="EM27" i="10"/>
  <c r="EJ27" i="10"/>
  <c r="EI27" i="10"/>
  <c r="EH27" i="10"/>
  <c r="EG27" i="10"/>
  <c r="EF27" i="10"/>
  <c r="EE27" i="10"/>
  <c r="ED27" i="10"/>
  <c r="DP27" i="10"/>
  <c r="DP28" i="10" s="1"/>
  <c r="DO27" i="10"/>
  <c r="DN27" i="10"/>
  <c r="DM27" i="10"/>
  <c r="DL27" i="10"/>
  <c r="DK27" i="10"/>
  <c r="DJ27" i="10"/>
  <c r="DI27" i="10"/>
  <c r="DH27" i="10"/>
  <c r="DG27" i="10"/>
  <c r="DF27" i="10"/>
  <c r="DE27" i="10"/>
  <c r="CQ27" i="10"/>
  <c r="CP27" i="10"/>
  <c r="CO27" i="10"/>
  <c r="CN27" i="10"/>
  <c r="CM27" i="10"/>
  <c r="CL27" i="10"/>
  <c r="CK27" i="10"/>
  <c r="CK28" i="10" s="1"/>
  <c r="CJ27" i="10"/>
  <c r="CI27" i="10"/>
  <c r="CH27" i="10"/>
  <c r="CG27" i="10"/>
  <c r="CF27" i="10"/>
  <c r="CE27" i="10"/>
  <c r="CD27" i="10"/>
  <c r="CC27" i="10"/>
  <c r="CB27" i="10"/>
  <c r="CA27" i="10"/>
  <c r="BZ27" i="10"/>
  <c r="BY27" i="10"/>
  <c r="BX27" i="10"/>
  <c r="BU27" i="10"/>
  <c r="BT27" i="10"/>
  <c r="BS27" i="10"/>
  <c r="BR27" i="10"/>
  <c r="BQ27" i="10"/>
  <c r="BP27" i="10"/>
  <c r="BO27" i="10"/>
  <c r="BO28" i="10" s="1"/>
  <c r="BN27" i="10"/>
  <c r="BM27" i="10"/>
  <c r="BM28" i="10" s="1"/>
  <c r="BL27" i="10"/>
  <c r="BL28" i="10" s="1"/>
  <c r="BK27" i="10"/>
  <c r="BJ27" i="10"/>
  <c r="BJ28" i="10" s="1"/>
  <c r="BI27" i="10"/>
  <c r="BH27" i="10"/>
  <c r="BG27" i="10"/>
  <c r="BF27" i="10"/>
  <c r="BE27" i="10"/>
  <c r="BD27" i="10"/>
  <c r="BC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L28" i="10" s="1"/>
  <c r="AK27" i="10"/>
  <c r="AK28" i="10" s="1"/>
  <c r="AJ27" i="10"/>
  <c r="AI27" i="10"/>
  <c r="AH27" i="10"/>
  <c r="AG27" i="10"/>
  <c r="AF27" i="10"/>
  <c r="AE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H28" i="10" s="1"/>
  <c r="G27" i="10"/>
  <c r="F27" i="10"/>
  <c r="E27" i="10"/>
  <c r="D27" i="10"/>
  <c r="C27" i="10"/>
  <c r="B27" i="10"/>
  <c r="EC26" i="10"/>
  <c r="DP26" i="10"/>
  <c r="DO26" i="10"/>
  <c r="DN26" i="10"/>
  <c r="DM26" i="10"/>
  <c r="DL26" i="10"/>
  <c r="DK26" i="10"/>
  <c r="DJ26" i="10"/>
  <c r="DI26" i="10"/>
  <c r="DH26" i="10"/>
  <c r="DG26" i="10"/>
  <c r="DF26" i="10"/>
  <c r="DE26" i="10"/>
  <c r="CQ26" i="10"/>
  <c r="CP26" i="10"/>
  <c r="CO26" i="10"/>
  <c r="CN26" i="10"/>
  <c r="CM26" i="10"/>
  <c r="CL26" i="10"/>
  <c r="CK26" i="10"/>
  <c r="CJ26" i="10"/>
  <c r="ED26" i="10" s="1"/>
  <c r="CI26" i="10"/>
  <c r="CH26" i="10"/>
  <c r="CG26" i="10"/>
  <c r="CF26" i="10"/>
  <c r="CE26" i="10"/>
  <c r="CD26" i="10"/>
  <c r="CC26" i="10"/>
  <c r="CB26" i="10"/>
  <c r="CA26" i="10"/>
  <c r="BZ26" i="10"/>
  <c r="BY26" i="10"/>
  <c r="BX26" i="10"/>
  <c r="BU26" i="10"/>
  <c r="BT26" i="10"/>
  <c r="BT28" i="10" s="1"/>
  <c r="BS26" i="10"/>
  <c r="BR26" i="10"/>
  <c r="BQ26" i="10"/>
  <c r="BP26" i="10"/>
  <c r="BO26" i="10"/>
  <c r="BN26" i="10"/>
  <c r="BM26" i="10"/>
  <c r="BL26" i="10"/>
  <c r="BK26" i="10"/>
  <c r="BJ26" i="10"/>
  <c r="BI26" i="10"/>
  <c r="BH26" i="10"/>
  <c r="BG26" i="10"/>
  <c r="BF26" i="10"/>
  <c r="BE26" i="10"/>
  <c r="BD26" i="10"/>
  <c r="BC26" i="10"/>
  <c r="AW26" i="10"/>
  <c r="AV26" i="10"/>
  <c r="AU26" i="10"/>
  <c r="AT26" i="10"/>
  <c r="AS26" i="10"/>
  <c r="EI26" i="10" s="1"/>
  <c r="AR26" i="10"/>
  <c r="EH26" i="10" s="1"/>
  <c r="AQ26" i="10"/>
  <c r="AP26" i="10"/>
  <c r="AO26" i="10"/>
  <c r="AN26" i="10"/>
  <c r="AM26" i="10"/>
  <c r="AL26" i="10"/>
  <c r="AK26" i="10"/>
  <c r="AJ26" i="10"/>
  <c r="AI26" i="10"/>
  <c r="AH26" i="10"/>
  <c r="AG26" i="10"/>
  <c r="AF26" i="10"/>
  <c r="AE26" i="10"/>
  <c r="Y26" i="10"/>
  <c r="X26" i="10"/>
  <c r="W26" i="10"/>
  <c r="V26" i="10"/>
  <c r="U26" i="10"/>
  <c r="T26" i="10"/>
  <c r="S26" i="10"/>
  <c r="EG26" i="10" s="1"/>
  <c r="R26" i="10"/>
  <c r="EF26" i="10" s="1"/>
  <c r="Q26" i="10"/>
  <c r="EE26" i="10" s="1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EM25" i="10"/>
  <c r="EK25" i="10"/>
  <c r="EJ25" i="10"/>
  <c r="EF25" i="10"/>
  <c r="DP25" i="10"/>
  <c r="DO25" i="10"/>
  <c r="DN25" i="10"/>
  <c r="DM25" i="10"/>
  <c r="DL25" i="10"/>
  <c r="DK25" i="10"/>
  <c r="DJ25" i="10"/>
  <c r="EG25" i="10" s="1"/>
  <c r="DI25" i="10"/>
  <c r="DH25" i="10"/>
  <c r="DG25" i="10"/>
  <c r="DF25" i="10"/>
  <c r="DE25" i="10"/>
  <c r="CQ25" i="10"/>
  <c r="CP25" i="10"/>
  <c r="CO25" i="10"/>
  <c r="EI25" i="10" s="1"/>
  <c r="CN25" i="10"/>
  <c r="CM25" i="10"/>
  <c r="CM28" i="10" s="1"/>
  <c r="CL25" i="10"/>
  <c r="CK25" i="10"/>
  <c r="CJ25" i="10"/>
  <c r="CI25" i="10"/>
  <c r="CH25" i="10"/>
  <c r="CG25" i="10"/>
  <c r="CF25" i="10"/>
  <c r="CE25" i="10"/>
  <c r="CD25" i="10"/>
  <c r="CC25" i="10"/>
  <c r="CB25" i="10"/>
  <c r="CA25" i="10"/>
  <c r="BZ25" i="10"/>
  <c r="BY25" i="10"/>
  <c r="BX25" i="10"/>
  <c r="BU25" i="10"/>
  <c r="BT25" i="10"/>
  <c r="BS25" i="10"/>
  <c r="BR25" i="10"/>
  <c r="BQ25" i="10"/>
  <c r="BP25" i="10"/>
  <c r="BO25" i="10"/>
  <c r="BN25" i="10"/>
  <c r="BM25" i="10"/>
  <c r="BL25" i="10"/>
  <c r="BK25" i="10"/>
  <c r="BJ25" i="10"/>
  <c r="BI25" i="10"/>
  <c r="BH25" i="10"/>
  <c r="BG25" i="10"/>
  <c r="BF25" i="10"/>
  <c r="BE25" i="10"/>
  <c r="BD25" i="10"/>
  <c r="BC25" i="10"/>
  <c r="AW25" i="10"/>
  <c r="AV25" i="10"/>
  <c r="AU25" i="10"/>
  <c r="AT25" i="10"/>
  <c r="AS25" i="10"/>
  <c r="AR25" i="10"/>
  <c r="AQ25" i="10"/>
  <c r="AP25" i="10"/>
  <c r="AO25" i="10"/>
  <c r="EE25" i="10" s="1"/>
  <c r="AN25" i="10"/>
  <c r="AN28" i="10" s="1"/>
  <c r="AM25" i="10"/>
  <c r="AL25" i="10"/>
  <c r="AK25" i="10"/>
  <c r="AJ25" i="10"/>
  <c r="AI25" i="10"/>
  <c r="AH25" i="10"/>
  <c r="AG25" i="10"/>
  <c r="AF25" i="10"/>
  <c r="AE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EB25" i="10" s="1"/>
  <c r="M25" i="10"/>
  <c r="L25" i="10"/>
  <c r="K25" i="10"/>
  <c r="J25" i="10"/>
  <c r="I25" i="10"/>
  <c r="H25" i="10"/>
  <c r="G25" i="10"/>
  <c r="F25" i="10"/>
  <c r="E25" i="10"/>
  <c r="D25" i="10"/>
  <c r="C25" i="10"/>
  <c r="B25" i="10"/>
  <c r="EM24" i="10"/>
  <c r="DP24" i="10"/>
  <c r="DO24" i="10"/>
  <c r="DN24" i="10"/>
  <c r="DM24" i="10"/>
  <c r="DL24" i="10"/>
  <c r="DK24" i="10"/>
  <c r="DJ24" i="10"/>
  <c r="DI24" i="10"/>
  <c r="DH24" i="10"/>
  <c r="DG24" i="10"/>
  <c r="DF24" i="10"/>
  <c r="DE24" i="10"/>
  <c r="CQ24" i="10"/>
  <c r="CP24" i="10"/>
  <c r="CO24" i="10"/>
  <c r="CN24" i="10"/>
  <c r="CN28" i="10" s="1"/>
  <c r="CM24" i="10"/>
  <c r="CL24" i="10"/>
  <c r="CK24" i="10"/>
  <c r="CJ24" i="10"/>
  <c r="CI24" i="10"/>
  <c r="CH24" i="10"/>
  <c r="CG24" i="10"/>
  <c r="CF24" i="10"/>
  <c r="CE24" i="10"/>
  <c r="CD24" i="10"/>
  <c r="CC24" i="10"/>
  <c r="CB24" i="10"/>
  <c r="CA24" i="10"/>
  <c r="BZ24" i="10"/>
  <c r="BY24" i="10"/>
  <c r="BX24" i="10"/>
  <c r="BU24" i="10"/>
  <c r="BT24" i="10"/>
  <c r="BS24" i="10"/>
  <c r="BR24" i="10"/>
  <c r="BQ24" i="10"/>
  <c r="BQ28" i="10" s="1"/>
  <c r="BP24" i="10"/>
  <c r="BP28" i="10" s="1"/>
  <c r="BO24" i="10"/>
  <c r="BN24" i="10"/>
  <c r="BM24" i="10"/>
  <c r="BL24" i="10"/>
  <c r="BK24" i="10"/>
  <c r="BJ24" i="10"/>
  <c r="BI24" i="10"/>
  <c r="BH24" i="10"/>
  <c r="BG24" i="10"/>
  <c r="BF24" i="10"/>
  <c r="BE24" i="10"/>
  <c r="BD24" i="10"/>
  <c r="BC24" i="10"/>
  <c r="AW24" i="10"/>
  <c r="AV24" i="10"/>
  <c r="AU24" i="10"/>
  <c r="AT24" i="10"/>
  <c r="AS24" i="10"/>
  <c r="AR24" i="10"/>
  <c r="AQ24" i="10"/>
  <c r="EG24" i="10" s="1"/>
  <c r="AP24" i="10"/>
  <c r="AP28" i="10" s="1"/>
  <c r="AO24" i="10"/>
  <c r="AO28" i="10" s="1"/>
  <c r="AN24" i="10"/>
  <c r="AM24" i="10"/>
  <c r="AL24" i="10"/>
  <c r="AK24" i="10"/>
  <c r="AJ24" i="10"/>
  <c r="AI24" i="10"/>
  <c r="AH24" i="10"/>
  <c r="AG24" i="10"/>
  <c r="AF24" i="10"/>
  <c r="AE24" i="10"/>
  <c r="Y24" i="10"/>
  <c r="X24" i="10"/>
  <c r="W24" i="10"/>
  <c r="V24" i="10"/>
  <c r="U24" i="10"/>
  <c r="T24" i="10"/>
  <c r="S24" i="10"/>
  <c r="R24" i="10"/>
  <c r="Q24" i="10"/>
  <c r="P24" i="10"/>
  <c r="ED24" i="10" s="1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DP23" i="10"/>
  <c r="DO23" i="10"/>
  <c r="DN23" i="10"/>
  <c r="DN28" i="10" s="1"/>
  <c r="DM23" i="10"/>
  <c r="DM28" i="10" s="1"/>
  <c r="DL23" i="10"/>
  <c r="DL28" i="10" s="1"/>
  <c r="DK23" i="10"/>
  <c r="DK28" i="10" s="1"/>
  <c r="DJ23" i="10"/>
  <c r="DI23" i="10"/>
  <c r="DI28" i="10" s="1"/>
  <c r="DH23" i="10"/>
  <c r="DG23" i="10"/>
  <c r="DG28" i="10" s="1"/>
  <c r="DF23" i="10"/>
  <c r="DE23" i="10"/>
  <c r="CQ23" i="10"/>
  <c r="CP23" i="10"/>
  <c r="CO23" i="10"/>
  <c r="CN23" i="10"/>
  <c r="CM23" i="10"/>
  <c r="CL23" i="10"/>
  <c r="CK23" i="10"/>
  <c r="CJ23" i="10"/>
  <c r="CI23" i="10"/>
  <c r="CH23" i="10"/>
  <c r="CG23" i="10"/>
  <c r="CF23" i="10"/>
  <c r="CE23" i="10"/>
  <c r="CE28" i="10" s="1"/>
  <c r="CD23" i="10"/>
  <c r="CD28" i="10" s="1"/>
  <c r="CC23" i="10"/>
  <c r="CC28" i="10" s="1"/>
  <c r="CB23" i="10"/>
  <c r="CA23" i="10"/>
  <c r="CA28" i="10" s="1"/>
  <c r="BZ23" i="10"/>
  <c r="BY23" i="10"/>
  <c r="BY28" i="10" s="1"/>
  <c r="BX23" i="10"/>
  <c r="BU23" i="10"/>
  <c r="BT23" i="10"/>
  <c r="BS23" i="10"/>
  <c r="BR23" i="10"/>
  <c r="BQ23" i="10"/>
  <c r="BP23" i="10"/>
  <c r="BO23" i="10"/>
  <c r="BN23" i="10"/>
  <c r="BM23" i="10"/>
  <c r="BL23" i="10"/>
  <c r="BK23" i="10"/>
  <c r="BJ23" i="10"/>
  <c r="BI23" i="10"/>
  <c r="BH23" i="10"/>
  <c r="BH28" i="10" s="1"/>
  <c r="BG23" i="10"/>
  <c r="BG28" i="10" s="1"/>
  <c r="BF23" i="10"/>
  <c r="BF28" i="10" s="1"/>
  <c r="BE23" i="10"/>
  <c r="BE28" i="10" s="1"/>
  <c r="BD23" i="10"/>
  <c r="BC23" i="10"/>
  <c r="BC28" i="10" s="1"/>
  <c r="AW23" i="10"/>
  <c r="AV23" i="10"/>
  <c r="AV28" i="10" s="1"/>
  <c r="AU23" i="10"/>
  <c r="AT23" i="10"/>
  <c r="AS23" i="10"/>
  <c r="AR23" i="10"/>
  <c r="AQ23" i="10"/>
  <c r="AP23" i="10"/>
  <c r="AO23" i="10"/>
  <c r="AN23" i="10"/>
  <c r="AM23" i="10"/>
  <c r="AL23" i="10"/>
  <c r="AK23" i="10"/>
  <c r="AJ23" i="10"/>
  <c r="AI23" i="10"/>
  <c r="AH23" i="10"/>
  <c r="AG23" i="10"/>
  <c r="AF23" i="10"/>
  <c r="AF28" i="10" s="1"/>
  <c r="AE23" i="10"/>
  <c r="AE28" i="10" s="1"/>
  <c r="Y23" i="10"/>
  <c r="Y28" i="10" s="1"/>
  <c r="X23" i="10"/>
  <c r="W23" i="10"/>
  <c r="V23" i="10"/>
  <c r="U23" i="10"/>
  <c r="T23" i="10"/>
  <c r="S23" i="10"/>
  <c r="R23" i="10"/>
  <c r="EF23" i="10" s="1"/>
  <c r="Q23" i="10"/>
  <c r="P23" i="10"/>
  <c r="O23" i="10"/>
  <c r="EC23" i="10" s="1"/>
  <c r="N23" i="10"/>
  <c r="EB23" i="10" s="1"/>
  <c r="M23" i="10"/>
  <c r="L23" i="10"/>
  <c r="K23" i="10"/>
  <c r="J23" i="10"/>
  <c r="I23" i="10"/>
  <c r="H23" i="10"/>
  <c r="G23" i="10"/>
  <c r="F23" i="10"/>
  <c r="F28" i="10" s="1"/>
  <c r="E23" i="10"/>
  <c r="E28" i="10" s="1"/>
  <c r="D23" i="10"/>
  <c r="D28" i="10" s="1"/>
  <c r="C23" i="10"/>
  <c r="C28" i="10" s="1"/>
  <c r="B23" i="10"/>
  <c r="CH22" i="10"/>
  <c r="CE22" i="10"/>
  <c r="AI22" i="10"/>
  <c r="H22" i="10"/>
  <c r="DP21" i="10"/>
  <c r="DO21" i="10"/>
  <c r="DN21" i="10"/>
  <c r="DM21" i="10"/>
  <c r="DL21" i="10"/>
  <c r="DK21" i="10"/>
  <c r="DJ21" i="10"/>
  <c r="DI21" i="10"/>
  <c r="DH21" i="10"/>
  <c r="DG21" i="10"/>
  <c r="DF21" i="10"/>
  <c r="EC21" i="10" s="1"/>
  <c r="DE21" i="10"/>
  <c r="CQ21" i="10"/>
  <c r="CP21" i="10"/>
  <c r="CO21" i="10"/>
  <c r="CN21" i="10"/>
  <c r="CM21" i="10"/>
  <c r="CL21" i="10"/>
  <c r="CK21" i="10"/>
  <c r="CJ21" i="10"/>
  <c r="CI21" i="10"/>
  <c r="CH21" i="10"/>
  <c r="CG21" i="10"/>
  <c r="CF21" i="10"/>
  <c r="CE21" i="10"/>
  <c r="CD21" i="10"/>
  <c r="CC21" i="10"/>
  <c r="CB21" i="10"/>
  <c r="CA21" i="10"/>
  <c r="BZ21" i="10"/>
  <c r="BY21" i="10"/>
  <c r="BX21" i="10"/>
  <c r="BU21" i="10"/>
  <c r="BT21" i="10"/>
  <c r="BS21" i="10"/>
  <c r="BR21" i="10"/>
  <c r="BQ21" i="10"/>
  <c r="BP21" i="10"/>
  <c r="BO21" i="10"/>
  <c r="BN21" i="10"/>
  <c r="BM21" i="10"/>
  <c r="BL21" i="10"/>
  <c r="BK21" i="10"/>
  <c r="BJ21" i="10"/>
  <c r="BI21" i="10"/>
  <c r="BH21" i="10"/>
  <c r="BG21" i="10"/>
  <c r="BF21" i="10"/>
  <c r="BE21" i="10"/>
  <c r="BD21" i="10"/>
  <c r="BC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K21" i="10"/>
  <c r="AJ21" i="10"/>
  <c r="AI21" i="10"/>
  <c r="AH21" i="10"/>
  <c r="AG21" i="10"/>
  <c r="AF21" i="10"/>
  <c r="AE21" i="10"/>
  <c r="Y21" i="10"/>
  <c r="X21" i="10"/>
  <c r="W21" i="10"/>
  <c r="V21" i="10"/>
  <c r="U21" i="10"/>
  <c r="EI21" i="10" s="1"/>
  <c r="T21" i="10"/>
  <c r="EH21" i="10" s="1"/>
  <c r="S21" i="10"/>
  <c r="EG21" i="10" s="1"/>
  <c r="R21" i="10"/>
  <c r="EF21" i="10" s="1"/>
  <c r="Q21" i="10"/>
  <c r="P21" i="10"/>
  <c r="O21" i="10"/>
  <c r="N21" i="10"/>
  <c r="EB21" i="10" s="1"/>
  <c r="M21" i="10"/>
  <c r="L21" i="10"/>
  <c r="K21" i="10"/>
  <c r="J21" i="10"/>
  <c r="I21" i="10"/>
  <c r="H21" i="10"/>
  <c r="G21" i="10"/>
  <c r="F21" i="10"/>
  <c r="E21" i="10"/>
  <c r="D21" i="10"/>
  <c r="C21" i="10"/>
  <c r="B21" i="10"/>
  <c r="DP20" i="10"/>
  <c r="DO20" i="10"/>
  <c r="DN20" i="10"/>
  <c r="DM20" i="10"/>
  <c r="DL20" i="10"/>
  <c r="DK20" i="10"/>
  <c r="DJ20" i="10"/>
  <c r="DI20" i="10"/>
  <c r="DH20" i="10"/>
  <c r="DG20" i="10"/>
  <c r="ED20" i="10" s="1"/>
  <c r="DF20" i="10"/>
  <c r="DE20" i="10"/>
  <c r="CQ20" i="10"/>
  <c r="CP20" i="10"/>
  <c r="CO20" i="10"/>
  <c r="CN20" i="10"/>
  <c r="CM20" i="10"/>
  <c r="CL20" i="10"/>
  <c r="CK20" i="10"/>
  <c r="CJ20" i="10"/>
  <c r="CI20" i="10"/>
  <c r="CH20" i="10"/>
  <c r="CG20" i="10"/>
  <c r="CF20" i="10"/>
  <c r="CE20" i="10"/>
  <c r="CD20" i="10"/>
  <c r="CC20" i="10"/>
  <c r="CB20" i="10"/>
  <c r="CA20" i="10"/>
  <c r="BZ20" i="10"/>
  <c r="BY20" i="10"/>
  <c r="BX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Y20" i="10"/>
  <c r="X20" i="10"/>
  <c r="W20" i="10"/>
  <c r="EK20" i="10" s="1"/>
  <c r="V20" i="10"/>
  <c r="EJ20" i="10" s="1"/>
  <c r="U20" i="10"/>
  <c r="T20" i="10"/>
  <c r="S20" i="10"/>
  <c r="R20" i="10"/>
  <c r="Q20" i="10"/>
  <c r="P20" i="10"/>
  <c r="O20" i="10"/>
  <c r="EC20" i="10" s="1"/>
  <c r="N20" i="10"/>
  <c r="M20" i="10"/>
  <c r="L20" i="10"/>
  <c r="K20" i="10"/>
  <c r="J20" i="10"/>
  <c r="I20" i="10"/>
  <c r="H20" i="10"/>
  <c r="G20" i="10"/>
  <c r="F20" i="10"/>
  <c r="E20" i="10"/>
  <c r="D20" i="10"/>
  <c r="C20" i="10"/>
  <c r="C22" i="10" s="1"/>
  <c r="B20" i="10"/>
  <c r="B22" i="10" s="1"/>
  <c r="DP19" i="10"/>
  <c r="DO19" i="10"/>
  <c r="DN19" i="10"/>
  <c r="DM19" i="10"/>
  <c r="DL19" i="10"/>
  <c r="DK19" i="10"/>
  <c r="DJ19" i="10"/>
  <c r="DI19" i="10"/>
  <c r="EF19" i="10" s="1"/>
  <c r="DH19" i="10"/>
  <c r="DG19" i="10"/>
  <c r="DF19" i="10"/>
  <c r="DE19" i="10"/>
  <c r="CQ19" i="10"/>
  <c r="CP19" i="10"/>
  <c r="CO19" i="10"/>
  <c r="CN19" i="10"/>
  <c r="CM19" i="10"/>
  <c r="CL19" i="10"/>
  <c r="CK19" i="10"/>
  <c r="CJ19" i="10"/>
  <c r="CI19" i="10"/>
  <c r="EC19" i="10" s="1"/>
  <c r="CH19" i="10"/>
  <c r="EB19" i="10" s="1"/>
  <c r="CG19" i="10"/>
  <c r="CF19" i="10"/>
  <c r="CE19" i="10"/>
  <c r="CD19" i="10"/>
  <c r="CC19" i="10"/>
  <c r="CB19" i="10"/>
  <c r="CA19" i="10"/>
  <c r="BZ19" i="10"/>
  <c r="BY19" i="10"/>
  <c r="BX19" i="10"/>
  <c r="BU19" i="10"/>
  <c r="BT19" i="10"/>
  <c r="BS19" i="10"/>
  <c r="BR19" i="10"/>
  <c r="BQ19" i="10"/>
  <c r="BP19" i="10"/>
  <c r="BO19" i="10"/>
  <c r="BN19" i="10"/>
  <c r="BM19" i="10"/>
  <c r="BL19" i="10"/>
  <c r="BK19" i="10"/>
  <c r="BJ19" i="10"/>
  <c r="BI19" i="10"/>
  <c r="BH19" i="10"/>
  <c r="BG19" i="10"/>
  <c r="BF19" i="10"/>
  <c r="BE19" i="10"/>
  <c r="BD19" i="10"/>
  <c r="BC19" i="10"/>
  <c r="AW19" i="10"/>
  <c r="AV19" i="10"/>
  <c r="AU19" i="10"/>
  <c r="AT19" i="10"/>
  <c r="AS19" i="10"/>
  <c r="AR19" i="10"/>
  <c r="AQ19" i="10"/>
  <c r="AP19" i="10"/>
  <c r="AO19" i="10"/>
  <c r="AN19" i="10"/>
  <c r="AM19" i="10"/>
  <c r="AL19" i="10"/>
  <c r="AK19" i="10"/>
  <c r="AJ19" i="10"/>
  <c r="AI19" i="10"/>
  <c r="AH19" i="10"/>
  <c r="AG19" i="10"/>
  <c r="AF19" i="10"/>
  <c r="AE19" i="10"/>
  <c r="Y19" i="10"/>
  <c r="EM19" i="10" s="1"/>
  <c r="X19" i="10"/>
  <c r="W19" i="10"/>
  <c r="EK19" i="10" s="1"/>
  <c r="V19" i="10"/>
  <c r="EJ19" i="10" s="1"/>
  <c r="U19" i="10"/>
  <c r="EI19" i="10" s="1"/>
  <c r="T19" i="10"/>
  <c r="EH19" i="10" s="1"/>
  <c r="S19" i="10"/>
  <c r="R19" i="10"/>
  <c r="Q19" i="10"/>
  <c r="EE19" i="10" s="1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EE18" i="10"/>
  <c r="DP18" i="10"/>
  <c r="DP22" i="10" s="1"/>
  <c r="DO18" i="10"/>
  <c r="DN18" i="10"/>
  <c r="DM18" i="10"/>
  <c r="DL18" i="10"/>
  <c r="DK18" i="10"/>
  <c r="EH18" i="10" s="1"/>
  <c r="DJ18" i="10"/>
  <c r="DI18" i="10"/>
  <c r="DH18" i="10"/>
  <c r="DG18" i="10"/>
  <c r="DF18" i="10"/>
  <c r="DE18" i="10"/>
  <c r="CQ18" i="10"/>
  <c r="CP18" i="10"/>
  <c r="CO18" i="10"/>
  <c r="CN18" i="10"/>
  <c r="CM18" i="10"/>
  <c r="CL18" i="10"/>
  <c r="CK18" i="10"/>
  <c r="CJ18" i="10"/>
  <c r="ED18" i="10" s="1"/>
  <c r="CI18" i="10"/>
  <c r="EC18" i="10" s="1"/>
  <c r="CH18" i="10"/>
  <c r="EB18" i="10" s="1"/>
  <c r="CG18" i="10"/>
  <c r="CF18" i="10"/>
  <c r="CE18" i="10"/>
  <c r="CD18" i="10"/>
  <c r="CC18" i="10"/>
  <c r="CB18" i="10"/>
  <c r="CA18" i="10"/>
  <c r="BZ18" i="10"/>
  <c r="BY18" i="10"/>
  <c r="BX18" i="10"/>
  <c r="BU18" i="10"/>
  <c r="BT18" i="10"/>
  <c r="BS18" i="10"/>
  <c r="BR18" i="10"/>
  <c r="BQ18" i="10"/>
  <c r="BP18" i="10"/>
  <c r="BO18" i="10"/>
  <c r="BN18" i="10"/>
  <c r="BM18" i="10"/>
  <c r="BL18" i="10"/>
  <c r="BK18" i="10"/>
  <c r="BJ18" i="10"/>
  <c r="BI18" i="10"/>
  <c r="BH18" i="10"/>
  <c r="BG18" i="10"/>
  <c r="BF18" i="10"/>
  <c r="BE18" i="10"/>
  <c r="BD18" i="10"/>
  <c r="BC18" i="10"/>
  <c r="AW18" i="10"/>
  <c r="AV18" i="10"/>
  <c r="AU18" i="10"/>
  <c r="AT18" i="10"/>
  <c r="AS18" i="10"/>
  <c r="AR18" i="10"/>
  <c r="AQ18" i="10"/>
  <c r="AP18" i="10"/>
  <c r="AO18" i="10"/>
  <c r="AN18" i="10"/>
  <c r="AM18" i="10"/>
  <c r="AL18" i="10"/>
  <c r="AK18" i="10"/>
  <c r="AJ18" i="10"/>
  <c r="AI18" i="10"/>
  <c r="AH18" i="10"/>
  <c r="AG18" i="10"/>
  <c r="AF18" i="10"/>
  <c r="AE18" i="10"/>
  <c r="Y18" i="10"/>
  <c r="EM18" i="10" s="1"/>
  <c r="X18" i="10"/>
  <c r="W18" i="10"/>
  <c r="V18" i="10"/>
  <c r="U18" i="10"/>
  <c r="T18" i="10"/>
  <c r="S18" i="10"/>
  <c r="EG18" i="10" s="1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EG17" i="10"/>
  <c r="DP17" i="10"/>
  <c r="DO17" i="10"/>
  <c r="DN17" i="10"/>
  <c r="DM17" i="10"/>
  <c r="EJ17" i="10" s="1"/>
  <c r="DL17" i="10"/>
  <c r="DK17" i="10"/>
  <c r="DJ17" i="10"/>
  <c r="DI17" i="10"/>
  <c r="DH17" i="10"/>
  <c r="DG17" i="10"/>
  <c r="DF17" i="10"/>
  <c r="DE17" i="10"/>
  <c r="CQ17" i="10"/>
  <c r="CP17" i="10"/>
  <c r="CO17" i="10"/>
  <c r="CN17" i="10"/>
  <c r="CM17" i="10"/>
  <c r="CL17" i="10"/>
  <c r="EF17" i="10" s="1"/>
  <c r="CK17" i="10"/>
  <c r="EE17" i="10" s="1"/>
  <c r="CJ17" i="10"/>
  <c r="ED17" i="10" s="1"/>
  <c r="CI17" i="10"/>
  <c r="EC17" i="10" s="1"/>
  <c r="CH17" i="10"/>
  <c r="EB17" i="10" s="1"/>
  <c r="CG17" i="10"/>
  <c r="CF17" i="10"/>
  <c r="CE17" i="10"/>
  <c r="CD17" i="10"/>
  <c r="CC17" i="10"/>
  <c r="CB17" i="10"/>
  <c r="CA17" i="10"/>
  <c r="BZ17" i="10"/>
  <c r="BY17" i="10"/>
  <c r="BX17" i="10"/>
  <c r="BU17" i="10"/>
  <c r="BT17" i="10"/>
  <c r="BS17" i="10"/>
  <c r="BR17" i="10"/>
  <c r="BQ17" i="10"/>
  <c r="BP17" i="10"/>
  <c r="BO17" i="10"/>
  <c r="BN17" i="10"/>
  <c r="BM17" i="10"/>
  <c r="BL17" i="10"/>
  <c r="BK17" i="10"/>
  <c r="BJ17" i="10"/>
  <c r="BI17" i="10"/>
  <c r="BH17" i="10"/>
  <c r="BG17" i="10"/>
  <c r="BF17" i="10"/>
  <c r="BE17" i="10"/>
  <c r="BD17" i="10"/>
  <c r="BC17" i="10"/>
  <c r="AW17" i="10"/>
  <c r="AV17" i="10"/>
  <c r="AU17" i="10"/>
  <c r="AT17" i="10"/>
  <c r="AS17" i="10"/>
  <c r="AR17" i="10"/>
  <c r="AQ17" i="10"/>
  <c r="AP17" i="10"/>
  <c r="AO17" i="10"/>
  <c r="AN17" i="10"/>
  <c r="AM17" i="10"/>
  <c r="AL17" i="10"/>
  <c r="AK17" i="10"/>
  <c r="AJ17" i="10"/>
  <c r="AI17" i="10"/>
  <c r="AH17" i="10"/>
  <c r="AG17" i="10"/>
  <c r="AF17" i="10"/>
  <c r="AE17" i="10"/>
  <c r="Y17" i="10"/>
  <c r="EM17" i="10" s="1"/>
  <c r="X17" i="10"/>
  <c r="W17" i="10"/>
  <c r="V17" i="10"/>
  <c r="U17" i="10"/>
  <c r="EI17" i="10" s="1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EC16" i="10"/>
  <c r="DP16" i="10"/>
  <c r="DO16" i="10"/>
  <c r="DN16" i="10"/>
  <c r="DM16" i="10"/>
  <c r="DL16" i="10"/>
  <c r="DK16" i="10"/>
  <c r="DJ16" i="10"/>
  <c r="DI16" i="10"/>
  <c r="DH16" i="10"/>
  <c r="DG16" i="10"/>
  <c r="DF16" i="10"/>
  <c r="DE16" i="10"/>
  <c r="CQ16" i="10"/>
  <c r="CP16" i="10"/>
  <c r="CO16" i="10"/>
  <c r="EI16" i="10" s="1"/>
  <c r="CN16" i="10"/>
  <c r="EH16" i="10" s="1"/>
  <c r="CM16" i="10"/>
  <c r="EG16" i="10" s="1"/>
  <c r="CL16" i="10"/>
  <c r="EF16" i="10" s="1"/>
  <c r="CK16" i="10"/>
  <c r="EE16" i="10" s="1"/>
  <c r="CJ16" i="10"/>
  <c r="CI16" i="10"/>
  <c r="CH16" i="10"/>
  <c r="EB16" i="10" s="1"/>
  <c r="CG16" i="10"/>
  <c r="CF16" i="10"/>
  <c r="CE16" i="10"/>
  <c r="CD16" i="10"/>
  <c r="CC16" i="10"/>
  <c r="CB16" i="10"/>
  <c r="CA16" i="10"/>
  <c r="BZ16" i="10"/>
  <c r="BY16" i="10"/>
  <c r="BX16" i="10"/>
  <c r="BU16" i="10"/>
  <c r="BT16" i="10"/>
  <c r="BS16" i="10"/>
  <c r="BR16" i="10"/>
  <c r="BQ16" i="10"/>
  <c r="BP16" i="10"/>
  <c r="BO16" i="10"/>
  <c r="BN16" i="10"/>
  <c r="BM16" i="10"/>
  <c r="BL16" i="10"/>
  <c r="BK16" i="10"/>
  <c r="BJ16" i="10"/>
  <c r="BI16" i="10"/>
  <c r="BH16" i="10"/>
  <c r="BG16" i="10"/>
  <c r="BF16" i="10"/>
  <c r="BE16" i="10"/>
  <c r="BD16" i="10"/>
  <c r="BC16" i="10"/>
  <c r="AW16" i="10"/>
  <c r="AV16" i="10"/>
  <c r="AU16" i="10"/>
  <c r="AT16" i="10"/>
  <c r="AS16" i="10"/>
  <c r="AR16" i="10"/>
  <c r="AQ16" i="10"/>
  <c r="AP16" i="10"/>
  <c r="AO16" i="10"/>
  <c r="AN16" i="10"/>
  <c r="ED16" i="10" s="1"/>
  <c r="AM16" i="10"/>
  <c r="AL16" i="10"/>
  <c r="AK16" i="10"/>
  <c r="AJ16" i="10"/>
  <c r="AI16" i="10"/>
  <c r="AH16" i="10"/>
  <c r="AG16" i="10"/>
  <c r="AF16" i="10"/>
  <c r="AE16" i="10"/>
  <c r="Y16" i="10"/>
  <c r="X16" i="10"/>
  <c r="W16" i="10"/>
  <c r="EK16" i="10" s="1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EI15" i="10"/>
  <c r="DP15" i="10"/>
  <c r="DO15" i="10"/>
  <c r="DN15" i="10"/>
  <c r="DM15" i="10"/>
  <c r="DL15" i="10"/>
  <c r="DK15" i="10"/>
  <c r="DJ15" i="10"/>
  <c r="DI15" i="10"/>
  <c r="DH15" i="10"/>
  <c r="DG15" i="10"/>
  <c r="DF15" i="10"/>
  <c r="DE15" i="10"/>
  <c r="CQ15" i="10"/>
  <c r="EK15" i="10" s="1"/>
  <c r="CP15" i="10"/>
  <c r="CO15" i="10"/>
  <c r="CN15" i="10"/>
  <c r="CM15" i="10"/>
  <c r="CL15" i="10"/>
  <c r="CK15" i="10"/>
  <c r="CJ15" i="10"/>
  <c r="CI15" i="10"/>
  <c r="CH15" i="10"/>
  <c r="CG15" i="10"/>
  <c r="CF15" i="10"/>
  <c r="CE15" i="10"/>
  <c r="CD15" i="10"/>
  <c r="CC15" i="10"/>
  <c r="CB15" i="10"/>
  <c r="CA15" i="10"/>
  <c r="BZ15" i="10"/>
  <c r="BY15" i="10"/>
  <c r="BX15" i="10"/>
  <c r="BU15" i="10"/>
  <c r="BT15" i="10"/>
  <c r="BS15" i="10"/>
  <c r="BR15" i="10"/>
  <c r="BQ15" i="10"/>
  <c r="BP15" i="10"/>
  <c r="BO15" i="10"/>
  <c r="BN15" i="10"/>
  <c r="BM15" i="10"/>
  <c r="BL15" i="10"/>
  <c r="BK15" i="10"/>
  <c r="BJ15" i="10"/>
  <c r="BI15" i="10"/>
  <c r="BH15" i="10"/>
  <c r="BG15" i="10"/>
  <c r="BF15" i="10"/>
  <c r="BE15" i="10"/>
  <c r="BD15" i="10"/>
  <c r="BC15" i="10"/>
  <c r="AW15" i="10"/>
  <c r="AV15" i="10"/>
  <c r="AU15" i="10"/>
  <c r="AT15" i="10"/>
  <c r="AS15" i="10"/>
  <c r="AR15" i="10"/>
  <c r="AQ15" i="10"/>
  <c r="EG15" i="10" s="1"/>
  <c r="AP15" i="10"/>
  <c r="AO15" i="10"/>
  <c r="EE15" i="10" s="1"/>
  <c r="AN15" i="10"/>
  <c r="AM15" i="10"/>
  <c r="AL15" i="10"/>
  <c r="AK15" i="10"/>
  <c r="AJ15" i="10"/>
  <c r="AI15" i="10"/>
  <c r="AH15" i="10"/>
  <c r="AG15" i="10"/>
  <c r="AF15" i="10"/>
  <c r="AE15" i="10"/>
  <c r="Y15" i="10"/>
  <c r="EM15" i="10" s="1"/>
  <c r="X15" i="10"/>
  <c r="W15" i="10"/>
  <c r="V15" i="10"/>
  <c r="U15" i="10"/>
  <c r="T15" i="10"/>
  <c r="S15" i="10"/>
  <c r="R15" i="10"/>
  <c r="Q15" i="10"/>
  <c r="P15" i="10"/>
  <c r="ED15" i="10" s="1"/>
  <c r="O15" i="10"/>
  <c r="N15" i="10"/>
  <c r="EB15" i="10" s="1"/>
  <c r="M15" i="10"/>
  <c r="L15" i="10"/>
  <c r="K15" i="10"/>
  <c r="J15" i="10"/>
  <c r="I15" i="10"/>
  <c r="H15" i="10"/>
  <c r="G15" i="10"/>
  <c r="F15" i="10"/>
  <c r="E15" i="10"/>
  <c r="D15" i="10"/>
  <c r="C15" i="10"/>
  <c r="B15" i="10"/>
  <c r="EE14" i="10"/>
  <c r="ED14" i="10"/>
  <c r="DP14" i="10"/>
  <c r="DO14" i="10"/>
  <c r="DN14" i="10"/>
  <c r="DM14" i="10"/>
  <c r="DL14" i="10"/>
  <c r="DK14" i="10"/>
  <c r="DJ14" i="10"/>
  <c r="DI14" i="10"/>
  <c r="EF14" i="10" s="1"/>
  <c r="DH14" i="10"/>
  <c r="DG14" i="10"/>
  <c r="DF14" i="10"/>
  <c r="DE14" i="10"/>
  <c r="CQ14" i="10"/>
  <c r="CP14" i="10"/>
  <c r="CO14" i="10"/>
  <c r="CN14" i="10"/>
  <c r="CM14" i="10"/>
  <c r="CL14" i="10"/>
  <c r="CK14" i="10"/>
  <c r="CJ14" i="10"/>
  <c r="CI14" i="10"/>
  <c r="CH14" i="10"/>
  <c r="CG14" i="10"/>
  <c r="CF14" i="10"/>
  <c r="CE14" i="10"/>
  <c r="CD14" i="10"/>
  <c r="CC14" i="10"/>
  <c r="CB14" i="10"/>
  <c r="CA14" i="10"/>
  <c r="BZ14" i="10"/>
  <c r="BY14" i="10"/>
  <c r="BX14" i="10"/>
  <c r="BU14" i="10"/>
  <c r="EM14" i="10" s="1"/>
  <c r="BT14" i="10"/>
  <c r="BS14" i="10"/>
  <c r="BR14" i="10"/>
  <c r="BQ14" i="10"/>
  <c r="BP14" i="10"/>
  <c r="BO14" i="10"/>
  <c r="BN14" i="10"/>
  <c r="BM14" i="10"/>
  <c r="BL14" i="10"/>
  <c r="BK14" i="10"/>
  <c r="BJ14" i="10"/>
  <c r="BI14" i="10"/>
  <c r="BH14" i="10"/>
  <c r="BG14" i="10"/>
  <c r="BF14" i="10"/>
  <c r="BE14" i="10"/>
  <c r="BD14" i="10"/>
  <c r="BC14" i="10"/>
  <c r="AW14" i="10"/>
  <c r="AV14" i="10"/>
  <c r="AU14" i="10"/>
  <c r="AT14" i="10"/>
  <c r="EJ14" i="10" s="1"/>
  <c r="AS14" i="10"/>
  <c r="EI14" i="10" s="1"/>
  <c r="AR14" i="10"/>
  <c r="AQ14" i="10"/>
  <c r="AP14" i="10"/>
  <c r="AO14" i="10"/>
  <c r="AN14" i="10"/>
  <c r="AM14" i="10"/>
  <c r="AL14" i="10"/>
  <c r="AK14" i="10"/>
  <c r="AJ14" i="10"/>
  <c r="AI14" i="10"/>
  <c r="AH14" i="10"/>
  <c r="AG14" i="10"/>
  <c r="AF14" i="10"/>
  <c r="AE14" i="10"/>
  <c r="Y14" i="10"/>
  <c r="X14" i="10"/>
  <c r="W14" i="10"/>
  <c r="EK14" i="10" s="1"/>
  <c r="V14" i="10"/>
  <c r="U14" i="10"/>
  <c r="T14" i="10"/>
  <c r="EH14" i="10" s="1"/>
  <c r="S14" i="10"/>
  <c r="EG14" i="10" s="1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EK13" i="10"/>
  <c r="EI13" i="10"/>
  <c r="EH13" i="10"/>
  <c r="EG13" i="10"/>
  <c r="ED13" i="10"/>
  <c r="EC13" i="10"/>
  <c r="DP13" i="10"/>
  <c r="DO13" i="10"/>
  <c r="DN13" i="10"/>
  <c r="DM13" i="10"/>
  <c r="DL13" i="10"/>
  <c r="DK13" i="10"/>
  <c r="DJ13" i="10"/>
  <c r="DI13" i="10"/>
  <c r="DH13" i="10"/>
  <c r="DG13" i="10"/>
  <c r="DF13" i="10"/>
  <c r="DE13" i="10"/>
  <c r="CQ13" i="10"/>
  <c r="CP13" i="10"/>
  <c r="EJ13" i="10" s="1"/>
  <c r="CO13" i="10"/>
  <c r="CN13" i="10"/>
  <c r="CM13" i="10"/>
  <c r="CL13" i="10"/>
  <c r="EF13" i="10" s="1"/>
  <c r="CK13" i="10"/>
  <c r="CJ13" i="10"/>
  <c r="CI13" i="10"/>
  <c r="CH13" i="10"/>
  <c r="CG13" i="10"/>
  <c r="CF13" i="10"/>
  <c r="CE13" i="10"/>
  <c r="CD13" i="10"/>
  <c r="CC13" i="10"/>
  <c r="CB13" i="10"/>
  <c r="CA13" i="10"/>
  <c r="BZ13" i="10"/>
  <c r="BY13" i="10"/>
  <c r="BX13" i="10"/>
  <c r="BU13" i="10"/>
  <c r="EM13" i="10" s="1"/>
  <c r="BT13" i="10"/>
  <c r="BS13" i="10"/>
  <c r="BR13" i="10"/>
  <c r="BQ13" i="10"/>
  <c r="BP13" i="10"/>
  <c r="BO13" i="10"/>
  <c r="BN13" i="10"/>
  <c r="BM13" i="10"/>
  <c r="BL13" i="10"/>
  <c r="BK13" i="10"/>
  <c r="BJ13" i="10"/>
  <c r="BI13" i="10"/>
  <c r="BH13" i="10"/>
  <c r="BG13" i="10"/>
  <c r="BF13" i="10"/>
  <c r="BE13" i="10"/>
  <c r="BD13" i="10"/>
  <c r="BC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K13" i="10"/>
  <c r="AJ13" i="10"/>
  <c r="AI13" i="10"/>
  <c r="AH13" i="10"/>
  <c r="AG13" i="10"/>
  <c r="AF13" i="10"/>
  <c r="AE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EJ12" i="10"/>
  <c r="EH12" i="10"/>
  <c r="EG12" i="10"/>
  <c r="EE12" i="10"/>
  <c r="ED12" i="10"/>
  <c r="EC12" i="10"/>
  <c r="DP12" i="10"/>
  <c r="DO12" i="10"/>
  <c r="DN12" i="10"/>
  <c r="DM12" i="10"/>
  <c r="DL12" i="10"/>
  <c r="DK12" i="10"/>
  <c r="DJ12" i="10"/>
  <c r="DI12" i="10"/>
  <c r="DH12" i="10"/>
  <c r="DG12" i="10"/>
  <c r="DF12" i="10"/>
  <c r="DE12" i="10"/>
  <c r="CQ12" i="10"/>
  <c r="EK12" i="10" s="1"/>
  <c r="CP12" i="10"/>
  <c r="CO12" i="10"/>
  <c r="EI12" i="10" s="1"/>
  <c r="CN12" i="10"/>
  <c r="CM12" i="10"/>
  <c r="CL12" i="10"/>
  <c r="CK12" i="10"/>
  <c r="CJ12" i="10"/>
  <c r="CI12" i="10"/>
  <c r="CH12" i="10"/>
  <c r="CG12" i="10"/>
  <c r="CF12" i="10"/>
  <c r="CE12" i="10"/>
  <c r="CD12" i="10"/>
  <c r="CC12" i="10"/>
  <c r="CB12" i="10"/>
  <c r="CA12" i="10"/>
  <c r="BZ12" i="10"/>
  <c r="BY12" i="10"/>
  <c r="BX12" i="10"/>
  <c r="BU12" i="10"/>
  <c r="BT12" i="10"/>
  <c r="BS12" i="10"/>
  <c r="BR12" i="10"/>
  <c r="BQ12" i="10"/>
  <c r="BP12" i="10"/>
  <c r="BO12" i="10"/>
  <c r="BN12" i="10"/>
  <c r="BM12" i="10"/>
  <c r="BL12" i="10"/>
  <c r="BK12" i="10"/>
  <c r="BJ12" i="10"/>
  <c r="BI12" i="10"/>
  <c r="BH12" i="10"/>
  <c r="BG12" i="10"/>
  <c r="BF12" i="10"/>
  <c r="BE12" i="10"/>
  <c r="BD12" i="10"/>
  <c r="BC12" i="10"/>
  <c r="AW12" i="10"/>
  <c r="AV12" i="10"/>
  <c r="AU12" i="10"/>
  <c r="AT12" i="10"/>
  <c r="AS12" i="10"/>
  <c r="AR12" i="10"/>
  <c r="AQ12" i="10"/>
  <c r="AP12" i="10"/>
  <c r="AO12" i="10"/>
  <c r="AN12" i="10"/>
  <c r="AM12" i="10"/>
  <c r="AL12" i="10"/>
  <c r="AK12" i="10"/>
  <c r="AJ12" i="10"/>
  <c r="AI12" i="10"/>
  <c r="AH12" i="10"/>
  <c r="AG12" i="10"/>
  <c r="AF12" i="10"/>
  <c r="AE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EM11" i="10"/>
  <c r="EK11" i="10"/>
  <c r="EJ11" i="10"/>
  <c r="EI11" i="10"/>
  <c r="DP11" i="10"/>
  <c r="DO11" i="10"/>
  <c r="DN11" i="10"/>
  <c r="DM11" i="10"/>
  <c r="DL11" i="10"/>
  <c r="DK11" i="10"/>
  <c r="DJ11" i="10"/>
  <c r="DI11" i="10"/>
  <c r="DH11" i="10"/>
  <c r="DG11" i="10"/>
  <c r="DF11" i="10"/>
  <c r="DE11" i="10"/>
  <c r="CQ11" i="10"/>
  <c r="CP11" i="10"/>
  <c r="CO11" i="10"/>
  <c r="CN11" i="10"/>
  <c r="CM11" i="10"/>
  <c r="CL11" i="10"/>
  <c r="CK11" i="10"/>
  <c r="CJ11" i="10"/>
  <c r="CI11" i="10"/>
  <c r="CH11" i="10"/>
  <c r="CG11" i="10"/>
  <c r="CF11" i="10"/>
  <c r="CE11" i="10"/>
  <c r="CD11" i="10"/>
  <c r="CC11" i="10"/>
  <c r="CB11" i="10"/>
  <c r="CA11" i="10"/>
  <c r="BZ11" i="10"/>
  <c r="BY11" i="10"/>
  <c r="BX11" i="10"/>
  <c r="BU11" i="10"/>
  <c r="BT11" i="10"/>
  <c r="BS11" i="10"/>
  <c r="BR11" i="10"/>
  <c r="BQ11" i="10"/>
  <c r="BP11" i="10"/>
  <c r="BO11" i="10"/>
  <c r="BN11" i="10"/>
  <c r="BM11" i="10"/>
  <c r="BL11" i="10"/>
  <c r="BK11" i="10"/>
  <c r="BJ11" i="10"/>
  <c r="BI11" i="10"/>
  <c r="BH11" i="10"/>
  <c r="BG11" i="10"/>
  <c r="BF11" i="10"/>
  <c r="BE11" i="10"/>
  <c r="BD11" i="10"/>
  <c r="BC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K11" i="10"/>
  <c r="AJ11" i="10"/>
  <c r="AI11" i="10"/>
  <c r="AH11" i="10"/>
  <c r="AG11" i="10"/>
  <c r="AF11" i="10"/>
  <c r="AE11" i="10"/>
  <c r="Y11" i="10"/>
  <c r="X11" i="10"/>
  <c r="W11" i="10"/>
  <c r="V11" i="10"/>
  <c r="U11" i="10"/>
  <c r="T11" i="10"/>
  <c r="S11" i="10"/>
  <c r="R11" i="10"/>
  <c r="Q11" i="10"/>
  <c r="P11" i="10"/>
  <c r="O11" i="10"/>
  <c r="EC11" i="10" s="1"/>
  <c r="N11" i="10"/>
  <c r="EB11" i="10" s="1"/>
  <c r="M11" i="10"/>
  <c r="L11" i="10"/>
  <c r="K11" i="10"/>
  <c r="J11" i="10"/>
  <c r="I11" i="10"/>
  <c r="H11" i="10"/>
  <c r="G11" i="10"/>
  <c r="F11" i="10"/>
  <c r="E11" i="10"/>
  <c r="D11" i="10"/>
  <c r="C11" i="10"/>
  <c r="B11" i="10"/>
  <c r="EH10" i="10"/>
  <c r="EG10" i="10"/>
  <c r="DP10" i="10"/>
  <c r="DO10" i="10"/>
  <c r="DN10" i="10"/>
  <c r="DM10" i="10"/>
  <c r="DL10" i="10"/>
  <c r="DK10" i="10"/>
  <c r="DJ10" i="10"/>
  <c r="DI10" i="10"/>
  <c r="DH10" i="10"/>
  <c r="DG10" i="10"/>
  <c r="DF10" i="10"/>
  <c r="DE10" i="10"/>
  <c r="CQ10" i="10"/>
  <c r="CP10" i="10"/>
  <c r="CO10" i="10"/>
  <c r="CN10" i="10"/>
  <c r="CM10" i="10"/>
  <c r="CL10" i="10"/>
  <c r="CK10" i="10"/>
  <c r="CJ10" i="10"/>
  <c r="CI10" i="10"/>
  <c r="CH10" i="10"/>
  <c r="CG10" i="10"/>
  <c r="CF10" i="10"/>
  <c r="CE10" i="10"/>
  <c r="CD10" i="10"/>
  <c r="CC10" i="10"/>
  <c r="CB10" i="10"/>
  <c r="CA10" i="10"/>
  <c r="BZ10" i="10"/>
  <c r="BY10" i="10"/>
  <c r="BX10" i="10"/>
  <c r="BU10" i="10"/>
  <c r="BT10" i="10"/>
  <c r="BS10" i="10"/>
  <c r="BR10" i="10"/>
  <c r="BQ10" i="10"/>
  <c r="BP10" i="10"/>
  <c r="BO10" i="10"/>
  <c r="BN10" i="10"/>
  <c r="BM10" i="10"/>
  <c r="BL10" i="10"/>
  <c r="BK10" i="10"/>
  <c r="BJ10" i="10"/>
  <c r="BI10" i="10"/>
  <c r="BH10" i="10"/>
  <c r="BG10" i="10"/>
  <c r="BF10" i="10"/>
  <c r="BE10" i="10"/>
  <c r="BD10" i="10"/>
  <c r="BC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K10" i="10"/>
  <c r="AJ10" i="10"/>
  <c r="AI10" i="10"/>
  <c r="AH10" i="10"/>
  <c r="AG10" i="10"/>
  <c r="AF10" i="10"/>
  <c r="AE10" i="10"/>
  <c r="Y10" i="10"/>
  <c r="X10" i="10"/>
  <c r="W10" i="10"/>
  <c r="V10" i="10"/>
  <c r="U10" i="10"/>
  <c r="EI10" i="10" s="1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EM9" i="10"/>
  <c r="EJ9" i="10"/>
  <c r="EI9" i="10"/>
  <c r="DP9" i="10"/>
  <c r="DO9" i="10"/>
  <c r="DN9" i="10"/>
  <c r="EK9" i="10" s="1"/>
  <c r="DM9" i="10"/>
  <c r="DL9" i="10"/>
  <c r="DK9" i="10"/>
  <c r="DJ9" i="10"/>
  <c r="DI9" i="10"/>
  <c r="DH9" i="10"/>
  <c r="DG9" i="10"/>
  <c r="DF9" i="10"/>
  <c r="DE9" i="10"/>
  <c r="CQ9" i="10"/>
  <c r="CP9" i="10"/>
  <c r="CO9" i="10"/>
  <c r="CN9" i="10"/>
  <c r="CM9" i="10"/>
  <c r="CL9" i="10"/>
  <c r="CK9" i="10"/>
  <c r="CJ9" i="10"/>
  <c r="CI9" i="10"/>
  <c r="CH9" i="10"/>
  <c r="CG9" i="10"/>
  <c r="CF9" i="10"/>
  <c r="CE9" i="10"/>
  <c r="CD9" i="10"/>
  <c r="CC9" i="10"/>
  <c r="CB9" i="10"/>
  <c r="CA9" i="10"/>
  <c r="BZ9" i="10"/>
  <c r="BY9" i="10"/>
  <c r="BX9" i="10"/>
  <c r="BU9" i="10"/>
  <c r="BT9" i="10"/>
  <c r="BS9" i="10"/>
  <c r="BR9" i="10"/>
  <c r="BQ9" i="10"/>
  <c r="BP9" i="10"/>
  <c r="BO9" i="10"/>
  <c r="BN9" i="10"/>
  <c r="BM9" i="10"/>
  <c r="BL9" i="10"/>
  <c r="BK9" i="10"/>
  <c r="BJ9" i="10"/>
  <c r="BI9" i="10"/>
  <c r="BH9" i="10"/>
  <c r="BG9" i="10"/>
  <c r="BF9" i="10"/>
  <c r="BE9" i="10"/>
  <c r="BD9" i="10"/>
  <c r="BC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K9" i="10"/>
  <c r="AJ9" i="10"/>
  <c r="AI9" i="10"/>
  <c r="AH9" i="10"/>
  <c r="AG9" i="10"/>
  <c r="AF9" i="10"/>
  <c r="AF22" i="10" s="1"/>
  <c r="AE9" i="10"/>
  <c r="Y9" i="10"/>
  <c r="X9" i="10"/>
  <c r="EL9" i="10" s="1"/>
  <c r="W9" i="10"/>
  <c r="V9" i="10"/>
  <c r="U9" i="10"/>
  <c r="T9" i="10"/>
  <c r="S9" i="10"/>
  <c r="R9" i="10"/>
  <c r="Q9" i="10"/>
  <c r="EE9" i="10" s="1"/>
  <c r="P9" i="10"/>
  <c r="ED9" i="10" s="1"/>
  <c r="O9" i="10"/>
  <c r="EC9" i="10" s="1"/>
  <c r="N9" i="10"/>
  <c r="EB9" i="10" s="1"/>
  <c r="M9" i="10"/>
  <c r="L9" i="10"/>
  <c r="K9" i="10"/>
  <c r="J9" i="10"/>
  <c r="I9" i="10"/>
  <c r="H9" i="10"/>
  <c r="G9" i="10"/>
  <c r="F9" i="10"/>
  <c r="E9" i="10"/>
  <c r="D9" i="10"/>
  <c r="C9" i="10"/>
  <c r="B9" i="10"/>
  <c r="EM8" i="10"/>
  <c r="EJ8" i="10"/>
  <c r="DP8" i="10"/>
  <c r="DO8" i="10"/>
  <c r="DN8" i="10"/>
  <c r="DM8" i="10"/>
  <c r="DL8" i="10"/>
  <c r="DK8" i="10"/>
  <c r="DJ8" i="10"/>
  <c r="DI8" i="10"/>
  <c r="DH8" i="10"/>
  <c r="DG8" i="10"/>
  <c r="DF8" i="10"/>
  <c r="DF22" i="10" s="1"/>
  <c r="DE8" i="10"/>
  <c r="CQ8" i="10"/>
  <c r="CP8" i="10"/>
  <c r="CO8" i="10"/>
  <c r="CN8" i="10"/>
  <c r="CM8" i="10"/>
  <c r="CL8" i="10"/>
  <c r="CK8" i="10"/>
  <c r="CJ8" i="10"/>
  <c r="CI8" i="10"/>
  <c r="CH8" i="10"/>
  <c r="CG8" i="10"/>
  <c r="CF8" i="10"/>
  <c r="CE8" i="10"/>
  <c r="CD8" i="10"/>
  <c r="CC8" i="10"/>
  <c r="CB8" i="10"/>
  <c r="CA8" i="10"/>
  <c r="BZ8" i="10"/>
  <c r="BY8" i="10"/>
  <c r="BX8" i="10"/>
  <c r="BU8" i="10"/>
  <c r="BT8" i="10"/>
  <c r="BS8" i="10"/>
  <c r="BR8" i="10"/>
  <c r="BQ8" i="10"/>
  <c r="BP8" i="10"/>
  <c r="BO8" i="10"/>
  <c r="BN8" i="10"/>
  <c r="BM8" i="10"/>
  <c r="BL8" i="10"/>
  <c r="BK8" i="10"/>
  <c r="BJ8" i="10"/>
  <c r="BI8" i="10"/>
  <c r="BH8" i="10"/>
  <c r="BG8" i="10"/>
  <c r="BF8" i="10"/>
  <c r="BE8" i="10"/>
  <c r="BD8" i="10"/>
  <c r="BC8" i="10"/>
  <c r="AW8" i="10"/>
  <c r="AV8" i="10"/>
  <c r="AU8" i="10"/>
  <c r="EK8" i="10" s="1"/>
  <c r="AT8" i="10"/>
  <c r="AS8" i="10"/>
  <c r="AR8" i="10"/>
  <c r="AQ8" i="10"/>
  <c r="AP8" i="10"/>
  <c r="AO8" i="10"/>
  <c r="AN8" i="10"/>
  <c r="AM8" i="10"/>
  <c r="AL8" i="10"/>
  <c r="AK8" i="10"/>
  <c r="AJ8" i="10"/>
  <c r="AI8" i="10"/>
  <c r="AH8" i="10"/>
  <c r="AG8" i="10"/>
  <c r="AF8" i="10"/>
  <c r="AE8" i="10"/>
  <c r="Y8" i="10"/>
  <c r="X8" i="10"/>
  <c r="W8" i="10"/>
  <c r="V8" i="10"/>
  <c r="U8" i="10"/>
  <c r="T8" i="10"/>
  <c r="EH8" i="10" s="1"/>
  <c r="S8" i="10"/>
  <c r="EG8" i="10" s="1"/>
  <c r="R8" i="10"/>
  <c r="EF8" i="10" s="1"/>
  <c r="Q8" i="10"/>
  <c r="EE8" i="10" s="1"/>
  <c r="P8" i="10"/>
  <c r="ED8" i="10" s="1"/>
  <c r="O8" i="10"/>
  <c r="N8" i="10"/>
  <c r="EB8" i="10" s="1"/>
  <c r="M8" i="10"/>
  <c r="L8" i="10"/>
  <c r="K8" i="10"/>
  <c r="J8" i="10"/>
  <c r="I8" i="10"/>
  <c r="H8" i="10"/>
  <c r="G8" i="10"/>
  <c r="F8" i="10"/>
  <c r="E8" i="10"/>
  <c r="D8" i="10"/>
  <c r="C8" i="10"/>
  <c r="B8" i="10"/>
  <c r="EM7" i="10"/>
  <c r="DP7" i="10"/>
  <c r="DO7" i="10"/>
  <c r="DN7" i="10"/>
  <c r="DM7" i="10"/>
  <c r="DL7" i="10"/>
  <c r="DK7" i="10"/>
  <c r="DJ7" i="10"/>
  <c r="DI7" i="10"/>
  <c r="DH7" i="10"/>
  <c r="DG7" i="10"/>
  <c r="DG22" i="10" s="1"/>
  <c r="DF7" i="10"/>
  <c r="DE7" i="10"/>
  <c r="CQ7" i="10"/>
  <c r="CP7" i="10"/>
  <c r="CO7" i="10"/>
  <c r="CN7" i="10"/>
  <c r="CM7" i="10"/>
  <c r="CL7" i="10"/>
  <c r="CK7" i="10"/>
  <c r="CJ7" i="10"/>
  <c r="CI7" i="10"/>
  <c r="CH7" i="10"/>
  <c r="CG7" i="10"/>
  <c r="CF7" i="10"/>
  <c r="CE7" i="10"/>
  <c r="CD7" i="10"/>
  <c r="CC7" i="10"/>
  <c r="CB7" i="10"/>
  <c r="CA7" i="10"/>
  <c r="BZ7" i="10"/>
  <c r="BY7" i="10"/>
  <c r="BX7" i="10"/>
  <c r="BU7" i="10"/>
  <c r="BT7" i="10"/>
  <c r="BS7" i="10"/>
  <c r="BR7" i="10"/>
  <c r="BQ7" i="10"/>
  <c r="BP7" i="10"/>
  <c r="BO7" i="10"/>
  <c r="BN7" i="10"/>
  <c r="BM7" i="10"/>
  <c r="BL7" i="10"/>
  <c r="BK7" i="10"/>
  <c r="BJ7" i="10"/>
  <c r="BI7" i="10"/>
  <c r="BH7" i="10"/>
  <c r="BG7" i="10"/>
  <c r="BF7" i="10"/>
  <c r="BE7" i="10"/>
  <c r="BD7" i="10"/>
  <c r="BD22" i="10" s="1"/>
  <c r="BC7" i="10"/>
  <c r="AW7" i="10"/>
  <c r="AV7" i="10"/>
  <c r="AU7" i="10"/>
  <c r="AT7" i="10"/>
  <c r="AS7" i="10"/>
  <c r="AR7" i="10"/>
  <c r="AQ7" i="10"/>
  <c r="AP7" i="10"/>
  <c r="AO7" i="10"/>
  <c r="AN7" i="10"/>
  <c r="AM7" i="10"/>
  <c r="AL7" i="10"/>
  <c r="AK7" i="10"/>
  <c r="AJ7" i="10"/>
  <c r="AI7" i="10"/>
  <c r="AH7" i="10"/>
  <c r="AG7" i="10"/>
  <c r="AF7" i="10"/>
  <c r="AE7" i="10"/>
  <c r="Y7" i="10"/>
  <c r="X7" i="10"/>
  <c r="W7" i="10"/>
  <c r="V7" i="10"/>
  <c r="U7" i="10"/>
  <c r="T7" i="10"/>
  <c r="S7" i="10"/>
  <c r="R7" i="10"/>
  <c r="EF7" i="10" s="1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DP6" i="10"/>
  <c r="DO6" i="10"/>
  <c r="DN6" i="10"/>
  <c r="DM6" i="10"/>
  <c r="DL6" i="10"/>
  <c r="DK6" i="10"/>
  <c r="DJ6" i="10"/>
  <c r="DI6" i="10"/>
  <c r="DH6" i="10"/>
  <c r="DG6" i="10"/>
  <c r="ED6" i="10" s="1"/>
  <c r="DF6" i="10"/>
  <c r="DE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AW6" i="10"/>
  <c r="AV6" i="10"/>
  <c r="AU6" i="10"/>
  <c r="AT6" i="10"/>
  <c r="AS6" i="10"/>
  <c r="AR6" i="10"/>
  <c r="AQ6" i="10"/>
  <c r="AP6" i="10"/>
  <c r="AO6" i="10"/>
  <c r="AN6" i="10"/>
  <c r="AM6" i="10"/>
  <c r="EC6" i="10" s="1"/>
  <c r="AL6" i="10"/>
  <c r="EB6" i="10" s="1"/>
  <c r="AK6" i="10"/>
  <c r="AJ6" i="10"/>
  <c r="AI6" i="10"/>
  <c r="AH6" i="10"/>
  <c r="AG6" i="10"/>
  <c r="AF6" i="10"/>
  <c r="AE6" i="10"/>
  <c r="Y6" i="10"/>
  <c r="X6" i="10"/>
  <c r="W6" i="10"/>
  <c r="EK6" i="10" s="1"/>
  <c r="V6" i="10"/>
  <c r="EJ6" i="10" s="1"/>
  <c r="U6" i="10"/>
  <c r="EI6" i="10" s="1"/>
  <c r="T6" i="10"/>
  <c r="EH6" i="10" s="1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DP5" i="10"/>
  <c r="DO5" i="10"/>
  <c r="DN5" i="10"/>
  <c r="DM5" i="10"/>
  <c r="DL5" i="10"/>
  <c r="DK5" i="10"/>
  <c r="DJ5" i="10"/>
  <c r="DI5" i="10"/>
  <c r="DH5" i="10"/>
  <c r="DG5" i="10"/>
  <c r="DF5" i="10"/>
  <c r="DE5" i="10"/>
  <c r="CQ5" i="10"/>
  <c r="CP5" i="10"/>
  <c r="CO5" i="10"/>
  <c r="CN5" i="10"/>
  <c r="CM5" i="10"/>
  <c r="EG5" i="10" s="1"/>
  <c r="CL5" i="10"/>
  <c r="CK5" i="10"/>
  <c r="EE5" i="10" s="1"/>
  <c r="CJ5" i="10"/>
  <c r="ED5" i="10" s="1"/>
  <c r="CI5" i="10"/>
  <c r="CH5" i="10"/>
  <c r="EB5" i="10" s="1"/>
  <c r="CG5" i="10"/>
  <c r="CF5" i="10"/>
  <c r="CE5" i="10"/>
  <c r="CD5" i="10"/>
  <c r="CC5" i="10"/>
  <c r="CB5" i="10"/>
  <c r="CA5" i="10"/>
  <c r="BZ5" i="10"/>
  <c r="BY5" i="10"/>
  <c r="BX5" i="10"/>
  <c r="BU5" i="10"/>
  <c r="BT5" i="10"/>
  <c r="BS5" i="10"/>
  <c r="BR5" i="10"/>
  <c r="BQ5" i="10"/>
  <c r="BP5" i="10"/>
  <c r="BO5" i="10"/>
  <c r="BN5" i="10"/>
  <c r="BM5" i="10"/>
  <c r="BL5" i="10"/>
  <c r="BK5" i="10"/>
  <c r="BJ5" i="10"/>
  <c r="BI5" i="10"/>
  <c r="BH5" i="10"/>
  <c r="BG5" i="10"/>
  <c r="BF5" i="10"/>
  <c r="BE5" i="10"/>
  <c r="BD5" i="10"/>
  <c r="BC5" i="10"/>
  <c r="AW5" i="10"/>
  <c r="AV5" i="10"/>
  <c r="AU5" i="10"/>
  <c r="AT5" i="10"/>
  <c r="AS5" i="10"/>
  <c r="AR5" i="10"/>
  <c r="AQ5" i="10"/>
  <c r="AP5" i="10"/>
  <c r="AO5" i="10"/>
  <c r="AN5" i="10"/>
  <c r="AM5" i="10"/>
  <c r="EC5" i="10" s="1"/>
  <c r="AL5" i="10"/>
  <c r="AK5" i="10"/>
  <c r="AJ5" i="10"/>
  <c r="AI5" i="10"/>
  <c r="AH5" i="10"/>
  <c r="AG5" i="10"/>
  <c r="AF5" i="10"/>
  <c r="AE5" i="10"/>
  <c r="Y5" i="10"/>
  <c r="X5" i="10"/>
  <c r="EL5" i="10" s="1"/>
  <c r="W5" i="10"/>
  <c r="EK5" i="10" s="1"/>
  <c r="V5" i="10"/>
  <c r="EJ5" i="10" s="1"/>
  <c r="U5" i="10"/>
  <c r="EI5" i="10" s="1"/>
  <c r="T5" i="10"/>
  <c r="EH5" i="10" s="1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DP4" i="10"/>
  <c r="DO4" i="10"/>
  <c r="DN4" i="10"/>
  <c r="DM4" i="10"/>
  <c r="DL4" i="10"/>
  <c r="DK4" i="10"/>
  <c r="DJ4" i="10"/>
  <c r="DI4" i="10"/>
  <c r="DH4" i="10"/>
  <c r="DG4" i="10"/>
  <c r="DF4" i="10"/>
  <c r="DE4" i="10"/>
  <c r="CQ4" i="10"/>
  <c r="CP4" i="10"/>
  <c r="CO4" i="10"/>
  <c r="CN4" i="10"/>
  <c r="EH4" i="10" s="1"/>
  <c r="CM4" i="10"/>
  <c r="CL4" i="10"/>
  <c r="EF4" i="10" s="1"/>
  <c r="CK4" i="10"/>
  <c r="EE4" i="10" s="1"/>
  <c r="CJ4" i="10"/>
  <c r="CI4" i="10"/>
  <c r="EC4" i="10" s="1"/>
  <c r="CH4" i="10"/>
  <c r="EB4" i="10" s="1"/>
  <c r="CG4" i="10"/>
  <c r="CF4" i="10"/>
  <c r="CE4" i="10"/>
  <c r="CD4" i="10"/>
  <c r="CC4" i="10"/>
  <c r="CB4" i="10"/>
  <c r="CA4" i="10"/>
  <c r="BZ4" i="10"/>
  <c r="BY4" i="10"/>
  <c r="BX4" i="10"/>
  <c r="BU4" i="10"/>
  <c r="BT4" i="10"/>
  <c r="BS4" i="10"/>
  <c r="BR4" i="10"/>
  <c r="BQ4" i="10"/>
  <c r="BP4" i="10"/>
  <c r="BO4" i="10"/>
  <c r="BN4" i="10"/>
  <c r="BM4" i="10"/>
  <c r="BL4" i="10"/>
  <c r="BK4" i="10"/>
  <c r="BJ4" i="10"/>
  <c r="BI4" i="10"/>
  <c r="BH4" i="10"/>
  <c r="BG4" i="10"/>
  <c r="BF4" i="10"/>
  <c r="BE4" i="10"/>
  <c r="BD4" i="10"/>
  <c r="BC4" i="10"/>
  <c r="AW4" i="10"/>
  <c r="AV4" i="10"/>
  <c r="AU4" i="10"/>
  <c r="AT4" i="10"/>
  <c r="AS4" i="10"/>
  <c r="AR4" i="10"/>
  <c r="AQ4" i="10"/>
  <c r="AP4" i="10"/>
  <c r="AO4" i="10"/>
  <c r="AN4" i="10"/>
  <c r="ED4" i="10" s="1"/>
  <c r="AM4" i="10"/>
  <c r="AL4" i="10"/>
  <c r="AK4" i="10"/>
  <c r="AJ4" i="10"/>
  <c r="AI4" i="10"/>
  <c r="AH4" i="10"/>
  <c r="AG4" i="10"/>
  <c r="AF4" i="10"/>
  <c r="AE4" i="10"/>
  <c r="Y4" i="10"/>
  <c r="X4" i="10"/>
  <c r="EL4" i="10" s="1"/>
  <c r="W4" i="10"/>
  <c r="EK4" i="10" s="1"/>
  <c r="V4" i="10"/>
  <c r="EJ4" i="10" s="1"/>
  <c r="U4" i="10"/>
  <c r="EI4" i="10" s="1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U195" i="9"/>
  <c r="U211" i="9" s="1"/>
  <c r="X179" i="9"/>
  <c r="X195" i="9" s="1"/>
  <c r="X211" i="9" s="1"/>
  <c r="H163" i="9"/>
  <c r="H179" i="9" s="1"/>
  <c r="H195" i="9" s="1"/>
  <c r="H211" i="9" s="1"/>
  <c r="AP148" i="9"/>
  <c r="AP163" i="9" s="1"/>
  <c r="AP179" i="9" s="1"/>
  <c r="AP195" i="9" s="1"/>
  <c r="AP211" i="9" s="1"/>
  <c r="AM148" i="9"/>
  <c r="AM163" i="9" s="1"/>
  <c r="AM179" i="9" s="1"/>
  <c r="AM195" i="9" s="1"/>
  <c r="AM211" i="9" s="1"/>
  <c r="AK148" i="9"/>
  <c r="AK163" i="9" s="1"/>
  <c r="AK179" i="9" s="1"/>
  <c r="AK195" i="9" s="1"/>
  <c r="AK211" i="9" s="1"/>
  <c r="AD116" i="9"/>
  <c r="AD132" i="9" s="1"/>
  <c r="AD148" i="9" s="1"/>
  <c r="AD163" i="9" s="1"/>
  <c r="AD179" i="9" s="1"/>
  <c r="AD195" i="9" s="1"/>
  <c r="AD211" i="9" s="1"/>
  <c r="R116" i="9"/>
  <c r="R132" i="9" s="1"/>
  <c r="R148" i="9" s="1"/>
  <c r="R163" i="9" s="1"/>
  <c r="R179" i="9" s="1"/>
  <c r="R195" i="9" s="1"/>
  <c r="R211" i="9" s="1"/>
  <c r="P116" i="9"/>
  <c r="P132" i="9" s="1"/>
  <c r="P148" i="9" s="1"/>
  <c r="P163" i="9" s="1"/>
  <c r="P179" i="9" s="1"/>
  <c r="P195" i="9" s="1"/>
  <c r="P211" i="9" s="1"/>
  <c r="F116" i="9"/>
  <c r="F132" i="9" s="1"/>
  <c r="F148" i="9" s="1"/>
  <c r="F163" i="9" s="1"/>
  <c r="F179" i="9" s="1"/>
  <c r="F195" i="9" s="1"/>
  <c r="F211" i="9" s="1"/>
  <c r="C116" i="9"/>
  <c r="C132" i="9" s="1"/>
  <c r="C148" i="9" s="1"/>
  <c r="C163" i="9" s="1"/>
  <c r="C179" i="9" s="1"/>
  <c r="C195" i="9" s="1"/>
  <c r="C211" i="9" s="1"/>
  <c r="AL100" i="9"/>
  <c r="AL116" i="9" s="1"/>
  <c r="AL132" i="9" s="1"/>
  <c r="AL148" i="9" s="1"/>
  <c r="AL163" i="9" s="1"/>
  <c r="AL179" i="9" s="1"/>
  <c r="AL195" i="9" s="1"/>
  <c r="AL211" i="9" s="1"/>
  <c r="P100" i="9"/>
  <c r="O100" i="9"/>
  <c r="O116" i="9" s="1"/>
  <c r="O132" i="9" s="1"/>
  <c r="O148" i="9" s="1"/>
  <c r="O163" i="9" s="1"/>
  <c r="O179" i="9" s="1"/>
  <c r="O195" i="9" s="1"/>
  <c r="O211" i="9" s="1"/>
  <c r="M100" i="9"/>
  <c r="M116" i="9" s="1"/>
  <c r="M132" i="9" s="1"/>
  <c r="M148" i="9" s="1"/>
  <c r="M163" i="9" s="1"/>
  <c r="M179" i="9" s="1"/>
  <c r="M195" i="9" s="1"/>
  <c r="M211" i="9" s="1"/>
  <c r="AS84" i="9"/>
  <c r="AS100" i="9" s="1"/>
  <c r="AS116" i="9" s="1"/>
  <c r="AS132" i="9" s="1"/>
  <c r="AS148" i="9" s="1"/>
  <c r="AS163" i="9" s="1"/>
  <c r="AS179" i="9" s="1"/>
  <c r="AS195" i="9" s="1"/>
  <c r="AS211" i="9" s="1"/>
  <c r="AA84" i="9"/>
  <c r="AA100" i="9" s="1"/>
  <c r="AA116" i="9" s="1"/>
  <c r="AA132" i="9" s="1"/>
  <c r="AA148" i="9" s="1"/>
  <c r="AA163" i="9" s="1"/>
  <c r="AA179" i="9" s="1"/>
  <c r="AA195" i="9" s="1"/>
  <c r="AA211" i="9" s="1"/>
  <c r="AZ68" i="9"/>
  <c r="AZ84" i="9" s="1"/>
  <c r="AZ100" i="9" s="1"/>
  <c r="AZ116" i="9" s="1"/>
  <c r="AZ132" i="9" s="1"/>
  <c r="AZ148" i="9" s="1"/>
  <c r="AZ163" i="9" s="1"/>
  <c r="AZ179" i="9" s="1"/>
  <c r="AZ195" i="9" s="1"/>
  <c r="AZ211" i="9" s="1"/>
  <c r="AY68" i="9"/>
  <c r="AY84" i="9" s="1"/>
  <c r="AY100" i="9" s="1"/>
  <c r="AY116" i="9" s="1"/>
  <c r="AY132" i="9" s="1"/>
  <c r="AY148" i="9" s="1"/>
  <c r="AY163" i="9" s="1"/>
  <c r="AY179" i="9" s="1"/>
  <c r="AY195" i="9" s="1"/>
  <c r="AY211" i="9" s="1"/>
  <c r="AX68" i="9"/>
  <c r="AX84" i="9" s="1"/>
  <c r="AX100" i="9" s="1"/>
  <c r="AX116" i="9" s="1"/>
  <c r="AX132" i="9" s="1"/>
  <c r="AX148" i="9" s="1"/>
  <c r="AX163" i="9" s="1"/>
  <c r="AX179" i="9" s="1"/>
  <c r="AX195" i="9" s="1"/>
  <c r="AX211" i="9" s="1"/>
  <c r="AE68" i="9"/>
  <c r="AE84" i="9" s="1"/>
  <c r="AE100" i="9" s="1"/>
  <c r="AE116" i="9" s="1"/>
  <c r="AE132" i="9" s="1"/>
  <c r="AE148" i="9" s="1"/>
  <c r="AE163" i="9" s="1"/>
  <c r="AE179" i="9" s="1"/>
  <c r="AE195" i="9" s="1"/>
  <c r="AE211" i="9" s="1"/>
  <c r="AA68" i="9"/>
  <c r="Y68" i="9"/>
  <c r="Y84" i="9" s="1"/>
  <c r="Y100" i="9" s="1"/>
  <c r="Y116" i="9" s="1"/>
  <c r="Y132" i="9" s="1"/>
  <c r="Y148" i="9" s="1"/>
  <c r="Y163" i="9" s="1"/>
  <c r="Y179" i="9" s="1"/>
  <c r="Y195" i="9" s="1"/>
  <c r="Y211" i="9" s="1"/>
  <c r="W68" i="9"/>
  <c r="W84" i="9" s="1"/>
  <c r="W100" i="9" s="1"/>
  <c r="W116" i="9" s="1"/>
  <c r="W132" i="9" s="1"/>
  <c r="W148" i="9" s="1"/>
  <c r="W163" i="9" s="1"/>
  <c r="W179" i="9" s="1"/>
  <c r="W195" i="9" s="1"/>
  <c r="W211" i="9" s="1"/>
  <c r="V68" i="9"/>
  <c r="V84" i="9" s="1"/>
  <c r="V100" i="9" s="1"/>
  <c r="V116" i="9" s="1"/>
  <c r="V132" i="9" s="1"/>
  <c r="V148" i="9" s="1"/>
  <c r="V163" i="9" s="1"/>
  <c r="V179" i="9" s="1"/>
  <c r="V195" i="9" s="1"/>
  <c r="V211" i="9" s="1"/>
  <c r="F68" i="9"/>
  <c r="F84" i="9" s="1"/>
  <c r="F100" i="9" s="1"/>
  <c r="AZ52" i="9"/>
  <c r="AY52" i="9"/>
  <c r="AS52" i="9"/>
  <c r="AS68" i="9" s="1"/>
  <c r="AM52" i="9"/>
  <c r="AM68" i="9" s="1"/>
  <c r="AM84" i="9" s="1"/>
  <c r="AM100" i="9" s="1"/>
  <c r="AM116" i="9" s="1"/>
  <c r="AM132" i="9" s="1"/>
  <c r="AC52" i="9"/>
  <c r="AC68" i="9" s="1"/>
  <c r="AC84" i="9" s="1"/>
  <c r="AC100" i="9" s="1"/>
  <c r="AC116" i="9" s="1"/>
  <c r="AC132" i="9" s="1"/>
  <c r="AC148" i="9" s="1"/>
  <c r="AC163" i="9" s="1"/>
  <c r="AC179" i="9" s="1"/>
  <c r="AC195" i="9" s="1"/>
  <c r="AC211" i="9" s="1"/>
  <c r="T52" i="9"/>
  <c r="T68" i="9" s="1"/>
  <c r="T84" i="9" s="1"/>
  <c r="T100" i="9" s="1"/>
  <c r="T116" i="9" s="1"/>
  <c r="T132" i="9" s="1"/>
  <c r="T148" i="9" s="1"/>
  <c r="T163" i="9" s="1"/>
  <c r="T179" i="9" s="1"/>
  <c r="T195" i="9" s="1"/>
  <c r="T211" i="9" s="1"/>
  <c r="AZ36" i="9"/>
  <c r="AX36" i="9"/>
  <c r="AX52" i="9" s="1"/>
  <c r="AW36" i="9"/>
  <c r="AW52" i="9" s="1"/>
  <c r="AW68" i="9" s="1"/>
  <c r="AW84" i="9" s="1"/>
  <c r="AW100" i="9" s="1"/>
  <c r="AW116" i="9" s="1"/>
  <c r="AW132" i="9" s="1"/>
  <c r="AW148" i="9" s="1"/>
  <c r="AW163" i="9" s="1"/>
  <c r="AW179" i="9" s="1"/>
  <c r="AW195" i="9" s="1"/>
  <c r="AW211" i="9" s="1"/>
  <c r="AV36" i="9"/>
  <c r="AV52" i="9" s="1"/>
  <c r="AV68" i="9" s="1"/>
  <c r="AV84" i="9" s="1"/>
  <c r="AV100" i="9" s="1"/>
  <c r="AV116" i="9" s="1"/>
  <c r="AV132" i="9" s="1"/>
  <c r="AV148" i="9" s="1"/>
  <c r="AV163" i="9" s="1"/>
  <c r="AV179" i="9" s="1"/>
  <c r="AV195" i="9" s="1"/>
  <c r="AV211" i="9" s="1"/>
  <c r="AT36" i="9"/>
  <c r="AT52" i="9" s="1"/>
  <c r="AT68" i="9" s="1"/>
  <c r="AT84" i="9" s="1"/>
  <c r="AT100" i="9" s="1"/>
  <c r="AT116" i="9" s="1"/>
  <c r="AT132" i="9" s="1"/>
  <c r="AT148" i="9" s="1"/>
  <c r="AT163" i="9" s="1"/>
  <c r="AT179" i="9" s="1"/>
  <c r="AT195" i="9" s="1"/>
  <c r="AT211" i="9" s="1"/>
  <c r="AS36" i="9"/>
  <c r="AR36" i="9"/>
  <c r="AR52" i="9" s="1"/>
  <c r="AR68" i="9" s="1"/>
  <c r="AR84" i="9" s="1"/>
  <c r="AR100" i="9" s="1"/>
  <c r="AR116" i="9" s="1"/>
  <c r="AR132" i="9" s="1"/>
  <c r="AR148" i="9" s="1"/>
  <c r="AR163" i="9" s="1"/>
  <c r="AR179" i="9" s="1"/>
  <c r="AR195" i="9" s="1"/>
  <c r="AR211" i="9" s="1"/>
  <c r="AQ36" i="9"/>
  <c r="AQ52" i="9" s="1"/>
  <c r="AQ68" i="9" s="1"/>
  <c r="AQ84" i="9" s="1"/>
  <c r="AQ100" i="9" s="1"/>
  <c r="AQ116" i="9" s="1"/>
  <c r="AQ132" i="9" s="1"/>
  <c r="AQ148" i="9" s="1"/>
  <c r="AQ163" i="9" s="1"/>
  <c r="AQ179" i="9" s="1"/>
  <c r="AQ195" i="9" s="1"/>
  <c r="AQ211" i="9" s="1"/>
  <c r="AP36" i="9"/>
  <c r="AP52" i="9" s="1"/>
  <c r="AP68" i="9" s="1"/>
  <c r="AP84" i="9" s="1"/>
  <c r="AP100" i="9" s="1"/>
  <c r="AP116" i="9" s="1"/>
  <c r="AP132" i="9" s="1"/>
  <c r="AO36" i="9"/>
  <c r="AO52" i="9" s="1"/>
  <c r="AO68" i="9" s="1"/>
  <c r="AO84" i="9" s="1"/>
  <c r="AO100" i="9" s="1"/>
  <c r="AO116" i="9" s="1"/>
  <c r="AO132" i="9" s="1"/>
  <c r="AO148" i="9" s="1"/>
  <c r="AO163" i="9" s="1"/>
  <c r="AO179" i="9" s="1"/>
  <c r="AO195" i="9" s="1"/>
  <c r="AO211" i="9" s="1"/>
  <c r="AN36" i="9"/>
  <c r="AN52" i="9" s="1"/>
  <c r="AN68" i="9" s="1"/>
  <c r="AN84" i="9" s="1"/>
  <c r="AN100" i="9" s="1"/>
  <c r="AN116" i="9" s="1"/>
  <c r="AN132" i="9" s="1"/>
  <c r="AN148" i="9" s="1"/>
  <c r="AN163" i="9" s="1"/>
  <c r="AN179" i="9" s="1"/>
  <c r="AN195" i="9" s="1"/>
  <c r="AN211" i="9" s="1"/>
  <c r="AM36" i="9"/>
  <c r="AL36" i="9"/>
  <c r="AL52" i="9" s="1"/>
  <c r="AL68" i="9" s="1"/>
  <c r="AL84" i="9" s="1"/>
  <c r="AD36" i="9"/>
  <c r="AD52" i="9" s="1"/>
  <c r="AD68" i="9" s="1"/>
  <c r="AD84" i="9" s="1"/>
  <c r="AD100" i="9" s="1"/>
  <c r="AC36" i="9"/>
  <c r="V36" i="9"/>
  <c r="V52" i="9" s="1"/>
  <c r="T36" i="9"/>
  <c r="S36" i="9"/>
  <c r="S52" i="9" s="1"/>
  <c r="S68" i="9" s="1"/>
  <c r="S84" i="9" s="1"/>
  <c r="S100" i="9" s="1"/>
  <c r="S116" i="9" s="1"/>
  <c r="S132" i="9" s="1"/>
  <c r="S148" i="9" s="1"/>
  <c r="S163" i="9" s="1"/>
  <c r="S179" i="9" s="1"/>
  <c r="S195" i="9" s="1"/>
  <c r="S211" i="9" s="1"/>
  <c r="R36" i="9"/>
  <c r="R52" i="9" s="1"/>
  <c r="R68" i="9" s="1"/>
  <c r="R84" i="9" s="1"/>
  <c r="R100" i="9" s="1"/>
  <c r="Q36" i="9"/>
  <c r="Q52" i="9" s="1"/>
  <c r="Q68" i="9" s="1"/>
  <c r="Q84" i="9" s="1"/>
  <c r="Q100" i="9" s="1"/>
  <c r="Q116" i="9" s="1"/>
  <c r="Q132" i="9" s="1"/>
  <c r="Q148" i="9" s="1"/>
  <c r="Q163" i="9" s="1"/>
  <c r="Q179" i="9" s="1"/>
  <c r="Q195" i="9" s="1"/>
  <c r="Q211" i="9" s="1"/>
  <c r="P36" i="9"/>
  <c r="P52" i="9" s="1"/>
  <c r="P68" i="9" s="1"/>
  <c r="P84" i="9" s="1"/>
  <c r="H36" i="9"/>
  <c r="H52" i="9" s="1"/>
  <c r="H68" i="9" s="1"/>
  <c r="H84" i="9" s="1"/>
  <c r="H100" i="9" s="1"/>
  <c r="H116" i="9" s="1"/>
  <c r="H132" i="9" s="1"/>
  <c r="H148" i="9" s="1"/>
  <c r="G36" i="9"/>
  <c r="G52" i="9" s="1"/>
  <c r="G68" i="9" s="1"/>
  <c r="G84" i="9" s="1"/>
  <c r="G100" i="9" s="1"/>
  <c r="G116" i="9" s="1"/>
  <c r="G132" i="9" s="1"/>
  <c r="G148" i="9" s="1"/>
  <c r="G163" i="9" s="1"/>
  <c r="G179" i="9" s="1"/>
  <c r="G195" i="9" s="1"/>
  <c r="G211" i="9" s="1"/>
  <c r="F36" i="9"/>
  <c r="F52" i="9" s="1"/>
  <c r="E36" i="9"/>
  <c r="E52" i="9" s="1"/>
  <c r="E68" i="9" s="1"/>
  <c r="E84" i="9" s="1"/>
  <c r="E100" i="9" s="1"/>
  <c r="E116" i="9" s="1"/>
  <c r="E132" i="9" s="1"/>
  <c r="E148" i="9" s="1"/>
  <c r="E163" i="9" s="1"/>
  <c r="E179" i="9" s="1"/>
  <c r="E195" i="9" s="1"/>
  <c r="E211" i="9" s="1"/>
  <c r="D36" i="9"/>
  <c r="D52" i="9" s="1"/>
  <c r="D68" i="9" s="1"/>
  <c r="D84" i="9" s="1"/>
  <c r="D100" i="9" s="1"/>
  <c r="D116" i="9" s="1"/>
  <c r="D132" i="9" s="1"/>
  <c r="D148" i="9" s="1"/>
  <c r="D163" i="9" s="1"/>
  <c r="D179" i="9" s="1"/>
  <c r="D195" i="9" s="1"/>
  <c r="D211" i="9" s="1"/>
  <c r="C36" i="9"/>
  <c r="C52" i="9" s="1"/>
  <c r="C68" i="9" s="1"/>
  <c r="C84" i="9" s="1"/>
  <c r="C100" i="9" s="1"/>
  <c r="B36" i="9"/>
  <c r="B52" i="9" s="1"/>
  <c r="B68" i="9" s="1"/>
  <c r="B84" i="9" s="1"/>
  <c r="B100" i="9" s="1"/>
  <c r="B116" i="9" s="1"/>
  <c r="B132" i="9" s="1"/>
  <c r="B148" i="9" s="1"/>
  <c r="B163" i="9" s="1"/>
  <c r="B179" i="9" s="1"/>
  <c r="B195" i="9" s="1"/>
  <c r="B211" i="9" s="1"/>
  <c r="AZ20" i="9"/>
  <c r="AY20" i="9"/>
  <c r="AY36" i="9" s="1"/>
  <c r="AX20" i="9"/>
  <c r="AW20" i="9"/>
  <c r="AV20" i="9"/>
  <c r="AU20" i="9"/>
  <c r="AU36" i="9" s="1"/>
  <c r="AU52" i="9" s="1"/>
  <c r="AU68" i="9" s="1"/>
  <c r="AU84" i="9" s="1"/>
  <c r="AU100" i="9" s="1"/>
  <c r="AU116" i="9" s="1"/>
  <c r="AU132" i="9" s="1"/>
  <c r="AU148" i="9" s="1"/>
  <c r="AU163" i="9" s="1"/>
  <c r="AU179" i="9" s="1"/>
  <c r="AU195" i="9" s="1"/>
  <c r="AU211" i="9" s="1"/>
  <c r="AT20" i="9"/>
  <c r="AS20" i="9"/>
  <c r="AR20" i="9"/>
  <c r="AQ20" i="9"/>
  <c r="AP20" i="9"/>
  <c r="AO20" i="9"/>
  <c r="AN20" i="9"/>
  <c r="AM20" i="9"/>
  <c r="AL20" i="9"/>
  <c r="AK20" i="9"/>
  <c r="AK36" i="9" s="1"/>
  <c r="AK52" i="9" s="1"/>
  <c r="AK68" i="9" s="1"/>
  <c r="AK84" i="9" s="1"/>
  <c r="AK100" i="9" s="1"/>
  <c r="AK116" i="9" s="1"/>
  <c r="AK132" i="9" s="1"/>
  <c r="AJ20" i="9"/>
  <c r="AJ36" i="9" s="1"/>
  <c r="AJ52" i="9" s="1"/>
  <c r="AJ68" i="9" s="1"/>
  <c r="AJ84" i="9" s="1"/>
  <c r="AJ100" i="9" s="1"/>
  <c r="AJ116" i="9" s="1"/>
  <c r="AJ132" i="9" s="1"/>
  <c r="AJ148" i="9" s="1"/>
  <c r="AJ163" i="9" s="1"/>
  <c r="AJ179" i="9" s="1"/>
  <c r="AJ195" i="9" s="1"/>
  <c r="AJ211" i="9" s="1"/>
  <c r="AI20" i="9"/>
  <c r="AI36" i="9" s="1"/>
  <c r="AI52" i="9" s="1"/>
  <c r="AI68" i="9" s="1"/>
  <c r="AI84" i="9" s="1"/>
  <c r="AI100" i="9" s="1"/>
  <c r="AI116" i="9" s="1"/>
  <c r="AI132" i="9" s="1"/>
  <c r="AI148" i="9" s="1"/>
  <c r="AI163" i="9" s="1"/>
  <c r="AI179" i="9" s="1"/>
  <c r="AI195" i="9" s="1"/>
  <c r="AI211" i="9" s="1"/>
  <c r="AH20" i="9"/>
  <c r="AH36" i="9" s="1"/>
  <c r="AH52" i="9" s="1"/>
  <c r="AH68" i="9" s="1"/>
  <c r="AH84" i="9" s="1"/>
  <c r="AH100" i="9" s="1"/>
  <c r="AH116" i="9" s="1"/>
  <c r="AH132" i="9" s="1"/>
  <c r="AH148" i="9" s="1"/>
  <c r="AH163" i="9" s="1"/>
  <c r="AH179" i="9" s="1"/>
  <c r="AH195" i="9" s="1"/>
  <c r="AH211" i="9" s="1"/>
  <c r="AG20" i="9"/>
  <c r="AG36" i="9" s="1"/>
  <c r="AG52" i="9" s="1"/>
  <c r="AG68" i="9" s="1"/>
  <c r="AG84" i="9" s="1"/>
  <c r="AG100" i="9" s="1"/>
  <c r="AG116" i="9" s="1"/>
  <c r="AG132" i="9" s="1"/>
  <c r="AG148" i="9" s="1"/>
  <c r="AG163" i="9" s="1"/>
  <c r="AG179" i="9" s="1"/>
  <c r="AG195" i="9" s="1"/>
  <c r="AG211" i="9" s="1"/>
  <c r="AF20" i="9"/>
  <c r="AF36" i="9" s="1"/>
  <c r="AF52" i="9" s="1"/>
  <c r="AF68" i="9" s="1"/>
  <c r="AF84" i="9" s="1"/>
  <c r="AF100" i="9" s="1"/>
  <c r="AF116" i="9" s="1"/>
  <c r="AF132" i="9" s="1"/>
  <c r="AF148" i="9" s="1"/>
  <c r="AF163" i="9" s="1"/>
  <c r="AF179" i="9" s="1"/>
  <c r="AF195" i="9" s="1"/>
  <c r="AF211" i="9" s="1"/>
  <c r="AE20" i="9"/>
  <c r="AE36" i="9" s="1"/>
  <c r="AE52" i="9" s="1"/>
  <c r="AD20" i="9"/>
  <c r="AC20" i="9"/>
  <c r="AB20" i="9"/>
  <c r="AB36" i="9" s="1"/>
  <c r="AB52" i="9" s="1"/>
  <c r="AB68" i="9" s="1"/>
  <c r="AB84" i="9" s="1"/>
  <c r="AB100" i="9" s="1"/>
  <c r="AB116" i="9" s="1"/>
  <c r="AB132" i="9" s="1"/>
  <c r="AB148" i="9" s="1"/>
  <c r="AB163" i="9" s="1"/>
  <c r="AB179" i="9" s="1"/>
  <c r="AB195" i="9" s="1"/>
  <c r="AB211" i="9" s="1"/>
  <c r="AA20" i="9"/>
  <c r="AA36" i="9" s="1"/>
  <c r="AA52" i="9" s="1"/>
  <c r="Z20" i="9"/>
  <c r="Z36" i="9" s="1"/>
  <c r="Z52" i="9" s="1"/>
  <c r="Z68" i="9" s="1"/>
  <c r="Z84" i="9" s="1"/>
  <c r="Z100" i="9" s="1"/>
  <c r="Z116" i="9" s="1"/>
  <c r="Z132" i="9" s="1"/>
  <c r="Z148" i="9" s="1"/>
  <c r="Z163" i="9" s="1"/>
  <c r="Z179" i="9" s="1"/>
  <c r="Z195" i="9" s="1"/>
  <c r="Z211" i="9" s="1"/>
  <c r="Y20" i="9"/>
  <c r="Y36" i="9" s="1"/>
  <c r="Y52" i="9" s="1"/>
  <c r="X20" i="9"/>
  <c r="X36" i="9" s="1"/>
  <c r="X52" i="9" s="1"/>
  <c r="X68" i="9" s="1"/>
  <c r="X84" i="9" s="1"/>
  <c r="X100" i="9" s="1"/>
  <c r="X116" i="9" s="1"/>
  <c r="X132" i="9" s="1"/>
  <c r="X148" i="9" s="1"/>
  <c r="X163" i="9" s="1"/>
  <c r="W20" i="9"/>
  <c r="W36" i="9" s="1"/>
  <c r="W52" i="9" s="1"/>
  <c r="V20" i="9"/>
  <c r="U20" i="9"/>
  <c r="U36" i="9" s="1"/>
  <c r="U52" i="9" s="1"/>
  <c r="U68" i="9" s="1"/>
  <c r="U84" i="9" s="1"/>
  <c r="U100" i="9" s="1"/>
  <c r="U116" i="9" s="1"/>
  <c r="U132" i="9" s="1"/>
  <c r="U148" i="9" s="1"/>
  <c r="U163" i="9" s="1"/>
  <c r="U179" i="9" s="1"/>
  <c r="T20" i="9"/>
  <c r="S20" i="9"/>
  <c r="R20" i="9"/>
  <c r="Q20" i="9"/>
  <c r="P20" i="9"/>
  <c r="O20" i="9"/>
  <c r="O36" i="9" s="1"/>
  <c r="O52" i="9" s="1"/>
  <c r="O68" i="9" s="1"/>
  <c r="O84" i="9" s="1"/>
  <c r="N20" i="9"/>
  <c r="N36" i="9" s="1"/>
  <c r="N52" i="9" s="1"/>
  <c r="N68" i="9" s="1"/>
  <c r="N84" i="9" s="1"/>
  <c r="N100" i="9" s="1"/>
  <c r="N116" i="9" s="1"/>
  <c r="N132" i="9" s="1"/>
  <c r="N148" i="9" s="1"/>
  <c r="N163" i="9" s="1"/>
  <c r="N179" i="9" s="1"/>
  <c r="N195" i="9" s="1"/>
  <c r="N211" i="9" s="1"/>
  <c r="M20" i="9"/>
  <c r="M36" i="9" s="1"/>
  <c r="M52" i="9" s="1"/>
  <c r="M68" i="9" s="1"/>
  <c r="M84" i="9" s="1"/>
  <c r="L20" i="9"/>
  <c r="L36" i="9" s="1"/>
  <c r="L52" i="9" s="1"/>
  <c r="L68" i="9" s="1"/>
  <c r="L84" i="9" s="1"/>
  <c r="L100" i="9" s="1"/>
  <c r="L116" i="9" s="1"/>
  <c r="L132" i="9" s="1"/>
  <c r="L148" i="9" s="1"/>
  <c r="L163" i="9" s="1"/>
  <c r="L179" i="9" s="1"/>
  <c r="L195" i="9" s="1"/>
  <c r="L211" i="9" s="1"/>
  <c r="K20" i="9"/>
  <c r="K36" i="9" s="1"/>
  <c r="K52" i="9" s="1"/>
  <c r="K68" i="9" s="1"/>
  <c r="K84" i="9" s="1"/>
  <c r="K100" i="9" s="1"/>
  <c r="K116" i="9" s="1"/>
  <c r="K132" i="9" s="1"/>
  <c r="K148" i="9" s="1"/>
  <c r="K163" i="9" s="1"/>
  <c r="K179" i="9" s="1"/>
  <c r="K195" i="9" s="1"/>
  <c r="K211" i="9" s="1"/>
  <c r="J20" i="9"/>
  <c r="J36" i="9" s="1"/>
  <c r="J52" i="9" s="1"/>
  <c r="J68" i="9" s="1"/>
  <c r="J84" i="9" s="1"/>
  <c r="J100" i="9" s="1"/>
  <c r="J116" i="9" s="1"/>
  <c r="J132" i="9" s="1"/>
  <c r="J148" i="9" s="1"/>
  <c r="J163" i="9" s="1"/>
  <c r="J179" i="9" s="1"/>
  <c r="J195" i="9" s="1"/>
  <c r="J211" i="9" s="1"/>
  <c r="I20" i="9"/>
  <c r="I36" i="9" s="1"/>
  <c r="I52" i="9" s="1"/>
  <c r="I68" i="9" s="1"/>
  <c r="I84" i="9" s="1"/>
  <c r="I100" i="9" s="1"/>
  <c r="I116" i="9" s="1"/>
  <c r="I132" i="9" s="1"/>
  <c r="I148" i="9" s="1"/>
  <c r="I163" i="9" s="1"/>
  <c r="I179" i="9" s="1"/>
  <c r="I195" i="9" s="1"/>
  <c r="I211" i="9" s="1"/>
  <c r="H20" i="9"/>
  <c r="G20" i="9"/>
  <c r="F20" i="9"/>
  <c r="E20" i="9"/>
  <c r="D20" i="9"/>
  <c r="C20" i="9"/>
  <c r="B20" i="9"/>
  <c r="I211" i="8"/>
  <c r="AX195" i="8"/>
  <c r="AX211" i="8" s="1"/>
  <c r="AS195" i="8"/>
  <c r="AS211" i="8" s="1"/>
  <c r="AR195" i="8"/>
  <c r="AR211" i="8" s="1"/>
  <c r="AQ195" i="8"/>
  <c r="AQ211" i="8" s="1"/>
  <c r="P179" i="8"/>
  <c r="P195" i="8" s="1"/>
  <c r="P211" i="8" s="1"/>
  <c r="AH163" i="8"/>
  <c r="AH179" i="8" s="1"/>
  <c r="AH195" i="8" s="1"/>
  <c r="AH211" i="8" s="1"/>
  <c r="J163" i="8"/>
  <c r="J179" i="8" s="1"/>
  <c r="J195" i="8" s="1"/>
  <c r="J211" i="8" s="1"/>
  <c r="P148" i="8"/>
  <c r="P163" i="8" s="1"/>
  <c r="O148" i="8"/>
  <c r="O163" i="8" s="1"/>
  <c r="O179" i="8" s="1"/>
  <c r="O195" i="8" s="1"/>
  <c r="O211" i="8" s="1"/>
  <c r="N148" i="8"/>
  <c r="N163" i="8" s="1"/>
  <c r="N179" i="8" s="1"/>
  <c r="N195" i="8" s="1"/>
  <c r="N211" i="8" s="1"/>
  <c r="M148" i="8"/>
  <c r="M163" i="8" s="1"/>
  <c r="M179" i="8" s="1"/>
  <c r="M195" i="8" s="1"/>
  <c r="M211" i="8" s="1"/>
  <c r="L148" i="8"/>
  <c r="L163" i="8" s="1"/>
  <c r="L179" i="8" s="1"/>
  <c r="L195" i="8" s="1"/>
  <c r="L211" i="8" s="1"/>
  <c r="G148" i="8"/>
  <c r="G163" i="8" s="1"/>
  <c r="G179" i="8" s="1"/>
  <c r="G195" i="8" s="1"/>
  <c r="G211" i="8" s="1"/>
  <c r="AK132" i="8"/>
  <c r="AK148" i="8" s="1"/>
  <c r="AK163" i="8" s="1"/>
  <c r="AK179" i="8" s="1"/>
  <c r="AK195" i="8" s="1"/>
  <c r="AK211" i="8" s="1"/>
  <c r="B132" i="8"/>
  <c r="B148" i="8" s="1"/>
  <c r="B163" i="8" s="1"/>
  <c r="B179" i="8" s="1"/>
  <c r="B195" i="8" s="1"/>
  <c r="B211" i="8" s="1"/>
  <c r="AV116" i="8"/>
  <c r="AV132" i="8" s="1"/>
  <c r="AV148" i="8" s="1"/>
  <c r="AV163" i="8" s="1"/>
  <c r="AV179" i="8" s="1"/>
  <c r="AV195" i="8" s="1"/>
  <c r="AV211" i="8" s="1"/>
  <c r="AR116" i="8"/>
  <c r="AR132" i="8" s="1"/>
  <c r="AR148" i="8" s="1"/>
  <c r="AR163" i="8" s="1"/>
  <c r="AR179" i="8" s="1"/>
  <c r="AQ116" i="8"/>
  <c r="AQ132" i="8" s="1"/>
  <c r="AQ148" i="8" s="1"/>
  <c r="AQ163" i="8" s="1"/>
  <c r="AQ179" i="8" s="1"/>
  <c r="AM116" i="8"/>
  <c r="AM132" i="8" s="1"/>
  <c r="AM148" i="8" s="1"/>
  <c r="AM163" i="8" s="1"/>
  <c r="AM179" i="8" s="1"/>
  <c r="AM195" i="8" s="1"/>
  <c r="AM211" i="8" s="1"/>
  <c r="AL116" i="8"/>
  <c r="AL132" i="8" s="1"/>
  <c r="AL148" i="8" s="1"/>
  <c r="AL163" i="8" s="1"/>
  <c r="AL179" i="8" s="1"/>
  <c r="AL195" i="8" s="1"/>
  <c r="AL211" i="8" s="1"/>
  <c r="AK116" i="8"/>
  <c r="AM100" i="8"/>
  <c r="Z100" i="8"/>
  <c r="Z116" i="8" s="1"/>
  <c r="Z132" i="8" s="1"/>
  <c r="Z148" i="8" s="1"/>
  <c r="Z163" i="8" s="1"/>
  <c r="Z179" i="8" s="1"/>
  <c r="Z195" i="8" s="1"/>
  <c r="Z211" i="8" s="1"/>
  <c r="U100" i="8"/>
  <c r="U116" i="8" s="1"/>
  <c r="U132" i="8" s="1"/>
  <c r="U148" i="8" s="1"/>
  <c r="U163" i="8" s="1"/>
  <c r="U179" i="8" s="1"/>
  <c r="U195" i="8" s="1"/>
  <c r="U211" i="8" s="1"/>
  <c r="AP84" i="8"/>
  <c r="AP100" i="8" s="1"/>
  <c r="AP116" i="8" s="1"/>
  <c r="AP132" i="8" s="1"/>
  <c r="AP148" i="8" s="1"/>
  <c r="AP163" i="8" s="1"/>
  <c r="AP179" i="8" s="1"/>
  <c r="AP195" i="8" s="1"/>
  <c r="AP211" i="8" s="1"/>
  <c r="AN84" i="8"/>
  <c r="AN100" i="8" s="1"/>
  <c r="AN116" i="8" s="1"/>
  <c r="AN132" i="8" s="1"/>
  <c r="AN148" i="8" s="1"/>
  <c r="AN163" i="8" s="1"/>
  <c r="AN179" i="8" s="1"/>
  <c r="AN195" i="8" s="1"/>
  <c r="AN211" i="8" s="1"/>
  <c r="W84" i="8"/>
  <c r="W100" i="8" s="1"/>
  <c r="W116" i="8" s="1"/>
  <c r="W132" i="8" s="1"/>
  <c r="W148" i="8" s="1"/>
  <c r="W163" i="8" s="1"/>
  <c r="W179" i="8" s="1"/>
  <c r="W195" i="8" s="1"/>
  <c r="W211" i="8" s="1"/>
  <c r="V84" i="8"/>
  <c r="V100" i="8" s="1"/>
  <c r="V116" i="8" s="1"/>
  <c r="V132" i="8" s="1"/>
  <c r="V148" i="8" s="1"/>
  <c r="V163" i="8" s="1"/>
  <c r="V179" i="8" s="1"/>
  <c r="V195" i="8" s="1"/>
  <c r="V211" i="8" s="1"/>
  <c r="S84" i="8"/>
  <c r="S100" i="8" s="1"/>
  <c r="S116" i="8" s="1"/>
  <c r="S132" i="8" s="1"/>
  <c r="S148" i="8" s="1"/>
  <c r="S163" i="8" s="1"/>
  <c r="S179" i="8" s="1"/>
  <c r="S195" i="8" s="1"/>
  <c r="S211" i="8" s="1"/>
  <c r="R84" i="8"/>
  <c r="R100" i="8" s="1"/>
  <c r="R116" i="8" s="1"/>
  <c r="R132" i="8" s="1"/>
  <c r="R148" i="8" s="1"/>
  <c r="R163" i="8" s="1"/>
  <c r="R179" i="8" s="1"/>
  <c r="R195" i="8" s="1"/>
  <c r="R211" i="8" s="1"/>
  <c r="Q84" i="8"/>
  <c r="Q100" i="8" s="1"/>
  <c r="Q116" i="8" s="1"/>
  <c r="Q132" i="8" s="1"/>
  <c r="Q148" i="8" s="1"/>
  <c r="Q163" i="8" s="1"/>
  <c r="Q179" i="8" s="1"/>
  <c r="Q195" i="8" s="1"/>
  <c r="Q211" i="8" s="1"/>
  <c r="N84" i="8"/>
  <c r="N100" i="8" s="1"/>
  <c r="N116" i="8" s="1"/>
  <c r="N132" i="8" s="1"/>
  <c r="M84" i="8"/>
  <c r="M100" i="8" s="1"/>
  <c r="M116" i="8" s="1"/>
  <c r="M132" i="8" s="1"/>
  <c r="L84" i="8"/>
  <c r="L100" i="8" s="1"/>
  <c r="L116" i="8" s="1"/>
  <c r="L132" i="8" s="1"/>
  <c r="AN68" i="8"/>
  <c r="AL68" i="8"/>
  <c r="AL84" i="8" s="1"/>
  <c r="AL100" i="8" s="1"/>
  <c r="AF68" i="8"/>
  <c r="AF84" i="8" s="1"/>
  <c r="AF100" i="8" s="1"/>
  <c r="AF116" i="8" s="1"/>
  <c r="AF132" i="8" s="1"/>
  <c r="AF148" i="8" s="1"/>
  <c r="AF163" i="8" s="1"/>
  <c r="AF179" i="8" s="1"/>
  <c r="AF195" i="8" s="1"/>
  <c r="AF211" i="8" s="1"/>
  <c r="AE68" i="8"/>
  <c r="AE84" i="8" s="1"/>
  <c r="AE100" i="8" s="1"/>
  <c r="AE116" i="8" s="1"/>
  <c r="AE132" i="8" s="1"/>
  <c r="AE148" i="8" s="1"/>
  <c r="AE163" i="8" s="1"/>
  <c r="AE179" i="8" s="1"/>
  <c r="AE195" i="8" s="1"/>
  <c r="AE211" i="8" s="1"/>
  <c r="R68" i="8"/>
  <c r="Q68" i="8"/>
  <c r="J68" i="8"/>
  <c r="J84" i="8" s="1"/>
  <c r="J100" i="8" s="1"/>
  <c r="J116" i="8" s="1"/>
  <c r="J132" i="8" s="1"/>
  <c r="J148" i="8" s="1"/>
  <c r="I68" i="8"/>
  <c r="I84" i="8" s="1"/>
  <c r="I100" i="8" s="1"/>
  <c r="I116" i="8" s="1"/>
  <c r="I132" i="8" s="1"/>
  <c r="I148" i="8" s="1"/>
  <c r="I163" i="8" s="1"/>
  <c r="I179" i="8" s="1"/>
  <c r="I195" i="8" s="1"/>
  <c r="H68" i="8"/>
  <c r="H84" i="8" s="1"/>
  <c r="H100" i="8" s="1"/>
  <c r="H116" i="8" s="1"/>
  <c r="H132" i="8" s="1"/>
  <c r="H148" i="8" s="1"/>
  <c r="H163" i="8" s="1"/>
  <c r="H179" i="8" s="1"/>
  <c r="H195" i="8" s="1"/>
  <c r="H211" i="8" s="1"/>
  <c r="F68" i="8"/>
  <c r="F84" i="8" s="1"/>
  <c r="F100" i="8" s="1"/>
  <c r="F116" i="8" s="1"/>
  <c r="F132" i="8" s="1"/>
  <c r="F148" i="8" s="1"/>
  <c r="F163" i="8" s="1"/>
  <c r="F179" i="8" s="1"/>
  <c r="F195" i="8" s="1"/>
  <c r="F211" i="8" s="1"/>
  <c r="AL52" i="8"/>
  <c r="AF52" i="8"/>
  <c r="AE52" i="8"/>
  <c r="AD52" i="8"/>
  <c r="AD68" i="8" s="1"/>
  <c r="AD84" i="8" s="1"/>
  <c r="AD100" i="8" s="1"/>
  <c r="AD116" i="8" s="1"/>
  <c r="AD132" i="8" s="1"/>
  <c r="AD148" i="8" s="1"/>
  <c r="AD163" i="8" s="1"/>
  <c r="AD179" i="8" s="1"/>
  <c r="AD195" i="8" s="1"/>
  <c r="AD211" i="8" s="1"/>
  <c r="AC52" i="8"/>
  <c r="AC68" i="8" s="1"/>
  <c r="AC84" i="8" s="1"/>
  <c r="AC100" i="8" s="1"/>
  <c r="AC116" i="8" s="1"/>
  <c r="AC132" i="8" s="1"/>
  <c r="AC148" i="8" s="1"/>
  <c r="AC163" i="8" s="1"/>
  <c r="AC179" i="8" s="1"/>
  <c r="AC195" i="8" s="1"/>
  <c r="AC211" i="8" s="1"/>
  <c r="AB52" i="8"/>
  <c r="AB68" i="8" s="1"/>
  <c r="AB84" i="8" s="1"/>
  <c r="AB100" i="8" s="1"/>
  <c r="AB116" i="8" s="1"/>
  <c r="AB132" i="8" s="1"/>
  <c r="AB148" i="8" s="1"/>
  <c r="AB163" i="8" s="1"/>
  <c r="AB179" i="8" s="1"/>
  <c r="AB195" i="8" s="1"/>
  <c r="AB211" i="8" s="1"/>
  <c r="M52" i="8"/>
  <c r="M68" i="8" s="1"/>
  <c r="J52" i="8"/>
  <c r="I52" i="8"/>
  <c r="AZ36" i="8"/>
  <c r="AZ52" i="8" s="1"/>
  <c r="AZ68" i="8" s="1"/>
  <c r="AZ84" i="8" s="1"/>
  <c r="AZ100" i="8" s="1"/>
  <c r="AZ116" i="8" s="1"/>
  <c r="AZ132" i="8" s="1"/>
  <c r="AZ148" i="8" s="1"/>
  <c r="AZ163" i="8" s="1"/>
  <c r="AZ179" i="8" s="1"/>
  <c r="AZ195" i="8" s="1"/>
  <c r="AZ211" i="8" s="1"/>
  <c r="AN36" i="8"/>
  <c r="AN52" i="8" s="1"/>
  <c r="AM36" i="8"/>
  <c r="AM52" i="8" s="1"/>
  <c r="AM68" i="8" s="1"/>
  <c r="AM84" i="8" s="1"/>
  <c r="AJ36" i="8"/>
  <c r="AJ52" i="8" s="1"/>
  <c r="AJ68" i="8" s="1"/>
  <c r="AJ84" i="8" s="1"/>
  <c r="AJ100" i="8" s="1"/>
  <c r="AJ116" i="8" s="1"/>
  <c r="AJ132" i="8" s="1"/>
  <c r="AJ148" i="8" s="1"/>
  <c r="AJ163" i="8" s="1"/>
  <c r="AJ179" i="8" s="1"/>
  <c r="AJ195" i="8" s="1"/>
  <c r="AJ211" i="8" s="1"/>
  <c r="AI36" i="8"/>
  <c r="AI52" i="8" s="1"/>
  <c r="AI68" i="8" s="1"/>
  <c r="AI84" i="8" s="1"/>
  <c r="AI100" i="8" s="1"/>
  <c r="AI116" i="8" s="1"/>
  <c r="AI132" i="8" s="1"/>
  <c r="AI148" i="8" s="1"/>
  <c r="AI163" i="8" s="1"/>
  <c r="AI179" i="8" s="1"/>
  <c r="AI195" i="8" s="1"/>
  <c r="AI211" i="8" s="1"/>
  <c r="AH36" i="8"/>
  <c r="AH52" i="8" s="1"/>
  <c r="AH68" i="8" s="1"/>
  <c r="AH84" i="8" s="1"/>
  <c r="AH100" i="8" s="1"/>
  <c r="AH116" i="8" s="1"/>
  <c r="AH132" i="8" s="1"/>
  <c r="AH148" i="8" s="1"/>
  <c r="AG36" i="8"/>
  <c r="AG52" i="8" s="1"/>
  <c r="AG68" i="8" s="1"/>
  <c r="AG84" i="8" s="1"/>
  <c r="AG100" i="8" s="1"/>
  <c r="AG116" i="8" s="1"/>
  <c r="AG132" i="8" s="1"/>
  <c r="AG148" i="8" s="1"/>
  <c r="AG163" i="8" s="1"/>
  <c r="AG179" i="8" s="1"/>
  <c r="AG195" i="8" s="1"/>
  <c r="AG211" i="8" s="1"/>
  <c r="AF36" i="8"/>
  <c r="AD36" i="8"/>
  <c r="Z36" i="8"/>
  <c r="Z52" i="8" s="1"/>
  <c r="Z68" i="8" s="1"/>
  <c r="Z84" i="8" s="1"/>
  <c r="X36" i="8"/>
  <c r="X52" i="8" s="1"/>
  <c r="X68" i="8" s="1"/>
  <c r="X84" i="8" s="1"/>
  <c r="X100" i="8" s="1"/>
  <c r="X116" i="8" s="1"/>
  <c r="X132" i="8" s="1"/>
  <c r="X148" i="8" s="1"/>
  <c r="X163" i="8" s="1"/>
  <c r="X179" i="8" s="1"/>
  <c r="X195" i="8" s="1"/>
  <c r="X211" i="8" s="1"/>
  <c r="W36" i="8"/>
  <c r="W52" i="8" s="1"/>
  <c r="W68" i="8" s="1"/>
  <c r="V36" i="8"/>
  <c r="V52" i="8" s="1"/>
  <c r="V68" i="8" s="1"/>
  <c r="T36" i="8"/>
  <c r="T52" i="8" s="1"/>
  <c r="T68" i="8" s="1"/>
  <c r="T84" i="8" s="1"/>
  <c r="T100" i="8" s="1"/>
  <c r="T116" i="8" s="1"/>
  <c r="T132" i="8" s="1"/>
  <c r="T148" i="8" s="1"/>
  <c r="T163" i="8" s="1"/>
  <c r="T179" i="8" s="1"/>
  <c r="T195" i="8" s="1"/>
  <c r="T211" i="8" s="1"/>
  <c r="R36" i="8"/>
  <c r="R52" i="8" s="1"/>
  <c r="Q36" i="8"/>
  <c r="Q52" i="8" s="1"/>
  <c r="P36" i="8"/>
  <c r="P52" i="8" s="1"/>
  <c r="P68" i="8" s="1"/>
  <c r="P84" i="8" s="1"/>
  <c r="P100" i="8" s="1"/>
  <c r="P116" i="8" s="1"/>
  <c r="P132" i="8" s="1"/>
  <c r="N36" i="8"/>
  <c r="N52" i="8" s="1"/>
  <c r="N68" i="8" s="1"/>
  <c r="M36" i="8"/>
  <c r="L36" i="8"/>
  <c r="L52" i="8" s="1"/>
  <c r="L68" i="8" s="1"/>
  <c r="J36" i="8"/>
  <c r="AZ20" i="8"/>
  <c r="AY20" i="8"/>
  <c r="AY36" i="8" s="1"/>
  <c r="AY52" i="8" s="1"/>
  <c r="AY68" i="8" s="1"/>
  <c r="AY84" i="8" s="1"/>
  <c r="AY100" i="8" s="1"/>
  <c r="AY116" i="8" s="1"/>
  <c r="AY132" i="8" s="1"/>
  <c r="AY148" i="8" s="1"/>
  <c r="AY163" i="8" s="1"/>
  <c r="AY179" i="8" s="1"/>
  <c r="AY195" i="8" s="1"/>
  <c r="AY211" i="8" s="1"/>
  <c r="AX20" i="8"/>
  <c r="AX36" i="8" s="1"/>
  <c r="AX52" i="8" s="1"/>
  <c r="AX68" i="8" s="1"/>
  <c r="AX84" i="8" s="1"/>
  <c r="AX100" i="8" s="1"/>
  <c r="AX116" i="8" s="1"/>
  <c r="AX132" i="8" s="1"/>
  <c r="AX148" i="8" s="1"/>
  <c r="AX163" i="8" s="1"/>
  <c r="AX179" i="8" s="1"/>
  <c r="AW20" i="8"/>
  <c r="AW36" i="8" s="1"/>
  <c r="AW52" i="8" s="1"/>
  <c r="AW68" i="8" s="1"/>
  <c r="AW84" i="8" s="1"/>
  <c r="AW100" i="8" s="1"/>
  <c r="AW116" i="8" s="1"/>
  <c r="AW132" i="8" s="1"/>
  <c r="AW148" i="8" s="1"/>
  <c r="AW163" i="8" s="1"/>
  <c r="AW179" i="8" s="1"/>
  <c r="AW195" i="8" s="1"/>
  <c r="AW211" i="8" s="1"/>
  <c r="AV20" i="8"/>
  <c r="AV36" i="8" s="1"/>
  <c r="AV52" i="8" s="1"/>
  <c r="AV68" i="8" s="1"/>
  <c r="AV84" i="8" s="1"/>
  <c r="AV100" i="8" s="1"/>
  <c r="AU20" i="8"/>
  <c r="AU36" i="8" s="1"/>
  <c r="AU52" i="8" s="1"/>
  <c r="AU68" i="8" s="1"/>
  <c r="AU84" i="8" s="1"/>
  <c r="AU100" i="8" s="1"/>
  <c r="AU116" i="8" s="1"/>
  <c r="AU132" i="8" s="1"/>
  <c r="AU148" i="8" s="1"/>
  <c r="AU163" i="8" s="1"/>
  <c r="AU179" i="8" s="1"/>
  <c r="AU195" i="8" s="1"/>
  <c r="AU211" i="8" s="1"/>
  <c r="AT20" i="8"/>
  <c r="AT36" i="8" s="1"/>
  <c r="AT52" i="8" s="1"/>
  <c r="AT68" i="8" s="1"/>
  <c r="AT84" i="8" s="1"/>
  <c r="AT100" i="8" s="1"/>
  <c r="AT116" i="8" s="1"/>
  <c r="AT132" i="8" s="1"/>
  <c r="AT148" i="8" s="1"/>
  <c r="AT163" i="8" s="1"/>
  <c r="AT179" i="8" s="1"/>
  <c r="AT195" i="8" s="1"/>
  <c r="AT211" i="8" s="1"/>
  <c r="AS20" i="8"/>
  <c r="AS36" i="8" s="1"/>
  <c r="AS52" i="8" s="1"/>
  <c r="AS68" i="8" s="1"/>
  <c r="AS84" i="8" s="1"/>
  <c r="AS100" i="8" s="1"/>
  <c r="AS116" i="8" s="1"/>
  <c r="AS132" i="8" s="1"/>
  <c r="AS148" i="8" s="1"/>
  <c r="AS163" i="8" s="1"/>
  <c r="AS179" i="8" s="1"/>
  <c r="AR20" i="8"/>
  <c r="AR36" i="8" s="1"/>
  <c r="AR52" i="8" s="1"/>
  <c r="AR68" i="8" s="1"/>
  <c r="AR84" i="8" s="1"/>
  <c r="AR100" i="8" s="1"/>
  <c r="AQ20" i="8"/>
  <c r="AQ36" i="8" s="1"/>
  <c r="AQ52" i="8" s="1"/>
  <c r="AQ68" i="8" s="1"/>
  <c r="AQ84" i="8" s="1"/>
  <c r="AQ100" i="8" s="1"/>
  <c r="AP20" i="8"/>
  <c r="AP36" i="8" s="1"/>
  <c r="AP52" i="8" s="1"/>
  <c r="AP68" i="8" s="1"/>
  <c r="AO20" i="8"/>
  <c r="AO36" i="8" s="1"/>
  <c r="AO52" i="8" s="1"/>
  <c r="AO68" i="8" s="1"/>
  <c r="AO84" i="8" s="1"/>
  <c r="AO100" i="8" s="1"/>
  <c r="AO116" i="8" s="1"/>
  <c r="AO132" i="8" s="1"/>
  <c r="AO148" i="8" s="1"/>
  <c r="AO163" i="8" s="1"/>
  <c r="AO179" i="8" s="1"/>
  <c r="AO195" i="8" s="1"/>
  <c r="AO211" i="8" s="1"/>
  <c r="AN20" i="8"/>
  <c r="AM20" i="8"/>
  <c r="AL20" i="8"/>
  <c r="AL36" i="8" s="1"/>
  <c r="AK20" i="8"/>
  <c r="AK36" i="8" s="1"/>
  <c r="AK52" i="8" s="1"/>
  <c r="AK68" i="8" s="1"/>
  <c r="AK84" i="8" s="1"/>
  <c r="AK100" i="8" s="1"/>
  <c r="AJ20" i="8"/>
  <c r="AI20" i="8"/>
  <c r="AH20" i="8"/>
  <c r="AG20" i="8"/>
  <c r="AF20" i="8"/>
  <c r="AE20" i="8"/>
  <c r="AE36" i="8" s="1"/>
  <c r="AD20" i="8"/>
  <c r="AC20" i="8"/>
  <c r="AC36" i="8" s="1"/>
  <c r="AB20" i="8"/>
  <c r="AB36" i="8" s="1"/>
  <c r="AA20" i="8"/>
  <c r="AA36" i="8" s="1"/>
  <c r="AA52" i="8" s="1"/>
  <c r="AA68" i="8" s="1"/>
  <c r="AA84" i="8" s="1"/>
  <c r="AA100" i="8" s="1"/>
  <c r="AA116" i="8" s="1"/>
  <c r="AA132" i="8" s="1"/>
  <c r="AA148" i="8" s="1"/>
  <c r="AA163" i="8" s="1"/>
  <c r="AA179" i="8" s="1"/>
  <c r="AA195" i="8" s="1"/>
  <c r="AA211" i="8" s="1"/>
  <c r="Z20" i="8"/>
  <c r="Y20" i="8"/>
  <c r="Y36" i="8" s="1"/>
  <c r="Y52" i="8" s="1"/>
  <c r="Y68" i="8" s="1"/>
  <c r="Y84" i="8" s="1"/>
  <c r="Y100" i="8" s="1"/>
  <c r="Y116" i="8" s="1"/>
  <c r="Y132" i="8" s="1"/>
  <c r="Y148" i="8" s="1"/>
  <c r="Y163" i="8" s="1"/>
  <c r="Y179" i="8" s="1"/>
  <c r="Y195" i="8" s="1"/>
  <c r="Y211" i="8" s="1"/>
  <c r="X20" i="8"/>
  <c r="W20" i="8"/>
  <c r="V20" i="8"/>
  <c r="U20" i="8"/>
  <c r="U36" i="8" s="1"/>
  <c r="U52" i="8" s="1"/>
  <c r="U68" i="8" s="1"/>
  <c r="U84" i="8" s="1"/>
  <c r="T20" i="8"/>
  <c r="S20" i="8"/>
  <c r="S36" i="8" s="1"/>
  <c r="S52" i="8" s="1"/>
  <c r="S68" i="8" s="1"/>
  <c r="R20" i="8"/>
  <c r="Q20" i="8"/>
  <c r="P20" i="8"/>
  <c r="O20" i="8"/>
  <c r="O36" i="8" s="1"/>
  <c r="O52" i="8" s="1"/>
  <c r="O68" i="8" s="1"/>
  <c r="O84" i="8" s="1"/>
  <c r="O100" i="8" s="1"/>
  <c r="O116" i="8" s="1"/>
  <c r="O132" i="8" s="1"/>
  <c r="N20" i="8"/>
  <c r="M20" i="8"/>
  <c r="L20" i="8"/>
  <c r="K20" i="8"/>
  <c r="K36" i="8" s="1"/>
  <c r="K52" i="8" s="1"/>
  <c r="K68" i="8" s="1"/>
  <c r="K84" i="8" s="1"/>
  <c r="K100" i="8" s="1"/>
  <c r="K116" i="8" s="1"/>
  <c r="K132" i="8" s="1"/>
  <c r="K148" i="8" s="1"/>
  <c r="K163" i="8" s="1"/>
  <c r="K179" i="8" s="1"/>
  <c r="K195" i="8" s="1"/>
  <c r="K211" i="8" s="1"/>
  <c r="J20" i="8"/>
  <c r="I20" i="8"/>
  <c r="I36" i="8" s="1"/>
  <c r="H20" i="8"/>
  <c r="H36" i="8" s="1"/>
  <c r="H52" i="8" s="1"/>
  <c r="G20" i="8"/>
  <c r="G36" i="8" s="1"/>
  <c r="G52" i="8" s="1"/>
  <c r="G68" i="8" s="1"/>
  <c r="G84" i="8" s="1"/>
  <c r="G100" i="8" s="1"/>
  <c r="G116" i="8" s="1"/>
  <c r="G132" i="8" s="1"/>
  <c r="F20" i="8"/>
  <c r="F36" i="8" s="1"/>
  <c r="F52" i="8" s="1"/>
  <c r="E20" i="8"/>
  <c r="E36" i="8" s="1"/>
  <c r="E52" i="8" s="1"/>
  <c r="E68" i="8" s="1"/>
  <c r="E84" i="8" s="1"/>
  <c r="E100" i="8" s="1"/>
  <c r="E116" i="8" s="1"/>
  <c r="E132" i="8" s="1"/>
  <c r="E148" i="8" s="1"/>
  <c r="E163" i="8" s="1"/>
  <c r="E179" i="8" s="1"/>
  <c r="E195" i="8" s="1"/>
  <c r="E211" i="8" s="1"/>
  <c r="D20" i="8"/>
  <c r="D36" i="8" s="1"/>
  <c r="D52" i="8" s="1"/>
  <c r="D68" i="8" s="1"/>
  <c r="D84" i="8" s="1"/>
  <c r="D100" i="8" s="1"/>
  <c r="D116" i="8" s="1"/>
  <c r="D132" i="8" s="1"/>
  <c r="D148" i="8" s="1"/>
  <c r="D163" i="8" s="1"/>
  <c r="D179" i="8" s="1"/>
  <c r="D195" i="8" s="1"/>
  <c r="D211" i="8" s="1"/>
  <c r="C20" i="8"/>
  <c r="C36" i="8" s="1"/>
  <c r="C52" i="8" s="1"/>
  <c r="C68" i="8" s="1"/>
  <c r="C84" i="8" s="1"/>
  <c r="C100" i="8" s="1"/>
  <c r="C116" i="8" s="1"/>
  <c r="C132" i="8" s="1"/>
  <c r="C148" i="8" s="1"/>
  <c r="C163" i="8" s="1"/>
  <c r="C179" i="8" s="1"/>
  <c r="C195" i="8" s="1"/>
  <c r="C211" i="8" s="1"/>
  <c r="B20" i="8"/>
  <c r="B36" i="8" s="1"/>
  <c r="B52" i="8" s="1"/>
  <c r="B68" i="8" s="1"/>
  <c r="B84" i="8" s="1"/>
  <c r="B100" i="8" s="1"/>
  <c r="B116" i="8" s="1"/>
  <c r="AW211" i="7"/>
  <c r="AV211" i="7"/>
  <c r="J209" i="7"/>
  <c r="I209" i="7"/>
  <c r="H209" i="7"/>
  <c r="G209" i="7"/>
  <c r="F209" i="7"/>
  <c r="E209" i="7"/>
  <c r="D209" i="7"/>
  <c r="C209" i="7"/>
  <c r="B209" i="7"/>
  <c r="K193" i="7"/>
  <c r="J193" i="7"/>
  <c r="I193" i="7"/>
  <c r="H193" i="7"/>
  <c r="G193" i="7"/>
  <c r="F193" i="7"/>
  <c r="E193" i="7"/>
  <c r="D193" i="7"/>
  <c r="C193" i="7"/>
  <c r="B193" i="7"/>
  <c r="AY179" i="7"/>
  <c r="AY195" i="7" s="1"/>
  <c r="AY211" i="7" s="1"/>
  <c r="Y179" i="7"/>
  <c r="Y195" i="7" s="1"/>
  <c r="Y211" i="7" s="1"/>
  <c r="AO163" i="7"/>
  <c r="AO179" i="7" s="1"/>
  <c r="AO195" i="7" s="1"/>
  <c r="AO211" i="7" s="1"/>
  <c r="Z163" i="7"/>
  <c r="Z179" i="7" s="1"/>
  <c r="Z195" i="7" s="1"/>
  <c r="Z211" i="7" s="1"/>
  <c r="AV148" i="7"/>
  <c r="AV163" i="7" s="1"/>
  <c r="AV179" i="7" s="1"/>
  <c r="AV195" i="7" s="1"/>
  <c r="S148" i="7"/>
  <c r="S163" i="7" s="1"/>
  <c r="S179" i="7" s="1"/>
  <c r="S195" i="7" s="1"/>
  <c r="S211" i="7" s="1"/>
  <c r="Q148" i="7"/>
  <c r="Q163" i="7" s="1"/>
  <c r="Q179" i="7" s="1"/>
  <c r="Q195" i="7" s="1"/>
  <c r="Q211" i="7" s="1"/>
  <c r="AQ132" i="7"/>
  <c r="AQ148" i="7" s="1"/>
  <c r="AQ163" i="7" s="1"/>
  <c r="AQ179" i="7" s="1"/>
  <c r="AQ195" i="7" s="1"/>
  <c r="AQ211" i="7" s="1"/>
  <c r="AP132" i="7"/>
  <c r="AP148" i="7" s="1"/>
  <c r="AP163" i="7" s="1"/>
  <c r="AP179" i="7" s="1"/>
  <c r="AP195" i="7" s="1"/>
  <c r="AP211" i="7" s="1"/>
  <c r="AO132" i="7"/>
  <c r="AO148" i="7" s="1"/>
  <c r="AQ116" i="7"/>
  <c r="N100" i="7"/>
  <c r="N116" i="7" s="1"/>
  <c r="N132" i="7" s="1"/>
  <c r="N148" i="7" s="1"/>
  <c r="N163" i="7" s="1"/>
  <c r="N179" i="7" s="1"/>
  <c r="N195" i="7" s="1"/>
  <c r="N211" i="7" s="1"/>
  <c r="H100" i="7"/>
  <c r="H116" i="7" s="1"/>
  <c r="H132" i="7" s="1"/>
  <c r="H148" i="7" s="1"/>
  <c r="H163" i="7" s="1"/>
  <c r="H179" i="7" s="1"/>
  <c r="H195" i="7" s="1"/>
  <c r="H211" i="7" s="1"/>
  <c r="G100" i="7"/>
  <c r="G116" i="7" s="1"/>
  <c r="G132" i="7" s="1"/>
  <c r="G148" i="7" s="1"/>
  <c r="G163" i="7" s="1"/>
  <c r="G179" i="7" s="1"/>
  <c r="G195" i="7" s="1"/>
  <c r="G211" i="7" s="1"/>
  <c r="F100" i="7"/>
  <c r="F116" i="7" s="1"/>
  <c r="F132" i="7" s="1"/>
  <c r="F148" i="7" s="1"/>
  <c r="F163" i="7" s="1"/>
  <c r="F179" i="7" s="1"/>
  <c r="F195" i="7" s="1"/>
  <c r="F211" i="7" s="1"/>
  <c r="E100" i="7"/>
  <c r="E116" i="7" s="1"/>
  <c r="E132" i="7" s="1"/>
  <c r="E148" i="7" s="1"/>
  <c r="E163" i="7" s="1"/>
  <c r="E179" i="7" s="1"/>
  <c r="E195" i="7" s="1"/>
  <c r="E211" i="7" s="1"/>
  <c r="D100" i="7"/>
  <c r="D116" i="7" s="1"/>
  <c r="D132" i="7" s="1"/>
  <c r="D148" i="7" s="1"/>
  <c r="D163" i="7" s="1"/>
  <c r="D179" i="7" s="1"/>
  <c r="D195" i="7" s="1"/>
  <c r="D211" i="7" s="1"/>
  <c r="C100" i="7"/>
  <c r="C116" i="7" s="1"/>
  <c r="C132" i="7" s="1"/>
  <c r="C148" i="7" s="1"/>
  <c r="C163" i="7" s="1"/>
  <c r="C179" i="7" s="1"/>
  <c r="C195" i="7" s="1"/>
  <c r="C211" i="7" s="1"/>
  <c r="B100" i="7"/>
  <c r="B116" i="7" s="1"/>
  <c r="B132" i="7" s="1"/>
  <c r="B148" i="7" s="1"/>
  <c r="B163" i="7" s="1"/>
  <c r="B179" i="7" s="1"/>
  <c r="B195" i="7" s="1"/>
  <c r="B211" i="7" s="1"/>
  <c r="AN84" i="7"/>
  <c r="AN100" i="7" s="1"/>
  <c r="AN116" i="7" s="1"/>
  <c r="AN132" i="7" s="1"/>
  <c r="AN148" i="7" s="1"/>
  <c r="AN163" i="7" s="1"/>
  <c r="AN179" i="7" s="1"/>
  <c r="AN195" i="7" s="1"/>
  <c r="AN211" i="7" s="1"/>
  <c r="E84" i="7"/>
  <c r="AZ68" i="7"/>
  <c r="AZ84" i="7" s="1"/>
  <c r="AZ100" i="7" s="1"/>
  <c r="AZ116" i="7" s="1"/>
  <c r="AZ132" i="7" s="1"/>
  <c r="AZ148" i="7" s="1"/>
  <c r="AZ163" i="7" s="1"/>
  <c r="AZ179" i="7" s="1"/>
  <c r="AZ195" i="7" s="1"/>
  <c r="AZ211" i="7" s="1"/>
  <c r="AY68" i="7"/>
  <c r="AY84" i="7" s="1"/>
  <c r="AY100" i="7" s="1"/>
  <c r="AY116" i="7" s="1"/>
  <c r="AY132" i="7" s="1"/>
  <c r="AY148" i="7" s="1"/>
  <c r="AY163" i="7" s="1"/>
  <c r="AX68" i="7"/>
  <c r="AX84" i="7" s="1"/>
  <c r="AX100" i="7" s="1"/>
  <c r="AX116" i="7" s="1"/>
  <c r="AX132" i="7" s="1"/>
  <c r="AX148" i="7" s="1"/>
  <c r="AX163" i="7" s="1"/>
  <c r="AX179" i="7" s="1"/>
  <c r="AX195" i="7" s="1"/>
  <c r="AX211" i="7" s="1"/>
  <c r="AV68" i="7"/>
  <c r="AV84" i="7" s="1"/>
  <c r="AV100" i="7" s="1"/>
  <c r="AV116" i="7" s="1"/>
  <c r="AV132" i="7" s="1"/>
  <c r="AC68" i="7"/>
  <c r="AC84" i="7" s="1"/>
  <c r="AC100" i="7" s="1"/>
  <c r="AC116" i="7" s="1"/>
  <c r="AC132" i="7" s="1"/>
  <c r="AC148" i="7" s="1"/>
  <c r="AC163" i="7" s="1"/>
  <c r="AC179" i="7" s="1"/>
  <c r="AC195" i="7" s="1"/>
  <c r="AC211" i="7" s="1"/>
  <c r="AB68" i="7"/>
  <c r="AB84" i="7" s="1"/>
  <c r="AB100" i="7" s="1"/>
  <c r="AB116" i="7" s="1"/>
  <c r="AB132" i="7" s="1"/>
  <c r="AB148" i="7" s="1"/>
  <c r="AB163" i="7" s="1"/>
  <c r="AB179" i="7" s="1"/>
  <c r="AB195" i="7" s="1"/>
  <c r="AB211" i="7" s="1"/>
  <c r="Z68" i="7"/>
  <c r="Z84" i="7" s="1"/>
  <c r="Z100" i="7" s="1"/>
  <c r="Z116" i="7" s="1"/>
  <c r="Z132" i="7" s="1"/>
  <c r="Z148" i="7" s="1"/>
  <c r="Y68" i="7"/>
  <c r="Y84" i="7" s="1"/>
  <c r="Y100" i="7" s="1"/>
  <c r="Y116" i="7" s="1"/>
  <c r="Y132" i="7" s="1"/>
  <c r="Y148" i="7" s="1"/>
  <c r="Y163" i="7" s="1"/>
  <c r="G68" i="7"/>
  <c r="G84" i="7" s="1"/>
  <c r="AZ52" i="7"/>
  <c r="AM52" i="7"/>
  <c r="AM68" i="7" s="1"/>
  <c r="AM84" i="7" s="1"/>
  <c r="AM100" i="7" s="1"/>
  <c r="AM116" i="7" s="1"/>
  <c r="AM132" i="7" s="1"/>
  <c r="AM148" i="7" s="1"/>
  <c r="AM163" i="7" s="1"/>
  <c r="AM179" i="7" s="1"/>
  <c r="AM195" i="7" s="1"/>
  <c r="AM211" i="7" s="1"/>
  <c r="AL52" i="7"/>
  <c r="AL68" i="7" s="1"/>
  <c r="AL84" i="7" s="1"/>
  <c r="AL100" i="7" s="1"/>
  <c r="AL116" i="7" s="1"/>
  <c r="AL132" i="7" s="1"/>
  <c r="AL148" i="7" s="1"/>
  <c r="AL163" i="7" s="1"/>
  <c r="AL179" i="7" s="1"/>
  <c r="AL195" i="7" s="1"/>
  <c r="AL211" i="7" s="1"/>
  <c r="AK52" i="7"/>
  <c r="AK68" i="7" s="1"/>
  <c r="AK84" i="7" s="1"/>
  <c r="AK100" i="7" s="1"/>
  <c r="AK116" i="7" s="1"/>
  <c r="AK132" i="7" s="1"/>
  <c r="AK148" i="7" s="1"/>
  <c r="AK163" i="7" s="1"/>
  <c r="AK179" i="7" s="1"/>
  <c r="AK195" i="7" s="1"/>
  <c r="AK211" i="7" s="1"/>
  <c r="AJ52" i="7"/>
  <c r="AJ68" i="7" s="1"/>
  <c r="AJ84" i="7" s="1"/>
  <c r="AJ100" i="7" s="1"/>
  <c r="AJ116" i="7" s="1"/>
  <c r="AJ132" i="7" s="1"/>
  <c r="AJ148" i="7" s="1"/>
  <c r="AJ163" i="7" s="1"/>
  <c r="AJ179" i="7" s="1"/>
  <c r="AJ195" i="7" s="1"/>
  <c r="AJ211" i="7" s="1"/>
  <c r="AI52" i="7"/>
  <c r="AI68" i="7" s="1"/>
  <c r="AI84" i="7" s="1"/>
  <c r="AI100" i="7" s="1"/>
  <c r="AI116" i="7" s="1"/>
  <c r="AI132" i="7" s="1"/>
  <c r="AI148" i="7" s="1"/>
  <c r="AI163" i="7" s="1"/>
  <c r="AI179" i="7" s="1"/>
  <c r="AI195" i="7" s="1"/>
  <c r="AI211" i="7" s="1"/>
  <c r="AH52" i="7"/>
  <c r="AH68" i="7" s="1"/>
  <c r="AH84" i="7" s="1"/>
  <c r="AH100" i="7" s="1"/>
  <c r="AH116" i="7" s="1"/>
  <c r="AH132" i="7" s="1"/>
  <c r="AH148" i="7" s="1"/>
  <c r="AH163" i="7" s="1"/>
  <c r="AH179" i="7" s="1"/>
  <c r="AH195" i="7" s="1"/>
  <c r="AH211" i="7" s="1"/>
  <c r="AG52" i="7"/>
  <c r="AG68" i="7" s="1"/>
  <c r="AG84" i="7" s="1"/>
  <c r="AG100" i="7" s="1"/>
  <c r="AG116" i="7" s="1"/>
  <c r="AG132" i="7" s="1"/>
  <c r="AG148" i="7" s="1"/>
  <c r="AG163" i="7" s="1"/>
  <c r="AG179" i="7" s="1"/>
  <c r="AG195" i="7" s="1"/>
  <c r="AG211" i="7" s="1"/>
  <c r="AF52" i="7"/>
  <c r="AF68" i="7" s="1"/>
  <c r="AF84" i="7" s="1"/>
  <c r="AF100" i="7" s="1"/>
  <c r="AF116" i="7" s="1"/>
  <c r="AF132" i="7" s="1"/>
  <c r="AF148" i="7" s="1"/>
  <c r="AF163" i="7" s="1"/>
  <c r="AF179" i="7" s="1"/>
  <c r="AF195" i="7" s="1"/>
  <c r="AF211" i="7" s="1"/>
  <c r="AE52" i="7"/>
  <c r="AE68" i="7" s="1"/>
  <c r="AE84" i="7" s="1"/>
  <c r="AE100" i="7" s="1"/>
  <c r="AE116" i="7" s="1"/>
  <c r="AE132" i="7" s="1"/>
  <c r="AE148" i="7" s="1"/>
  <c r="AE163" i="7" s="1"/>
  <c r="AE179" i="7" s="1"/>
  <c r="AE195" i="7" s="1"/>
  <c r="AE211" i="7" s="1"/>
  <c r="AD52" i="7"/>
  <c r="AD68" i="7" s="1"/>
  <c r="AD84" i="7" s="1"/>
  <c r="AD100" i="7" s="1"/>
  <c r="AD116" i="7" s="1"/>
  <c r="AD132" i="7" s="1"/>
  <c r="AD148" i="7" s="1"/>
  <c r="AD163" i="7" s="1"/>
  <c r="AD179" i="7" s="1"/>
  <c r="AD195" i="7" s="1"/>
  <c r="AD211" i="7" s="1"/>
  <c r="Z52" i="7"/>
  <c r="U52" i="7"/>
  <c r="U68" i="7" s="1"/>
  <c r="U84" i="7" s="1"/>
  <c r="U100" i="7" s="1"/>
  <c r="U116" i="7" s="1"/>
  <c r="U132" i="7" s="1"/>
  <c r="U148" i="7" s="1"/>
  <c r="U163" i="7" s="1"/>
  <c r="U179" i="7" s="1"/>
  <c r="U195" i="7" s="1"/>
  <c r="U211" i="7" s="1"/>
  <c r="H52" i="7"/>
  <c r="H68" i="7" s="1"/>
  <c r="H84" i="7" s="1"/>
  <c r="D52" i="7"/>
  <c r="D68" i="7" s="1"/>
  <c r="D84" i="7" s="1"/>
  <c r="AX36" i="7"/>
  <c r="AX52" i="7" s="1"/>
  <c r="AW36" i="7"/>
  <c r="AW52" i="7" s="1"/>
  <c r="AW68" i="7" s="1"/>
  <c r="AW84" i="7" s="1"/>
  <c r="AW100" i="7" s="1"/>
  <c r="AW116" i="7" s="1"/>
  <c r="AW132" i="7" s="1"/>
  <c r="AW148" i="7" s="1"/>
  <c r="AW163" i="7" s="1"/>
  <c r="AW179" i="7" s="1"/>
  <c r="AW195" i="7" s="1"/>
  <c r="AU36" i="7"/>
  <c r="AU52" i="7" s="1"/>
  <c r="AU68" i="7" s="1"/>
  <c r="AU84" i="7" s="1"/>
  <c r="AU100" i="7" s="1"/>
  <c r="AU116" i="7" s="1"/>
  <c r="AU132" i="7" s="1"/>
  <c r="AU148" i="7" s="1"/>
  <c r="AU163" i="7" s="1"/>
  <c r="AU179" i="7" s="1"/>
  <c r="AU195" i="7" s="1"/>
  <c r="AU211" i="7" s="1"/>
  <c r="AT36" i="7"/>
  <c r="AT52" i="7" s="1"/>
  <c r="AT68" i="7" s="1"/>
  <c r="AT84" i="7" s="1"/>
  <c r="AT100" i="7" s="1"/>
  <c r="AT116" i="7" s="1"/>
  <c r="AT132" i="7" s="1"/>
  <c r="AT148" i="7" s="1"/>
  <c r="AT163" i="7" s="1"/>
  <c r="AT179" i="7" s="1"/>
  <c r="AT195" i="7" s="1"/>
  <c r="AT211" i="7" s="1"/>
  <c r="AS36" i="7"/>
  <c r="AS52" i="7" s="1"/>
  <c r="AS68" i="7" s="1"/>
  <c r="AS84" i="7" s="1"/>
  <c r="AS100" i="7" s="1"/>
  <c r="AS116" i="7" s="1"/>
  <c r="AS132" i="7" s="1"/>
  <c r="AS148" i="7" s="1"/>
  <c r="AS163" i="7" s="1"/>
  <c r="AS179" i="7" s="1"/>
  <c r="AS195" i="7" s="1"/>
  <c r="AS211" i="7" s="1"/>
  <c r="AQ36" i="7"/>
  <c r="AQ52" i="7" s="1"/>
  <c r="AQ68" i="7" s="1"/>
  <c r="AQ84" i="7" s="1"/>
  <c r="AQ100" i="7" s="1"/>
  <c r="AP36" i="7"/>
  <c r="AP52" i="7" s="1"/>
  <c r="AP68" i="7" s="1"/>
  <c r="AP84" i="7" s="1"/>
  <c r="AP100" i="7" s="1"/>
  <c r="AP116" i="7" s="1"/>
  <c r="AO36" i="7"/>
  <c r="AO52" i="7" s="1"/>
  <c r="AO68" i="7" s="1"/>
  <c r="AO84" i="7" s="1"/>
  <c r="AO100" i="7" s="1"/>
  <c r="AO116" i="7" s="1"/>
  <c r="AN36" i="7"/>
  <c r="AN52" i="7" s="1"/>
  <c r="AN68" i="7" s="1"/>
  <c r="AM36" i="7"/>
  <c r="AL36" i="7"/>
  <c r="AK36" i="7"/>
  <c r="AG36" i="7"/>
  <c r="AB36" i="7"/>
  <c r="AB52" i="7" s="1"/>
  <c r="Y36" i="7"/>
  <c r="Y52" i="7" s="1"/>
  <c r="W36" i="7"/>
  <c r="W52" i="7" s="1"/>
  <c r="W68" i="7" s="1"/>
  <c r="W84" i="7" s="1"/>
  <c r="W100" i="7" s="1"/>
  <c r="W116" i="7" s="1"/>
  <c r="W132" i="7" s="1"/>
  <c r="W148" i="7" s="1"/>
  <c r="W163" i="7" s="1"/>
  <c r="W179" i="7" s="1"/>
  <c r="W195" i="7" s="1"/>
  <c r="W211" i="7" s="1"/>
  <c r="U36" i="7"/>
  <c r="T36" i="7"/>
  <c r="T52" i="7" s="1"/>
  <c r="T68" i="7" s="1"/>
  <c r="T84" i="7" s="1"/>
  <c r="T100" i="7" s="1"/>
  <c r="T116" i="7" s="1"/>
  <c r="T132" i="7" s="1"/>
  <c r="T148" i="7" s="1"/>
  <c r="T163" i="7" s="1"/>
  <c r="T179" i="7" s="1"/>
  <c r="T195" i="7" s="1"/>
  <c r="T211" i="7" s="1"/>
  <c r="S36" i="7"/>
  <c r="S52" i="7" s="1"/>
  <c r="S68" i="7" s="1"/>
  <c r="S84" i="7" s="1"/>
  <c r="S100" i="7" s="1"/>
  <c r="S116" i="7" s="1"/>
  <c r="S132" i="7" s="1"/>
  <c r="Q36" i="7"/>
  <c r="Q52" i="7" s="1"/>
  <c r="Q68" i="7" s="1"/>
  <c r="Q84" i="7" s="1"/>
  <c r="Q100" i="7" s="1"/>
  <c r="Q116" i="7" s="1"/>
  <c r="Q132" i="7" s="1"/>
  <c r="P36" i="7"/>
  <c r="P52" i="7" s="1"/>
  <c r="P68" i="7" s="1"/>
  <c r="P84" i="7" s="1"/>
  <c r="P100" i="7" s="1"/>
  <c r="P116" i="7" s="1"/>
  <c r="P132" i="7" s="1"/>
  <c r="P148" i="7" s="1"/>
  <c r="P163" i="7" s="1"/>
  <c r="P179" i="7" s="1"/>
  <c r="P195" i="7" s="1"/>
  <c r="P211" i="7" s="1"/>
  <c r="O36" i="7"/>
  <c r="O52" i="7" s="1"/>
  <c r="O68" i="7" s="1"/>
  <c r="O84" i="7" s="1"/>
  <c r="O100" i="7" s="1"/>
  <c r="O116" i="7" s="1"/>
  <c r="O132" i="7" s="1"/>
  <c r="O148" i="7" s="1"/>
  <c r="O163" i="7" s="1"/>
  <c r="O179" i="7" s="1"/>
  <c r="O195" i="7" s="1"/>
  <c r="O211" i="7" s="1"/>
  <c r="K36" i="7"/>
  <c r="K52" i="7" s="1"/>
  <c r="K68" i="7" s="1"/>
  <c r="K84" i="7" s="1"/>
  <c r="K100" i="7" s="1"/>
  <c r="K116" i="7" s="1"/>
  <c r="K132" i="7" s="1"/>
  <c r="K148" i="7" s="1"/>
  <c r="K163" i="7" s="1"/>
  <c r="K179" i="7" s="1"/>
  <c r="K195" i="7" s="1"/>
  <c r="K211" i="7" s="1"/>
  <c r="F36" i="7"/>
  <c r="F52" i="7" s="1"/>
  <c r="F68" i="7" s="1"/>
  <c r="F84" i="7" s="1"/>
  <c r="E36" i="7"/>
  <c r="E52" i="7" s="1"/>
  <c r="E68" i="7" s="1"/>
  <c r="C36" i="7"/>
  <c r="C52" i="7" s="1"/>
  <c r="C68" i="7" s="1"/>
  <c r="C84" i="7" s="1"/>
  <c r="B36" i="7"/>
  <c r="B52" i="7" s="1"/>
  <c r="B68" i="7" s="1"/>
  <c r="B84" i="7" s="1"/>
  <c r="AZ20" i="7"/>
  <c r="AZ36" i="7" s="1"/>
  <c r="AY20" i="7"/>
  <c r="AY36" i="7" s="1"/>
  <c r="AY52" i="7" s="1"/>
  <c r="AX20" i="7"/>
  <c r="AW20" i="7"/>
  <c r="AV20" i="7"/>
  <c r="AV36" i="7" s="1"/>
  <c r="AV52" i="7" s="1"/>
  <c r="AU20" i="7"/>
  <c r="AT20" i="7"/>
  <c r="AS20" i="7"/>
  <c r="AR20" i="7"/>
  <c r="AR36" i="7" s="1"/>
  <c r="AR52" i="7" s="1"/>
  <c r="AR68" i="7" s="1"/>
  <c r="AR84" i="7" s="1"/>
  <c r="AR100" i="7" s="1"/>
  <c r="AR116" i="7" s="1"/>
  <c r="AR132" i="7" s="1"/>
  <c r="AR148" i="7" s="1"/>
  <c r="AR163" i="7" s="1"/>
  <c r="AR179" i="7" s="1"/>
  <c r="AR195" i="7" s="1"/>
  <c r="AR211" i="7" s="1"/>
  <c r="AQ20" i="7"/>
  <c r="AP20" i="7"/>
  <c r="AO20" i="7"/>
  <c r="AN20" i="7"/>
  <c r="AM20" i="7"/>
  <c r="AL20" i="7"/>
  <c r="AK20" i="7"/>
  <c r="AJ20" i="7"/>
  <c r="AJ36" i="7" s="1"/>
  <c r="AI20" i="7"/>
  <c r="AI36" i="7" s="1"/>
  <c r="AH20" i="7"/>
  <c r="AH36" i="7" s="1"/>
  <c r="AG20" i="7"/>
  <c r="AF20" i="7"/>
  <c r="AF36" i="7" s="1"/>
  <c r="AE20" i="7"/>
  <c r="AE36" i="7" s="1"/>
  <c r="AD20" i="7"/>
  <c r="AD36" i="7" s="1"/>
  <c r="AC20" i="7"/>
  <c r="AC36" i="7" s="1"/>
  <c r="AC52" i="7" s="1"/>
  <c r="AB20" i="7"/>
  <c r="AA20" i="7"/>
  <c r="AA36" i="7" s="1"/>
  <c r="AA52" i="7" s="1"/>
  <c r="AA68" i="7" s="1"/>
  <c r="AA84" i="7" s="1"/>
  <c r="AA100" i="7" s="1"/>
  <c r="AA116" i="7" s="1"/>
  <c r="AA132" i="7" s="1"/>
  <c r="AA148" i="7" s="1"/>
  <c r="AA163" i="7" s="1"/>
  <c r="AA179" i="7" s="1"/>
  <c r="AA195" i="7" s="1"/>
  <c r="AA211" i="7" s="1"/>
  <c r="Z20" i="7"/>
  <c r="Z36" i="7" s="1"/>
  <c r="Y20" i="7"/>
  <c r="X20" i="7"/>
  <c r="X36" i="7" s="1"/>
  <c r="X52" i="7" s="1"/>
  <c r="X68" i="7" s="1"/>
  <c r="X84" i="7" s="1"/>
  <c r="X100" i="7" s="1"/>
  <c r="X116" i="7" s="1"/>
  <c r="X132" i="7" s="1"/>
  <c r="X148" i="7" s="1"/>
  <c r="X163" i="7" s="1"/>
  <c r="X179" i="7" s="1"/>
  <c r="X195" i="7" s="1"/>
  <c r="X211" i="7" s="1"/>
  <c r="W20" i="7"/>
  <c r="V20" i="7"/>
  <c r="V36" i="7" s="1"/>
  <c r="V52" i="7" s="1"/>
  <c r="V68" i="7" s="1"/>
  <c r="V84" i="7" s="1"/>
  <c r="V100" i="7" s="1"/>
  <c r="V116" i="7" s="1"/>
  <c r="V132" i="7" s="1"/>
  <c r="V148" i="7" s="1"/>
  <c r="V163" i="7" s="1"/>
  <c r="V179" i="7" s="1"/>
  <c r="V195" i="7" s="1"/>
  <c r="V211" i="7" s="1"/>
  <c r="U20" i="7"/>
  <c r="T20" i="7"/>
  <c r="S20" i="7"/>
  <c r="R20" i="7"/>
  <c r="R36" i="7" s="1"/>
  <c r="R52" i="7" s="1"/>
  <c r="R68" i="7" s="1"/>
  <c r="R84" i="7" s="1"/>
  <c r="R100" i="7" s="1"/>
  <c r="R116" i="7" s="1"/>
  <c r="R132" i="7" s="1"/>
  <c r="R148" i="7" s="1"/>
  <c r="R163" i="7" s="1"/>
  <c r="R179" i="7" s="1"/>
  <c r="R195" i="7" s="1"/>
  <c r="R211" i="7" s="1"/>
  <c r="Q20" i="7"/>
  <c r="P20" i="7"/>
  <c r="O20" i="7"/>
  <c r="N20" i="7"/>
  <c r="N36" i="7" s="1"/>
  <c r="N52" i="7" s="1"/>
  <c r="N68" i="7" s="1"/>
  <c r="N84" i="7" s="1"/>
  <c r="M20" i="7"/>
  <c r="M36" i="7" s="1"/>
  <c r="M52" i="7" s="1"/>
  <c r="M68" i="7" s="1"/>
  <c r="M84" i="7" s="1"/>
  <c r="M100" i="7" s="1"/>
  <c r="M116" i="7" s="1"/>
  <c r="M132" i="7" s="1"/>
  <c r="M148" i="7" s="1"/>
  <c r="M163" i="7" s="1"/>
  <c r="M179" i="7" s="1"/>
  <c r="M195" i="7" s="1"/>
  <c r="M211" i="7" s="1"/>
  <c r="L20" i="7"/>
  <c r="L36" i="7" s="1"/>
  <c r="L52" i="7" s="1"/>
  <c r="L68" i="7" s="1"/>
  <c r="L84" i="7" s="1"/>
  <c r="L100" i="7" s="1"/>
  <c r="L116" i="7" s="1"/>
  <c r="L132" i="7" s="1"/>
  <c r="L148" i="7" s="1"/>
  <c r="L163" i="7" s="1"/>
  <c r="L179" i="7" s="1"/>
  <c r="L195" i="7" s="1"/>
  <c r="L211" i="7" s="1"/>
  <c r="K20" i="7"/>
  <c r="J20" i="7"/>
  <c r="J36" i="7" s="1"/>
  <c r="J52" i="7" s="1"/>
  <c r="J68" i="7" s="1"/>
  <c r="J84" i="7" s="1"/>
  <c r="J100" i="7" s="1"/>
  <c r="J116" i="7" s="1"/>
  <c r="J132" i="7" s="1"/>
  <c r="J148" i="7" s="1"/>
  <c r="J163" i="7" s="1"/>
  <c r="J179" i="7" s="1"/>
  <c r="J195" i="7" s="1"/>
  <c r="J211" i="7" s="1"/>
  <c r="I20" i="7"/>
  <c r="I36" i="7" s="1"/>
  <c r="I52" i="7" s="1"/>
  <c r="I68" i="7" s="1"/>
  <c r="I84" i="7" s="1"/>
  <c r="I100" i="7" s="1"/>
  <c r="I116" i="7" s="1"/>
  <c r="I132" i="7" s="1"/>
  <c r="I148" i="7" s="1"/>
  <c r="I163" i="7" s="1"/>
  <c r="I179" i="7" s="1"/>
  <c r="I195" i="7" s="1"/>
  <c r="I211" i="7" s="1"/>
  <c r="H20" i="7"/>
  <c r="H36" i="7" s="1"/>
  <c r="G20" i="7"/>
  <c r="G36" i="7" s="1"/>
  <c r="G52" i="7" s="1"/>
  <c r="F20" i="7"/>
  <c r="E20" i="7"/>
  <c r="D20" i="7"/>
  <c r="D36" i="7" s="1"/>
  <c r="C20" i="7"/>
  <c r="B20" i="7"/>
  <c r="AZ4" i="7"/>
  <c r="AY4" i="7"/>
  <c r="AX4" i="7"/>
  <c r="AW4" i="7"/>
  <c r="AV4" i="7"/>
  <c r="AU4" i="7"/>
  <c r="AT4" i="7"/>
  <c r="AS4" i="7"/>
  <c r="AR4" i="7"/>
  <c r="AQ4" i="7"/>
  <c r="AP4" i="7"/>
  <c r="AO4" i="7"/>
  <c r="AN4" i="7"/>
  <c r="AM4" i="7"/>
  <c r="AL4" i="7"/>
  <c r="AK4" i="7"/>
  <c r="AJ4" i="7"/>
  <c r="AI4" i="7"/>
  <c r="AH4" i="7"/>
  <c r="AG4" i="7"/>
  <c r="AF4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Z211" i="6"/>
  <c r="D195" i="6"/>
  <c r="D211" i="6" s="1"/>
  <c r="AH179" i="6"/>
  <c r="AH195" i="6" s="1"/>
  <c r="AH211" i="6" s="1"/>
  <c r="I179" i="6"/>
  <c r="I195" i="6" s="1"/>
  <c r="I211" i="6" s="1"/>
  <c r="H179" i="6"/>
  <c r="H195" i="6" s="1"/>
  <c r="H211" i="6" s="1"/>
  <c r="C163" i="6"/>
  <c r="C179" i="6" s="1"/>
  <c r="C195" i="6" s="1"/>
  <c r="C211" i="6" s="1"/>
  <c r="AZ148" i="6"/>
  <c r="AZ163" i="6" s="1"/>
  <c r="AZ179" i="6" s="1"/>
  <c r="AZ195" i="6" s="1"/>
  <c r="AZ211" i="6" s="1"/>
  <c r="AY148" i="6"/>
  <c r="AY163" i="6" s="1"/>
  <c r="AY179" i="6" s="1"/>
  <c r="AY195" i="6" s="1"/>
  <c r="AY211" i="6" s="1"/>
  <c r="AX148" i="6"/>
  <c r="AX163" i="6" s="1"/>
  <c r="AX179" i="6" s="1"/>
  <c r="AX195" i="6" s="1"/>
  <c r="AX211" i="6" s="1"/>
  <c r="AW148" i="6"/>
  <c r="AW163" i="6" s="1"/>
  <c r="AW179" i="6" s="1"/>
  <c r="AW195" i="6" s="1"/>
  <c r="AW211" i="6" s="1"/>
  <c r="AH132" i="6"/>
  <c r="AH148" i="6" s="1"/>
  <c r="AH163" i="6" s="1"/>
  <c r="AF132" i="6"/>
  <c r="AF148" i="6" s="1"/>
  <c r="AF163" i="6" s="1"/>
  <c r="AF179" i="6" s="1"/>
  <c r="AF195" i="6" s="1"/>
  <c r="AF211" i="6" s="1"/>
  <c r="AC132" i="6"/>
  <c r="AC148" i="6" s="1"/>
  <c r="AC163" i="6" s="1"/>
  <c r="AC179" i="6" s="1"/>
  <c r="AC195" i="6" s="1"/>
  <c r="AC211" i="6" s="1"/>
  <c r="AB132" i="6"/>
  <c r="AB148" i="6" s="1"/>
  <c r="AB163" i="6" s="1"/>
  <c r="AB179" i="6" s="1"/>
  <c r="AB195" i="6" s="1"/>
  <c r="AB211" i="6" s="1"/>
  <c r="Z116" i="6"/>
  <c r="Z132" i="6" s="1"/>
  <c r="Z148" i="6" s="1"/>
  <c r="Z163" i="6" s="1"/>
  <c r="Z179" i="6" s="1"/>
  <c r="Z195" i="6" s="1"/>
  <c r="X116" i="6"/>
  <c r="X132" i="6" s="1"/>
  <c r="X148" i="6" s="1"/>
  <c r="X163" i="6" s="1"/>
  <c r="X179" i="6" s="1"/>
  <c r="X195" i="6" s="1"/>
  <c r="X211" i="6" s="1"/>
  <c r="W116" i="6"/>
  <c r="W132" i="6" s="1"/>
  <c r="W148" i="6" s="1"/>
  <c r="W163" i="6" s="1"/>
  <c r="W179" i="6" s="1"/>
  <c r="W195" i="6" s="1"/>
  <c r="W211" i="6" s="1"/>
  <c r="U116" i="6"/>
  <c r="U132" i="6" s="1"/>
  <c r="U148" i="6" s="1"/>
  <c r="U163" i="6" s="1"/>
  <c r="U179" i="6" s="1"/>
  <c r="U195" i="6" s="1"/>
  <c r="U211" i="6" s="1"/>
  <c r="S116" i="6"/>
  <c r="S132" i="6" s="1"/>
  <c r="S148" i="6" s="1"/>
  <c r="S163" i="6" s="1"/>
  <c r="S179" i="6" s="1"/>
  <c r="S195" i="6" s="1"/>
  <c r="S211" i="6" s="1"/>
  <c r="B116" i="6"/>
  <c r="B132" i="6" s="1"/>
  <c r="B148" i="6" s="1"/>
  <c r="B163" i="6" s="1"/>
  <c r="B179" i="6" s="1"/>
  <c r="B195" i="6" s="1"/>
  <c r="B211" i="6" s="1"/>
  <c r="AV100" i="6"/>
  <c r="AV116" i="6" s="1"/>
  <c r="AV132" i="6" s="1"/>
  <c r="AV148" i="6" s="1"/>
  <c r="AV163" i="6" s="1"/>
  <c r="AV179" i="6" s="1"/>
  <c r="AV195" i="6" s="1"/>
  <c r="AV211" i="6" s="1"/>
  <c r="AQ100" i="6"/>
  <c r="AQ116" i="6" s="1"/>
  <c r="AQ132" i="6" s="1"/>
  <c r="AQ148" i="6" s="1"/>
  <c r="AQ163" i="6" s="1"/>
  <c r="AQ179" i="6" s="1"/>
  <c r="AQ195" i="6" s="1"/>
  <c r="AQ211" i="6" s="1"/>
  <c r="Y100" i="6"/>
  <c r="Y116" i="6" s="1"/>
  <c r="Y132" i="6" s="1"/>
  <c r="Y148" i="6" s="1"/>
  <c r="Y163" i="6" s="1"/>
  <c r="Y179" i="6" s="1"/>
  <c r="Y195" i="6" s="1"/>
  <c r="Y211" i="6" s="1"/>
  <c r="X100" i="6"/>
  <c r="AH84" i="6"/>
  <c r="AH100" i="6" s="1"/>
  <c r="AH116" i="6" s="1"/>
  <c r="AF84" i="6"/>
  <c r="AF100" i="6" s="1"/>
  <c r="AF116" i="6" s="1"/>
  <c r="F84" i="6"/>
  <c r="F100" i="6" s="1"/>
  <c r="F116" i="6" s="1"/>
  <c r="F132" i="6" s="1"/>
  <c r="F148" i="6" s="1"/>
  <c r="F163" i="6" s="1"/>
  <c r="F179" i="6" s="1"/>
  <c r="F195" i="6" s="1"/>
  <c r="F211" i="6" s="1"/>
  <c r="E84" i="6"/>
  <c r="E100" i="6" s="1"/>
  <c r="E116" i="6" s="1"/>
  <c r="E132" i="6" s="1"/>
  <c r="E148" i="6" s="1"/>
  <c r="E163" i="6" s="1"/>
  <c r="E179" i="6" s="1"/>
  <c r="E195" i="6" s="1"/>
  <c r="E211" i="6" s="1"/>
  <c r="D84" i="6"/>
  <c r="D100" i="6" s="1"/>
  <c r="D116" i="6" s="1"/>
  <c r="D132" i="6" s="1"/>
  <c r="D148" i="6" s="1"/>
  <c r="D163" i="6" s="1"/>
  <c r="D179" i="6" s="1"/>
  <c r="AU68" i="6"/>
  <c r="AU84" i="6" s="1"/>
  <c r="AU100" i="6" s="1"/>
  <c r="AU116" i="6" s="1"/>
  <c r="AU132" i="6" s="1"/>
  <c r="AU148" i="6" s="1"/>
  <c r="AU163" i="6" s="1"/>
  <c r="AU179" i="6" s="1"/>
  <c r="AU195" i="6" s="1"/>
  <c r="AU211" i="6" s="1"/>
  <c r="AT68" i="6"/>
  <c r="AT84" i="6" s="1"/>
  <c r="AT100" i="6" s="1"/>
  <c r="AT116" i="6" s="1"/>
  <c r="AT132" i="6" s="1"/>
  <c r="AT148" i="6" s="1"/>
  <c r="AT163" i="6" s="1"/>
  <c r="AT179" i="6" s="1"/>
  <c r="AT195" i="6" s="1"/>
  <c r="AT211" i="6" s="1"/>
  <c r="AM68" i="6"/>
  <c r="AM84" i="6" s="1"/>
  <c r="AM100" i="6" s="1"/>
  <c r="AM116" i="6" s="1"/>
  <c r="AM132" i="6" s="1"/>
  <c r="AM148" i="6" s="1"/>
  <c r="AM163" i="6" s="1"/>
  <c r="AM179" i="6" s="1"/>
  <c r="AM195" i="6" s="1"/>
  <c r="AM211" i="6" s="1"/>
  <c r="AJ68" i="6"/>
  <c r="AJ84" i="6" s="1"/>
  <c r="AJ100" i="6" s="1"/>
  <c r="AJ116" i="6" s="1"/>
  <c r="AJ132" i="6" s="1"/>
  <c r="AJ148" i="6" s="1"/>
  <c r="AJ163" i="6" s="1"/>
  <c r="AJ179" i="6" s="1"/>
  <c r="AJ195" i="6" s="1"/>
  <c r="AJ211" i="6" s="1"/>
  <c r="AI68" i="6"/>
  <c r="AI84" i="6" s="1"/>
  <c r="AI100" i="6" s="1"/>
  <c r="AI116" i="6" s="1"/>
  <c r="AI132" i="6" s="1"/>
  <c r="AI148" i="6" s="1"/>
  <c r="AI163" i="6" s="1"/>
  <c r="AI179" i="6" s="1"/>
  <c r="AI195" i="6" s="1"/>
  <c r="AI211" i="6" s="1"/>
  <c r="Y68" i="6"/>
  <c r="Y84" i="6" s="1"/>
  <c r="S68" i="6"/>
  <c r="S84" i="6" s="1"/>
  <c r="S100" i="6" s="1"/>
  <c r="AZ52" i="6"/>
  <c r="AZ68" i="6" s="1"/>
  <c r="AZ84" i="6" s="1"/>
  <c r="AZ100" i="6" s="1"/>
  <c r="AZ116" i="6" s="1"/>
  <c r="AZ132" i="6" s="1"/>
  <c r="AY52" i="6"/>
  <c r="AY68" i="6" s="1"/>
  <c r="AY84" i="6" s="1"/>
  <c r="AY100" i="6" s="1"/>
  <c r="AY116" i="6" s="1"/>
  <c r="AY132" i="6" s="1"/>
  <c r="AT52" i="6"/>
  <c r="AS52" i="6"/>
  <c r="AS68" i="6" s="1"/>
  <c r="AS84" i="6" s="1"/>
  <c r="AS100" i="6" s="1"/>
  <c r="AS116" i="6" s="1"/>
  <c r="AS132" i="6" s="1"/>
  <c r="AS148" i="6" s="1"/>
  <c r="AS163" i="6" s="1"/>
  <c r="AS179" i="6" s="1"/>
  <c r="AS195" i="6" s="1"/>
  <c r="AS211" i="6" s="1"/>
  <c r="Z52" i="6"/>
  <c r="Z68" i="6" s="1"/>
  <c r="Z84" i="6" s="1"/>
  <c r="Z100" i="6" s="1"/>
  <c r="W52" i="6"/>
  <c r="W68" i="6" s="1"/>
  <c r="W84" i="6" s="1"/>
  <c r="W100" i="6" s="1"/>
  <c r="S52" i="6"/>
  <c r="N52" i="6"/>
  <c r="N68" i="6" s="1"/>
  <c r="N84" i="6" s="1"/>
  <c r="N100" i="6" s="1"/>
  <c r="N116" i="6" s="1"/>
  <c r="N132" i="6" s="1"/>
  <c r="N148" i="6" s="1"/>
  <c r="N163" i="6" s="1"/>
  <c r="N179" i="6" s="1"/>
  <c r="N195" i="6" s="1"/>
  <c r="N211" i="6" s="1"/>
  <c r="J52" i="6"/>
  <c r="J68" i="6" s="1"/>
  <c r="J84" i="6" s="1"/>
  <c r="J100" i="6" s="1"/>
  <c r="J116" i="6" s="1"/>
  <c r="J132" i="6" s="1"/>
  <c r="J148" i="6" s="1"/>
  <c r="J163" i="6" s="1"/>
  <c r="J179" i="6" s="1"/>
  <c r="J195" i="6" s="1"/>
  <c r="J211" i="6" s="1"/>
  <c r="I52" i="6"/>
  <c r="I68" i="6" s="1"/>
  <c r="I84" i="6" s="1"/>
  <c r="I100" i="6" s="1"/>
  <c r="I116" i="6" s="1"/>
  <c r="I132" i="6" s="1"/>
  <c r="I148" i="6" s="1"/>
  <c r="I163" i="6" s="1"/>
  <c r="H52" i="6"/>
  <c r="H68" i="6" s="1"/>
  <c r="H84" i="6" s="1"/>
  <c r="H100" i="6" s="1"/>
  <c r="H116" i="6" s="1"/>
  <c r="H132" i="6" s="1"/>
  <c r="H148" i="6" s="1"/>
  <c r="H163" i="6" s="1"/>
  <c r="G52" i="6"/>
  <c r="G68" i="6" s="1"/>
  <c r="G84" i="6" s="1"/>
  <c r="G100" i="6" s="1"/>
  <c r="G116" i="6" s="1"/>
  <c r="G132" i="6" s="1"/>
  <c r="G148" i="6" s="1"/>
  <c r="G163" i="6" s="1"/>
  <c r="G179" i="6" s="1"/>
  <c r="G195" i="6" s="1"/>
  <c r="G211" i="6" s="1"/>
  <c r="AY36" i="6"/>
  <c r="AV36" i="6"/>
  <c r="AV52" i="6" s="1"/>
  <c r="AV68" i="6" s="1"/>
  <c r="AV84" i="6" s="1"/>
  <c r="AL36" i="6"/>
  <c r="AL52" i="6" s="1"/>
  <c r="AL68" i="6" s="1"/>
  <c r="AL84" i="6" s="1"/>
  <c r="AL100" i="6" s="1"/>
  <c r="AL116" i="6" s="1"/>
  <c r="AL132" i="6" s="1"/>
  <c r="AL148" i="6" s="1"/>
  <c r="AL163" i="6" s="1"/>
  <c r="AL179" i="6" s="1"/>
  <c r="AL195" i="6" s="1"/>
  <c r="AL211" i="6" s="1"/>
  <c r="AJ36" i="6"/>
  <c r="AJ52" i="6" s="1"/>
  <c r="AI36" i="6"/>
  <c r="AI52" i="6" s="1"/>
  <c r="AH36" i="6"/>
  <c r="AH52" i="6" s="1"/>
  <c r="AH68" i="6" s="1"/>
  <c r="AG36" i="6"/>
  <c r="AG52" i="6" s="1"/>
  <c r="AG68" i="6" s="1"/>
  <c r="AG84" i="6" s="1"/>
  <c r="AG100" i="6" s="1"/>
  <c r="AG116" i="6" s="1"/>
  <c r="AG132" i="6" s="1"/>
  <c r="AG148" i="6" s="1"/>
  <c r="AG163" i="6" s="1"/>
  <c r="AG179" i="6" s="1"/>
  <c r="AG195" i="6" s="1"/>
  <c r="AG211" i="6" s="1"/>
  <c r="AF36" i="6"/>
  <c r="AF52" i="6" s="1"/>
  <c r="AF68" i="6" s="1"/>
  <c r="AE36" i="6"/>
  <c r="AE52" i="6" s="1"/>
  <c r="AE68" i="6" s="1"/>
  <c r="AE84" i="6" s="1"/>
  <c r="AE100" i="6" s="1"/>
  <c r="AE116" i="6" s="1"/>
  <c r="AE132" i="6" s="1"/>
  <c r="AE148" i="6" s="1"/>
  <c r="AE163" i="6" s="1"/>
  <c r="AE179" i="6" s="1"/>
  <c r="AE195" i="6" s="1"/>
  <c r="AE211" i="6" s="1"/>
  <c r="AD36" i="6"/>
  <c r="AD52" i="6" s="1"/>
  <c r="AD68" i="6" s="1"/>
  <c r="AD84" i="6" s="1"/>
  <c r="AD100" i="6" s="1"/>
  <c r="AD116" i="6" s="1"/>
  <c r="AD132" i="6" s="1"/>
  <c r="AD148" i="6" s="1"/>
  <c r="AD163" i="6" s="1"/>
  <c r="AD179" i="6" s="1"/>
  <c r="AD195" i="6" s="1"/>
  <c r="AD211" i="6" s="1"/>
  <c r="Z36" i="6"/>
  <c r="N36" i="6"/>
  <c r="M36" i="6"/>
  <c r="M52" i="6" s="1"/>
  <c r="M68" i="6" s="1"/>
  <c r="M84" i="6" s="1"/>
  <c r="M100" i="6" s="1"/>
  <c r="M116" i="6" s="1"/>
  <c r="M132" i="6" s="1"/>
  <c r="M148" i="6" s="1"/>
  <c r="M163" i="6" s="1"/>
  <c r="M179" i="6" s="1"/>
  <c r="M195" i="6" s="1"/>
  <c r="M211" i="6" s="1"/>
  <c r="L36" i="6"/>
  <c r="L52" i="6" s="1"/>
  <c r="L68" i="6" s="1"/>
  <c r="L84" i="6" s="1"/>
  <c r="L100" i="6" s="1"/>
  <c r="L116" i="6" s="1"/>
  <c r="L132" i="6" s="1"/>
  <c r="L148" i="6" s="1"/>
  <c r="L163" i="6" s="1"/>
  <c r="L179" i="6" s="1"/>
  <c r="L195" i="6" s="1"/>
  <c r="L211" i="6" s="1"/>
  <c r="K36" i="6"/>
  <c r="K52" i="6" s="1"/>
  <c r="K68" i="6" s="1"/>
  <c r="K84" i="6" s="1"/>
  <c r="K100" i="6" s="1"/>
  <c r="K116" i="6" s="1"/>
  <c r="K132" i="6" s="1"/>
  <c r="K148" i="6" s="1"/>
  <c r="K163" i="6" s="1"/>
  <c r="K179" i="6" s="1"/>
  <c r="K195" i="6" s="1"/>
  <c r="K211" i="6" s="1"/>
  <c r="J36" i="6"/>
  <c r="I36" i="6"/>
  <c r="H36" i="6"/>
  <c r="G36" i="6"/>
  <c r="F36" i="6"/>
  <c r="F52" i="6" s="1"/>
  <c r="F68" i="6" s="1"/>
  <c r="AZ20" i="6"/>
  <c r="AZ36" i="6" s="1"/>
  <c r="AY20" i="6"/>
  <c r="AX20" i="6"/>
  <c r="AX36" i="6" s="1"/>
  <c r="AX52" i="6" s="1"/>
  <c r="AX68" i="6" s="1"/>
  <c r="AX84" i="6" s="1"/>
  <c r="AX100" i="6" s="1"/>
  <c r="AX116" i="6" s="1"/>
  <c r="AX132" i="6" s="1"/>
  <c r="AW20" i="6"/>
  <c r="AW36" i="6" s="1"/>
  <c r="AW52" i="6" s="1"/>
  <c r="AW68" i="6" s="1"/>
  <c r="AW84" i="6" s="1"/>
  <c r="AW100" i="6" s="1"/>
  <c r="AW116" i="6" s="1"/>
  <c r="AW132" i="6" s="1"/>
  <c r="AV20" i="6"/>
  <c r="AU20" i="6"/>
  <c r="AU36" i="6" s="1"/>
  <c r="AU52" i="6" s="1"/>
  <c r="AT20" i="6"/>
  <c r="AT36" i="6" s="1"/>
  <c r="AS20" i="6"/>
  <c r="AS36" i="6" s="1"/>
  <c r="AR20" i="6"/>
  <c r="AR36" i="6" s="1"/>
  <c r="AR52" i="6" s="1"/>
  <c r="AR68" i="6" s="1"/>
  <c r="AR84" i="6" s="1"/>
  <c r="AR100" i="6" s="1"/>
  <c r="AR116" i="6" s="1"/>
  <c r="AR132" i="6" s="1"/>
  <c r="AR148" i="6" s="1"/>
  <c r="AR163" i="6" s="1"/>
  <c r="AR179" i="6" s="1"/>
  <c r="AR195" i="6" s="1"/>
  <c r="AR211" i="6" s="1"/>
  <c r="AQ20" i="6"/>
  <c r="AQ36" i="6" s="1"/>
  <c r="AQ52" i="6" s="1"/>
  <c r="AQ68" i="6" s="1"/>
  <c r="AQ84" i="6" s="1"/>
  <c r="AP20" i="6"/>
  <c r="AP36" i="6" s="1"/>
  <c r="AP52" i="6" s="1"/>
  <c r="AP68" i="6" s="1"/>
  <c r="AP84" i="6" s="1"/>
  <c r="AP100" i="6" s="1"/>
  <c r="AP116" i="6" s="1"/>
  <c r="AP132" i="6" s="1"/>
  <c r="AP148" i="6" s="1"/>
  <c r="AP163" i="6" s="1"/>
  <c r="AP179" i="6" s="1"/>
  <c r="AP195" i="6" s="1"/>
  <c r="AP211" i="6" s="1"/>
  <c r="AO20" i="6"/>
  <c r="AO36" i="6" s="1"/>
  <c r="AO52" i="6" s="1"/>
  <c r="AO68" i="6" s="1"/>
  <c r="AO84" i="6" s="1"/>
  <c r="AO100" i="6" s="1"/>
  <c r="AO116" i="6" s="1"/>
  <c r="AO132" i="6" s="1"/>
  <c r="AO148" i="6" s="1"/>
  <c r="AO163" i="6" s="1"/>
  <c r="AO179" i="6" s="1"/>
  <c r="AO195" i="6" s="1"/>
  <c r="AO211" i="6" s="1"/>
  <c r="AN20" i="6"/>
  <c r="AN36" i="6" s="1"/>
  <c r="AN52" i="6" s="1"/>
  <c r="AN68" i="6" s="1"/>
  <c r="AN84" i="6" s="1"/>
  <c r="AN100" i="6" s="1"/>
  <c r="AN116" i="6" s="1"/>
  <c r="AN132" i="6" s="1"/>
  <c r="AN148" i="6" s="1"/>
  <c r="AN163" i="6" s="1"/>
  <c r="AN179" i="6" s="1"/>
  <c r="AN195" i="6" s="1"/>
  <c r="AN211" i="6" s="1"/>
  <c r="AM20" i="6"/>
  <c r="AM36" i="6" s="1"/>
  <c r="AM52" i="6" s="1"/>
  <c r="AL20" i="6"/>
  <c r="AK20" i="6"/>
  <c r="AK36" i="6" s="1"/>
  <c r="AK52" i="6" s="1"/>
  <c r="AK68" i="6" s="1"/>
  <c r="AK84" i="6" s="1"/>
  <c r="AK100" i="6" s="1"/>
  <c r="AK116" i="6" s="1"/>
  <c r="AK132" i="6" s="1"/>
  <c r="AK148" i="6" s="1"/>
  <c r="AK163" i="6" s="1"/>
  <c r="AK179" i="6" s="1"/>
  <c r="AK195" i="6" s="1"/>
  <c r="AK211" i="6" s="1"/>
  <c r="AJ20" i="6"/>
  <c r="AI20" i="6"/>
  <c r="AH20" i="6"/>
  <c r="AG20" i="6"/>
  <c r="AF20" i="6"/>
  <c r="AE20" i="6"/>
  <c r="AD20" i="6"/>
  <c r="AC20" i="6"/>
  <c r="AC36" i="6" s="1"/>
  <c r="AC52" i="6" s="1"/>
  <c r="AC68" i="6" s="1"/>
  <c r="AC84" i="6" s="1"/>
  <c r="AC100" i="6" s="1"/>
  <c r="AC116" i="6" s="1"/>
  <c r="AB20" i="6"/>
  <c r="AB36" i="6" s="1"/>
  <c r="AB52" i="6" s="1"/>
  <c r="AB68" i="6" s="1"/>
  <c r="AB84" i="6" s="1"/>
  <c r="AB100" i="6" s="1"/>
  <c r="AB116" i="6" s="1"/>
  <c r="AA20" i="6"/>
  <c r="AA36" i="6" s="1"/>
  <c r="AA52" i="6" s="1"/>
  <c r="AA68" i="6" s="1"/>
  <c r="AA84" i="6" s="1"/>
  <c r="AA100" i="6" s="1"/>
  <c r="AA116" i="6" s="1"/>
  <c r="AA132" i="6" s="1"/>
  <c r="AA148" i="6" s="1"/>
  <c r="AA163" i="6" s="1"/>
  <c r="AA179" i="6" s="1"/>
  <c r="AA195" i="6" s="1"/>
  <c r="AA211" i="6" s="1"/>
  <c r="Z20" i="6"/>
  <c r="Y20" i="6"/>
  <c r="Y36" i="6" s="1"/>
  <c r="Y52" i="6" s="1"/>
  <c r="X20" i="6"/>
  <c r="X36" i="6" s="1"/>
  <c r="X52" i="6" s="1"/>
  <c r="X68" i="6" s="1"/>
  <c r="X84" i="6" s="1"/>
  <c r="W20" i="6"/>
  <c r="W36" i="6" s="1"/>
  <c r="V20" i="6"/>
  <c r="V36" i="6" s="1"/>
  <c r="V52" i="6" s="1"/>
  <c r="V68" i="6" s="1"/>
  <c r="V84" i="6" s="1"/>
  <c r="V100" i="6" s="1"/>
  <c r="V116" i="6" s="1"/>
  <c r="V132" i="6" s="1"/>
  <c r="V148" i="6" s="1"/>
  <c r="V163" i="6" s="1"/>
  <c r="V179" i="6" s="1"/>
  <c r="V195" i="6" s="1"/>
  <c r="V211" i="6" s="1"/>
  <c r="U20" i="6"/>
  <c r="U36" i="6" s="1"/>
  <c r="U52" i="6" s="1"/>
  <c r="U68" i="6" s="1"/>
  <c r="U84" i="6" s="1"/>
  <c r="U100" i="6" s="1"/>
  <c r="T20" i="6"/>
  <c r="T36" i="6" s="1"/>
  <c r="T52" i="6" s="1"/>
  <c r="T68" i="6" s="1"/>
  <c r="T84" i="6" s="1"/>
  <c r="T100" i="6" s="1"/>
  <c r="T116" i="6" s="1"/>
  <c r="T132" i="6" s="1"/>
  <c r="T148" i="6" s="1"/>
  <c r="T163" i="6" s="1"/>
  <c r="T179" i="6" s="1"/>
  <c r="T195" i="6" s="1"/>
  <c r="T211" i="6" s="1"/>
  <c r="S20" i="6"/>
  <c r="S36" i="6" s="1"/>
  <c r="R20" i="6"/>
  <c r="R36" i="6" s="1"/>
  <c r="R52" i="6" s="1"/>
  <c r="R68" i="6" s="1"/>
  <c r="R84" i="6" s="1"/>
  <c r="R100" i="6" s="1"/>
  <c r="R116" i="6" s="1"/>
  <c r="R132" i="6" s="1"/>
  <c r="R148" i="6" s="1"/>
  <c r="R163" i="6" s="1"/>
  <c r="R179" i="6" s="1"/>
  <c r="R195" i="6" s="1"/>
  <c r="R211" i="6" s="1"/>
  <c r="Q20" i="6"/>
  <c r="Q36" i="6" s="1"/>
  <c r="Q52" i="6" s="1"/>
  <c r="Q68" i="6" s="1"/>
  <c r="Q84" i="6" s="1"/>
  <c r="Q100" i="6" s="1"/>
  <c r="Q116" i="6" s="1"/>
  <c r="Q132" i="6" s="1"/>
  <c r="Q148" i="6" s="1"/>
  <c r="Q163" i="6" s="1"/>
  <c r="Q179" i="6" s="1"/>
  <c r="Q195" i="6" s="1"/>
  <c r="Q211" i="6" s="1"/>
  <c r="P20" i="6"/>
  <c r="P36" i="6" s="1"/>
  <c r="P52" i="6" s="1"/>
  <c r="P68" i="6" s="1"/>
  <c r="P84" i="6" s="1"/>
  <c r="P100" i="6" s="1"/>
  <c r="P116" i="6" s="1"/>
  <c r="P132" i="6" s="1"/>
  <c r="P148" i="6" s="1"/>
  <c r="P163" i="6" s="1"/>
  <c r="P179" i="6" s="1"/>
  <c r="P195" i="6" s="1"/>
  <c r="P211" i="6" s="1"/>
  <c r="O20" i="6"/>
  <c r="O36" i="6" s="1"/>
  <c r="O52" i="6" s="1"/>
  <c r="O68" i="6" s="1"/>
  <c r="O84" i="6" s="1"/>
  <c r="O100" i="6" s="1"/>
  <c r="O116" i="6" s="1"/>
  <c r="O132" i="6" s="1"/>
  <c r="O148" i="6" s="1"/>
  <c r="O163" i="6" s="1"/>
  <c r="O179" i="6" s="1"/>
  <c r="O195" i="6" s="1"/>
  <c r="O211" i="6" s="1"/>
  <c r="N20" i="6"/>
  <c r="M20" i="6"/>
  <c r="L20" i="6"/>
  <c r="K20" i="6"/>
  <c r="J20" i="6"/>
  <c r="I20" i="6"/>
  <c r="H20" i="6"/>
  <c r="G20" i="6"/>
  <c r="F20" i="6"/>
  <c r="E20" i="6"/>
  <c r="E36" i="6" s="1"/>
  <c r="E52" i="6" s="1"/>
  <c r="E68" i="6" s="1"/>
  <c r="D20" i="6"/>
  <c r="D36" i="6" s="1"/>
  <c r="D52" i="6" s="1"/>
  <c r="D68" i="6" s="1"/>
  <c r="C20" i="6"/>
  <c r="C36" i="6" s="1"/>
  <c r="C52" i="6" s="1"/>
  <c r="C68" i="6" s="1"/>
  <c r="C84" i="6" s="1"/>
  <c r="C100" i="6" s="1"/>
  <c r="C116" i="6" s="1"/>
  <c r="C132" i="6" s="1"/>
  <c r="C148" i="6" s="1"/>
  <c r="B20" i="6"/>
  <c r="B36" i="6" s="1"/>
  <c r="B52" i="6" s="1"/>
  <c r="B68" i="6" s="1"/>
  <c r="B84" i="6" s="1"/>
  <c r="B100" i="6" s="1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T224" i="5"/>
  <c r="S224" i="5"/>
  <c r="R224" i="5"/>
  <c r="Q224" i="5"/>
  <c r="P224" i="5"/>
  <c r="O224" i="5"/>
  <c r="N224" i="5"/>
  <c r="M224" i="5"/>
  <c r="L224" i="5"/>
  <c r="AG211" i="5"/>
  <c r="AB211" i="5"/>
  <c r="AP179" i="5"/>
  <c r="AP195" i="5" s="1"/>
  <c r="AP211" i="5" s="1"/>
  <c r="AK179" i="5"/>
  <c r="AK195" i="5" s="1"/>
  <c r="AK211" i="5" s="1"/>
  <c r="AG179" i="5"/>
  <c r="AG195" i="5" s="1"/>
  <c r="F179" i="5"/>
  <c r="F195" i="5" s="1"/>
  <c r="F211" i="5" s="1"/>
  <c r="AH163" i="5"/>
  <c r="AH179" i="5" s="1"/>
  <c r="AH195" i="5" s="1"/>
  <c r="AH211" i="5" s="1"/>
  <c r="AE163" i="5"/>
  <c r="AE179" i="5" s="1"/>
  <c r="AE195" i="5" s="1"/>
  <c r="AE211" i="5" s="1"/>
  <c r="AD163" i="5"/>
  <c r="AD179" i="5" s="1"/>
  <c r="AD195" i="5" s="1"/>
  <c r="AD211" i="5" s="1"/>
  <c r="AC163" i="5"/>
  <c r="AC179" i="5" s="1"/>
  <c r="AC195" i="5" s="1"/>
  <c r="AC211" i="5" s="1"/>
  <c r="Y148" i="5"/>
  <c r="Y163" i="5" s="1"/>
  <c r="Y179" i="5" s="1"/>
  <c r="Y195" i="5" s="1"/>
  <c r="Y211" i="5" s="1"/>
  <c r="W148" i="5"/>
  <c r="W163" i="5" s="1"/>
  <c r="W179" i="5" s="1"/>
  <c r="W195" i="5" s="1"/>
  <c r="W211" i="5" s="1"/>
  <c r="V148" i="5"/>
  <c r="V163" i="5" s="1"/>
  <c r="V179" i="5" s="1"/>
  <c r="V195" i="5" s="1"/>
  <c r="V211" i="5" s="1"/>
  <c r="AS132" i="5"/>
  <c r="AS148" i="5" s="1"/>
  <c r="AS163" i="5" s="1"/>
  <c r="AS179" i="5" s="1"/>
  <c r="AS195" i="5" s="1"/>
  <c r="AS211" i="5" s="1"/>
  <c r="AR132" i="5"/>
  <c r="AR148" i="5" s="1"/>
  <c r="AR163" i="5" s="1"/>
  <c r="AR179" i="5" s="1"/>
  <c r="AR195" i="5" s="1"/>
  <c r="AR211" i="5" s="1"/>
  <c r="AN132" i="5"/>
  <c r="AN148" i="5" s="1"/>
  <c r="AN163" i="5" s="1"/>
  <c r="AN179" i="5" s="1"/>
  <c r="AN195" i="5" s="1"/>
  <c r="AN211" i="5" s="1"/>
  <c r="AU116" i="5"/>
  <c r="AU132" i="5" s="1"/>
  <c r="AU148" i="5" s="1"/>
  <c r="AU163" i="5" s="1"/>
  <c r="AU179" i="5" s="1"/>
  <c r="AU195" i="5" s="1"/>
  <c r="AU211" i="5" s="1"/>
  <c r="AT116" i="5"/>
  <c r="AT132" i="5" s="1"/>
  <c r="AT148" i="5" s="1"/>
  <c r="AT163" i="5" s="1"/>
  <c r="AT179" i="5" s="1"/>
  <c r="AT195" i="5" s="1"/>
  <c r="AT211" i="5" s="1"/>
  <c r="V116" i="5"/>
  <c r="V132" i="5" s="1"/>
  <c r="U116" i="5"/>
  <c r="U132" i="5" s="1"/>
  <c r="U148" i="5" s="1"/>
  <c r="U163" i="5" s="1"/>
  <c r="U179" i="5" s="1"/>
  <c r="U195" i="5" s="1"/>
  <c r="U211" i="5" s="1"/>
  <c r="AM100" i="5"/>
  <c r="AM116" i="5" s="1"/>
  <c r="AM132" i="5" s="1"/>
  <c r="AM148" i="5" s="1"/>
  <c r="AM163" i="5" s="1"/>
  <c r="AM179" i="5" s="1"/>
  <c r="AM195" i="5" s="1"/>
  <c r="AM211" i="5" s="1"/>
  <c r="AG100" i="5"/>
  <c r="AG116" i="5" s="1"/>
  <c r="AG132" i="5" s="1"/>
  <c r="AG148" i="5" s="1"/>
  <c r="AG163" i="5" s="1"/>
  <c r="S100" i="5"/>
  <c r="S116" i="5" s="1"/>
  <c r="S132" i="5" s="1"/>
  <c r="S148" i="5" s="1"/>
  <c r="S163" i="5" s="1"/>
  <c r="S179" i="5" s="1"/>
  <c r="S195" i="5" s="1"/>
  <c r="S211" i="5" s="1"/>
  <c r="R100" i="5"/>
  <c r="R116" i="5" s="1"/>
  <c r="R132" i="5" s="1"/>
  <c r="R148" i="5" s="1"/>
  <c r="R163" i="5" s="1"/>
  <c r="R179" i="5" s="1"/>
  <c r="R195" i="5" s="1"/>
  <c r="R211" i="5" s="1"/>
  <c r="P100" i="5"/>
  <c r="P116" i="5" s="1"/>
  <c r="P132" i="5" s="1"/>
  <c r="P148" i="5" s="1"/>
  <c r="P163" i="5" s="1"/>
  <c r="P179" i="5" s="1"/>
  <c r="P195" i="5" s="1"/>
  <c r="P211" i="5" s="1"/>
  <c r="O100" i="5"/>
  <c r="O116" i="5" s="1"/>
  <c r="O132" i="5" s="1"/>
  <c r="O148" i="5" s="1"/>
  <c r="O163" i="5" s="1"/>
  <c r="O179" i="5" s="1"/>
  <c r="O195" i="5" s="1"/>
  <c r="O211" i="5" s="1"/>
  <c r="N100" i="5"/>
  <c r="N116" i="5" s="1"/>
  <c r="N132" i="5" s="1"/>
  <c r="N148" i="5" s="1"/>
  <c r="N163" i="5" s="1"/>
  <c r="N179" i="5" s="1"/>
  <c r="N195" i="5" s="1"/>
  <c r="N211" i="5" s="1"/>
  <c r="M100" i="5"/>
  <c r="M116" i="5" s="1"/>
  <c r="M132" i="5" s="1"/>
  <c r="M148" i="5" s="1"/>
  <c r="M163" i="5" s="1"/>
  <c r="M179" i="5" s="1"/>
  <c r="M195" i="5" s="1"/>
  <c r="M211" i="5" s="1"/>
  <c r="L100" i="5"/>
  <c r="L116" i="5" s="1"/>
  <c r="L132" i="5" s="1"/>
  <c r="L148" i="5" s="1"/>
  <c r="L163" i="5" s="1"/>
  <c r="L179" i="5" s="1"/>
  <c r="L195" i="5" s="1"/>
  <c r="L211" i="5" s="1"/>
  <c r="K100" i="5"/>
  <c r="K116" i="5" s="1"/>
  <c r="K132" i="5" s="1"/>
  <c r="K148" i="5" s="1"/>
  <c r="K163" i="5" s="1"/>
  <c r="K179" i="5" s="1"/>
  <c r="K195" i="5" s="1"/>
  <c r="K211" i="5" s="1"/>
  <c r="J100" i="5"/>
  <c r="J116" i="5" s="1"/>
  <c r="J132" i="5" s="1"/>
  <c r="J148" i="5" s="1"/>
  <c r="J163" i="5" s="1"/>
  <c r="J179" i="5" s="1"/>
  <c r="J195" i="5" s="1"/>
  <c r="J211" i="5" s="1"/>
  <c r="I100" i="5"/>
  <c r="I116" i="5" s="1"/>
  <c r="I132" i="5" s="1"/>
  <c r="I148" i="5" s="1"/>
  <c r="I163" i="5" s="1"/>
  <c r="I179" i="5" s="1"/>
  <c r="I195" i="5" s="1"/>
  <c r="I211" i="5" s="1"/>
  <c r="AN84" i="5"/>
  <c r="AN100" i="5" s="1"/>
  <c r="AN116" i="5" s="1"/>
  <c r="AM84" i="5"/>
  <c r="Z84" i="5"/>
  <c r="Z100" i="5" s="1"/>
  <c r="Z116" i="5" s="1"/>
  <c r="Z132" i="5" s="1"/>
  <c r="Z148" i="5" s="1"/>
  <c r="Z163" i="5" s="1"/>
  <c r="Z179" i="5" s="1"/>
  <c r="Z195" i="5" s="1"/>
  <c r="Z211" i="5" s="1"/>
  <c r="V84" i="5"/>
  <c r="V100" i="5" s="1"/>
  <c r="S84" i="5"/>
  <c r="R84" i="5"/>
  <c r="Q84" i="5"/>
  <c r="Q100" i="5" s="1"/>
  <c r="Q116" i="5" s="1"/>
  <c r="Q132" i="5" s="1"/>
  <c r="Q148" i="5" s="1"/>
  <c r="Q163" i="5" s="1"/>
  <c r="Q179" i="5" s="1"/>
  <c r="Q195" i="5" s="1"/>
  <c r="Q211" i="5" s="1"/>
  <c r="AU68" i="5"/>
  <c r="AU84" i="5" s="1"/>
  <c r="AU100" i="5" s="1"/>
  <c r="AR68" i="5"/>
  <c r="AR84" i="5" s="1"/>
  <c r="AR100" i="5" s="1"/>
  <c r="AR116" i="5" s="1"/>
  <c r="AP68" i="5"/>
  <c r="AP84" i="5" s="1"/>
  <c r="AP100" i="5" s="1"/>
  <c r="AP116" i="5" s="1"/>
  <c r="AP132" i="5" s="1"/>
  <c r="AP148" i="5" s="1"/>
  <c r="AP163" i="5" s="1"/>
  <c r="AG68" i="5"/>
  <c r="AG84" i="5" s="1"/>
  <c r="N68" i="5"/>
  <c r="N84" i="5" s="1"/>
  <c r="L68" i="5"/>
  <c r="L84" i="5" s="1"/>
  <c r="I68" i="5"/>
  <c r="I84" i="5" s="1"/>
  <c r="D68" i="5"/>
  <c r="D84" i="5" s="1"/>
  <c r="D100" i="5" s="1"/>
  <c r="D116" i="5" s="1"/>
  <c r="D132" i="5" s="1"/>
  <c r="D148" i="5" s="1"/>
  <c r="D163" i="5" s="1"/>
  <c r="D179" i="5" s="1"/>
  <c r="D195" i="5" s="1"/>
  <c r="D211" i="5" s="1"/>
  <c r="C68" i="5"/>
  <c r="C84" i="5" s="1"/>
  <c r="C100" i="5" s="1"/>
  <c r="C116" i="5" s="1"/>
  <c r="C132" i="5" s="1"/>
  <c r="C148" i="5" s="1"/>
  <c r="C163" i="5" s="1"/>
  <c r="C179" i="5" s="1"/>
  <c r="C195" i="5" s="1"/>
  <c r="C211" i="5" s="1"/>
  <c r="B68" i="5"/>
  <c r="B84" i="5" s="1"/>
  <c r="B100" i="5" s="1"/>
  <c r="B116" i="5" s="1"/>
  <c r="B132" i="5" s="1"/>
  <c r="B148" i="5" s="1"/>
  <c r="B163" i="5" s="1"/>
  <c r="B179" i="5" s="1"/>
  <c r="B195" i="5" s="1"/>
  <c r="B211" i="5" s="1"/>
  <c r="AZ52" i="5"/>
  <c r="AZ68" i="5" s="1"/>
  <c r="AZ84" i="5" s="1"/>
  <c r="AZ100" i="5" s="1"/>
  <c r="AZ116" i="5" s="1"/>
  <c r="AZ132" i="5" s="1"/>
  <c r="AZ148" i="5" s="1"/>
  <c r="AZ163" i="5" s="1"/>
  <c r="AZ179" i="5" s="1"/>
  <c r="AZ195" i="5" s="1"/>
  <c r="AZ211" i="5" s="1"/>
  <c r="AY52" i="5"/>
  <c r="AY68" i="5" s="1"/>
  <c r="AY84" i="5" s="1"/>
  <c r="AY100" i="5" s="1"/>
  <c r="AY116" i="5" s="1"/>
  <c r="AY132" i="5" s="1"/>
  <c r="AY148" i="5" s="1"/>
  <c r="AY163" i="5" s="1"/>
  <c r="AY179" i="5" s="1"/>
  <c r="AY195" i="5" s="1"/>
  <c r="AY211" i="5" s="1"/>
  <c r="AX52" i="5"/>
  <c r="AX68" i="5" s="1"/>
  <c r="AX84" i="5" s="1"/>
  <c r="AX100" i="5" s="1"/>
  <c r="AX116" i="5" s="1"/>
  <c r="AX132" i="5" s="1"/>
  <c r="AX148" i="5" s="1"/>
  <c r="AX163" i="5" s="1"/>
  <c r="AX179" i="5" s="1"/>
  <c r="AX195" i="5" s="1"/>
  <c r="AX211" i="5" s="1"/>
  <c r="AP52" i="5"/>
  <c r="AN52" i="5"/>
  <c r="AN68" i="5" s="1"/>
  <c r="AM52" i="5"/>
  <c r="AM68" i="5" s="1"/>
  <c r="AH52" i="5"/>
  <c r="AH68" i="5" s="1"/>
  <c r="AH84" i="5" s="1"/>
  <c r="AH100" i="5" s="1"/>
  <c r="AH116" i="5" s="1"/>
  <c r="AH132" i="5" s="1"/>
  <c r="AH148" i="5" s="1"/>
  <c r="AG52" i="5"/>
  <c r="U52" i="5"/>
  <c r="U68" i="5" s="1"/>
  <c r="U84" i="5" s="1"/>
  <c r="U100" i="5" s="1"/>
  <c r="R52" i="5"/>
  <c r="R68" i="5" s="1"/>
  <c r="P52" i="5"/>
  <c r="P68" i="5" s="1"/>
  <c r="P84" i="5" s="1"/>
  <c r="N52" i="5"/>
  <c r="M52" i="5"/>
  <c r="M68" i="5" s="1"/>
  <c r="M84" i="5" s="1"/>
  <c r="K52" i="5"/>
  <c r="K68" i="5" s="1"/>
  <c r="K84" i="5" s="1"/>
  <c r="AS36" i="5"/>
  <c r="AS52" i="5" s="1"/>
  <c r="AS68" i="5" s="1"/>
  <c r="AS84" i="5" s="1"/>
  <c r="AS100" i="5" s="1"/>
  <c r="AS116" i="5" s="1"/>
  <c r="AQ36" i="5"/>
  <c r="AQ52" i="5" s="1"/>
  <c r="AQ68" i="5" s="1"/>
  <c r="AQ84" i="5" s="1"/>
  <c r="AQ100" i="5" s="1"/>
  <c r="AQ116" i="5" s="1"/>
  <c r="AQ132" i="5" s="1"/>
  <c r="AQ148" i="5" s="1"/>
  <c r="AQ163" i="5" s="1"/>
  <c r="AQ179" i="5" s="1"/>
  <c r="AQ195" i="5" s="1"/>
  <c r="AQ211" i="5" s="1"/>
  <c r="AO36" i="5"/>
  <c r="AO52" i="5" s="1"/>
  <c r="AO68" i="5" s="1"/>
  <c r="AO84" i="5" s="1"/>
  <c r="AO100" i="5" s="1"/>
  <c r="AO116" i="5" s="1"/>
  <c r="AO132" i="5" s="1"/>
  <c r="AO148" i="5" s="1"/>
  <c r="AO163" i="5" s="1"/>
  <c r="AO179" i="5" s="1"/>
  <c r="AO195" i="5" s="1"/>
  <c r="AO211" i="5" s="1"/>
  <c r="AN36" i="5"/>
  <c r="AM36" i="5"/>
  <c r="AL36" i="5"/>
  <c r="AL52" i="5" s="1"/>
  <c r="AL68" i="5" s="1"/>
  <c r="AL84" i="5" s="1"/>
  <c r="AL100" i="5" s="1"/>
  <c r="AL116" i="5" s="1"/>
  <c r="AL132" i="5" s="1"/>
  <c r="AL148" i="5" s="1"/>
  <c r="AL163" i="5" s="1"/>
  <c r="AL179" i="5" s="1"/>
  <c r="AL195" i="5" s="1"/>
  <c r="AL211" i="5" s="1"/>
  <c r="AJ36" i="5"/>
  <c r="AJ52" i="5" s="1"/>
  <c r="AJ68" i="5" s="1"/>
  <c r="AJ84" i="5" s="1"/>
  <c r="AJ100" i="5" s="1"/>
  <c r="AJ116" i="5" s="1"/>
  <c r="AJ132" i="5" s="1"/>
  <c r="AJ148" i="5" s="1"/>
  <c r="AJ163" i="5" s="1"/>
  <c r="AJ179" i="5" s="1"/>
  <c r="AJ195" i="5" s="1"/>
  <c r="AJ211" i="5" s="1"/>
  <c r="AI36" i="5"/>
  <c r="AI52" i="5" s="1"/>
  <c r="AI68" i="5" s="1"/>
  <c r="AI84" i="5" s="1"/>
  <c r="AI100" i="5" s="1"/>
  <c r="AI116" i="5" s="1"/>
  <c r="AI132" i="5" s="1"/>
  <c r="AI148" i="5" s="1"/>
  <c r="AI163" i="5" s="1"/>
  <c r="AI179" i="5" s="1"/>
  <c r="AI195" i="5" s="1"/>
  <c r="AI211" i="5" s="1"/>
  <c r="Z36" i="5"/>
  <c r="Z52" i="5" s="1"/>
  <c r="Z68" i="5" s="1"/>
  <c r="Y36" i="5"/>
  <c r="Y52" i="5" s="1"/>
  <c r="Y68" i="5" s="1"/>
  <c r="Y84" i="5" s="1"/>
  <c r="Y100" i="5" s="1"/>
  <c r="Y116" i="5" s="1"/>
  <c r="Y132" i="5" s="1"/>
  <c r="U36" i="5"/>
  <c r="T36" i="5"/>
  <c r="T52" i="5" s="1"/>
  <c r="T68" i="5" s="1"/>
  <c r="T84" i="5" s="1"/>
  <c r="T100" i="5" s="1"/>
  <c r="T116" i="5" s="1"/>
  <c r="T132" i="5" s="1"/>
  <c r="T148" i="5" s="1"/>
  <c r="T163" i="5" s="1"/>
  <c r="T179" i="5" s="1"/>
  <c r="T195" i="5" s="1"/>
  <c r="T211" i="5" s="1"/>
  <c r="S36" i="5"/>
  <c r="S52" i="5" s="1"/>
  <c r="S68" i="5" s="1"/>
  <c r="R36" i="5"/>
  <c r="Q36" i="5"/>
  <c r="Q52" i="5" s="1"/>
  <c r="Q68" i="5" s="1"/>
  <c r="P36" i="5"/>
  <c r="O36" i="5"/>
  <c r="O52" i="5" s="1"/>
  <c r="O68" i="5" s="1"/>
  <c r="O84" i="5" s="1"/>
  <c r="N36" i="5"/>
  <c r="L36" i="5"/>
  <c r="L52" i="5" s="1"/>
  <c r="C36" i="5"/>
  <c r="C52" i="5" s="1"/>
  <c r="B36" i="5"/>
  <c r="B52" i="5" s="1"/>
  <c r="AZ20" i="5"/>
  <c r="AZ36" i="5" s="1"/>
  <c r="AY20" i="5"/>
  <c r="AY36" i="5" s="1"/>
  <c r="AX20" i="5"/>
  <c r="AX36" i="5" s="1"/>
  <c r="AW20" i="5"/>
  <c r="AW36" i="5" s="1"/>
  <c r="AW52" i="5" s="1"/>
  <c r="AW68" i="5" s="1"/>
  <c r="AW84" i="5" s="1"/>
  <c r="AW100" i="5" s="1"/>
  <c r="AW116" i="5" s="1"/>
  <c r="AW132" i="5" s="1"/>
  <c r="AW148" i="5" s="1"/>
  <c r="AW163" i="5" s="1"/>
  <c r="AW179" i="5" s="1"/>
  <c r="AW195" i="5" s="1"/>
  <c r="AW211" i="5" s="1"/>
  <c r="AV20" i="5"/>
  <c r="AV36" i="5" s="1"/>
  <c r="AV52" i="5" s="1"/>
  <c r="AV68" i="5" s="1"/>
  <c r="AV84" i="5" s="1"/>
  <c r="AV100" i="5" s="1"/>
  <c r="AV116" i="5" s="1"/>
  <c r="AV132" i="5" s="1"/>
  <c r="AV148" i="5" s="1"/>
  <c r="AV163" i="5" s="1"/>
  <c r="AV179" i="5" s="1"/>
  <c r="AV195" i="5" s="1"/>
  <c r="AV211" i="5" s="1"/>
  <c r="AU20" i="5"/>
  <c r="AU36" i="5" s="1"/>
  <c r="AU52" i="5" s="1"/>
  <c r="AT20" i="5"/>
  <c r="AT36" i="5" s="1"/>
  <c r="AT52" i="5" s="1"/>
  <c r="AT68" i="5" s="1"/>
  <c r="AT84" i="5" s="1"/>
  <c r="AT100" i="5" s="1"/>
  <c r="AS20" i="5"/>
  <c r="AR20" i="5"/>
  <c r="AR36" i="5" s="1"/>
  <c r="AR52" i="5" s="1"/>
  <c r="AQ20" i="5"/>
  <c r="AP20" i="5"/>
  <c r="AP36" i="5" s="1"/>
  <c r="AO20" i="5"/>
  <c r="AN20" i="5"/>
  <c r="AM20" i="5"/>
  <c r="AL20" i="5"/>
  <c r="AK20" i="5"/>
  <c r="AK36" i="5" s="1"/>
  <c r="AK52" i="5" s="1"/>
  <c r="AK68" i="5" s="1"/>
  <c r="AK84" i="5" s="1"/>
  <c r="AK100" i="5" s="1"/>
  <c r="AK116" i="5" s="1"/>
  <c r="AK132" i="5" s="1"/>
  <c r="AK148" i="5" s="1"/>
  <c r="AK163" i="5" s="1"/>
  <c r="AJ20" i="5"/>
  <c r="AI20" i="5"/>
  <c r="AH20" i="5"/>
  <c r="AH36" i="5" s="1"/>
  <c r="AG20" i="5"/>
  <c r="AG36" i="5" s="1"/>
  <c r="AF20" i="5"/>
  <c r="AF36" i="5" s="1"/>
  <c r="AF52" i="5" s="1"/>
  <c r="AF68" i="5" s="1"/>
  <c r="AF84" i="5" s="1"/>
  <c r="AF100" i="5" s="1"/>
  <c r="AF116" i="5" s="1"/>
  <c r="AF132" i="5" s="1"/>
  <c r="AF148" i="5" s="1"/>
  <c r="AF163" i="5" s="1"/>
  <c r="AF179" i="5" s="1"/>
  <c r="AF195" i="5" s="1"/>
  <c r="AF211" i="5" s="1"/>
  <c r="AE20" i="5"/>
  <c r="AE36" i="5" s="1"/>
  <c r="AE52" i="5" s="1"/>
  <c r="AE68" i="5" s="1"/>
  <c r="AE84" i="5" s="1"/>
  <c r="AE100" i="5" s="1"/>
  <c r="AE116" i="5" s="1"/>
  <c r="AE132" i="5" s="1"/>
  <c r="AE148" i="5" s="1"/>
  <c r="AD20" i="5"/>
  <c r="AD36" i="5" s="1"/>
  <c r="AD52" i="5" s="1"/>
  <c r="AD68" i="5" s="1"/>
  <c r="AD84" i="5" s="1"/>
  <c r="AD100" i="5" s="1"/>
  <c r="AD116" i="5" s="1"/>
  <c r="AD132" i="5" s="1"/>
  <c r="AD148" i="5" s="1"/>
  <c r="AC20" i="5"/>
  <c r="AC36" i="5" s="1"/>
  <c r="AC52" i="5" s="1"/>
  <c r="AC68" i="5" s="1"/>
  <c r="AC84" i="5" s="1"/>
  <c r="AC100" i="5" s="1"/>
  <c r="AC116" i="5" s="1"/>
  <c r="AC132" i="5" s="1"/>
  <c r="AC148" i="5" s="1"/>
  <c r="AB20" i="5"/>
  <c r="AB36" i="5" s="1"/>
  <c r="AB52" i="5" s="1"/>
  <c r="AB68" i="5" s="1"/>
  <c r="AB84" i="5" s="1"/>
  <c r="AB100" i="5" s="1"/>
  <c r="AB116" i="5" s="1"/>
  <c r="AB132" i="5" s="1"/>
  <c r="AB148" i="5" s="1"/>
  <c r="AB163" i="5" s="1"/>
  <c r="AB179" i="5" s="1"/>
  <c r="AB195" i="5" s="1"/>
  <c r="AA20" i="5"/>
  <c r="AA36" i="5" s="1"/>
  <c r="AA52" i="5" s="1"/>
  <c r="AA68" i="5" s="1"/>
  <c r="AA84" i="5" s="1"/>
  <c r="AA100" i="5" s="1"/>
  <c r="AA116" i="5" s="1"/>
  <c r="AA132" i="5" s="1"/>
  <c r="AA148" i="5" s="1"/>
  <c r="AA163" i="5" s="1"/>
  <c r="AA179" i="5" s="1"/>
  <c r="AA195" i="5" s="1"/>
  <c r="AA211" i="5" s="1"/>
  <c r="Z20" i="5"/>
  <c r="Y20" i="5"/>
  <c r="X20" i="5"/>
  <c r="X36" i="5" s="1"/>
  <c r="X52" i="5" s="1"/>
  <c r="X68" i="5" s="1"/>
  <c r="X84" i="5" s="1"/>
  <c r="X100" i="5" s="1"/>
  <c r="X116" i="5" s="1"/>
  <c r="X132" i="5" s="1"/>
  <c r="X148" i="5" s="1"/>
  <c r="X163" i="5" s="1"/>
  <c r="X179" i="5" s="1"/>
  <c r="X195" i="5" s="1"/>
  <c r="X211" i="5" s="1"/>
  <c r="W20" i="5"/>
  <c r="W36" i="5" s="1"/>
  <c r="W52" i="5" s="1"/>
  <c r="W68" i="5" s="1"/>
  <c r="W84" i="5" s="1"/>
  <c r="W100" i="5" s="1"/>
  <c r="W116" i="5" s="1"/>
  <c r="W132" i="5" s="1"/>
  <c r="V20" i="5"/>
  <c r="V36" i="5" s="1"/>
  <c r="V52" i="5" s="1"/>
  <c r="V68" i="5" s="1"/>
  <c r="U20" i="5"/>
  <c r="T20" i="5"/>
  <c r="S20" i="5"/>
  <c r="R20" i="5"/>
  <c r="Q20" i="5"/>
  <c r="P20" i="5"/>
  <c r="O20" i="5"/>
  <c r="N20" i="5"/>
  <c r="M20" i="5"/>
  <c r="M36" i="5" s="1"/>
  <c r="L20" i="5"/>
  <c r="K20" i="5"/>
  <c r="K36" i="5" s="1"/>
  <c r="J20" i="5"/>
  <c r="J36" i="5" s="1"/>
  <c r="J52" i="5" s="1"/>
  <c r="J68" i="5" s="1"/>
  <c r="J84" i="5" s="1"/>
  <c r="I20" i="5"/>
  <c r="I36" i="5" s="1"/>
  <c r="I52" i="5" s="1"/>
  <c r="H20" i="5"/>
  <c r="H36" i="5" s="1"/>
  <c r="H52" i="5" s="1"/>
  <c r="H68" i="5" s="1"/>
  <c r="H84" i="5" s="1"/>
  <c r="H100" i="5" s="1"/>
  <c r="H116" i="5" s="1"/>
  <c r="H132" i="5" s="1"/>
  <c r="H148" i="5" s="1"/>
  <c r="H163" i="5" s="1"/>
  <c r="H179" i="5" s="1"/>
  <c r="H195" i="5" s="1"/>
  <c r="H211" i="5" s="1"/>
  <c r="G20" i="5"/>
  <c r="G36" i="5" s="1"/>
  <c r="G52" i="5" s="1"/>
  <c r="G68" i="5" s="1"/>
  <c r="G84" i="5" s="1"/>
  <c r="G100" i="5" s="1"/>
  <c r="G116" i="5" s="1"/>
  <c r="G132" i="5" s="1"/>
  <c r="G148" i="5" s="1"/>
  <c r="G163" i="5" s="1"/>
  <c r="G179" i="5" s="1"/>
  <c r="G195" i="5" s="1"/>
  <c r="G211" i="5" s="1"/>
  <c r="F20" i="5"/>
  <c r="F36" i="5" s="1"/>
  <c r="F52" i="5" s="1"/>
  <c r="F68" i="5" s="1"/>
  <c r="F84" i="5" s="1"/>
  <c r="F100" i="5" s="1"/>
  <c r="F116" i="5" s="1"/>
  <c r="F132" i="5" s="1"/>
  <c r="F148" i="5" s="1"/>
  <c r="F163" i="5" s="1"/>
  <c r="E20" i="5"/>
  <c r="E36" i="5" s="1"/>
  <c r="E52" i="5" s="1"/>
  <c r="E68" i="5" s="1"/>
  <c r="E84" i="5" s="1"/>
  <c r="E100" i="5" s="1"/>
  <c r="E116" i="5" s="1"/>
  <c r="E132" i="5" s="1"/>
  <c r="E148" i="5" s="1"/>
  <c r="E163" i="5" s="1"/>
  <c r="E179" i="5" s="1"/>
  <c r="E195" i="5" s="1"/>
  <c r="E211" i="5" s="1"/>
  <c r="D20" i="5"/>
  <c r="D36" i="5" s="1"/>
  <c r="D52" i="5" s="1"/>
  <c r="C20" i="5"/>
  <c r="B20" i="5"/>
  <c r="T17" i="5"/>
  <c r="S17" i="5"/>
  <c r="R17" i="5"/>
  <c r="Q17" i="5"/>
  <c r="P17" i="5"/>
  <c r="N17" i="5"/>
  <c r="M17" i="5"/>
  <c r="K17" i="5"/>
  <c r="Y12" i="5"/>
  <c r="Y17" i="5" s="1"/>
  <c r="X12" i="5"/>
  <c r="W12" i="5"/>
  <c r="W17" i="5" s="1"/>
  <c r="V12" i="5"/>
  <c r="U12" i="5"/>
  <c r="U17" i="5" s="1"/>
  <c r="T12" i="5"/>
  <c r="S12" i="5"/>
  <c r="R12" i="5"/>
  <c r="Q12" i="5"/>
  <c r="P12" i="5"/>
  <c r="O12" i="5"/>
  <c r="O17" i="5" s="1"/>
  <c r="N12" i="5"/>
  <c r="M12" i="5"/>
  <c r="L12" i="5"/>
  <c r="L17" i="5" s="1"/>
  <c r="K12" i="5"/>
  <c r="J12" i="5"/>
  <c r="J17" i="5" s="1"/>
  <c r="I12" i="5"/>
  <c r="H12" i="5"/>
  <c r="G12" i="5"/>
  <c r="F12" i="5"/>
  <c r="E12" i="5"/>
  <c r="D12" i="5"/>
  <c r="AZ4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Z12" i="5" s="1"/>
  <c r="Y4" i="5"/>
  <c r="X4" i="5"/>
  <c r="X17" i="5" s="1"/>
  <c r="W4" i="5"/>
  <c r="V4" i="5"/>
  <c r="V17" i="5" s="1"/>
  <c r="U4" i="5"/>
  <c r="K4" i="5"/>
  <c r="J4" i="5"/>
  <c r="I4" i="5"/>
  <c r="H4" i="5"/>
  <c r="G4" i="5"/>
  <c r="F4" i="5"/>
  <c r="E4" i="5"/>
  <c r="D4" i="5"/>
  <c r="C4" i="5"/>
  <c r="B4" i="5"/>
  <c r="T224" i="4"/>
  <c r="S224" i="4"/>
  <c r="R224" i="4"/>
  <c r="Q224" i="4"/>
  <c r="P224" i="4"/>
  <c r="O224" i="4"/>
  <c r="N224" i="4"/>
  <c r="M224" i="4"/>
  <c r="L224" i="4"/>
  <c r="AF211" i="4"/>
  <c r="AE211" i="4"/>
  <c r="Z195" i="4"/>
  <c r="Z211" i="4" s="1"/>
  <c r="AE179" i="4"/>
  <c r="AE195" i="4" s="1"/>
  <c r="T179" i="4"/>
  <c r="T195" i="4" s="1"/>
  <c r="T211" i="4" s="1"/>
  <c r="S179" i="4"/>
  <c r="S195" i="4" s="1"/>
  <c r="S211" i="4" s="1"/>
  <c r="P179" i="4"/>
  <c r="P195" i="4" s="1"/>
  <c r="P211" i="4" s="1"/>
  <c r="O179" i="4"/>
  <c r="O195" i="4" s="1"/>
  <c r="O211" i="4" s="1"/>
  <c r="N179" i="4"/>
  <c r="N195" i="4" s="1"/>
  <c r="N211" i="4" s="1"/>
  <c r="M179" i="4"/>
  <c r="M195" i="4" s="1"/>
  <c r="M211" i="4" s="1"/>
  <c r="L179" i="4"/>
  <c r="L195" i="4" s="1"/>
  <c r="L211" i="4" s="1"/>
  <c r="T163" i="4"/>
  <c r="R163" i="4"/>
  <c r="R179" i="4" s="1"/>
  <c r="R195" i="4" s="1"/>
  <c r="R211" i="4" s="1"/>
  <c r="Q163" i="4"/>
  <c r="Q179" i="4" s="1"/>
  <c r="Q195" i="4" s="1"/>
  <c r="Q211" i="4" s="1"/>
  <c r="AC148" i="4"/>
  <c r="AC163" i="4" s="1"/>
  <c r="AC179" i="4" s="1"/>
  <c r="AC195" i="4" s="1"/>
  <c r="AC211" i="4" s="1"/>
  <c r="F148" i="4"/>
  <c r="F163" i="4" s="1"/>
  <c r="F179" i="4" s="1"/>
  <c r="F195" i="4" s="1"/>
  <c r="F211" i="4" s="1"/>
  <c r="D148" i="4"/>
  <c r="D163" i="4" s="1"/>
  <c r="D179" i="4" s="1"/>
  <c r="D195" i="4" s="1"/>
  <c r="D211" i="4" s="1"/>
  <c r="K132" i="4"/>
  <c r="K148" i="4" s="1"/>
  <c r="K163" i="4" s="1"/>
  <c r="K179" i="4" s="1"/>
  <c r="K195" i="4" s="1"/>
  <c r="K211" i="4" s="1"/>
  <c r="AJ116" i="4"/>
  <c r="AJ132" i="4" s="1"/>
  <c r="AJ148" i="4" s="1"/>
  <c r="AJ163" i="4" s="1"/>
  <c r="AJ179" i="4" s="1"/>
  <c r="AJ195" i="4" s="1"/>
  <c r="AJ211" i="4" s="1"/>
  <c r="AF116" i="4"/>
  <c r="AF132" i="4" s="1"/>
  <c r="AF148" i="4" s="1"/>
  <c r="AF163" i="4" s="1"/>
  <c r="AF179" i="4" s="1"/>
  <c r="AF195" i="4" s="1"/>
  <c r="AE116" i="4"/>
  <c r="AE132" i="4" s="1"/>
  <c r="AE148" i="4" s="1"/>
  <c r="AE163" i="4" s="1"/>
  <c r="J116" i="4"/>
  <c r="J132" i="4" s="1"/>
  <c r="J148" i="4" s="1"/>
  <c r="J163" i="4" s="1"/>
  <c r="J179" i="4" s="1"/>
  <c r="J195" i="4" s="1"/>
  <c r="J211" i="4" s="1"/>
  <c r="E116" i="4"/>
  <c r="E132" i="4" s="1"/>
  <c r="E148" i="4" s="1"/>
  <c r="E163" i="4" s="1"/>
  <c r="E179" i="4" s="1"/>
  <c r="E195" i="4" s="1"/>
  <c r="E211" i="4" s="1"/>
  <c r="D116" i="4"/>
  <c r="D132" i="4" s="1"/>
  <c r="C116" i="4"/>
  <c r="C132" i="4" s="1"/>
  <c r="C148" i="4" s="1"/>
  <c r="C163" i="4" s="1"/>
  <c r="C179" i="4" s="1"/>
  <c r="C195" i="4" s="1"/>
  <c r="C211" i="4" s="1"/>
  <c r="B116" i="4"/>
  <c r="B132" i="4" s="1"/>
  <c r="B148" i="4" s="1"/>
  <c r="B163" i="4" s="1"/>
  <c r="B179" i="4" s="1"/>
  <c r="B195" i="4" s="1"/>
  <c r="B211" i="4" s="1"/>
  <c r="AQ100" i="4"/>
  <c r="AQ116" i="4" s="1"/>
  <c r="AQ132" i="4" s="1"/>
  <c r="AQ148" i="4" s="1"/>
  <c r="AQ163" i="4" s="1"/>
  <c r="AQ179" i="4" s="1"/>
  <c r="AQ195" i="4" s="1"/>
  <c r="AQ211" i="4" s="1"/>
  <c r="AP100" i="4"/>
  <c r="AP116" i="4" s="1"/>
  <c r="AP132" i="4" s="1"/>
  <c r="AP148" i="4" s="1"/>
  <c r="AP163" i="4" s="1"/>
  <c r="AP179" i="4" s="1"/>
  <c r="AP195" i="4" s="1"/>
  <c r="AP211" i="4" s="1"/>
  <c r="AO100" i="4"/>
  <c r="AO116" i="4" s="1"/>
  <c r="AO132" i="4" s="1"/>
  <c r="AO148" i="4" s="1"/>
  <c r="AO163" i="4" s="1"/>
  <c r="AO179" i="4" s="1"/>
  <c r="AO195" i="4" s="1"/>
  <c r="AO211" i="4" s="1"/>
  <c r="AI100" i="4"/>
  <c r="AI116" i="4" s="1"/>
  <c r="AI132" i="4" s="1"/>
  <c r="AI148" i="4" s="1"/>
  <c r="AI163" i="4" s="1"/>
  <c r="AI179" i="4" s="1"/>
  <c r="AI195" i="4" s="1"/>
  <c r="AI211" i="4" s="1"/>
  <c r="J100" i="4"/>
  <c r="AI84" i="4"/>
  <c r="AD84" i="4"/>
  <c r="AD100" i="4" s="1"/>
  <c r="AD116" i="4" s="1"/>
  <c r="AD132" i="4" s="1"/>
  <c r="AD148" i="4" s="1"/>
  <c r="AD163" i="4" s="1"/>
  <c r="AD179" i="4" s="1"/>
  <c r="AD195" i="4" s="1"/>
  <c r="AD211" i="4" s="1"/>
  <c r="AC84" i="4"/>
  <c r="AC100" i="4" s="1"/>
  <c r="AC116" i="4" s="1"/>
  <c r="AC132" i="4" s="1"/>
  <c r="F84" i="4"/>
  <c r="F100" i="4" s="1"/>
  <c r="F116" i="4" s="1"/>
  <c r="F132" i="4" s="1"/>
  <c r="AQ68" i="4"/>
  <c r="AQ84" i="4" s="1"/>
  <c r="AO68" i="4"/>
  <c r="AO84" i="4" s="1"/>
  <c r="AN68" i="4"/>
  <c r="AN84" i="4" s="1"/>
  <c r="AN100" i="4" s="1"/>
  <c r="AN116" i="4" s="1"/>
  <c r="AN132" i="4" s="1"/>
  <c r="AN148" i="4" s="1"/>
  <c r="AN163" i="4" s="1"/>
  <c r="AN179" i="4" s="1"/>
  <c r="AN195" i="4" s="1"/>
  <c r="AN211" i="4" s="1"/>
  <c r="AM68" i="4"/>
  <c r="AM84" i="4" s="1"/>
  <c r="AM100" i="4" s="1"/>
  <c r="AM116" i="4" s="1"/>
  <c r="AM132" i="4" s="1"/>
  <c r="AM148" i="4" s="1"/>
  <c r="AM163" i="4" s="1"/>
  <c r="AM179" i="4" s="1"/>
  <c r="AM195" i="4" s="1"/>
  <c r="AM211" i="4" s="1"/>
  <c r="AL68" i="4"/>
  <c r="AL84" i="4" s="1"/>
  <c r="AL100" i="4" s="1"/>
  <c r="AL116" i="4" s="1"/>
  <c r="AL132" i="4" s="1"/>
  <c r="AL148" i="4" s="1"/>
  <c r="AL163" i="4" s="1"/>
  <c r="AL179" i="4" s="1"/>
  <c r="AL195" i="4" s="1"/>
  <c r="AL211" i="4" s="1"/>
  <c r="AG68" i="4"/>
  <c r="AG84" i="4" s="1"/>
  <c r="AG100" i="4" s="1"/>
  <c r="AG116" i="4" s="1"/>
  <c r="AG132" i="4" s="1"/>
  <c r="AG148" i="4" s="1"/>
  <c r="AG163" i="4" s="1"/>
  <c r="AG179" i="4" s="1"/>
  <c r="AG195" i="4" s="1"/>
  <c r="AG211" i="4" s="1"/>
  <c r="AA68" i="4"/>
  <c r="AA84" i="4" s="1"/>
  <c r="AA100" i="4" s="1"/>
  <c r="AA116" i="4" s="1"/>
  <c r="AA132" i="4" s="1"/>
  <c r="AA148" i="4" s="1"/>
  <c r="AA163" i="4" s="1"/>
  <c r="AA179" i="4" s="1"/>
  <c r="AA195" i="4" s="1"/>
  <c r="AA211" i="4" s="1"/>
  <c r="R68" i="4"/>
  <c r="R84" i="4" s="1"/>
  <c r="R100" i="4" s="1"/>
  <c r="R116" i="4" s="1"/>
  <c r="R132" i="4" s="1"/>
  <c r="R148" i="4" s="1"/>
  <c r="Q68" i="4"/>
  <c r="Q84" i="4" s="1"/>
  <c r="Q100" i="4" s="1"/>
  <c r="Q116" i="4" s="1"/>
  <c r="Q132" i="4" s="1"/>
  <c r="Q148" i="4" s="1"/>
  <c r="F68" i="4"/>
  <c r="D68" i="4"/>
  <c r="D84" i="4" s="1"/>
  <c r="D100" i="4" s="1"/>
  <c r="AL52" i="4"/>
  <c r="AJ52" i="4"/>
  <c r="AJ68" i="4" s="1"/>
  <c r="AJ84" i="4" s="1"/>
  <c r="AJ100" i="4" s="1"/>
  <c r="AC52" i="4"/>
  <c r="AC68" i="4" s="1"/>
  <c r="AB52" i="4"/>
  <c r="AB68" i="4" s="1"/>
  <c r="AB84" i="4" s="1"/>
  <c r="AB100" i="4" s="1"/>
  <c r="AB116" i="4" s="1"/>
  <c r="AB132" i="4" s="1"/>
  <c r="AB148" i="4" s="1"/>
  <c r="AB163" i="4" s="1"/>
  <c r="AB179" i="4" s="1"/>
  <c r="AB195" i="4" s="1"/>
  <c r="AB211" i="4" s="1"/>
  <c r="Z52" i="4"/>
  <c r="Z68" i="4" s="1"/>
  <c r="Z84" i="4" s="1"/>
  <c r="Z100" i="4" s="1"/>
  <c r="Z116" i="4" s="1"/>
  <c r="Z132" i="4" s="1"/>
  <c r="Z148" i="4" s="1"/>
  <c r="Z163" i="4" s="1"/>
  <c r="Z179" i="4" s="1"/>
  <c r="Y52" i="4"/>
  <c r="Y68" i="4" s="1"/>
  <c r="Y84" i="4" s="1"/>
  <c r="Y100" i="4" s="1"/>
  <c r="Y116" i="4" s="1"/>
  <c r="Y132" i="4" s="1"/>
  <c r="Y148" i="4" s="1"/>
  <c r="Y163" i="4" s="1"/>
  <c r="Y179" i="4" s="1"/>
  <c r="Y195" i="4" s="1"/>
  <c r="Y211" i="4" s="1"/>
  <c r="X52" i="4"/>
  <c r="X68" i="4" s="1"/>
  <c r="X84" i="4" s="1"/>
  <c r="X100" i="4" s="1"/>
  <c r="X116" i="4" s="1"/>
  <c r="X132" i="4" s="1"/>
  <c r="X148" i="4" s="1"/>
  <c r="X163" i="4" s="1"/>
  <c r="X179" i="4" s="1"/>
  <c r="X195" i="4" s="1"/>
  <c r="X211" i="4" s="1"/>
  <c r="W52" i="4"/>
  <c r="W68" i="4" s="1"/>
  <c r="W84" i="4" s="1"/>
  <c r="W100" i="4" s="1"/>
  <c r="W116" i="4" s="1"/>
  <c r="W132" i="4" s="1"/>
  <c r="W148" i="4" s="1"/>
  <c r="W163" i="4" s="1"/>
  <c r="W179" i="4" s="1"/>
  <c r="W195" i="4" s="1"/>
  <c r="W211" i="4" s="1"/>
  <c r="V52" i="4"/>
  <c r="V68" i="4" s="1"/>
  <c r="V84" i="4" s="1"/>
  <c r="V100" i="4" s="1"/>
  <c r="V116" i="4" s="1"/>
  <c r="V132" i="4" s="1"/>
  <c r="V148" i="4" s="1"/>
  <c r="V163" i="4" s="1"/>
  <c r="V179" i="4" s="1"/>
  <c r="V195" i="4" s="1"/>
  <c r="V211" i="4" s="1"/>
  <c r="S52" i="4"/>
  <c r="S68" i="4" s="1"/>
  <c r="S84" i="4" s="1"/>
  <c r="S100" i="4" s="1"/>
  <c r="S116" i="4" s="1"/>
  <c r="S132" i="4" s="1"/>
  <c r="S148" i="4" s="1"/>
  <c r="S163" i="4" s="1"/>
  <c r="F52" i="4"/>
  <c r="D52" i="4"/>
  <c r="AQ36" i="4"/>
  <c r="AQ52" i="4" s="1"/>
  <c r="AP36" i="4"/>
  <c r="AP52" i="4" s="1"/>
  <c r="AP68" i="4" s="1"/>
  <c r="AP84" i="4" s="1"/>
  <c r="AO36" i="4"/>
  <c r="AO52" i="4" s="1"/>
  <c r="AN36" i="4"/>
  <c r="AN52" i="4" s="1"/>
  <c r="AM36" i="4"/>
  <c r="AM52" i="4" s="1"/>
  <c r="AL36" i="4"/>
  <c r="AK36" i="4"/>
  <c r="AK52" i="4" s="1"/>
  <c r="AK68" i="4" s="1"/>
  <c r="AK84" i="4" s="1"/>
  <c r="AK100" i="4" s="1"/>
  <c r="AK116" i="4" s="1"/>
  <c r="AK132" i="4" s="1"/>
  <c r="AK148" i="4" s="1"/>
  <c r="AK163" i="4" s="1"/>
  <c r="AK179" i="4" s="1"/>
  <c r="AK195" i="4" s="1"/>
  <c r="AK211" i="4" s="1"/>
  <c r="AJ36" i="4"/>
  <c r="AI36" i="4"/>
  <c r="AI52" i="4" s="1"/>
  <c r="AI68" i="4" s="1"/>
  <c r="AH36" i="4"/>
  <c r="AH52" i="4" s="1"/>
  <c r="AH68" i="4" s="1"/>
  <c r="AH84" i="4" s="1"/>
  <c r="AH100" i="4" s="1"/>
  <c r="AH116" i="4" s="1"/>
  <c r="AH132" i="4" s="1"/>
  <c r="AH148" i="4" s="1"/>
  <c r="AH163" i="4" s="1"/>
  <c r="AH179" i="4" s="1"/>
  <c r="AH195" i="4" s="1"/>
  <c r="AH211" i="4" s="1"/>
  <c r="AC36" i="4"/>
  <c r="AB36" i="4"/>
  <c r="AA36" i="4"/>
  <c r="AA52" i="4" s="1"/>
  <c r="Z36" i="4"/>
  <c r="W36" i="4"/>
  <c r="V36" i="4"/>
  <c r="U36" i="4"/>
  <c r="U52" i="4" s="1"/>
  <c r="U68" i="4" s="1"/>
  <c r="U84" i="4" s="1"/>
  <c r="U100" i="4" s="1"/>
  <c r="U116" i="4" s="1"/>
  <c r="U132" i="4" s="1"/>
  <c r="U148" i="4" s="1"/>
  <c r="U163" i="4" s="1"/>
  <c r="U179" i="4" s="1"/>
  <c r="U195" i="4" s="1"/>
  <c r="U211" i="4" s="1"/>
  <c r="S36" i="4"/>
  <c r="R36" i="4"/>
  <c r="R52" i="4" s="1"/>
  <c r="Q36" i="4"/>
  <c r="Q52" i="4" s="1"/>
  <c r="P36" i="4"/>
  <c r="P52" i="4" s="1"/>
  <c r="P68" i="4" s="1"/>
  <c r="P84" i="4" s="1"/>
  <c r="P100" i="4" s="1"/>
  <c r="P116" i="4" s="1"/>
  <c r="P132" i="4" s="1"/>
  <c r="P148" i="4" s="1"/>
  <c r="P163" i="4" s="1"/>
  <c r="O36" i="4"/>
  <c r="O52" i="4" s="1"/>
  <c r="O68" i="4" s="1"/>
  <c r="O84" i="4" s="1"/>
  <c r="O100" i="4" s="1"/>
  <c r="O116" i="4" s="1"/>
  <c r="O132" i="4" s="1"/>
  <c r="O148" i="4" s="1"/>
  <c r="O163" i="4" s="1"/>
  <c r="N36" i="4"/>
  <c r="N52" i="4" s="1"/>
  <c r="N68" i="4" s="1"/>
  <c r="N84" i="4" s="1"/>
  <c r="N100" i="4" s="1"/>
  <c r="N116" i="4" s="1"/>
  <c r="N132" i="4" s="1"/>
  <c r="N148" i="4" s="1"/>
  <c r="N163" i="4" s="1"/>
  <c r="M36" i="4"/>
  <c r="M52" i="4" s="1"/>
  <c r="M68" i="4" s="1"/>
  <c r="M84" i="4" s="1"/>
  <c r="M100" i="4" s="1"/>
  <c r="M116" i="4" s="1"/>
  <c r="M132" i="4" s="1"/>
  <c r="M148" i="4" s="1"/>
  <c r="M163" i="4" s="1"/>
  <c r="L36" i="4"/>
  <c r="L52" i="4" s="1"/>
  <c r="L68" i="4" s="1"/>
  <c r="L84" i="4" s="1"/>
  <c r="L100" i="4" s="1"/>
  <c r="L116" i="4" s="1"/>
  <c r="L132" i="4" s="1"/>
  <c r="L148" i="4" s="1"/>
  <c r="L163" i="4" s="1"/>
  <c r="K36" i="4"/>
  <c r="K52" i="4" s="1"/>
  <c r="K68" i="4" s="1"/>
  <c r="K84" i="4" s="1"/>
  <c r="K100" i="4" s="1"/>
  <c r="K116" i="4" s="1"/>
  <c r="G36" i="4"/>
  <c r="G52" i="4" s="1"/>
  <c r="G68" i="4" s="1"/>
  <c r="G84" i="4" s="1"/>
  <c r="G100" i="4" s="1"/>
  <c r="G116" i="4" s="1"/>
  <c r="G132" i="4" s="1"/>
  <c r="G148" i="4" s="1"/>
  <c r="G163" i="4" s="1"/>
  <c r="G179" i="4" s="1"/>
  <c r="G195" i="4" s="1"/>
  <c r="G211" i="4" s="1"/>
  <c r="F36" i="4"/>
  <c r="E36" i="4"/>
  <c r="E52" i="4" s="1"/>
  <c r="E68" i="4" s="1"/>
  <c r="E84" i="4" s="1"/>
  <c r="E100" i="4" s="1"/>
  <c r="D36" i="4"/>
  <c r="AQ20" i="4"/>
  <c r="AP20" i="4"/>
  <c r="AO20" i="4"/>
  <c r="AN20" i="4"/>
  <c r="AM20" i="4"/>
  <c r="AL20" i="4"/>
  <c r="AK20" i="4"/>
  <c r="AJ20" i="4"/>
  <c r="AI20" i="4"/>
  <c r="AH20" i="4"/>
  <c r="AG20" i="4"/>
  <c r="AG36" i="4" s="1"/>
  <c r="AG52" i="4" s="1"/>
  <c r="AF20" i="4"/>
  <c r="AF36" i="4" s="1"/>
  <c r="AF52" i="4" s="1"/>
  <c r="AF68" i="4" s="1"/>
  <c r="AF84" i="4" s="1"/>
  <c r="AF100" i="4" s="1"/>
  <c r="AE20" i="4"/>
  <c r="AE36" i="4" s="1"/>
  <c r="AE52" i="4" s="1"/>
  <c r="AE68" i="4" s="1"/>
  <c r="AE84" i="4" s="1"/>
  <c r="AE100" i="4" s="1"/>
  <c r="AD20" i="4"/>
  <c r="AD36" i="4" s="1"/>
  <c r="AD52" i="4" s="1"/>
  <c r="AD68" i="4" s="1"/>
  <c r="AC20" i="4"/>
  <c r="AB20" i="4"/>
  <c r="AA20" i="4"/>
  <c r="Z20" i="4"/>
  <c r="Y20" i="4"/>
  <c r="Y36" i="4" s="1"/>
  <c r="X20" i="4"/>
  <c r="X36" i="4" s="1"/>
  <c r="W20" i="4"/>
  <c r="V20" i="4"/>
  <c r="U20" i="4"/>
  <c r="T20" i="4"/>
  <c r="T36" i="4" s="1"/>
  <c r="T52" i="4" s="1"/>
  <c r="T68" i="4" s="1"/>
  <c r="T84" i="4" s="1"/>
  <c r="T100" i="4" s="1"/>
  <c r="T116" i="4" s="1"/>
  <c r="T132" i="4" s="1"/>
  <c r="T148" i="4" s="1"/>
  <c r="S20" i="4"/>
  <c r="R20" i="4"/>
  <c r="Q20" i="4"/>
  <c r="P20" i="4"/>
  <c r="O20" i="4"/>
  <c r="N20" i="4"/>
  <c r="M20" i="4"/>
  <c r="L20" i="4"/>
  <c r="K20" i="4"/>
  <c r="J20" i="4"/>
  <c r="J36" i="4" s="1"/>
  <c r="J52" i="4" s="1"/>
  <c r="J68" i="4" s="1"/>
  <c r="J84" i="4" s="1"/>
  <c r="I20" i="4"/>
  <c r="I36" i="4" s="1"/>
  <c r="I52" i="4" s="1"/>
  <c r="I68" i="4" s="1"/>
  <c r="I84" i="4" s="1"/>
  <c r="I100" i="4" s="1"/>
  <c r="I116" i="4" s="1"/>
  <c r="I132" i="4" s="1"/>
  <c r="I148" i="4" s="1"/>
  <c r="I163" i="4" s="1"/>
  <c r="I179" i="4" s="1"/>
  <c r="I195" i="4" s="1"/>
  <c r="I211" i="4" s="1"/>
  <c r="H20" i="4"/>
  <c r="H36" i="4" s="1"/>
  <c r="H52" i="4" s="1"/>
  <c r="H68" i="4" s="1"/>
  <c r="H84" i="4" s="1"/>
  <c r="H100" i="4" s="1"/>
  <c r="H116" i="4" s="1"/>
  <c r="H132" i="4" s="1"/>
  <c r="H148" i="4" s="1"/>
  <c r="H163" i="4" s="1"/>
  <c r="H179" i="4" s="1"/>
  <c r="H195" i="4" s="1"/>
  <c r="H211" i="4" s="1"/>
  <c r="G20" i="4"/>
  <c r="F20" i="4"/>
  <c r="E20" i="4"/>
  <c r="D20" i="4"/>
  <c r="C20" i="4"/>
  <c r="C36" i="4" s="1"/>
  <c r="C52" i="4" s="1"/>
  <c r="C68" i="4" s="1"/>
  <c r="C84" i="4" s="1"/>
  <c r="C100" i="4" s="1"/>
  <c r="B20" i="4"/>
  <c r="B36" i="4" s="1"/>
  <c r="B52" i="4" s="1"/>
  <c r="B68" i="4" s="1"/>
  <c r="B84" i="4" s="1"/>
  <c r="B100" i="4" s="1"/>
  <c r="W17" i="4"/>
  <c r="V17" i="4"/>
  <c r="S17" i="4"/>
  <c r="R17" i="4"/>
  <c r="Q17" i="4"/>
  <c r="P17" i="4"/>
  <c r="W12" i="4"/>
  <c r="V12" i="4"/>
  <c r="U12" i="4"/>
  <c r="T12" i="4"/>
  <c r="T17" i="4" s="1"/>
  <c r="S12" i="4"/>
  <c r="R12" i="4"/>
  <c r="Q12" i="4"/>
  <c r="P12" i="4"/>
  <c r="O12" i="4"/>
  <c r="O17" i="4" s="1"/>
  <c r="N12" i="4"/>
  <c r="N17" i="4" s="1"/>
  <c r="M12" i="4"/>
  <c r="M17" i="4" s="1"/>
  <c r="L12" i="4"/>
  <c r="L17" i="4" s="1"/>
  <c r="K12" i="4"/>
  <c r="K17" i="4" s="1"/>
  <c r="J12" i="4"/>
  <c r="J17" i="4" s="1"/>
  <c r="I12" i="4"/>
  <c r="I17" i="4" s="1"/>
  <c r="H12" i="4"/>
  <c r="H17" i="4" s="1"/>
  <c r="G12" i="4"/>
  <c r="G17" i="4" s="1"/>
  <c r="F12" i="4"/>
  <c r="F17" i="4" s="1"/>
  <c r="E12" i="4"/>
  <c r="D12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X12" i="4" s="1"/>
  <c r="W4" i="4"/>
  <c r="V4" i="4"/>
  <c r="U4" i="4"/>
  <c r="U17" i="4" s="1"/>
  <c r="K4" i="4"/>
  <c r="J4" i="4"/>
  <c r="I4" i="4"/>
  <c r="H4" i="4"/>
  <c r="G4" i="4"/>
  <c r="F4" i="4"/>
  <c r="E4" i="4"/>
  <c r="D4" i="4"/>
  <c r="C4" i="4"/>
  <c r="B4" i="4"/>
  <c r="T224" i="3"/>
  <c r="S224" i="3"/>
  <c r="R224" i="3"/>
  <c r="Q224" i="3"/>
  <c r="P224" i="3"/>
  <c r="O224" i="3"/>
  <c r="N224" i="3"/>
  <c r="M224" i="3"/>
  <c r="L224" i="3"/>
  <c r="AQ179" i="3"/>
  <c r="AQ195" i="3" s="1"/>
  <c r="AQ211" i="3" s="1"/>
  <c r="AB163" i="3"/>
  <c r="AB179" i="3" s="1"/>
  <c r="AB195" i="3" s="1"/>
  <c r="AB211" i="3" s="1"/>
  <c r="Q163" i="3"/>
  <c r="Q179" i="3" s="1"/>
  <c r="Q195" i="3" s="1"/>
  <c r="Q211" i="3" s="1"/>
  <c r="S148" i="3"/>
  <c r="S163" i="3" s="1"/>
  <c r="S179" i="3" s="1"/>
  <c r="S195" i="3" s="1"/>
  <c r="S211" i="3" s="1"/>
  <c r="AI132" i="3"/>
  <c r="AI148" i="3" s="1"/>
  <c r="AI163" i="3" s="1"/>
  <c r="AI179" i="3" s="1"/>
  <c r="AI195" i="3" s="1"/>
  <c r="AI211" i="3" s="1"/>
  <c r="AH132" i="3"/>
  <c r="AH148" i="3" s="1"/>
  <c r="AH163" i="3" s="1"/>
  <c r="AH179" i="3" s="1"/>
  <c r="AH195" i="3" s="1"/>
  <c r="AH211" i="3" s="1"/>
  <c r="Z132" i="3"/>
  <c r="Z148" i="3" s="1"/>
  <c r="Z163" i="3" s="1"/>
  <c r="Z179" i="3" s="1"/>
  <c r="Z195" i="3" s="1"/>
  <c r="Z211" i="3" s="1"/>
  <c r="V132" i="3"/>
  <c r="V148" i="3" s="1"/>
  <c r="V163" i="3" s="1"/>
  <c r="V179" i="3" s="1"/>
  <c r="V195" i="3" s="1"/>
  <c r="V211" i="3" s="1"/>
  <c r="P132" i="3"/>
  <c r="P148" i="3" s="1"/>
  <c r="P163" i="3" s="1"/>
  <c r="P179" i="3" s="1"/>
  <c r="P195" i="3" s="1"/>
  <c r="P211" i="3" s="1"/>
  <c r="AP100" i="3"/>
  <c r="AP116" i="3" s="1"/>
  <c r="AP132" i="3" s="1"/>
  <c r="AP148" i="3" s="1"/>
  <c r="AP163" i="3" s="1"/>
  <c r="AP179" i="3" s="1"/>
  <c r="AP195" i="3" s="1"/>
  <c r="AP211" i="3" s="1"/>
  <c r="AO100" i="3"/>
  <c r="AO116" i="3" s="1"/>
  <c r="AO132" i="3" s="1"/>
  <c r="AO148" i="3" s="1"/>
  <c r="AO163" i="3" s="1"/>
  <c r="AO179" i="3" s="1"/>
  <c r="AO195" i="3" s="1"/>
  <c r="AO211" i="3" s="1"/>
  <c r="AN100" i="3"/>
  <c r="AN116" i="3" s="1"/>
  <c r="AN132" i="3" s="1"/>
  <c r="AN148" i="3" s="1"/>
  <c r="AN163" i="3" s="1"/>
  <c r="AN179" i="3" s="1"/>
  <c r="AN195" i="3" s="1"/>
  <c r="AN211" i="3" s="1"/>
  <c r="AI100" i="3"/>
  <c r="AI116" i="3" s="1"/>
  <c r="AN84" i="3"/>
  <c r="AI84" i="3"/>
  <c r="H84" i="3"/>
  <c r="H100" i="3" s="1"/>
  <c r="H116" i="3" s="1"/>
  <c r="H132" i="3" s="1"/>
  <c r="H148" i="3" s="1"/>
  <c r="H163" i="3" s="1"/>
  <c r="H179" i="3" s="1"/>
  <c r="H195" i="3" s="1"/>
  <c r="H211" i="3" s="1"/>
  <c r="G84" i="3"/>
  <c r="G100" i="3" s="1"/>
  <c r="G116" i="3" s="1"/>
  <c r="G132" i="3" s="1"/>
  <c r="G148" i="3" s="1"/>
  <c r="G163" i="3" s="1"/>
  <c r="G179" i="3" s="1"/>
  <c r="G195" i="3" s="1"/>
  <c r="G211" i="3" s="1"/>
  <c r="F84" i="3"/>
  <c r="F100" i="3" s="1"/>
  <c r="F116" i="3" s="1"/>
  <c r="F132" i="3" s="1"/>
  <c r="F148" i="3" s="1"/>
  <c r="F163" i="3" s="1"/>
  <c r="F179" i="3" s="1"/>
  <c r="F195" i="3" s="1"/>
  <c r="F211" i="3" s="1"/>
  <c r="B84" i="3"/>
  <c r="B100" i="3" s="1"/>
  <c r="B116" i="3" s="1"/>
  <c r="B132" i="3" s="1"/>
  <c r="B148" i="3" s="1"/>
  <c r="B163" i="3" s="1"/>
  <c r="B179" i="3" s="1"/>
  <c r="B195" i="3" s="1"/>
  <c r="B211" i="3" s="1"/>
  <c r="AI68" i="3"/>
  <c r="AH68" i="3"/>
  <c r="AH84" i="3" s="1"/>
  <c r="AH100" i="3" s="1"/>
  <c r="AH116" i="3" s="1"/>
  <c r="G68" i="3"/>
  <c r="F68" i="3"/>
  <c r="D68" i="3"/>
  <c r="D84" i="3" s="1"/>
  <c r="D100" i="3" s="1"/>
  <c r="D116" i="3" s="1"/>
  <c r="D132" i="3" s="1"/>
  <c r="D148" i="3" s="1"/>
  <c r="D163" i="3" s="1"/>
  <c r="D179" i="3" s="1"/>
  <c r="D195" i="3" s="1"/>
  <c r="D211" i="3" s="1"/>
  <c r="C68" i="3"/>
  <c r="C84" i="3" s="1"/>
  <c r="C100" i="3" s="1"/>
  <c r="C116" i="3" s="1"/>
  <c r="C132" i="3" s="1"/>
  <c r="C148" i="3" s="1"/>
  <c r="C163" i="3" s="1"/>
  <c r="C179" i="3" s="1"/>
  <c r="C195" i="3" s="1"/>
  <c r="C211" i="3" s="1"/>
  <c r="B68" i="3"/>
  <c r="AQ52" i="3"/>
  <c r="AQ68" i="3" s="1"/>
  <c r="AQ84" i="3" s="1"/>
  <c r="AQ100" i="3" s="1"/>
  <c r="AQ116" i="3" s="1"/>
  <c r="AQ132" i="3" s="1"/>
  <c r="AQ148" i="3" s="1"/>
  <c r="AQ163" i="3" s="1"/>
  <c r="Z52" i="3"/>
  <c r="Z68" i="3" s="1"/>
  <c r="Z84" i="3" s="1"/>
  <c r="Z100" i="3" s="1"/>
  <c r="Z116" i="3" s="1"/>
  <c r="X52" i="3"/>
  <c r="X68" i="3" s="1"/>
  <c r="X84" i="3" s="1"/>
  <c r="X100" i="3" s="1"/>
  <c r="X116" i="3" s="1"/>
  <c r="X132" i="3" s="1"/>
  <c r="X148" i="3" s="1"/>
  <c r="X163" i="3" s="1"/>
  <c r="X179" i="3" s="1"/>
  <c r="X195" i="3" s="1"/>
  <c r="X211" i="3" s="1"/>
  <c r="W52" i="3"/>
  <c r="W68" i="3" s="1"/>
  <c r="W84" i="3" s="1"/>
  <c r="W100" i="3" s="1"/>
  <c r="W116" i="3" s="1"/>
  <c r="W132" i="3" s="1"/>
  <c r="W148" i="3" s="1"/>
  <c r="W163" i="3" s="1"/>
  <c r="W179" i="3" s="1"/>
  <c r="W195" i="3" s="1"/>
  <c r="W211" i="3" s="1"/>
  <c r="V52" i="3"/>
  <c r="V68" i="3" s="1"/>
  <c r="V84" i="3" s="1"/>
  <c r="V100" i="3" s="1"/>
  <c r="V116" i="3" s="1"/>
  <c r="P52" i="3"/>
  <c r="P68" i="3" s="1"/>
  <c r="P84" i="3" s="1"/>
  <c r="P100" i="3" s="1"/>
  <c r="P116" i="3" s="1"/>
  <c r="H52" i="3"/>
  <c r="H68" i="3" s="1"/>
  <c r="D52" i="3"/>
  <c r="C52" i="3"/>
  <c r="B52" i="3"/>
  <c r="AQ36" i="3"/>
  <c r="AO36" i="3"/>
  <c r="AO52" i="3" s="1"/>
  <c r="AO68" i="3" s="1"/>
  <c r="AO84" i="3" s="1"/>
  <c r="AN36" i="3"/>
  <c r="AN52" i="3" s="1"/>
  <c r="AN68" i="3" s="1"/>
  <c r="AJ36" i="3"/>
  <c r="AJ52" i="3" s="1"/>
  <c r="AJ68" i="3" s="1"/>
  <c r="AJ84" i="3" s="1"/>
  <c r="AJ100" i="3" s="1"/>
  <c r="AJ116" i="3" s="1"/>
  <c r="AJ132" i="3" s="1"/>
  <c r="AJ148" i="3" s="1"/>
  <c r="AJ163" i="3" s="1"/>
  <c r="AJ179" i="3" s="1"/>
  <c r="AJ195" i="3" s="1"/>
  <c r="AJ211" i="3" s="1"/>
  <c r="AI36" i="3"/>
  <c r="AI52" i="3" s="1"/>
  <c r="AH36" i="3"/>
  <c r="AH52" i="3" s="1"/>
  <c r="AD36" i="3"/>
  <c r="AD52" i="3" s="1"/>
  <c r="AD68" i="3" s="1"/>
  <c r="AD84" i="3" s="1"/>
  <c r="AD100" i="3" s="1"/>
  <c r="AD116" i="3" s="1"/>
  <c r="AD132" i="3" s="1"/>
  <c r="AD148" i="3" s="1"/>
  <c r="AD163" i="3" s="1"/>
  <c r="AD179" i="3" s="1"/>
  <c r="AD195" i="3" s="1"/>
  <c r="AD211" i="3" s="1"/>
  <c r="Y36" i="3"/>
  <c r="Y52" i="3" s="1"/>
  <c r="Y68" i="3" s="1"/>
  <c r="Y84" i="3" s="1"/>
  <c r="Y100" i="3" s="1"/>
  <c r="Y116" i="3" s="1"/>
  <c r="Y132" i="3" s="1"/>
  <c r="Y148" i="3" s="1"/>
  <c r="Y163" i="3" s="1"/>
  <c r="Y179" i="3" s="1"/>
  <c r="Y195" i="3" s="1"/>
  <c r="Y211" i="3" s="1"/>
  <c r="W36" i="3"/>
  <c r="U36" i="3"/>
  <c r="U52" i="3" s="1"/>
  <c r="U68" i="3" s="1"/>
  <c r="U84" i="3" s="1"/>
  <c r="U100" i="3" s="1"/>
  <c r="U116" i="3" s="1"/>
  <c r="U132" i="3" s="1"/>
  <c r="U148" i="3" s="1"/>
  <c r="U163" i="3" s="1"/>
  <c r="U179" i="3" s="1"/>
  <c r="U195" i="3" s="1"/>
  <c r="U211" i="3" s="1"/>
  <c r="T36" i="3"/>
  <c r="T52" i="3" s="1"/>
  <c r="T68" i="3" s="1"/>
  <c r="T84" i="3" s="1"/>
  <c r="T100" i="3" s="1"/>
  <c r="T116" i="3" s="1"/>
  <c r="T132" i="3" s="1"/>
  <c r="T148" i="3" s="1"/>
  <c r="T163" i="3" s="1"/>
  <c r="T179" i="3" s="1"/>
  <c r="T195" i="3" s="1"/>
  <c r="T211" i="3" s="1"/>
  <c r="S36" i="3"/>
  <c r="S52" i="3" s="1"/>
  <c r="S68" i="3" s="1"/>
  <c r="S84" i="3" s="1"/>
  <c r="S100" i="3" s="1"/>
  <c r="S116" i="3" s="1"/>
  <c r="S132" i="3" s="1"/>
  <c r="R36" i="3"/>
  <c r="R52" i="3" s="1"/>
  <c r="R68" i="3" s="1"/>
  <c r="R84" i="3" s="1"/>
  <c r="R100" i="3" s="1"/>
  <c r="R116" i="3" s="1"/>
  <c r="R132" i="3" s="1"/>
  <c r="R148" i="3" s="1"/>
  <c r="R163" i="3" s="1"/>
  <c r="R179" i="3" s="1"/>
  <c r="R195" i="3" s="1"/>
  <c r="R211" i="3" s="1"/>
  <c r="L36" i="3"/>
  <c r="L52" i="3" s="1"/>
  <c r="L68" i="3" s="1"/>
  <c r="L84" i="3" s="1"/>
  <c r="L100" i="3" s="1"/>
  <c r="L116" i="3" s="1"/>
  <c r="L132" i="3" s="1"/>
  <c r="L148" i="3" s="1"/>
  <c r="L163" i="3" s="1"/>
  <c r="L179" i="3" s="1"/>
  <c r="L195" i="3" s="1"/>
  <c r="L211" i="3" s="1"/>
  <c r="D36" i="3"/>
  <c r="AQ20" i="3"/>
  <c r="AP20" i="3"/>
  <c r="AP36" i="3" s="1"/>
  <c r="AP52" i="3" s="1"/>
  <c r="AP68" i="3" s="1"/>
  <c r="AP84" i="3" s="1"/>
  <c r="AO20" i="3"/>
  <c r="AN20" i="3"/>
  <c r="AM20" i="3"/>
  <c r="AM36" i="3" s="1"/>
  <c r="AM52" i="3" s="1"/>
  <c r="AM68" i="3" s="1"/>
  <c r="AM84" i="3" s="1"/>
  <c r="AM100" i="3" s="1"/>
  <c r="AM116" i="3" s="1"/>
  <c r="AM132" i="3" s="1"/>
  <c r="AM148" i="3" s="1"/>
  <c r="AM163" i="3" s="1"/>
  <c r="AM179" i="3" s="1"/>
  <c r="AM195" i="3" s="1"/>
  <c r="AM211" i="3" s="1"/>
  <c r="AL20" i="3"/>
  <c r="AL36" i="3" s="1"/>
  <c r="AL52" i="3" s="1"/>
  <c r="AL68" i="3" s="1"/>
  <c r="AL84" i="3" s="1"/>
  <c r="AL100" i="3" s="1"/>
  <c r="AL116" i="3" s="1"/>
  <c r="AL132" i="3" s="1"/>
  <c r="AL148" i="3" s="1"/>
  <c r="AL163" i="3" s="1"/>
  <c r="AL179" i="3" s="1"/>
  <c r="AL195" i="3" s="1"/>
  <c r="AL211" i="3" s="1"/>
  <c r="AK20" i="3"/>
  <c r="AK36" i="3" s="1"/>
  <c r="AK52" i="3" s="1"/>
  <c r="AK68" i="3" s="1"/>
  <c r="AK84" i="3" s="1"/>
  <c r="AK100" i="3" s="1"/>
  <c r="AK116" i="3" s="1"/>
  <c r="AK132" i="3" s="1"/>
  <c r="AK148" i="3" s="1"/>
  <c r="AK163" i="3" s="1"/>
  <c r="AK179" i="3" s="1"/>
  <c r="AK195" i="3" s="1"/>
  <c r="AK211" i="3" s="1"/>
  <c r="AJ20" i="3"/>
  <c r="AI20" i="3"/>
  <c r="AH20" i="3"/>
  <c r="AG20" i="3"/>
  <c r="AG36" i="3" s="1"/>
  <c r="AG52" i="3" s="1"/>
  <c r="AG68" i="3" s="1"/>
  <c r="AG84" i="3" s="1"/>
  <c r="AG100" i="3" s="1"/>
  <c r="AG116" i="3" s="1"/>
  <c r="AG132" i="3" s="1"/>
  <c r="AG148" i="3" s="1"/>
  <c r="AG163" i="3" s="1"/>
  <c r="AG179" i="3" s="1"/>
  <c r="AG195" i="3" s="1"/>
  <c r="AG211" i="3" s="1"/>
  <c r="AF20" i="3"/>
  <c r="AF36" i="3" s="1"/>
  <c r="AF52" i="3" s="1"/>
  <c r="AF68" i="3" s="1"/>
  <c r="AF84" i="3" s="1"/>
  <c r="AF100" i="3" s="1"/>
  <c r="AF116" i="3" s="1"/>
  <c r="AF132" i="3" s="1"/>
  <c r="AF148" i="3" s="1"/>
  <c r="AF163" i="3" s="1"/>
  <c r="AF179" i="3" s="1"/>
  <c r="AF195" i="3" s="1"/>
  <c r="AF211" i="3" s="1"/>
  <c r="AE20" i="3"/>
  <c r="AE36" i="3" s="1"/>
  <c r="AE52" i="3" s="1"/>
  <c r="AE68" i="3" s="1"/>
  <c r="AE84" i="3" s="1"/>
  <c r="AE100" i="3" s="1"/>
  <c r="AE116" i="3" s="1"/>
  <c r="AE132" i="3" s="1"/>
  <c r="AE148" i="3" s="1"/>
  <c r="AE163" i="3" s="1"/>
  <c r="AE179" i="3" s="1"/>
  <c r="AE195" i="3" s="1"/>
  <c r="AE211" i="3" s="1"/>
  <c r="AD20" i="3"/>
  <c r="AC20" i="3"/>
  <c r="AC36" i="3" s="1"/>
  <c r="AC52" i="3" s="1"/>
  <c r="AC68" i="3" s="1"/>
  <c r="AC84" i="3" s="1"/>
  <c r="AC100" i="3" s="1"/>
  <c r="AC116" i="3" s="1"/>
  <c r="AC132" i="3" s="1"/>
  <c r="AC148" i="3" s="1"/>
  <c r="AC163" i="3" s="1"/>
  <c r="AC179" i="3" s="1"/>
  <c r="AC195" i="3" s="1"/>
  <c r="AC211" i="3" s="1"/>
  <c r="AB20" i="3"/>
  <c r="AB36" i="3" s="1"/>
  <c r="AB52" i="3" s="1"/>
  <c r="AB68" i="3" s="1"/>
  <c r="AB84" i="3" s="1"/>
  <c r="AB100" i="3" s="1"/>
  <c r="AB116" i="3" s="1"/>
  <c r="AB132" i="3" s="1"/>
  <c r="AB148" i="3" s="1"/>
  <c r="AA20" i="3"/>
  <c r="AA36" i="3" s="1"/>
  <c r="AA52" i="3" s="1"/>
  <c r="AA68" i="3" s="1"/>
  <c r="AA84" i="3" s="1"/>
  <c r="AA100" i="3" s="1"/>
  <c r="AA116" i="3" s="1"/>
  <c r="AA132" i="3" s="1"/>
  <c r="AA148" i="3" s="1"/>
  <c r="AA163" i="3" s="1"/>
  <c r="AA179" i="3" s="1"/>
  <c r="AA195" i="3" s="1"/>
  <c r="AA211" i="3" s="1"/>
  <c r="Z20" i="3"/>
  <c r="Z36" i="3" s="1"/>
  <c r="Y20" i="3"/>
  <c r="X20" i="3"/>
  <c r="X36" i="3" s="1"/>
  <c r="W20" i="3"/>
  <c r="V20" i="3"/>
  <c r="V36" i="3" s="1"/>
  <c r="U20" i="3"/>
  <c r="T20" i="3"/>
  <c r="S20" i="3"/>
  <c r="R20" i="3"/>
  <c r="Q20" i="3"/>
  <c r="Q36" i="3" s="1"/>
  <c r="Q52" i="3" s="1"/>
  <c r="Q68" i="3" s="1"/>
  <c r="Q84" i="3" s="1"/>
  <c r="Q100" i="3" s="1"/>
  <c r="Q116" i="3" s="1"/>
  <c r="Q132" i="3" s="1"/>
  <c r="Q148" i="3" s="1"/>
  <c r="P20" i="3"/>
  <c r="P36" i="3" s="1"/>
  <c r="O20" i="3"/>
  <c r="O36" i="3" s="1"/>
  <c r="O52" i="3" s="1"/>
  <c r="O68" i="3" s="1"/>
  <c r="O84" i="3" s="1"/>
  <c r="O100" i="3" s="1"/>
  <c r="O116" i="3" s="1"/>
  <c r="O132" i="3" s="1"/>
  <c r="O148" i="3" s="1"/>
  <c r="O163" i="3" s="1"/>
  <c r="O179" i="3" s="1"/>
  <c r="O195" i="3" s="1"/>
  <c r="O211" i="3" s="1"/>
  <c r="N20" i="3"/>
  <c r="N36" i="3" s="1"/>
  <c r="N52" i="3" s="1"/>
  <c r="N68" i="3" s="1"/>
  <c r="N84" i="3" s="1"/>
  <c r="N100" i="3" s="1"/>
  <c r="N116" i="3" s="1"/>
  <c r="N132" i="3" s="1"/>
  <c r="N148" i="3" s="1"/>
  <c r="N163" i="3" s="1"/>
  <c r="N179" i="3" s="1"/>
  <c r="N195" i="3" s="1"/>
  <c r="N211" i="3" s="1"/>
  <c r="M20" i="3"/>
  <c r="M36" i="3" s="1"/>
  <c r="M52" i="3" s="1"/>
  <c r="M68" i="3" s="1"/>
  <c r="M84" i="3" s="1"/>
  <c r="M100" i="3" s="1"/>
  <c r="M116" i="3" s="1"/>
  <c r="M132" i="3" s="1"/>
  <c r="M148" i="3" s="1"/>
  <c r="M163" i="3" s="1"/>
  <c r="M179" i="3" s="1"/>
  <c r="M195" i="3" s="1"/>
  <c r="M211" i="3" s="1"/>
  <c r="L20" i="3"/>
  <c r="K20" i="3"/>
  <c r="K36" i="3" s="1"/>
  <c r="K52" i="3" s="1"/>
  <c r="K68" i="3" s="1"/>
  <c r="K84" i="3" s="1"/>
  <c r="K100" i="3" s="1"/>
  <c r="K116" i="3" s="1"/>
  <c r="K132" i="3" s="1"/>
  <c r="K148" i="3" s="1"/>
  <c r="K163" i="3" s="1"/>
  <c r="K179" i="3" s="1"/>
  <c r="K195" i="3" s="1"/>
  <c r="K211" i="3" s="1"/>
  <c r="J20" i="3"/>
  <c r="J36" i="3" s="1"/>
  <c r="J52" i="3" s="1"/>
  <c r="J68" i="3" s="1"/>
  <c r="J84" i="3" s="1"/>
  <c r="J100" i="3" s="1"/>
  <c r="J116" i="3" s="1"/>
  <c r="J132" i="3" s="1"/>
  <c r="J148" i="3" s="1"/>
  <c r="J163" i="3" s="1"/>
  <c r="J179" i="3" s="1"/>
  <c r="J195" i="3" s="1"/>
  <c r="J211" i="3" s="1"/>
  <c r="I20" i="3"/>
  <c r="I36" i="3" s="1"/>
  <c r="I52" i="3" s="1"/>
  <c r="I68" i="3" s="1"/>
  <c r="I84" i="3" s="1"/>
  <c r="I100" i="3" s="1"/>
  <c r="I116" i="3" s="1"/>
  <c r="I132" i="3" s="1"/>
  <c r="I148" i="3" s="1"/>
  <c r="I163" i="3" s="1"/>
  <c r="I179" i="3" s="1"/>
  <c r="I195" i="3" s="1"/>
  <c r="I211" i="3" s="1"/>
  <c r="H20" i="3"/>
  <c r="H36" i="3" s="1"/>
  <c r="G20" i="3"/>
  <c r="G36" i="3" s="1"/>
  <c r="G52" i="3" s="1"/>
  <c r="F20" i="3"/>
  <c r="F36" i="3" s="1"/>
  <c r="F52" i="3" s="1"/>
  <c r="E20" i="3"/>
  <c r="E36" i="3" s="1"/>
  <c r="E52" i="3" s="1"/>
  <c r="E68" i="3" s="1"/>
  <c r="E84" i="3" s="1"/>
  <c r="E100" i="3" s="1"/>
  <c r="E116" i="3" s="1"/>
  <c r="E132" i="3" s="1"/>
  <c r="E148" i="3" s="1"/>
  <c r="E163" i="3" s="1"/>
  <c r="E179" i="3" s="1"/>
  <c r="E195" i="3" s="1"/>
  <c r="E211" i="3" s="1"/>
  <c r="D20" i="3"/>
  <c r="C20" i="3"/>
  <c r="C36" i="3" s="1"/>
  <c r="B20" i="3"/>
  <c r="B36" i="3" s="1"/>
  <c r="W17" i="3"/>
  <c r="V17" i="3"/>
  <c r="T17" i="3"/>
  <c r="R17" i="3"/>
  <c r="N17" i="3"/>
  <c r="M17" i="3"/>
  <c r="X12" i="3"/>
  <c r="W12" i="3"/>
  <c r="V12" i="3"/>
  <c r="U12" i="3"/>
  <c r="U17" i="3" s="1"/>
  <c r="T12" i="3"/>
  <c r="S12" i="3"/>
  <c r="S17" i="3" s="1"/>
  <c r="R12" i="3"/>
  <c r="Q12" i="3"/>
  <c r="P12" i="3"/>
  <c r="P17" i="3" s="1"/>
  <c r="O12" i="3"/>
  <c r="N12" i="3"/>
  <c r="M12" i="3"/>
  <c r="L12" i="3"/>
  <c r="L17" i="3" s="1"/>
  <c r="K12" i="3"/>
  <c r="J12" i="3"/>
  <c r="I12" i="3"/>
  <c r="H12" i="3"/>
  <c r="G12" i="3"/>
  <c r="F12" i="3"/>
  <c r="E12" i="3"/>
  <c r="D12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X17" i="3" s="1"/>
  <c r="W4" i="3"/>
  <c r="V4" i="3"/>
  <c r="U4" i="3"/>
  <c r="K4" i="3"/>
  <c r="J4" i="3"/>
  <c r="I4" i="3"/>
  <c r="H4" i="3"/>
  <c r="G4" i="3"/>
  <c r="F4" i="3"/>
  <c r="E4" i="3"/>
  <c r="D4" i="3"/>
  <c r="C4" i="3"/>
  <c r="B4" i="3"/>
  <c r="T224" i="2"/>
  <c r="S224" i="2"/>
  <c r="R224" i="2"/>
  <c r="Q224" i="2"/>
  <c r="P224" i="2"/>
  <c r="O224" i="2"/>
  <c r="N224" i="2"/>
  <c r="M224" i="2"/>
  <c r="L224" i="2"/>
  <c r="D211" i="2"/>
  <c r="C195" i="2"/>
  <c r="C211" i="2" s="1"/>
  <c r="B195" i="2"/>
  <c r="B211" i="2" s="1"/>
  <c r="AP179" i="2"/>
  <c r="AP195" i="2" s="1"/>
  <c r="AP211" i="2" s="1"/>
  <c r="AK179" i="2"/>
  <c r="AK195" i="2" s="1"/>
  <c r="AK211" i="2" s="1"/>
  <c r="AQ148" i="2"/>
  <c r="AQ163" i="2" s="1"/>
  <c r="AQ179" i="2" s="1"/>
  <c r="AQ195" i="2" s="1"/>
  <c r="AQ211" i="2" s="1"/>
  <c r="AP148" i="2"/>
  <c r="AP163" i="2" s="1"/>
  <c r="AL148" i="2"/>
  <c r="AL163" i="2" s="1"/>
  <c r="AL179" i="2" s="1"/>
  <c r="AL195" i="2" s="1"/>
  <c r="AL211" i="2" s="1"/>
  <c r="AG148" i="2"/>
  <c r="AG163" i="2" s="1"/>
  <c r="AG179" i="2" s="1"/>
  <c r="AG195" i="2" s="1"/>
  <c r="AG211" i="2" s="1"/>
  <c r="G148" i="2"/>
  <c r="G163" i="2" s="1"/>
  <c r="G179" i="2" s="1"/>
  <c r="G195" i="2" s="1"/>
  <c r="G211" i="2" s="1"/>
  <c r="AJ132" i="2"/>
  <c r="AJ148" i="2" s="1"/>
  <c r="AJ163" i="2" s="1"/>
  <c r="AJ179" i="2" s="1"/>
  <c r="AJ195" i="2" s="1"/>
  <c r="AJ211" i="2" s="1"/>
  <c r="AE132" i="2"/>
  <c r="AE148" i="2" s="1"/>
  <c r="AE163" i="2" s="1"/>
  <c r="AE179" i="2" s="1"/>
  <c r="AE195" i="2" s="1"/>
  <c r="AE211" i="2" s="1"/>
  <c r="AC132" i="2"/>
  <c r="AC148" i="2" s="1"/>
  <c r="AC163" i="2" s="1"/>
  <c r="AC179" i="2" s="1"/>
  <c r="AC195" i="2" s="1"/>
  <c r="AC211" i="2" s="1"/>
  <c r="G132" i="2"/>
  <c r="E116" i="2"/>
  <c r="E132" i="2" s="1"/>
  <c r="E148" i="2" s="1"/>
  <c r="E163" i="2" s="1"/>
  <c r="E179" i="2" s="1"/>
  <c r="E195" i="2" s="1"/>
  <c r="E211" i="2" s="1"/>
  <c r="AI100" i="2"/>
  <c r="AI116" i="2" s="1"/>
  <c r="AI132" i="2" s="1"/>
  <c r="AI148" i="2" s="1"/>
  <c r="AI163" i="2" s="1"/>
  <c r="AI179" i="2" s="1"/>
  <c r="AI195" i="2" s="1"/>
  <c r="AI211" i="2" s="1"/>
  <c r="AH100" i="2"/>
  <c r="AH116" i="2" s="1"/>
  <c r="AH132" i="2" s="1"/>
  <c r="AH148" i="2" s="1"/>
  <c r="AH163" i="2" s="1"/>
  <c r="AH179" i="2" s="1"/>
  <c r="AH195" i="2" s="1"/>
  <c r="AH211" i="2" s="1"/>
  <c r="AF100" i="2"/>
  <c r="AF116" i="2" s="1"/>
  <c r="AF132" i="2" s="1"/>
  <c r="AF148" i="2" s="1"/>
  <c r="AF163" i="2" s="1"/>
  <c r="AF179" i="2" s="1"/>
  <c r="AF195" i="2" s="1"/>
  <c r="AF211" i="2" s="1"/>
  <c r="Y100" i="2"/>
  <c r="Y116" i="2" s="1"/>
  <c r="Y132" i="2" s="1"/>
  <c r="Y148" i="2" s="1"/>
  <c r="Y163" i="2" s="1"/>
  <c r="Y179" i="2" s="1"/>
  <c r="Y195" i="2" s="1"/>
  <c r="Y211" i="2" s="1"/>
  <c r="E100" i="2"/>
  <c r="Y84" i="2"/>
  <c r="W84" i="2"/>
  <c r="W100" i="2" s="1"/>
  <c r="W116" i="2" s="1"/>
  <c r="W132" i="2" s="1"/>
  <c r="W148" i="2" s="1"/>
  <c r="W163" i="2" s="1"/>
  <c r="W179" i="2" s="1"/>
  <c r="W195" i="2" s="1"/>
  <c r="W211" i="2" s="1"/>
  <c r="AI68" i="2"/>
  <c r="AI84" i="2" s="1"/>
  <c r="AH68" i="2"/>
  <c r="AH84" i="2" s="1"/>
  <c r="AG68" i="2"/>
  <c r="AG84" i="2" s="1"/>
  <c r="AG100" i="2" s="1"/>
  <c r="AG116" i="2" s="1"/>
  <c r="AG132" i="2" s="1"/>
  <c r="AF68" i="2"/>
  <c r="AF84" i="2" s="1"/>
  <c r="P68" i="2"/>
  <c r="P84" i="2" s="1"/>
  <c r="P100" i="2" s="1"/>
  <c r="P116" i="2" s="1"/>
  <c r="P132" i="2" s="1"/>
  <c r="P148" i="2" s="1"/>
  <c r="P163" i="2" s="1"/>
  <c r="P179" i="2" s="1"/>
  <c r="P195" i="2" s="1"/>
  <c r="P211" i="2" s="1"/>
  <c r="O68" i="2"/>
  <c r="O84" i="2" s="1"/>
  <c r="O100" i="2" s="1"/>
  <c r="O116" i="2" s="1"/>
  <c r="O132" i="2" s="1"/>
  <c r="O148" i="2" s="1"/>
  <c r="O163" i="2" s="1"/>
  <c r="O179" i="2" s="1"/>
  <c r="O195" i="2" s="1"/>
  <c r="O211" i="2" s="1"/>
  <c r="N68" i="2"/>
  <c r="N84" i="2" s="1"/>
  <c r="N100" i="2" s="1"/>
  <c r="N116" i="2" s="1"/>
  <c r="N132" i="2" s="1"/>
  <c r="N148" i="2" s="1"/>
  <c r="N163" i="2" s="1"/>
  <c r="N179" i="2" s="1"/>
  <c r="N195" i="2" s="1"/>
  <c r="N211" i="2" s="1"/>
  <c r="H68" i="2"/>
  <c r="H84" i="2" s="1"/>
  <c r="H100" i="2" s="1"/>
  <c r="H116" i="2" s="1"/>
  <c r="H132" i="2" s="1"/>
  <c r="H148" i="2" s="1"/>
  <c r="H163" i="2" s="1"/>
  <c r="H179" i="2" s="1"/>
  <c r="H195" i="2" s="1"/>
  <c r="H211" i="2" s="1"/>
  <c r="AH52" i="2"/>
  <c r="AG52" i="2"/>
  <c r="AF52" i="2"/>
  <c r="AE52" i="2"/>
  <c r="AE68" i="2" s="1"/>
  <c r="AE84" i="2" s="1"/>
  <c r="AE100" i="2" s="1"/>
  <c r="AE116" i="2" s="1"/>
  <c r="AD52" i="2"/>
  <c r="AD68" i="2" s="1"/>
  <c r="AD84" i="2" s="1"/>
  <c r="AD100" i="2" s="1"/>
  <c r="AD116" i="2" s="1"/>
  <c r="AD132" i="2" s="1"/>
  <c r="AD148" i="2" s="1"/>
  <c r="AD163" i="2" s="1"/>
  <c r="AD179" i="2" s="1"/>
  <c r="AD195" i="2" s="1"/>
  <c r="AD211" i="2" s="1"/>
  <c r="AB52" i="2"/>
  <c r="AB68" i="2" s="1"/>
  <c r="AB84" i="2" s="1"/>
  <c r="AB100" i="2" s="1"/>
  <c r="AB116" i="2" s="1"/>
  <c r="AB132" i="2" s="1"/>
  <c r="AB148" i="2" s="1"/>
  <c r="AB163" i="2" s="1"/>
  <c r="AB179" i="2" s="1"/>
  <c r="AB195" i="2" s="1"/>
  <c r="AB211" i="2" s="1"/>
  <c r="K52" i="2"/>
  <c r="K68" i="2" s="1"/>
  <c r="K84" i="2" s="1"/>
  <c r="K100" i="2" s="1"/>
  <c r="K116" i="2" s="1"/>
  <c r="K132" i="2" s="1"/>
  <c r="K148" i="2" s="1"/>
  <c r="K163" i="2" s="1"/>
  <c r="K179" i="2" s="1"/>
  <c r="K195" i="2" s="1"/>
  <c r="K211" i="2" s="1"/>
  <c r="H52" i="2"/>
  <c r="G52" i="2"/>
  <c r="G68" i="2" s="1"/>
  <c r="G84" i="2" s="1"/>
  <c r="G100" i="2" s="1"/>
  <c r="G116" i="2" s="1"/>
  <c r="F52" i="2"/>
  <c r="F68" i="2" s="1"/>
  <c r="F84" i="2" s="1"/>
  <c r="F100" i="2" s="1"/>
  <c r="F116" i="2" s="1"/>
  <c r="F132" i="2" s="1"/>
  <c r="F148" i="2" s="1"/>
  <c r="F163" i="2" s="1"/>
  <c r="F179" i="2" s="1"/>
  <c r="F195" i="2" s="1"/>
  <c r="F211" i="2" s="1"/>
  <c r="AI36" i="2"/>
  <c r="AI52" i="2" s="1"/>
  <c r="AH36" i="2"/>
  <c r="AF36" i="2"/>
  <c r="AD36" i="2"/>
  <c r="AC36" i="2"/>
  <c r="AC52" i="2" s="1"/>
  <c r="AC68" i="2" s="1"/>
  <c r="AC84" i="2" s="1"/>
  <c r="AC100" i="2" s="1"/>
  <c r="AC116" i="2" s="1"/>
  <c r="AB36" i="2"/>
  <c r="AA36" i="2"/>
  <c r="AA52" i="2" s="1"/>
  <c r="AA68" i="2" s="1"/>
  <c r="AA84" i="2" s="1"/>
  <c r="AA100" i="2" s="1"/>
  <c r="AA116" i="2" s="1"/>
  <c r="AA132" i="2" s="1"/>
  <c r="AA148" i="2" s="1"/>
  <c r="AA163" i="2" s="1"/>
  <c r="AA179" i="2" s="1"/>
  <c r="AA195" i="2" s="1"/>
  <c r="AA211" i="2" s="1"/>
  <c r="Z36" i="2"/>
  <c r="Z52" i="2" s="1"/>
  <c r="Z68" i="2" s="1"/>
  <c r="Z84" i="2" s="1"/>
  <c r="Z100" i="2" s="1"/>
  <c r="Z116" i="2" s="1"/>
  <c r="Z132" i="2" s="1"/>
  <c r="Z148" i="2" s="1"/>
  <c r="Z163" i="2" s="1"/>
  <c r="Z179" i="2" s="1"/>
  <c r="Z195" i="2" s="1"/>
  <c r="Z211" i="2" s="1"/>
  <c r="X36" i="2"/>
  <c r="X52" i="2" s="1"/>
  <c r="X68" i="2" s="1"/>
  <c r="X84" i="2" s="1"/>
  <c r="X100" i="2" s="1"/>
  <c r="X116" i="2" s="1"/>
  <c r="X132" i="2" s="1"/>
  <c r="X148" i="2" s="1"/>
  <c r="X163" i="2" s="1"/>
  <c r="X179" i="2" s="1"/>
  <c r="X195" i="2" s="1"/>
  <c r="X211" i="2" s="1"/>
  <c r="W36" i="2"/>
  <c r="W52" i="2" s="1"/>
  <c r="W68" i="2" s="1"/>
  <c r="V36" i="2"/>
  <c r="V52" i="2" s="1"/>
  <c r="V68" i="2" s="1"/>
  <c r="V84" i="2" s="1"/>
  <c r="V100" i="2" s="1"/>
  <c r="V116" i="2" s="1"/>
  <c r="V132" i="2" s="1"/>
  <c r="V148" i="2" s="1"/>
  <c r="V163" i="2" s="1"/>
  <c r="V179" i="2" s="1"/>
  <c r="V195" i="2" s="1"/>
  <c r="V211" i="2" s="1"/>
  <c r="L36" i="2"/>
  <c r="L52" i="2" s="1"/>
  <c r="L68" i="2" s="1"/>
  <c r="L84" i="2" s="1"/>
  <c r="L100" i="2" s="1"/>
  <c r="L116" i="2" s="1"/>
  <c r="L132" i="2" s="1"/>
  <c r="L148" i="2" s="1"/>
  <c r="L163" i="2" s="1"/>
  <c r="L179" i="2" s="1"/>
  <c r="L195" i="2" s="1"/>
  <c r="L211" i="2" s="1"/>
  <c r="K36" i="2"/>
  <c r="H36" i="2"/>
  <c r="G36" i="2"/>
  <c r="F36" i="2"/>
  <c r="E36" i="2"/>
  <c r="E52" i="2" s="1"/>
  <c r="E68" i="2" s="1"/>
  <c r="E84" i="2" s="1"/>
  <c r="D36" i="2"/>
  <c r="D52" i="2" s="1"/>
  <c r="D68" i="2" s="1"/>
  <c r="D84" i="2" s="1"/>
  <c r="D100" i="2" s="1"/>
  <c r="D116" i="2" s="1"/>
  <c r="D132" i="2" s="1"/>
  <c r="D148" i="2" s="1"/>
  <c r="D163" i="2" s="1"/>
  <c r="D179" i="2" s="1"/>
  <c r="D195" i="2" s="1"/>
  <c r="B36" i="2"/>
  <c r="B52" i="2" s="1"/>
  <c r="B68" i="2" s="1"/>
  <c r="B84" i="2" s="1"/>
  <c r="B100" i="2" s="1"/>
  <c r="B116" i="2" s="1"/>
  <c r="B132" i="2" s="1"/>
  <c r="B148" i="2" s="1"/>
  <c r="B163" i="2" s="1"/>
  <c r="B179" i="2" s="1"/>
  <c r="AQ20" i="2"/>
  <c r="AQ36" i="2" s="1"/>
  <c r="AQ52" i="2" s="1"/>
  <c r="AQ68" i="2" s="1"/>
  <c r="AQ84" i="2" s="1"/>
  <c r="AQ100" i="2" s="1"/>
  <c r="AQ116" i="2" s="1"/>
  <c r="AQ132" i="2" s="1"/>
  <c r="AP20" i="2"/>
  <c r="AP36" i="2" s="1"/>
  <c r="AP52" i="2" s="1"/>
  <c r="AP68" i="2" s="1"/>
  <c r="AP84" i="2" s="1"/>
  <c r="AP100" i="2" s="1"/>
  <c r="AP116" i="2" s="1"/>
  <c r="AP132" i="2" s="1"/>
  <c r="AO20" i="2"/>
  <c r="AO36" i="2" s="1"/>
  <c r="AO52" i="2" s="1"/>
  <c r="AO68" i="2" s="1"/>
  <c r="AO84" i="2" s="1"/>
  <c r="AO100" i="2" s="1"/>
  <c r="AO116" i="2" s="1"/>
  <c r="AO132" i="2" s="1"/>
  <c r="AO148" i="2" s="1"/>
  <c r="AO163" i="2" s="1"/>
  <c r="AO179" i="2" s="1"/>
  <c r="AO195" i="2" s="1"/>
  <c r="AO211" i="2" s="1"/>
  <c r="AN20" i="2"/>
  <c r="AN36" i="2" s="1"/>
  <c r="AN52" i="2" s="1"/>
  <c r="AN68" i="2" s="1"/>
  <c r="AN84" i="2" s="1"/>
  <c r="AN100" i="2" s="1"/>
  <c r="AN116" i="2" s="1"/>
  <c r="AN132" i="2" s="1"/>
  <c r="AN148" i="2" s="1"/>
  <c r="AN163" i="2" s="1"/>
  <c r="AN179" i="2" s="1"/>
  <c r="AN195" i="2" s="1"/>
  <c r="AN211" i="2" s="1"/>
  <c r="AM20" i="2"/>
  <c r="AM36" i="2" s="1"/>
  <c r="AM52" i="2" s="1"/>
  <c r="AM68" i="2" s="1"/>
  <c r="AM84" i="2" s="1"/>
  <c r="AM100" i="2" s="1"/>
  <c r="AM116" i="2" s="1"/>
  <c r="AM132" i="2" s="1"/>
  <c r="AM148" i="2" s="1"/>
  <c r="AM163" i="2" s="1"/>
  <c r="AM179" i="2" s="1"/>
  <c r="AM195" i="2" s="1"/>
  <c r="AM211" i="2" s="1"/>
  <c r="AL20" i="2"/>
  <c r="AL36" i="2" s="1"/>
  <c r="AL52" i="2" s="1"/>
  <c r="AL68" i="2" s="1"/>
  <c r="AL84" i="2" s="1"/>
  <c r="AL100" i="2" s="1"/>
  <c r="AL116" i="2" s="1"/>
  <c r="AL132" i="2" s="1"/>
  <c r="AK20" i="2"/>
  <c r="AK36" i="2" s="1"/>
  <c r="AK52" i="2" s="1"/>
  <c r="AK68" i="2" s="1"/>
  <c r="AK84" i="2" s="1"/>
  <c r="AK100" i="2" s="1"/>
  <c r="AK116" i="2" s="1"/>
  <c r="AK132" i="2" s="1"/>
  <c r="AK148" i="2" s="1"/>
  <c r="AK163" i="2" s="1"/>
  <c r="AJ20" i="2"/>
  <c r="AJ36" i="2" s="1"/>
  <c r="AJ52" i="2" s="1"/>
  <c r="AJ68" i="2" s="1"/>
  <c r="AJ84" i="2" s="1"/>
  <c r="AJ100" i="2" s="1"/>
  <c r="AJ116" i="2" s="1"/>
  <c r="AI20" i="2"/>
  <c r="AH20" i="2"/>
  <c r="AG20" i="2"/>
  <c r="AG36" i="2" s="1"/>
  <c r="AF20" i="2"/>
  <c r="AE20" i="2"/>
  <c r="AE36" i="2" s="1"/>
  <c r="AD20" i="2"/>
  <c r="AC20" i="2"/>
  <c r="AB20" i="2"/>
  <c r="AA20" i="2"/>
  <c r="Z20" i="2"/>
  <c r="Y20" i="2"/>
  <c r="Y36" i="2" s="1"/>
  <c r="Y52" i="2" s="1"/>
  <c r="Y68" i="2" s="1"/>
  <c r="X20" i="2"/>
  <c r="W20" i="2"/>
  <c r="V20" i="2"/>
  <c r="U20" i="2"/>
  <c r="U36" i="2" s="1"/>
  <c r="U52" i="2" s="1"/>
  <c r="U68" i="2" s="1"/>
  <c r="U84" i="2" s="1"/>
  <c r="U100" i="2" s="1"/>
  <c r="U116" i="2" s="1"/>
  <c r="U132" i="2" s="1"/>
  <c r="U148" i="2" s="1"/>
  <c r="U163" i="2" s="1"/>
  <c r="U179" i="2" s="1"/>
  <c r="U195" i="2" s="1"/>
  <c r="U211" i="2" s="1"/>
  <c r="T20" i="2"/>
  <c r="T36" i="2" s="1"/>
  <c r="T52" i="2" s="1"/>
  <c r="T68" i="2" s="1"/>
  <c r="T84" i="2" s="1"/>
  <c r="T100" i="2" s="1"/>
  <c r="T116" i="2" s="1"/>
  <c r="T132" i="2" s="1"/>
  <c r="T148" i="2" s="1"/>
  <c r="T163" i="2" s="1"/>
  <c r="T179" i="2" s="1"/>
  <c r="T195" i="2" s="1"/>
  <c r="T211" i="2" s="1"/>
  <c r="S20" i="2"/>
  <c r="S36" i="2" s="1"/>
  <c r="S52" i="2" s="1"/>
  <c r="S68" i="2" s="1"/>
  <c r="S84" i="2" s="1"/>
  <c r="S100" i="2" s="1"/>
  <c r="S116" i="2" s="1"/>
  <c r="S132" i="2" s="1"/>
  <c r="S148" i="2" s="1"/>
  <c r="S163" i="2" s="1"/>
  <c r="S179" i="2" s="1"/>
  <c r="S195" i="2" s="1"/>
  <c r="S211" i="2" s="1"/>
  <c r="R20" i="2"/>
  <c r="R36" i="2" s="1"/>
  <c r="R52" i="2" s="1"/>
  <c r="R68" i="2" s="1"/>
  <c r="R84" i="2" s="1"/>
  <c r="R100" i="2" s="1"/>
  <c r="R116" i="2" s="1"/>
  <c r="R132" i="2" s="1"/>
  <c r="R148" i="2" s="1"/>
  <c r="R163" i="2" s="1"/>
  <c r="R179" i="2" s="1"/>
  <c r="R195" i="2" s="1"/>
  <c r="R211" i="2" s="1"/>
  <c r="Q20" i="2"/>
  <c r="Q36" i="2" s="1"/>
  <c r="Q52" i="2" s="1"/>
  <c r="Q68" i="2" s="1"/>
  <c r="Q84" i="2" s="1"/>
  <c r="Q100" i="2" s="1"/>
  <c r="Q116" i="2" s="1"/>
  <c r="Q132" i="2" s="1"/>
  <c r="Q148" i="2" s="1"/>
  <c r="Q163" i="2" s="1"/>
  <c r="Q179" i="2" s="1"/>
  <c r="Q195" i="2" s="1"/>
  <c r="Q211" i="2" s="1"/>
  <c r="P20" i="2"/>
  <c r="P36" i="2" s="1"/>
  <c r="P52" i="2" s="1"/>
  <c r="O20" i="2"/>
  <c r="O36" i="2" s="1"/>
  <c r="O52" i="2" s="1"/>
  <c r="N20" i="2"/>
  <c r="N36" i="2" s="1"/>
  <c r="N52" i="2" s="1"/>
  <c r="M20" i="2"/>
  <c r="M36" i="2" s="1"/>
  <c r="M52" i="2" s="1"/>
  <c r="M68" i="2" s="1"/>
  <c r="M84" i="2" s="1"/>
  <c r="M100" i="2" s="1"/>
  <c r="M116" i="2" s="1"/>
  <c r="M132" i="2" s="1"/>
  <c r="M148" i="2" s="1"/>
  <c r="M163" i="2" s="1"/>
  <c r="M179" i="2" s="1"/>
  <c r="M195" i="2" s="1"/>
  <c r="M211" i="2" s="1"/>
  <c r="L20" i="2"/>
  <c r="K20" i="2"/>
  <c r="J20" i="2"/>
  <c r="J36" i="2" s="1"/>
  <c r="J52" i="2" s="1"/>
  <c r="J68" i="2" s="1"/>
  <c r="J84" i="2" s="1"/>
  <c r="J100" i="2" s="1"/>
  <c r="J116" i="2" s="1"/>
  <c r="J132" i="2" s="1"/>
  <c r="J148" i="2" s="1"/>
  <c r="J163" i="2" s="1"/>
  <c r="J179" i="2" s="1"/>
  <c r="J195" i="2" s="1"/>
  <c r="J211" i="2" s="1"/>
  <c r="I20" i="2"/>
  <c r="I36" i="2" s="1"/>
  <c r="I52" i="2" s="1"/>
  <c r="I68" i="2" s="1"/>
  <c r="I84" i="2" s="1"/>
  <c r="I100" i="2" s="1"/>
  <c r="I116" i="2" s="1"/>
  <c r="I132" i="2" s="1"/>
  <c r="I148" i="2" s="1"/>
  <c r="I163" i="2" s="1"/>
  <c r="I179" i="2" s="1"/>
  <c r="I195" i="2" s="1"/>
  <c r="I211" i="2" s="1"/>
  <c r="H20" i="2"/>
  <c r="G20" i="2"/>
  <c r="F20" i="2"/>
  <c r="E20" i="2"/>
  <c r="D20" i="2"/>
  <c r="C20" i="2"/>
  <c r="C36" i="2" s="1"/>
  <c r="C52" i="2" s="1"/>
  <c r="C68" i="2" s="1"/>
  <c r="C84" i="2" s="1"/>
  <c r="C100" i="2" s="1"/>
  <c r="C116" i="2" s="1"/>
  <c r="C132" i="2" s="1"/>
  <c r="C148" i="2" s="1"/>
  <c r="C163" i="2" s="1"/>
  <c r="C179" i="2" s="1"/>
  <c r="B20" i="2"/>
  <c r="W17" i="2"/>
  <c r="S17" i="2"/>
  <c r="R17" i="2"/>
  <c r="Q17" i="2"/>
  <c r="P17" i="2"/>
  <c r="O17" i="2"/>
  <c r="N17" i="2"/>
  <c r="X12" i="2"/>
  <c r="X17" i="2" s="1"/>
  <c r="W12" i="2"/>
  <c r="V12" i="2"/>
  <c r="U12" i="2"/>
  <c r="T12" i="2"/>
  <c r="T17" i="2" s="1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AQ4" i="2"/>
  <c r="AP4" i="2"/>
  <c r="AO4" i="2"/>
  <c r="AN4" i="2"/>
  <c r="AM4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U17" i="2" s="1"/>
  <c r="K4" i="2"/>
  <c r="J4" i="2"/>
  <c r="I4" i="2"/>
  <c r="H4" i="2"/>
  <c r="G4" i="2"/>
  <c r="F4" i="2"/>
  <c r="E4" i="2"/>
  <c r="D4" i="2"/>
  <c r="C4" i="2"/>
  <c r="B4" i="2"/>
  <c r="W224" i="1"/>
  <c r="V224" i="1"/>
  <c r="U224" i="1"/>
  <c r="T224" i="1"/>
  <c r="S224" i="1"/>
  <c r="R224" i="1"/>
  <c r="Q224" i="1"/>
  <c r="P224" i="1"/>
  <c r="O224" i="1"/>
  <c r="BA211" i="1"/>
  <c r="AZ211" i="1"/>
  <c r="AY211" i="1"/>
  <c r="AB195" i="1"/>
  <c r="AB211" i="1" s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T179" i="1"/>
  <c r="AT195" i="1" s="1"/>
  <c r="AT211" i="1" s="1"/>
  <c r="AT148" i="1"/>
  <c r="AT163" i="1" s="1"/>
  <c r="B148" i="1"/>
  <c r="B163" i="1" s="1"/>
  <c r="B179" i="1" s="1"/>
  <c r="B195" i="1" s="1"/>
  <c r="B211" i="1" s="1"/>
  <c r="AD132" i="1"/>
  <c r="AD148" i="1" s="1"/>
  <c r="AD163" i="1" s="1"/>
  <c r="AD179" i="1" s="1"/>
  <c r="AD195" i="1" s="1"/>
  <c r="AD211" i="1" s="1"/>
  <c r="AC132" i="1"/>
  <c r="AC148" i="1" s="1"/>
  <c r="AC163" i="1" s="1"/>
  <c r="AC179" i="1" s="1"/>
  <c r="AC195" i="1" s="1"/>
  <c r="AC211" i="1" s="1"/>
  <c r="AB132" i="1"/>
  <c r="AB148" i="1" s="1"/>
  <c r="AB163" i="1" s="1"/>
  <c r="AB179" i="1" s="1"/>
  <c r="AA132" i="1"/>
  <c r="AA148" i="1" s="1"/>
  <c r="AA163" i="1" s="1"/>
  <c r="AA179" i="1" s="1"/>
  <c r="AA195" i="1" s="1"/>
  <c r="AA211" i="1" s="1"/>
  <c r="AT116" i="1"/>
  <c r="AT132" i="1" s="1"/>
  <c r="AE100" i="1"/>
  <c r="AE116" i="1" s="1"/>
  <c r="AE132" i="1" s="1"/>
  <c r="AE148" i="1" s="1"/>
  <c r="AE163" i="1" s="1"/>
  <c r="AE179" i="1" s="1"/>
  <c r="AE195" i="1" s="1"/>
  <c r="AE211" i="1" s="1"/>
  <c r="BA84" i="1"/>
  <c r="BA100" i="1" s="1"/>
  <c r="BA116" i="1" s="1"/>
  <c r="BA132" i="1" s="1"/>
  <c r="BA148" i="1" s="1"/>
  <c r="BA163" i="1" s="1"/>
  <c r="BA179" i="1" s="1"/>
  <c r="BA195" i="1" s="1"/>
  <c r="AE84" i="1"/>
  <c r="Z84" i="1"/>
  <c r="Z100" i="1" s="1"/>
  <c r="Z116" i="1" s="1"/>
  <c r="Z132" i="1" s="1"/>
  <c r="Z148" i="1" s="1"/>
  <c r="Z163" i="1" s="1"/>
  <c r="Z179" i="1" s="1"/>
  <c r="Z195" i="1" s="1"/>
  <c r="Z211" i="1" s="1"/>
  <c r="V84" i="1"/>
  <c r="V100" i="1" s="1"/>
  <c r="V116" i="1" s="1"/>
  <c r="V132" i="1" s="1"/>
  <c r="V148" i="1" s="1"/>
  <c r="V163" i="1" s="1"/>
  <c r="V179" i="1" s="1"/>
  <c r="V195" i="1" s="1"/>
  <c r="V211" i="1" s="1"/>
  <c r="U84" i="1"/>
  <c r="U100" i="1" s="1"/>
  <c r="U116" i="1" s="1"/>
  <c r="U132" i="1" s="1"/>
  <c r="U148" i="1" s="1"/>
  <c r="U163" i="1" s="1"/>
  <c r="U179" i="1" s="1"/>
  <c r="U195" i="1" s="1"/>
  <c r="U211" i="1" s="1"/>
  <c r="T84" i="1"/>
  <c r="T100" i="1" s="1"/>
  <c r="T116" i="1" s="1"/>
  <c r="T132" i="1" s="1"/>
  <c r="T148" i="1" s="1"/>
  <c r="T163" i="1" s="1"/>
  <c r="T179" i="1" s="1"/>
  <c r="T195" i="1" s="1"/>
  <c r="T211" i="1" s="1"/>
  <c r="AZ68" i="1"/>
  <c r="AZ84" i="1" s="1"/>
  <c r="AZ100" i="1" s="1"/>
  <c r="AZ116" i="1" s="1"/>
  <c r="AZ132" i="1" s="1"/>
  <c r="AZ148" i="1" s="1"/>
  <c r="AZ163" i="1" s="1"/>
  <c r="AZ179" i="1" s="1"/>
  <c r="AZ195" i="1" s="1"/>
  <c r="AY68" i="1"/>
  <c r="AY84" i="1" s="1"/>
  <c r="AY100" i="1" s="1"/>
  <c r="AY116" i="1" s="1"/>
  <c r="AY132" i="1" s="1"/>
  <c r="AY148" i="1" s="1"/>
  <c r="AY163" i="1" s="1"/>
  <c r="AY179" i="1" s="1"/>
  <c r="AY195" i="1" s="1"/>
  <c r="AX68" i="1"/>
  <c r="AX84" i="1" s="1"/>
  <c r="AX100" i="1" s="1"/>
  <c r="AX116" i="1" s="1"/>
  <c r="AX132" i="1" s="1"/>
  <c r="AX148" i="1" s="1"/>
  <c r="AX163" i="1" s="1"/>
  <c r="AX179" i="1" s="1"/>
  <c r="AX195" i="1" s="1"/>
  <c r="AX211" i="1" s="1"/>
  <c r="AU68" i="1"/>
  <c r="AU84" i="1" s="1"/>
  <c r="AU100" i="1" s="1"/>
  <c r="AU116" i="1" s="1"/>
  <c r="AU132" i="1" s="1"/>
  <c r="AU148" i="1" s="1"/>
  <c r="AU163" i="1" s="1"/>
  <c r="AU179" i="1" s="1"/>
  <c r="AU195" i="1" s="1"/>
  <c r="AU211" i="1" s="1"/>
  <c r="AT68" i="1"/>
  <c r="AT84" i="1" s="1"/>
  <c r="AT100" i="1" s="1"/>
  <c r="T65" i="1"/>
  <c r="S65" i="1"/>
  <c r="R65" i="1"/>
  <c r="Q65" i="1"/>
  <c r="P65" i="1"/>
  <c r="O65" i="1"/>
  <c r="AJ64" i="1"/>
  <c r="AI64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J63" i="1"/>
  <c r="AI63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J61" i="1"/>
  <c r="AI61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J60" i="1"/>
  <c r="AI60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J59" i="1"/>
  <c r="AI59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V65" i="1" s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J58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J57" i="1"/>
  <c r="AI57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J56" i="1"/>
  <c r="AI56" i="1"/>
  <c r="AH56" i="1"/>
  <c r="AG56" i="1"/>
  <c r="AF56" i="1"/>
  <c r="AE56" i="1"/>
  <c r="AD56" i="1"/>
  <c r="AC56" i="1"/>
  <c r="AB56" i="1"/>
  <c r="AA56" i="1"/>
  <c r="Z56" i="1"/>
  <c r="Y56" i="1"/>
  <c r="X56" i="1"/>
  <c r="X65" i="1" s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J54" i="1"/>
  <c r="AI54" i="1"/>
  <c r="AH54" i="1"/>
  <c r="AG54" i="1"/>
  <c r="AF54" i="1"/>
  <c r="AF65" i="1" s="1"/>
  <c r="AE54" i="1"/>
  <c r="AD54" i="1"/>
  <c r="AC54" i="1"/>
  <c r="AB54" i="1"/>
  <c r="AA54" i="1"/>
  <c r="Z54" i="1"/>
  <c r="Y54" i="1"/>
  <c r="Y65" i="1" s="1"/>
  <c r="X54" i="1"/>
  <c r="W54" i="1"/>
  <c r="V54" i="1"/>
  <c r="U54" i="1"/>
  <c r="U65" i="1" s="1"/>
  <c r="T54" i="1"/>
  <c r="S54" i="1"/>
  <c r="R54" i="1"/>
  <c r="Q54" i="1"/>
  <c r="P54" i="1"/>
  <c r="O54" i="1"/>
  <c r="N54" i="1"/>
  <c r="N65" i="1" s="1"/>
  <c r="M54" i="1"/>
  <c r="L54" i="1"/>
  <c r="K54" i="1"/>
  <c r="J54" i="1"/>
  <c r="J65" i="1" s="1"/>
  <c r="I54" i="1"/>
  <c r="H54" i="1"/>
  <c r="G54" i="1"/>
  <c r="F54" i="1"/>
  <c r="E54" i="1"/>
  <c r="D54" i="1"/>
  <c r="C54" i="1"/>
  <c r="B54" i="1"/>
  <c r="AJ53" i="1"/>
  <c r="AI53" i="1"/>
  <c r="AH53" i="1"/>
  <c r="AH65" i="1" s="1"/>
  <c r="AG53" i="1"/>
  <c r="AG65" i="1" s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L65" i="1" s="1"/>
  <c r="K53" i="1"/>
  <c r="K65" i="1" s="1"/>
  <c r="J53" i="1"/>
  <c r="I53" i="1"/>
  <c r="H53" i="1"/>
  <c r="G53" i="1"/>
  <c r="F53" i="1"/>
  <c r="E53" i="1"/>
  <c r="E65" i="1" s="1"/>
  <c r="D53" i="1"/>
  <c r="C53" i="1"/>
  <c r="C65" i="1" s="1"/>
  <c r="B53" i="1"/>
  <c r="B65" i="1" s="1"/>
  <c r="AW52" i="1"/>
  <c r="AW68" i="1" s="1"/>
  <c r="AW84" i="1" s="1"/>
  <c r="AW100" i="1" s="1"/>
  <c r="AW116" i="1" s="1"/>
  <c r="AW132" i="1" s="1"/>
  <c r="AW148" i="1" s="1"/>
  <c r="AW163" i="1" s="1"/>
  <c r="AW179" i="1" s="1"/>
  <c r="AW195" i="1" s="1"/>
  <c r="AW211" i="1" s="1"/>
  <c r="AV52" i="1"/>
  <c r="AV68" i="1" s="1"/>
  <c r="AV84" i="1" s="1"/>
  <c r="AV100" i="1" s="1"/>
  <c r="AV116" i="1" s="1"/>
  <c r="AV132" i="1" s="1"/>
  <c r="AV148" i="1" s="1"/>
  <c r="AV163" i="1" s="1"/>
  <c r="AV179" i="1" s="1"/>
  <c r="AV195" i="1" s="1"/>
  <c r="AV211" i="1" s="1"/>
  <c r="B37" i="1"/>
  <c r="AT36" i="1"/>
  <c r="AT52" i="1" s="1"/>
  <c r="AS36" i="1"/>
  <c r="AS52" i="1" s="1"/>
  <c r="AS68" i="1" s="1"/>
  <c r="AS84" i="1" s="1"/>
  <c r="AS100" i="1" s="1"/>
  <c r="AS116" i="1" s="1"/>
  <c r="AS132" i="1" s="1"/>
  <c r="AS148" i="1" s="1"/>
  <c r="AS163" i="1" s="1"/>
  <c r="AS179" i="1" s="1"/>
  <c r="AS195" i="1" s="1"/>
  <c r="AS211" i="1" s="1"/>
  <c r="AR36" i="1"/>
  <c r="AR52" i="1" s="1"/>
  <c r="AR68" i="1" s="1"/>
  <c r="AR84" i="1" s="1"/>
  <c r="AR100" i="1" s="1"/>
  <c r="AR116" i="1" s="1"/>
  <c r="AR132" i="1" s="1"/>
  <c r="AR148" i="1" s="1"/>
  <c r="AR163" i="1" s="1"/>
  <c r="AR179" i="1" s="1"/>
  <c r="AR195" i="1" s="1"/>
  <c r="AR211" i="1" s="1"/>
  <c r="AQ36" i="1"/>
  <c r="AQ52" i="1" s="1"/>
  <c r="AQ68" i="1" s="1"/>
  <c r="AQ84" i="1" s="1"/>
  <c r="AQ100" i="1" s="1"/>
  <c r="AQ116" i="1" s="1"/>
  <c r="AQ132" i="1" s="1"/>
  <c r="AQ148" i="1" s="1"/>
  <c r="AQ163" i="1" s="1"/>
  <c r="AQ179" i="1" s="1"/>
  <c r="AQ195" i="1" s="1"/>
  <c r="AQ211" i="1" s="1"/>
  <c r="AP36" i="1"/>
  <c r="AP52" i="1" s="1"/>
  <c r="AP68" i="1" s="1"/>
  <c r="AP84" i="1" s="1"/>
  <c r="AP100" i="1" s="1"/>
  <c r="AP116" i="1" s="1"/>
  <c r="AP132" i="1" s="1"/>
  <c r="AP148" i="1" s="1"/>
  <c r="AP163" i="1" s="1"/>
  <c r="AP179" i="1" s="1"/>
  <c r="AP195" i="1" s="1"/>
  <c r="AP211" i="1" s="1"/>
  <c r="AO36" i="1"/>
  <c r="AO52" i="1" s="1"/>
  <c r="AO68" i="1" s="1"/>
  <c r="AO84" i="1" s="1"/>
  <c r="AO100" i="1" s="1"/>
  <c r="AO116" i="1" s="1"/>
  <c r="AO132" i="1" s="1"/>
  <c r="AO148" i="1" s="1"/>
  <c r="AO163" i="1" s="1"/>
  <c r="AO179" i="1" s="1"/>
  <c r="AO195" i="1" s="1"/>
  <c r="AO211" i="1" s="1"/>
  <c r="AN36" i="1"/>
  <c r="AN52" i="1" s="1"/>
  <c r="AN68" i="1" s="1"/>
  <c r="AN84" i="1" s="1"/>
  <c r="AN100" i="1" s="1"/>
  <c r="AN116" i="1" s="1"/>
  <c r="AN132" i="1" s="1"/>
  <c r="AN148" i="1" s="1"/>
  <c r="AN163" i="1" s="1"/>
  <c r="AN179" i="1" s="1"/>
  <c r="AN195" i="1" s="1"/>
  <c r="AN211" i="1" s="1"/>
  <c r="G36" i="1"/>
  <c r="G52" i="1" s="1"/>
  <c r="G68" i="1" s="1"/>
  <c r="G84" i="1" s="1"/>
  <c r="G100" i="1" s="1"/>
  <c r="G116" i="1" s="1"/>
  <c r="G132" i="1" s="1"/>
  <c r="G148" i="1" s="1"/>
  <c r="G163" i="1" s="1"/>
  <c r="G179" i="1" s="1"/>
  <c r="G195" i="1" s="1"/>
  <c r="G211" i="1" s="1"/>
  <c r="F36" i="1"/>
  <c r="F52" i="1" s="1"/>
  <c r="F68" i="1" s="1"/>
  <c r="F84" i="1" s="1"/>
  <c r="F100" i="1" s="1"/>
  <c r="F116" i="1" s="1"/>
  <c r="F132" i="1" s="1"/>
  <c r="F148" i="1" s="1"/>
  <c r="F163" i="1" s="1"/>
  <c r="F179" i="1" s="1"/>
  <c r="F195" i="1" s="1"/>
  <c r="F211" i="1" s="1"/>
  <c r="BC32" i="1"/>
  <c r="BB32" i="1"/>
  <c r="BA32" i="1"/>
  <c r="AZ32" i="1"/>
  <c r="AY32" i="1"/>
  <c r="AX32" i="1"/>
  <c r="AW32" i="1"/>
  <c r="AV32" i="1"/>
  <c r="AU32" i="1"/>
  <c r="AT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BC31" i="1"/>
  <c r="BB31" i="1"/>
  <c r="BA31" i="1"/>
  <c r="AZ31" i="1"/>
  <c r="AY31" i="1"/>
  <c r="AX31" i="1"/>
  <c r="AW31" i="1"/>
  <c r="AV31" i="1"/>
  <c r="AU31" i="1"/>
  <c r="AT31" i="1"/>
  <c r="AS31" i="1"/>
  <c r="AR31" i="1"/>
  <c r="AQ31" i="1"/>
  <c r="AP31" i="1"/>
  <c r="AO31" i="1"/>
  <c r="AN31" i="1"/>
  <c r="AM31" i="1"/>
  <c r="AL31" i="1"/>
  <c r="AK31" i="1"/>
  <c r="AJ31" i="1"/>
  <c r="AI31" i="1"/>
  <c r="AI33" i="1" s="1"/>
  <c r="AH31" i="1"/>
  <c r="AH33" i="1" s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M33" i="1" s="1"/>
  <c r="L31" i="1"/>
  <c r="L33" i="1" s="1"/>
  <c r="K31" i="1"/>
  <c r="J31" i="1"/>
  <c r="I31" i="1"/>
  <c r="H31" i="1"/>
  <c r="G31" i="1"/>
  <c r="F31" i="1"/>
  <c r="E31" i="1"/>
  <c r="D31" i="1"/>
  <c r="C31" i="1"/>
  <c r="B31" i="1"/>
  <c r="BC30" i="1"/>
  <c r="BB30" i="1"/>
  <c r="BA30" i="1"/>
  <c r="AZ30" i="1"/>
  <c r="AY30" i="1"/>
  <c r="AX30" i="1"/>
  <c r="AW30" i="1"/>
  <c r="AV30" i="1"/>
  <c r="AU30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BC29" i="1"/>
  <c r="BC33" i="1" s="1"/>
  <c r="BB29" i="1"/>
  <c r="BB33" i="1" s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K33" i="1" s="1"/>
  <c r="J29" i="1"/>
  <c r="J33" i="1" s="1"/>
  <c r="I29" i="1"/>
  <c r="H29" i="1"/>
  <c r="G29" i="1"/>
  <c r="F29" i="1"/>
  <c r="E29" i="1"/>
  <c r="D29" i="1"/>
  <c r="C29" i="1"/>
  <c r="B29" i="1"/>
  <c r="BC28" i="1"/>
  <c r="BB28" i="1"/>
  <c r="BA28" i="1"/>
  <c r="AZ28" i="1"/>
  <c r="AY28" i="1"/>
  <c r="AX28" i="1"/>
  <c r="AW28" i="1"/>
  <c r="AV28" i="1"/>
  <c r="AU28" i="1"/>
  <c r="AT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BC27" i="1"/>
  <c r="BB27" i="1"/>
  <c r="BA27" i="1"/>
  <c r="BA33" i="1" s="1"/>
  <c r="AZ27" i="1"/>
  <c r="AZ33" i="1" s="1"/>
  <c r="AY27" i="1"/>
  <c r="AX27" i="1"/>
  <c r="AW27" i="1"/>
  <c r="AV27" i="1"/>
  <c r="AU27" i="1"/>
  <c r="AT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I33" i="1" s="1"/>
  <c r="H27" i="1"/>
  <c r="H33" i="1" s="1"/>
  <c r="G27" i="1"/>
  <c r="F27" i="1"/>
  <c r="E27" i="1"/>
  <c r="D27" i="1"/>
  <c r="C27" i="1"/>
  <c r="B27" i="1"/>
  <c r="BC26" i="1"/>
  <c r="BB26" i="1"/>
  <c r="BA26" i="1"/>
  <c r="AZ26" i="1"/>
  <c r="AY26" i="1"/>
  <c r="AX26" i="1"/>
  <c r="AW26" i="1"/>
  <c r="AV26" i="1"/>
  <c r="AU26" i="1"/>
  <c r="AT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BC25" i="1"/>
  <c r="BB25" i="1"/>
  <c r="BA25" i="1"/>
  <c r="AZ25" i="1"/>
  <c r="AY25" i="1"/>
  <c r="AX25" i="1"/>
  <c r="AW25" i="1"/>
  <c r="AV25" i="1"/>
  <c r="AU25" i="1"/>
  <c r="AT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BC24" i="1"/>
  <c r="BB24" i="1"/>
  <c r="BA24" i="1"/>
  <c r="AZ24" i="1"/>
  <c r="AY24" i="1"/>
  <c r="AX24" i="1"/>
  <c r="AW24" i="1"/>
  <c r="AV24" i="1"/>
  <c r="AU24" i="1"/>
  <c r="AT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BC23" i="1"/>
  <c r="BB23" i="1"/>
  <c r="BA23" i="1"/>
  <c r="AZ23" i="1"/>
  <c r="AY23" i="1"/>
  <c r="AX23" i="1"/>
  <c r="AW23" i="1"/>
  <c r="AV23" i="1"/>
  <c r="AU23" i="1"/>
  <c r="AT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BC22" i="1"/>
  <c r="BB22" i="1"/>
  <c r="BA22" i="1"/>
  <c r="AZ22" i="1"/>
  <c r="AY22" i="1"/>
  <c r="AX22" i="1"/>
  <c r="AW22" i="1"/>
  <c r="AV22" i="1"/>
  <c r="AU22" i="1"/>
  <c r="AT22" i="1"/>
  <c r="AS22" i="1"/>
  <c r="AR22" i="1"/>
  <c r="AQ22" i="1"/>
  <c r="AP22" i="1"/>
  <c r="AO22" i="1"/>
  <c r="AN22" i="1"/>
  <c r="AM22" i="1"/>
  <c r="AL22" i="1"/>
  <c r="AK22" i="1"/>
  <c r="AK33" i="1" s="1"/>
  <c r="AJ22" i="1"/>
  <c r="AJ33" i="1" s="1"/>
  <c r="AI22" i="1"/>
  <c r="AH22" i="1"/>
  <c r="AG22" i="1"/>
  <c r="AG33" i="1" s="1"/>
  <c r="AF22" i="1"/>
  <c r="AF33" i="1" s="1"/>
  <c r="AE22" i="1"/>
  <c r="AE33" i="1" s="1"/>
  <c r="AD22" i="1"/>
  <c r="AD33" i="1" s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O33" i="1" s="1"/>
  <c r="O34" i="1" s="1"/>
  <c r="N22" i="1"/>
  <c r="N33" i="1" s="1"/>
  <c r="N34" i="1" s="1"/>
  <c r="M22" i="1"/>
  <c r="L22" i="1"/>
  <c r="K22" i="1"/>
  <c r="J22" i="1"/>
  <c r="I22" i="1"/>
  <c r="H22" i="1"/>
  <c r="G22" i="1"/>
  <c r="F22" i="1"/>
  <c r="E22" i="1"/>
  <c r="D22" i="1"/>
  <c r="C22" i="1"/>
  <c r="B22" i="1"/>
  <c r="BC21" i="1"/>
  <c r="BB21" i="1"/>
  <c r="BA21" i="1"/>
  <c r="AZ21" i="1"/>
  <c r="AY21" i="1"/>
  <c r="AX21" i="1"/>
  <c r="AW21" i="1"/>
  <c r="AV21" i="1"/>
  <c r="AU21" i="1"/>
  <c r="AU33" i="1" s="1"/>
  <c r="AT21" i="1"/>
  <c r="AT33" i="1" s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Y33" i="1" s="1"/>
  <c r="X21" i="1"/>
  <c r="X33" i="1" s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C33" i="1" s="1"/>
  <c r="B21" i="1"/>
  <c r="B33" i="1" s="1"/>
  <c r="BA20" i="1"/>
  <c r="BA36" i="1" s="1"/>
  <c r="BA52" i="1" s="1"/>
  <c r="BA68" i="1" s="1"/>
  <c r="AZ20" i="1"/>
  <c r="AZ36" i="1" s="1"/>
  <c r="AZ52" i="1" s="1"/>
  <c r="AY20" i="1"/>
  <c r="AY36" i="1" s="1"/>
  <c r="AY52" i="1" s="1"/>
  <c r="AX20" i="1"/>
  <c r="AX36" i="1" s="1"/>
  <c r="AX52" i="1" s="1"/>
  <c r="AT20" i="1"/>
  <c r="AE20" i="1"/>
  <c r="AE36" i="1" s="1"/>
  <c r="AE52" i="1" s="1"/>
  <c r="AE68" i="1" s="1"/>
  <c r="AD20" i="1"/>
  <c r="AD36" i="1" s="1"/>
  <c r="AD52" i="1" s="1"/>
  <c r="AD68" i="1" s="1"/>
  <c r="AD84" i="1" s="1"/>
  <c r="AD100" i="1" s="1"/>
  <c r="AD116" i="1" s="1"/>
  <c r="AC20" i="1"/>
  <c r="AC36" i="1" s="1"/>
  <c r="AC52" i="1" s="1"/>
  <c r="AC68" i="1" s="1"/>
  <c r="AC84" i="1" s="1"/>
  <c r="AC100" i="1" s="1"/>
  <c r="AC116" i="1" s="1"/>
  <c r="AB20" i="1"/>
  <c r="AB36" i="1" s="1"/>
  <c r="AB52" i="1" s="1"/>
  <c r="AB68" i="1" s="1"/>
  <c r="AB84" i="1" s="1"/>
  <c r="AB100" i="1" s="1"/>
  <c r="AB116" i="1" s="1"/>
  <c r="X20" i="1"/>
  <c r="X36" i="1" s="1"/>
  <c r="X52" i="1" s="1"/>
  <c r="X68" i="1" s="1"/>
  <c r="X84" i="1" s="1"/>
  <c r="X100" i="1" s="1"/>
  <c r="X116" i="1" s="1"/>
  <c r="X132" i="1" s="1"/>
  <c r="X148" i="1" s="1"/>
  <c r="X163" i="1" s="1"/>
  <c r="X179" i="1" s="1"/>
  <c r="X195" i="1" s="1"/>
  <c r="X211" i="1" s="1"/>
  <c r="I20" i="1"/>
  <c r="I36" i="1" s="1"/>
  <c r="I52" i="1" s="1"/>
  <c r="I68" i="1" s="1"/>
  <c r="I84" i="1" s="1"/>
  <c r="I100" i="1" s="1"/>
  <c r="I116" i="1" s="1"/>
  <c r="I132" i="1" s="1"/>
  <c r="I148" i="1" s="1"/>
  <c r="I163" i="1" s="1"/>
  <c r="I179" i="1" s="1"/>
  <c r="I195" i="1" s="1"/>
  <c r="I211" i="1" s="1"/>
  <c r="H20" i="1"/>
  <c r="H36" i="1" s="1"/>
  <c r="H52" i="1" s="1"/>
  <c r="H68" i="1" s="1"/>
  <c r="H84" i="1" s="1"/>
  <c r="H100" i="1" s="1"/>
  <c r="H116" i="1" s="1"/>
  <c r="H132" i="1" s="1"/>
  <c r="H148" i="1" s="1"/>
  <c r="H163" i="1" s="1"/>
  <c r="H179" i="1" s="1"/>
  <c r="H195" i="1" s="1"/>
  <c r="H211" i="1" s="1"/>
  <c r="G20" i="1"/>
  <c r="F20" i="1"/>
  <c r="B20" i="1"/>
  <c r="B36" i="1" s="1"/>
  <c r="B52" i="1" s="1"/>
  <c r="B68" i="1" s="1"/>
  <c r="B84" i="1" s="1"/>
  <c r="B100" i="1" s="1"/>
  <c r="B116" i="1" s="1"/>
  <c r="B132" i="1" s="1"/>
  <c r="Y17" i="1"/>
  <c r="X17" i="1"/>
  <c r="W17" i="1"/>
  <c r="V17" i="1"/>
  <c r="U17" i="1"/>
  <c r="T17" i="1"/>
  <c r="S17" i="1"/>
  <c r="R17" i="1"/>
  <c r="Q17" i="1"/>
  <c r="Z12" i="1"/>
  <c r="Z17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AN4" i="1"/>
  <c r="AN17" i="1" s="1"/>
  <c r="Z4" i="1"/>
  <c r="Y4" i="1"/>
  <c r="X4" i="1"/>
  <c r="N4" i="1"/>
  <c r="M4" i="1"/>
  <c r="L4" i="1"/>
  <c r="K4" i="1"/>
  <c r="J4" i="1"/>
  <c r="I4" i="1"/>
  <c r="H4" i="1"/>
  <c r="H34" i="1" s="1"/>
  <c r="G4" i="1"/>
  <c r="F4" i="1"/>
  <c r="E4" i="1"/>
  <c r="BC2" i="1"/>
  <c r="BC20" i="1" s="1"/>
  <c r="BC36" i="1" s="1"/>
  <c r="BC52" i="1" s="1"/>
  <c r="BC68" i="1" s="1"/>
  <c r="BC84" i="1" s="1"/>
  <c r="BC100" i="1" s="1"/>
  <c r="BC116" i="1" s="1"/>
  <c r="BC132" i="1" s="1"/>
  <c r="BC148" i="1" s="1"/>
  <c r="BC163" i="1" s="1"/>
  <c r="BC179" i="1" s="1"/>
  <c r="BC195" i="1" s="1"/>
  <c r="BC211" i="1" s="1"/>
  <c r="BB2" i="1"/>
  <c r="BB20" i="1" s="1"/>
  <c r="BB36" i="1" s="1"/>
  <c r="BB52" i="1" s="1"/>
  <c r="BB68" i="1" s="1"/>
  <c r="BB84" i="1" s="1"/>
  <c r="BB100" i="1" s="1"/>
  <c r="BB116" i="1" s="1"/>
  <c r="BB132" i="1" s="1"/>
  <c r="BB148" i="1" s="1"/>
  <c r="BB163" i="1" s="1"/>
  <c r="BB179" i="1" s="1"/>
  <c r="BB195" i="1" s="1"/>
  <c r="BB211" i="1" s="1"/>
  <c r="BA2" i="1"/>
  <c r="AZ2" i="1"/>
  <c r="AY2" i="1"/>
  <c r="AX2" i="1"/>
  <c r="AW2" i="1"/>
  <c r="AW20" i="1" s="1"/>
  <c r="AW36" i="1" s="1"/>
  <c r="AV2" i="1"/>
  <c r="AV20" i="1" s="1"/>
  <c r="AV36" i="1" s="1"/>
  <c r="AU2" i="1"/>
  <c r="AU20" i="1" s="1"/>
  <c r="AU36" i="1" s="1"/>
  <c r="AU52" i="1" s="1"/>
  <c r="AT2" i="1"/>
  <c r="AS2" i="1"/>
  <c r="AS20" i="1" s="1"/>
  <c r="AR2" i="1"/>
  <c r="AR20" i="1" s="1"/>
  <c r="AQ2" i="1"/>
  <c r="AQ20" i="1" s="1"/>
  <c r="AP2" i="1"/>
  <c r="AP20" i="1" s="1"/>
  <c r="AO2" i="1"/>
  <c r="AO20" i="1" s="1"/>
  <c r="AN2" i="1"/>
  <c r="AN20" i="1" s="1"/>
  <c r="AM2" i="1"/>
  <c r="AM20" i="1" s="1"/>
  <c r="AM36" i="1" s="1"/>
  <c r="AM52" i="1" s="1"/>
  <c r="AM68" i="1" s="1"/>
  <c r="AM84" i="1" s="1"/>
  <c r="AM100" i="1" s="1"/>
  <c r="AM116" i="1" s="1"/>
  <c r="AM132" i="1" s="1"/>
  <c r="AM148" i="1" s="1"/>
  <c r="AM163" i="1" s="1"/>
  <c r="AM179" i="1" s="1"/>
  <c r="AM195" i="1" s="1"/>
  <c r="AM211" i="1" s="1"/>
  <c r="AL2" i="1"/>
  <c r="AL20" i="1" s="1"/>
  <c r="AL36" i="1" s="1"/>
  <c r="AL52" i="1" s="1"/>
  <c r="AL68" i="1" s="1"/>
  <c r="AL84" i="1" s="1"/>
  <c r="AL100" i="1" s="1"/>
  <c r="AL116" i="1" s="1"/>
  <c r="AL132" i="1" s="1"/>
  <c r="AL148" i="1" s="1"/>
  <c r="AL163" i="1" s="1"/>
  <c r="AL179" i="1" s="1"/>
  <c r="AL195" i="1" s="1"/>
  <c r="AL211" i="1" s="1"/>
  <c r="AK2" i="1"/>
  <c r="AK20" i="1" s="1"/>
  <c r="AK36" i="1" s="1"/>
  <c r="AK52" i="1" s="1"/>
  <c r="AK68" i="1" s="1"/>
  <c r="AK84" i="1" s="1"/>
  <c r="AK100" i="1" s="1"/>
  <c r="AK116" i="1" s="1"/>
  <c r="AK132" i="1" s="1"/>
  <c r="AK148" i="1" s="1"/>
  <c r="AK163" i="1" s="1"/>
  <c r="AK179" i="1" s="1"/>
  <c r="AK195" i="1" s="1"/>
  <c r="AK211" i="1" s="1"/>
  <c r="AJ2" i="1"/>
  <c r="AJ20" i="1" s="1"/>
  <c r="AJ36" i="1" s="1"/>
  <c r="AJ52" i="1" s="1"/>
  <c r="AJ68" i="1" s="1"/>
  <c r="AJ84" i="1" s="1"/>
  <c r="AJ100" i="1" s="1"/>
  <c r="AJ116" i="1" s="1"/>
  <c r="AJ132" i="1" s="1"/>
  <c r="AJ148" i="1" s="1"/>
  <c r="AJ163" i="1" s="1"/>
  <c r="AJ179" i="1" s="1"/>
  <c r="AJ195" i="1" s="1"/>
  <c r="AJ211" i="1" s="1"/>
  <c r="AI2" i="1"/>
  <c r="AI20" i="1" s="1"/>
  <c r="AI36" i="1" s="1"/>
  <c r="AI52" i="1" s="1"/>
  <c r="AI68" i="1" s="1"/>
  <c r="AI84" i="1" s="1"/>
  <c r="AI100" i="1" s="1"/>
  <c r="AI116" i="1" s="1"/>
  <c r="AI132" i="1" s="1"/>
  <c r="AI148" i="1" s="1"/>
  <c r="AI163" i="1" s="1"/>
  <c r="AI179" i="1" s="1"/>
  <c r="AI195" i="1" s="1"/>
  <c r="AI211" i="1" s="1"/>
  <c r="AH2" i="1"/>
  <c r="AH20" i="1" s="1"/>
  <c r="AH36" i="1" s="1"/>
  <c r="AH52" i="1" s="1"/>
  <c r="AH68" i="1" s="1"/>
  <c r="AH84" i="1" s="1"/>
  <c r="AH100" i="1" s="1"/>
  <c r="AH116" i="1" s="1"/>
  <c r="AH132" i="1" s="1"/>
  <c r="AH148" i="1" s="1"/>
  <c r="AH163" i="1" s="1"/>
  <c r="AH179" i="1" s="1"/>
  <c r="AH195" i="1" s="1"/>
  <c r="AH211" i="1" s="1"/>
  <c r="AG2" i="1"/>
  <c r="AG20" i="1" s="1"/>
  <c r="AG36" i="1" s="1"/>
  <c r="AG52" i="1" s="1"/>
  <c r="AG68" i="1" s="1"/>
  <c r="AG84" i="1" s="1"/>
  <c r="AG100" i="1" s="1"/>
  <c r="AG116" i="1" s="1"/>
  <c r="AG132" i="1" s="1"/>
  <c r="AG148" i="1" s="1"/>
  <c r="AG163" i="1" s="1"/>
  <c r="AG179" i="1" s="1"/>
  <c r="AG195" i="1" s="1"/>
  <c r="AG211" i="1" s="1"/>
  <c r="AF2" i="1"/>
  <c r="AF20" i="1" s="1"/>
  <c r="AF36" i="1" s="1"/>
  <c r="AF52" i="1" s="1"/>
  <c r="AF68" i="1" s="1"/>
  <c r="AF84" i="1" s="1"/>
  <c r="AF100" i="1" s="1"/>
  <c r="AF116" i="1" s="1"/>
  <c r="AF132" i="1" s="1"/>
  <c r="AF148" i="1" s="1"/>
  <c r="AF163" i="1" s="1"/>
  <c r="AF179" i="1" s="1"/>
  <c r="AF195" i="1" s="1"/>
  <c r="AF211" i="1" s="1"/>
  <c r="AE2" i="1"/>
  <c r="AD2" i="1"/>
  <c r="AC2" i="1"/>
  <c r="AB2" i="1"/>
  <c r="AA2" i="1"/>
  <c r="AA20" i="1" s="1"/>
  <c r="AA36" i="1" s="1"/>
  <c r="AA52" i="1" s="1"/>
  <c r="AA68" i="1" s="1"/>
  <c r="AA84" i="1" s="1"/>
  <c r="AA100" i="1" s="1"/>
  <c r="AA116" i="1" s="1"/>
  <c r="Z2" i="1"/>
  <c r="Z20" i="1" s="1"/>
  <c r="Z36" i="1" s="1"/>
  <c r="Z52" i="1" s="1"/>
  <c r="Z68" i="1" s="1"/>
  <c r="Y2" i="1"/>
  <c r="Y20" i="1" s="1"/>
  <c r="Y36" i="1" s="1"/>
  <c r="Y52" i="1" s="1"/>
  <c r="Y68" i="1" s="1"/>
  <c r="Y84" i="1" s="1"/>
  <c r="Y100" i="1" s="1"/>
  <c r="Y116" i="1" s="1"/>
  <c r="Y132" i="1" s="1"/>
  <c r="Y148" i="1" s="1"/>
  <c r="Y163" i="1" s="1"/>
  <c r="Y179" i="1" s="1"/>
  <c r="Y195" i="1" s="1"/>
  <c r="Y211" i="1" s="1"/>
  <c r="X2" i="1"/>
  <c r="W2" i="1"/>
  <c r="W20" i="1" s="1"/>
  <c r="W36" i="1" s="1"/>
  <c r="W52" i="1" s="1"/>
  <c r="W68" i="1" s="1"/>
  <c r="W84" i="1" s="1"/>
  <c r="W100" i="1" s="1"/>
  <c r="W116" i="1" s="1"/>
  <c r="W132" i="1" s="1"/>
  <c r="W148" i="1" s="1"/>
  <c r="W163" i="1" s="1"/>
  <c r="W179" i="1" s="1"/>
  <c r="W195" i="1" s="1"/>
  <c r="W211" i="1" s="1"/>
  <c r="V2" i="1"/>
  <c r="V20" i="1" s="1"/>
  <c r="V36" i="1" s="1"/>
  <c r="V52" i="1" s="1"/>
  <c r="V68" i="1" s="1"/>
  <c r="U2" i="1"/>
  <c r="U20" i="1" s="1"/>
  <c r="U36" i="1" s="1"/>
  <c r="U52" i="1" s="1"/>
  <c r="U68" i="1" s="1"/>
  <c r="T2" i="1"/>
  <c r="T20" i="1" s="1"/>
  <c r="T36" i="1" s="1"/>
  <c r="T52" i="1" s="1"/>
  <c r="T68" i="1" s="1"/>
  <c r="S2" i="1"/>
  <c r="S20" i="1" s="1"/>
  <c r="S36" i="1" s="1"/>
  <c r="S52" i="1" s="1"/>
  <c r="S68" i="1" s="1"/>
  <c r="S84" i="1" s="1"/>
  <c r="S100" i="1" s="1"/>
  <c r="S116" i="1" s="1"/>
  <c r="S132" i="1" s="1"/>
  <c r="S148" i="1" s="1"/>
  <c r="S163" i="1" s="1"/>
  <c r="S179" i="1" s="1"/>
  <c r="S195" i="1" s="1"/>
  <c r="S211" i="1" s="1"/>
  <c r="R2" i="1"/>
  <c r="R20" i="1" s="1"/>
  <c r="R36" i="1" s="1"/>
  <c r="R52" i="1" s="1"/>
  <c r="R68" i="1" s="1"/>
  <c r="R84" i="1" s="1"/>
  <c r="R100" i="1" s="1"/>
  <c r="R116" i="1" s="1"/>
  <c r="R132" i="1" s="1"/>
  <c r="R148" i="1" s="1"/>
  <c r="R163" i="1" s="1"/>
  <c r="R179" i="1" s="1"/>
  <c r="R195" i="1" s="1"/>
  <c r="R211" i="1" s="1"/>
  <c r="Q2" i="1"/>
  <c r="Q20" i="1" s="1"/>
  <c r="Q36" i="1" s="1"/>
  <c r="Q52" i="1" s="1"/>
  <c r="Q68" i="1" s="1"/>
  <c r="Q84" i="1" s="1"/>
  <c r="Q100" i="1" s="1"/>
  <c r="Q116" i="1" s="1"/>
  <c r="Q132" i="1" s="1"/>
  <c r="Q148" i="1" s="1"/>
  <c r="Q163" i="1" s="1"/>
  <c r="Q179" i="1" s="1"/>
  <c r="Q195" i="1" s="1"/>
  <c r="Q211" i="1" s="1"/>
  <c r="P2" i="1"/>
  <c r="P20" i="1" s="1"/>
  <c r="P36" i="1" s="1"/>
  <c r="P52" i="1" s="1"/>
  <c r="P68" i="1" s="1"/>
  <c r="P84" i="1" s="1"/>
  <c r="P100" i="1" s="1"/>
  <c r="P116" i="1" s="1"/>
  <c r="P132" i="1" s="1"/>
  <c r="P148" i="1" s="1"/>
  <c r="P163" i="1" s="1"/>
  <c r="P179" i="1" s="1"/>
  <c r="P195" i="1" s="1"/>
  <c r="P211" i="1" s="1"/>
  <c r="O2" i="1"/>
  <c r="O20" i="1" s="1"/>
  <c r="O36" i="1" s="1"/>
  <c r="O52" i="1" s="1"/>
  <c r="O68" i="1" s="1"/>
  <c r="O84" i="1" s="1"/>
  <c r="O100" i="1" s="1"/>
  <c r="O116" i="1" s="1"/>
  <c r="O132" i="1" s="1"/>
  <c r="O148" i="1" s="1"/>
  <c r="O163" i="1" s="1"/>
  <c r="O179" i="1" s="1"/>
  <c r="O195" i="1" s="1"/>
  <c r="O211" i="1" s="1"/>
  <c r="N2" i="1"/>
  <c r="N20" i="1" s="1"/>
  <c r="N36" i="1" s="1"/>
  <c r="N52" i="1" s="1"/>
  <c r="N68" i="1" s="1"/>
  <c r="N84" i="1" s="1"/>
  <c r="N100" i="1" s="1"/>
  <c r="N116" i="1" s="1"/>
  <c r="N132" i="1" s="1"/>
  <c r="N148" i="1" s="1"/>
  <c r="N163" i="1" s="1"/>
  <c r="N179" i="1" s="1"/>
  <c r="N195" i="1" s="1"/>
  <c r="N211" i="1" s="1"/>
  <c r="M2" i="1"/>
  <c r="M20" i="1" s="1"/>
  <c r="M36" i="1" s="1"/>
  <c r="M52" i="1" s="1"/>
  <c r="M68" i="1" s="1"/>
  <c r="M84" i="1" s="1"/>
  <c r="M100" i="1" s="1"/>
  <c r="M116" i="1" s="1"/>
  <c r="M132" i="1" s="1"/>
  <c r="M148" i="1" s="1"/>
  <c r="M163" i="1" s="1"/>
  <c r="M179" i="1" s="1"/>
  <c r="M195" i="1" s="1"/>
  <c r="M211" i="1" s="1"/>
  <c r="L2" i="1"/>
  <c r="L20" i="1" s="1"/>
  <c r="L36" i="1" s="1"/>
  <c r="L52" i="1" s="1"/>
  <c r="L68" i="1" s="1"/>
  <c r="L84" i="1" s="1"/>
  <c r="L100" i="1" s="1"/>
  <c r="L116" i="1" s="1"/>
  <c r="L132" i="1" s="1"/>
  <c r="L148" i="1" s="1"/>
  <c r="L163" i="1" s="1"/>
  <c r="L179" i="1" s="1"/>
  <c r="L195" i="1" s="1"/>
  <c r="L211" i="1" s="1"/>
  <c r="K2" i="1"/>
  <c r="K20" i="1" s="1"/>
  <c r="K36" i="1" s="1"/>
  <c r="K52" i="1" s="1"/>
  <c r="K68" i="1" s="1"/>
  <c r="K84" i="1" s="1"/>
  <c r="K100" i="1" s="1"/>
  <c r="K116" i="1" s="1"/>
  <c r="K132" i="1" s="1"/>
  <c r="K148" i="1" s="1"/>
  <c r="K163" i="1" s="1"/>
  <c r="K179" i="1" s="1"/>
  <c r="K195" i="1" s="1"/>
  <c r="K211" i="1" s="1"/>
  <c r="J2" i="1"/>
  <c r="J20" i="1" s="1"/>
  <c r="J36" i="1" s="1"/>
  <c r="J52" i="1" s="1"/>
  <c r="J68" i="1" s="1"/>
  <c r="J84" i="1" s="1"/>
  <c r="J100" i="1" s="1"/>
  <c r="J116" i="1" s="1"/>
  <c r="J132" i="1" s="1"/>
  <c r="J148" i="1" s="1"/>
  <c r="J163" i="1" s="1"/>
  <c r="J179" i="1" s="1"/>
  <c r="J195" i="1" s="1"/>
  <c r="J211" i="1" s="1"/>
  <c r="I2" i="1"/>
  <c r="H2" i="1"/>
  <c r="G2" i="1"/>
  <c r="F2" i="1"/>
  <c r="E2" i="1"/>
  <c r="E20" i="1" s="1"/>
  <c r="E36" i="1" s="1"/>
  <c r="E52" i="1" s="1"/>
  <c r="E68" i="1" s="1"/>
  <c r="E84" i="1" s="1"/>
  <c r="E100" i="1" s="1"/>
  <c r="E116" i="1" s="1"/>
  <c r="E132" i="1" s="1"/>
  <c r="E148" i="1" s="1"/>
  <c r="E163" i="1" s="1"/>
  <c r="E179" i="1" s="1"/>
  <c r="E195" i="1" s="1"/>
  <c r="E211" i="1" s="1"/>
  <c r="D2" i="1"/>
  <c r="D20" i="1" s="1"/>
  <c r="D36" i="1" s="1"/>
  <c r="D52" i="1" s="1"/>
  <c r="D68" i="1" s="1"/>
  <c r="D84" i="1" s="1"/>
  <c r="D100" i="1" s="1"/>
  <c r="D116" i="1" s="1"/>
  <c r="D132" i="1" s="1"/>
  <c r="D148" i="1" s="1"/>
  <c r="D163" i="1" s="1"/>
  <c r="D179" i="1" s="1"/>
  <c r="D195" i="1" s="1"/>
  <c r="D211" i="1" s="1"/>
  <c r="C2" i="1"/>
  <c r="C20" i="1" s="1"/>
  <c r="C36" i="1" s="1"/>
  <c r="C52" i="1" s="1"/>
  <c r="C68" i="1" s="1"/>
  <c r="C84" i="1" s="1"/>
  <c r="C100" i="1" s="1"/>
  <c r="C116" i="1" s="1"/>
  <c r="C132" i="1" s="1"/>
  <c r="C148" i="1" s="1"/>
  <c r="C163" i="1" s="1"/>
  <c r="C179" i="1" s="1"/>
  <c r="C195" i="1" s="1"/>
  <c r="C211" i="1" s="1"/>
  <c r="B2" i="1"/>
  <c r="BB4" i="1" l="1"/>
  <c r="BB17" i="1" s="1"/>
  <c r="AF4" i="1"/>
  <c r="AF17" i="1" s="1"/>
  <c r="BA4" i="1"/>
  <c r="BA17" i="1" s="1"/>
  <c r="AE4" i="1"/>
  <c r="AE17" i="1" s="1"/>
  <c r="AY4" i="1"/>
  <c r="AY17" i="1" s="1"/>
  <c r="AZ4" i="1"/>
  <c r="AZ17" i="1" s="1"/>
  <c r="AD4" i="1"/>
  <c r="AD17" i="1" s="1"/>
  <c r="AC4" i="1"/>
  <c r="AC17" i="1" s="1"/>
  <c r="AX4" i="1"/>
  <c r="AX17" i="1" s="1"/>
  <c r="AB4" i="1"/>
  <c r="AB17" i="1" s="1"/>
  <c r="AV4" i="1"/>
  <c r="AV17" i="1" s="1"/>
  <c r="AT4" i="1"/>
  <c r="AT17" i="1" s="1"/>
  <c r="AW4" i="1"/>
  <c r="AW17" i="1" s="1"/>
  <c r="AA4" i="1"/>
  <c r="AA17" i="1" s="1"/>
  <c r="AS4" i="1"/>
  <c r="AS17" i="1" s="1"/>
  <c r="AO4" i="1"/>
  <c r="AO17" i="1" s="1"/>
  <c r="AU4" i="1"/>
  <c r="AU17" i="1" s="1"/>
  <c r="AP4" i="1"/>
  <c r="AP17" i="1" s="1"/>
  <c r="AR4" i="1"/>
  <c r="AR17" i="1" s="1"/>
  <c r="AQ4" i="1"/>
  <c r="AQ17" i="1" s="1"/>
  <c r="D33" i="1"/>
  <c r="Q33" i="1"/>
  <c r="Q34" i="1" s="1"/>
  <c r="AC33" i="1"/>
  <c r="Z33" i="1"/>
  <c r="AI65" i="1"/>
  <c r="CR41" i="10"/>
  <c r="X17" i="4"/>
  <c r="AM33" i="1"/>
  <c r="AV33" i="1"/>
  <c r="G33" i="1"/>
  <c r="G34" i="1" s="1"/>
  <c r="AG4" i="1"/>
  <c r="AG17" i="1" s="1"/>
  <c r="Z12" i="4"/>
  <c r="E33" i="1"/>
  <c r="E34" i="1" s="1"/>
  <c r="AL33" i="1"/>
  <c r="AX33" i="1"/>
  <c r="I34" i="1"/>
  <c r="AN33" i="1"/>
  <c r="AI4" i="1"/>
  <c r="AI17" i="1" s="1"/>
  <c r="S33" i="1"/>
  <c r="S34" i="1" s="1"/>
  <c r="AO33" i="1"/>
  <c r="D65" i="1"/>
  <c r="Z65" i="1"/>
  <c r="BC4" i="1"/>
  <c r="BC17" i="1" s="1"/>
  <c r="P33" i="1"/>
  <c r="P34" i="1" s="1"/>
  <c r="AH4" i="1"/>
  <c r="AH17" i="1" s="1"/>
  <c r="R33" i="1"/>
  <c r="R34" i="1" s="1"/>
  <c r="AA65" i="1"/>
  <c r="AJ65" i="1"/>
  <c r="W65" i="1"/>
  <c r="Y12" i="4"/>
  <c r="AA12" i="4" s="1"/>
  <c r="AA33" i="1"/>
  <c r="AB33" i="1"/>
  <c r="M65" i="1"/>
  <c r="AJ4" i="1"/>
  <c r="AJ17" i="1" s="1"/>
  <c r="AP33" i="1"/>
  <c r="AQ33" i="1"/>
  <c r="AR33" i="1"/>
  <c r="Y12" i="2"/>
  <c r="AW33" i="1"/>
  <c r="F33" i="1"/>
  <c r="F34" i="1" s="1"/>
  <c r="AY33" i="1"/>
  <c r="J34" i="1"/>
  <c r="T33" i="1"/>
  <c r="T34" i="1" s="1"/>
  <c r="AK4" i="1"/>
  <c r="AK17" i="1" s="1"/>
  <c r="U33" i="1"/>
  <c r="U34" i="1" s="1"/>
  <c r="AL4" i="1"/>
  <c r="AL17" i="1" s="1"/>
  <c r="V33" i="1"/>
  <c r="V34" i="1" s="1"/>
  <c r="AM4" i="1"/>
  <c r="AM17" i="1" s="1"/>
  <c r="W33" i="1"/>
  <c r="AS33" i="1"/>
  <c r="Z12" i="2"/>
  <c r="EN41" i="10"/>
  <c r="Z17" i="5"/>
  <c r="L34" i="1"/>
  <c r="M34" i="1"/>
  <c r="K34" i="1"/>
  <c r="Q17" i="3"/>
  <c r="Y43" i="10"/>
  <c r="G65" i="1"/>
  <c r="AC65" i="1"/>
  <c r="F65" i="1"/>
  <c r="H65" i="1"/>
  <c r="AD65" i="1"/>
  <c r="V17" i="2"/>
  <c r="AB65" i="1"/>
  <c r="I65" i="1"/>
  <c r="AE65" i="1"/>
  <c r="AA12" i="5"/>
  <c r="Z12" i="3"/>
  <c r="Z17" i="3" s="1"/>
  <c r="O17" i="3"/>
  <c r="Y12" i="3"/>
  <c r="EJ15" i="10"/>
  <c r="EM20" i="10"/>
  <c r="EF12" i="10"/>
  <c r="E17" i="4"/>
  <c r="EB12" i="10"/>
  <c r="BE22" i="10"/>
  <c r="EG32" i="10"/>
  <c r="EG4" i="10"/>
  <c r="X40" i="10"/>
  <c r="EF15" i="10"/>
  <c r="EF6" i="10"/>
  <c r="EG6" i="10"/>
  <c r="EH15" i="10"/>
  <c r="EB24" i="10"/>
  <c r="N28" i="10"/>
  <c r="EK33" i="10"/>
  <c r="W40" i="10"/>
  <c r="BC40" i="10"/>
  <c r="CA40" i="10"/>
  <c r="EC24" i="10"/>
  <c r="O28" i="10"/>
  <c r="CO28" i="10"/>
  <c r="EI24" i="10"/>
  <c r="ED11" i="10"/>
  <c r="EJ24" i="10"/>
  <c r="BT22" i="10"/>
  <c r="EB7" i="10"/>
  <c r="DE22" i="10"/>
  <c r="EE24" i="10"/>
  <c r="EH24" i="10"/>
  <c r="EK24" i="10"/>
  <c r="EG7" i="10"/>
  <c r="S22" i="10"/>
  <c r="AT22" i="10"/>
  <c r="BU22" i="10"/>
  <c r="U40" i="10"/>
  <c r="EH7" i="10"/>
  <c r="T22" i="10"/>
  <c r="AU22" i="10"/>
  <c r="BX22" i="10"/>
  <c r="EG11" i="10"/>
  <c r="EM5" i="10"/>
  <c r="EI7" i="10"/>
  <c r="U22" i="10"/>
  <c r="AV22" i="10"/>
  <c r="BY22" i="10"/>
  <c r="DH22" i="10"/>
  <c r="EJ7" i="10"/>
  <c r="V22" i="10"/>
  <c r="EJ22" i="10" s="1"/>
  <c r="AW22" i="10"/>
  <c r="BZ22" i="10"/>
  <c r="DI22" i="10"/>
  <c r="EK7" i="10"/>
  <c r="W22" i="10"/>
  <c r="BC22" i="10"/>
  <c r="CA22" i="10"/>
  <c r="DJ22" i="10"/>
  <c r="DK22" i="10"/>
  <c r="EM40" i="10"/>
  <c r="EE11" i="10"/>
  <c r="EF11" i="10"/>
  <c r="T40" i="10"/>
  <c r="EH11" i="10"/>
  <c r="F40" i="10"/>
  <c r="AG40" i="10"/>
  <c r="BH40" i="10"/>
  <c r="CF40" i="10"/>
  <c r="DO40" i="10"/>
  <c r="EK26" i="10"/>
  <c r="G40" i="10"/>
  <c r="AH40" i="10"/>
  <c r="BI40" i="10"/>
  <c r="CG40" i="10"/>
  <c r="DP40" i="10"/>
  <c r="H40" i="10"/>
  <c r="BJ40" i="10"/>
  <c r="CH40" i="10"/>
  <c r="EB29" i="10"/>
  <c r="EM4" i="10"/>
  <c r="EH25" i="10"/>
  <c r="I40" i="10"/>
  <c r="AJ40" i="10"/>
  <c r="BK40" i="10"/>
  <c r="CI40" i="10"/>
  <c r="EC29" i="10"/>
  <c r="FO59" i="10"/>
  <c r="FO48" i="10"/>
  <c r="FO57" i="10"/>
  <c r="FO55" i="10"/>
  <c r="FO53" i="10"/>
  <c r="FO51" i="10"/>
  <c r="FO49" i="10"/>
  <c r="FO50" i="10"/>
  <c r="FO54" i="10"/>
  <c r="FO52" i="10"/>
  <c r="FO58" i="10"/>
  <c r="FO56" i="10"/>
  <c r="EE6" i="10"/>
  <c r="EC8" i="10"/>
  <c r="ED29" i="10"/>
  <c r="DF40" i="10"/>
  <c r="EK41" i="10"/>
  <c r="EJ10" i="10"/>
  <c r="EM10" i="10"/>
  <c r="BJ22" i="10"/>
  <c r="EE29" i="10"/>
  <c r="EK10" i="10"/>
  <c r="EK17" i="10"/>
  <c r="EJ26" i="10"/>
  <c r="EM26" i="10"/>
  <c r="L40" i="10"/>
  <c r="AM40" i="10"/>
  <c r="BN40" i="10"/>
  <c r="CL40" i="10"/>
  <c r="EF29" i="10"/>
  <c r="EK34" i="10"/>
  <c r="ED7" i="10"/>
  <c r="AS22" i="10"/>
  <c r="M40" i="10"/>
  <c r="AN40" i="10"/>
  <c r="BO40" i="10"/>
  <c r="CM40" i="10"/>
  <c r="EG40" i="10" s="1"/>
  <c r="EG29" i="10"/>
  <c r="DI40" i="10"/>
  <c r="EF5" i="10"/>
  <c r="EE7" i="10"/>
  <c r="N40" i="10"/>
  <c r="EB40" i="10" s="1"/>
  <c r="AO40" i="10"/>
  <c r="BP40" i="10"/>
  <c r="CN40" i="10"/>
  <c r="EL41" i="10"/>
  <c r="EC15" i="10"/>
  <c r="Q40" i="10"/>
  <c r="AR40" i="10"/>
  <c r="EH29" i="10"/>
  <c r="BS40" i="10"/>
  <c r="CQ40" i="10"/>
  <c r="EK29" i="10"/>
  <c r="EI31" i="10"/>
  <c r="BT40" i="10"/>
  <c r="C40" i="10"/>
  <c r="BE40" i="10"/>
  <c r="EJ21" i="10"/>
  <c r="ED23" i="10"/>
  <c r="P28" i="10"/>
  <c r="ED28" i="10" s="1"/>
  <c r="AQ28" i="10"/>
  <c r="BR28" i="10"/>
  <c r="CP28" i="10"/>
  <c r="D40" i="10"/>
  <c r="BF40" i="10"/>
  <c r="BX40" i="10"/>
  <c r="EH37" i="10"/>
  <c r="DK40" i="10"/>
  <c r="EM6" i="10"/>
  <c r="X22" i="10"/>
  <c r="CB22" i="10"/>
  <c r="EI8" i="10"/>
  <c r="EK21" i="10"/>
  <c r="EE23" i="10"/>
  <c r="Q28" i="10"/>
  <c r="AR28" i="10"/>
  <c r="BS28" i="10"/>
  <c r="CQ28" i="10"/>
  <c r="AV40" i="10"/>
  <c r="BY40" i="10"/>
  <c r="DG40" i="10"/>
  <c r="DL40" i="10"/>
  <c r="Y22" i="10"/>
  <c r="Y41" i="10" s="1"/>
  <c r="EM41" i="10" s="1"/>
  <c r="EM44" i="10" s="1"/>
  <c r="CC22" i="10"/>
  <c r="DL22" i="10"/>
  <c r="EB13" i="10"/>
  <c r="EL21" i="10"/>
  <c r="AS28" i="10"/>
  <c r="D22" i="10"/>
  <c r="AE22" i="10"/>
  <c r="BF22" i="10"/>
  <c r="CD22" i="10"/>
  <c r="DM22" i="10"/>
  <c r="EF9" i="10"/>
  <c r="EM12" i="10"/>
  <c r="EM21" i="10"/>
  <c r="EG23" i="10"/>
  <c r="S28" i="10"/>
  <c r="AT28" i="10"/>
  <c r="BU28" i="10"/>
  <c r="DE28" i="10"/>
  <c r="E22" i="10"/>
  <c r="BG22" i="10"/>
  <c r="DN22" i="10"/>
  <c r="EG9" i="10"/>
  <c r="EB10" i="10"/>
  <c r="EH23" i="10"/>
  <c r="T28" i="10"/>
  <c r="EH28" i="10" s="1"/>
  <c r="AU28" i="10"/>
  <c r="BX28" i="10"/>
  <c r="DF28" i="10"/>
  <c r="EB27" i="10"/>
  <c r="BD40" i="10"/>
  <c r="DJ40" i="10"/>
  <c r="F22" i="10"/>
  <c r="AG22" i="10"/>
  <c r="BH22" i="10"/>
  <c r="CF22" i="10"/>
  <c r="EH9" i="10"/>
  <c r="EC10" i="10"/>
  <c r="EE13" i="10"/>
  <c r="U28" i="10"/>
  <c r="EI23" i="10"/>
  <c r="EC27" i="10"/>
  <c r="EG39" i="10"/>
  <c r="ED10" i="10"/>
  <c r="EI18" i="10"/>
  <c r="EG20" i="10"/>
  <c r="V28" i="10"/>
  <c r="EJ28" i="10" s="1"/>
  <c r="EJ23" i="10"/>
  <c r="AW28" i="10"/>
  <c r="BZ28" i="10"/>
  <c r="DH28" i="10"/>
  <c r="EJ40" i="10"/>
  <c r="EE10" i="10"/>
  <c r="EJ18" i="10"/>
  <c r="EH20" i="10"/>
  <c r="W28" i="10"/>
  <c r="EK23" i="10"/>
  <c r="DM40" i="10"/>
  <c r="I22" i="10"/>
  <c r="AJ22" i="10"/>
  <c r="BK22" i="10"/>
  <c r="CI22" i="10"/>
  <c r="EC7" i="10"/>
  <c r="EF10" i="10"/>
  <c r="EK18" i="10"/>
  <c r="EI20" i="10"/>
  <c r="AM28" i="10"/>
  <c r="CL28" i="10"/>
  <c r="EF28" i="10" s="1"/>
  <c r="E40" i="10"/>
  <c r="BG40" i="10"/>
  <c r="DN40" i="10"/>
  <c r="ED34" i="10"/>
  <c r="EM36" i="10"/>
  <c r="EJ39" i="10"/>
  <c r="G22" i="10"/>
  <c r="AH22" i="10"/>
  <c r="BI22" i="10"/>
  <c r="CG22" i="10"/>
  <c r="DO22" i="10"/>
  <c r="B28" i="10"/>
  <c r="X28" i="10"/>
  <c r="EL28" i="10" s="1"/>
  <c r="BD28" i="10"/>
  <c r="CB28" i="10"/>
  <c r="DJ28" i="10"/>
  <c r="EF24" i="10"/>
  <c r="EK27" i="10"/>
  <c r="O40" i="10"/>
  <c r="AP40" i="10"/>
  <c r="EF40" i="10" s="1"/>
  <c r="BQ40" i="10"/>
  <c r="CO40" i="10"/>
  <c r="EG41" i="10"/>
  <c r="EM28" i="10"/>
  <c r="P40" i="10"/>
  <c r="ED40" i="10" s="1"/>
  <c r="AQ40" i="10"/>
  <c r="BR40" i="10"/>
  <c r="CP40" i="10"/>
  <c r="ED32" i="10"/>
  <c r="EH41" i="10"/>
  <c r="J22" i="10"/>
  <c r="AK22" i="10"/>
  <c r="BL22" i="10"/>
  <c r="CJ22" i="10"/>
  <c r="R22" i="10"/>
  <c r="EC25" i="10"/>
  <c r="EC30" i="10"/>
  <c r="K22" i="10"/>
  <c r="AL22" i="10"/>
  <c r="BM22" i="10"/>
  <c r="CK22" i="10"/>
  <c r="ED25" i="10"/>
  <c r="ED30" i="10"/>
  <c r="EJ35" i="10"/>
  <c r="L22" i="10"/>
  <c r="AM22" i="10"/>
  <c r="BN22" i="10"/>
  <c r="CL22" i="10"/>
  <c r="EE30" i="10"/>
  <c r="M22" i="10"/>
  <c r="AN22" i="10"/>
  <c r="BO22" i="10"/>
  <c r="CM22" i="10"/>
  <c r="EB33" i="10"/>
  <c r="N22" i="10"/>
  <c r="AO22" i="10"/>
  <c r="BP22" i="10"/>
  <c r="CN22" i="10"/>
  <c r="EB14" i="10"/>
  <c r="EJ16" i="10"/>
  <c r="EB20" i="10"/>
  <c r="EC33" i="10"/>
  <c r="EH36" i="10"/>
  <c r="EK36" i="10"/>
  <c r="O22" i="10"/>
  <c r="AP22" i="10"/>
  <c r="BQ22" i="10"/>
  <c r="CO22" i="10"/>
  <c r="EC14" i="10"/>
  <c r="ED19" i="10"/>
  <c r="EF37" i="10"/>
  <c r="EI37" i="10"/>
  <c r="ED38" i="10"/>
  <c r="EG38" i="10"/>
  <c r="ED39" i="10"/>
  <c r="P22" i="10"/>
  <c r="AQ22" i="10"/>
  <c r="BR22" i="10"/>
  <c r="CP22" i="10"/>
  <c r="EH17" i="10"/>
  <c r="EF18" i="10"/>
  <c r="EB26" i="10"/>
  <c r="Q22" i="10"/>
  <c r="AR22" i="10"/>
  <c r="BS22" i="10"/>
  <c r="CQ22" i="10"/>
  <c r="EM16" i="10"/>
  <c r="EE20" i="10"/>
  <c r="ED21" i="10"/>
  <c r="EM29" i="10"/>
  <c r="EG19" i="10"/>
  <c r="EF20" i="10"/>
  <c r="EE21" i="10"/>
  <c r="EM23" i="10"/>
  <c r="AA17" i="4" l="1"/>
  <c r="AB12" i="4"/>
  <c r="AF12" i="4" s="1"/>
  <c r="Z17" i="4"/>
  <c r="AD12" i="4"/>
  <c r="EC22" i="10"/>
  <c r="EI22" i="10"/>
  <c r="AA12" i="3"/>
  <c r="CR39" i="10"/>
  <c r="EL39" i="10" s="1"/>
  <c r="CR20" i="10"/>
  <c r="EL20" i="10" s="1"/>
  <c r="EN20" i="10" s="1"/>
  <c r="CR38" i="10"/>
  <c r="EL38" i="10" s="1"/>
  <c r="EL46" i="10" s="1"/>
  <c r="EL47" i="10" s="1"/>
  <c r="CR19" i="10"/>
  <c r="EL19" i="10" s="1"/>
  <c r="EN19" i="10" s="1"/>
  <c r="CR37" i="10"/>
  <c r="EL37" i="10" s="1"/>
  <c r="EN37" i="10" s="1"/>
  <c r="CR30" i="10"/>
  <c r="EL30" i="10" s="1"/>
  <c r="EN30" i="10" s="1"/>
  <c r="CR18" i="10"/>
  <c r="EL18" i="10" s="1"/>
  <c r="EN18" i="10" s="1"/>
  <c r="CR36" i="10"/>
  <c r="EL36" i="10" s="1"/>
  <c r="EN36" i="10" s="1"/>
  <c r="CR29" i="10"/>
  <c r="EL29" i="10" s="1"/>
  <c r="EN29" i="10" s="1"/>
  <c r="CR17" i="10"/>
  <c r="EL17" i="10" s="1"/>
  <c r="EN17" i="10" s="1"/>
  <c r="CR35" i="10"/>
  <c r="EL35" i="10" s="1"/>
  <c r="CR16" i="10"/>
  <c r="EL16" i="10" s="1"/>
  <c r="CR27" i="10"/>
  <c r="EL27" i="10" s="1"/>
  <c r="CR14" i="10"/>
  <c r="EL14" i="10" s="1"/>
  <c r="CR7" i="10"/>
  <c r="EL7" i="10" s="1"/>
  <c r="CR33" i="10"/>
  <c r="EL33" i="10" s="1"/>
  <c r="CR6" i="10"/>
  <c r="EL6" i="10" s="1"/>
  <c r="CR25" i="10"/>
  <c r="EL25" i="10" s="1"/>
  <c r="EN25" i="10" s="1"/>
  <c r="CR32" i="10"/>
  <c r="EL32" i="10" s="1"/>
  <c r="CR24" i="10"/>
  <c r="EL24" i="10" s="1"/>
  <c r="CR13" i="10"/>
  <c r="EL13" i="10" s="1"/>
  <c r="EN13" i="10" s="1"/>
  <c r="CR10" i="10"/>
  <c r="EL10" i="10" s="1"/>
  <c r="EN10" i="10" s="1"/>
  <c r="CR23" i="10"/>
  <c r="EL23" i="10" s="1"/>
  <c r="EN23" i="10" s="1"/>
  <c r="CR15" i="10"/>
  <c r="EL15" i="10" s="1"/>
  <c r="CR31" i="10"/>
  <c r="EL31" i="10" s="1"/>
  <c r="EN31" i="10" s="1"/>
  <c r="CR34" i="10"/>
  <c r="EL34" i="10" s="1"/>
  <c r="EN34" i="10" s="1"/>
  <c r="CR8" i="10"/>
  <c r="EL8" i="10" s="1"/>
  <c r="EN8" i="10" s="1"/>
  <c r="CR26" i="10"/>
  <c r="EL26" i="10" s="1"/>
  <c r="EN26" i="10" s="1"/>
  <c r="CR11" i="10"/>
  <c r="EL11" i="10" s="1"/>
  <c r="EN11" i="10" s="1"/>
  <c r="CR22" i="10"/>
  <c r="EL22" i="10" s="1"/>
  <c r="CR12" i="10"/>
  <c r="EL12" i="10" s="1"/>
  <c r="EN12" i="10" s="1"/>
  <c r="EI28" i="10"/>
  <c r="EK40" i="10"/>
  <c r="EN35" i="10"/>
  <c r="EN16" i="10"/>
  <c r="EN44" i="10"/>
  <c r="EN27" i="10"/>
  <c r="EN33" i="10"/>
  <c r="EN14" i="10"/>
  <c r="EN5" i="10"/>
  <c r="EN39" i="10"/>
  <c r="EN4" i="10"/>
  <c r="EN21" i="10"/>
  <c r="EN6" i="10"/>
  <c r="EN7" i="10"/>
  <c r="EN24" i="10"/>
  <c r="EN15" i="10"/>
  <c r="EN9" i="10"/>
  <c r="EN32" i="10"/>
  <c r="EH40" i="10"/>
  <c r="EG28" i="10"/>
  <c r="EE28" i="10"/>
  <c r="EI40" i="10"/>
  <c r="AC12" i="4"/>
  <c r="AA17" i="5"/>
  <c r="EC28" i="10"/>
  <c r="EF22" i="10"/>
  <c r="EC40" i="10"/>
  <c r="EK28" i="10"/>
  <c r="EN28" i="10" s="1"/>
  <c r="EB28" i="10"/>
  <c r="Y17" i="2"/>
  <c r="AA12" i="2"/>
  <c r="AE12" i="4"/>
  <c r="Y17" i="4"/>
  <c r="EG22" i="10"/>
  <c r="Y17" i="3"/>
  <c r="EK22" i="10"/>
  <c r="AB12" i="5"/>
  <c r="EM22" i="10"/>
  <c r="EE22" i="10"/>
  <c r="EH22" i="10"/>
  <c r="EB22" i="10"/>
  <c r="Z17" i="2"/>
  <c r="ED22" i="10"/>
  <c r="EE40" i="10"/>
  <c r="EN22" i="10" l="1"/>
  <c r="AF17" i="4"/>
  <c r="CR40" i="10"/>
  <c r="EL40" i="10" s="1"/>
  <c r="EN40" i="10" s="1"/>
  <c r="EN38" i="10" s="1"/>
  <c r="EN46" i="10" s="1"/>
  <c r="AA17" i="3"/>
  <c r="AD17" i="4"/>
  <c r="AB12" i="3"/>
  <c r="AA17" i="2"/>
  <c r="EO41" i="10"/>
  <c r="AB17" i="4"/>
  <c r="AE17" i="4"/>
  <c r="AC17" i="4"/>
  <c r="AG12" i="4"/>
  <c r="AB17" i="5"/>
  <c r="AC12" i="5"/>
  <c r="AB12" i="2"/>
  <c r="AC12" i="2" s="1"/>
  <c r="AC17" i="2" l="1"/>
  <c r="AD12" i="2"/>
  <c r="EN59" i="10"/>
  <c r="EN45" i="10"/>
  <c r="AG17" i="4"/>
  <c r="AC12" i="3"/>
  <c r="AI12" i="4"/>
  <c r="EO19" i="10"/>
  <c r="EO37" i="10"/>
  <c r="EO18" i="10"/>
  <c r="EO36" i="10"/>
  <c r="EO29" i="10"/>
  <c r="EO17" i="10"/>
  <c r="EO35" i="10"/>
  <c r="EO28" i="10"/>
  <c r="EO16" i="10"/>
  <c r="EO44" i="10"/>
  <c r="EO27" i="10"/>
  <c r="EO34" i="10"/>
  <c r="EO15" i="10"/>
  <c r="EO33" i="10"/>
  <c r="EO14" i="10"/>
  <c r="EO25" i="10"/>
  <c r="EO5" i="10"/>
  <c r="EO39" i="10"/>
  <c r="EO4" i="10"/>
  <c r="EO22" i="10"/>
  <c r="EO21" i="10"/>
  <c r="EO32" i="10"/>
  <c r="EO20" i="10"/>
  <c r="EO11" i="10"/>
  <c r="EO6" i="10"/>
  <c r="EO10" i="10"/>
  <c r="EO40" i="10"/>
  <c r="EO38" i="10" s="1"/>
  <c r="EO46" i="10" s="1"/>
  <c r="EO26" i="10"/>
  <c r="EO13" i="10"/>
  <c r="EO12" i="10"/>
  <c r="EO8" i="10"/>
  <c r="EO7" i="10"/>
  <c r="EO9" i="10"/>
  <c r="EO31" i="10"/>
  <c r="EO23" i="10"/>
  <c r="EO24" i="10"/>
  <c r="EO30" i="10"/>
  <c r="AB17" i="3"/>
  <c r="AB17" i="2"/>
  <c r="EQ41" i="10"/>
  <c r="AC17" i="5"/>
  <c r="AD12" i="5"/>
  <c r="EP41" i="10"/>
  <c r="AH12" i="4"/>
  <c r="EO52" i="10" l="1"/>
  <c r="EO50" i="10"/>
  <c r="EO59" i="10"/>
  <c r="EO48" i="10"/>
  <c r="EO57" i="10"/>
  <c r="EO55" i="10"/>
  <c r="EO53" i="10"/>
  <c r="EO54" i="10"/>
  <c r="EO56" i="10"/>
  <c r="EO58" i="10"/>
  <c r="EO45" i="10"/>
  <c r="EO51" i="10"/>
  <c r="EO49" i="10"/>
  <c r="AD17" i="2"/>
  <c r="EP37" i="10"/>
  <c r="EP18" i="10"/>
  <c r="EQ18" i="10" s="1"/>
  <c r="EP36" i="10"/>
  <c r="EQ36" i="10" s="1"/>
  <c r="EP29" i="10"/>
  <c r="EQ29" i="10" s="1"/>
  <c r="EP17" i="10"/>
  <c r="EQ17" i="10" s="1"/>
  <c r="EP35" i="10"/>
  <c r="EP28" i="10"/>
  <c r="EP16" i="10"/>
  <c r="EP27" i="10"/>
  <c r="EP34" i="10"/>
  <c r="EP15" i="10"/>
  <c r="EQ15" i="10" s="1"/>
  <c r="EP26" i="10"/>
  <c r="EQ26" i="10" s="1"/>
  <c r="EP25" i="10"/>
  <c r="EP32" i="10"/>
  <c r="EP13" i="10"/>
  <c r="EP39" i="10"/>
  <c r="EQ39" i="10" s="1"/>
  <c r="EP33" i="10"/>
  <c r="EQ33" i="10" s="1"/>
  <c r="EP4" i="10"/>
  <c r="EQ4" i="10" s="1"/>
  <c r="EP22" i="10"/>
  <c r="EQ22" i="10" s="1"/>
  <c r="EP21" i="10"/>
  <c r="EQ21" i="10" s="1"/>
  <c r="EP20" i="10"/>
  <c r="EP19" i="10"/>
  <c r="EQ19" i="10" s="1"/>
  <c r="EP12" i="10"/>
  <c r="EQ12" i="10" s="1"/>
  <c r="EP11" i="10"/>
  <c r="EQ11" i="10" s="1"/>
  <c r="EP24" i="10"/>
  <c r="EQ24" i="10" s="1"/>
  <c r="EP10" i="10"/>
  <c r="EP5" i="10"/>
  <c r="EP40" i="10"/>
  <c r="EP8" i="10"/>
  <c r="EQ8" i="10" s="1"/>
  <c r="EP7" i="10"/>
  <c r="EP9" i="10"/>
  <c r="EQ9" i="10" s="1"/>
  <c r="EP6" i="10"/>
  <c r="EQ6" i="10" s="1"/>
  <c r="EP31" i="10"/>
  <c r="EQ31" i="10" s="1"/>
  <c r="EP23" i="10"/>
  <c r="EQ23" i="10" s="1"/>
  <c r="EP14" i="10"/>
  <c r="EQ14" i="10" s="1"/>
  <c r="EP30" i="10"/>
  <c r="EQ30" i="10" s="1"/>
  <c r="ER41" i="10"/>
  <c r="AD17" i="5"/>
  <c r="AE12" i="5"/>
  <c r="EQ37" i="10"/>
  <c r="EQ35" i="10"/>
  <c r="EQ28" i="10"/>
  <c r="EQ16" i="10"/>
  <c r="EQ27" i="10"/>
  <c r="EQ34" i="10"/>
  <c r="EQ32" i="10"/>
  <c r="EQ25" i="10"/>
  <c r="EQ20" i="10"/>
  <c r="EQ13" i="10"/>
  <c r="EQ10" i="10"/>
  <c r="EQ40" i="10"/>
  <c r="EQ5" i="10"/>
  <c r="EQ7" i="10"/>
  <c r="AC17" i="3"/>
  <c r="AH17" i="4"/>
  <c r="AJ12" i="4"/>
  <c r="AI17" i="4"/>
  <c r="AD12" i="3"/>
  <c r="AE12" i="2"/>
  <c r="EQ38" i="10" l="1"/>
  <c r="EQ46" i="10" s="1"/>
  <c r="AE17" i="5"/>
  <c r="EP38" i="10"/>
  <c r="EP46" i="10" s="1"/>
  <c r="ER36" i="10"/>
  <c r="ER29" i="10"/>
  <c r="ER17" i="10"/>
  <c r="ER35" i="10"/>
  <c r="ER28" i="10"/>
  <c r="ER16" i="10"/>
  <c r="ER27" i="10"/>
  <c r="ER34" i="10"/>
  <c r="ER15" i="10"/>
  <c r="ER26" i="10"/>
  <c r="ER33" i="10"/>
  <c r="ER14" i="10"/>
  <c r="ER25" i="10"/>
  <c r="ER24" i="10"/>
  <c r="ER31" i="10"/>
  <c r="ER30" i="10"/>
  <c r="ER22" i="10"/>
  <c r="ER21" i="10"/>
  <c r="ER37" i="10"/>
  <c r="ER20" i="10"/>
  <c r="ER19" i="10"/>
  <c r="ER12" i="10"/>
  <c r="ER32" i="10"/>
  <c r="ER18" i="10"/>
  <c r="ER13" i="10"/>
  <c r="ER11" i="10"/>
  <c r="ER10" i="10"/>
  <c r="ER9" i="10"/>
  <c r="ER4" i="10"/>
  <c r="ER8" i="10"/>
  <c r="ER5" i="10"/>
  <c r="ER40" i="10"/>
  <c r="ER7" i="10"/>
  <c r="ER6" i="10"/>
  <c r="ER23" i="10"/>
  <c r="ER39" i="10"/>
  <c r="ER38" i="10" s="1"/>
  <c r="ER46" i="10" s="1"/>
  <c r="AF12" i="5"/>
  <c r="AJ17" i="4"/>
  <c r="AK12" i="4"/>
  <c r="EP44" i="10"/>
  <c r="AD17" i="3"/>
  <c r="AE12" i="3"/>
  <c r="AE17" i="2"/>
  <c r="AF12" i="2"/>
  <c r="ER59" i="10" l="1"/>
  <c r="ER48" i="10"/>
  <c r="ER57" i="10"/>
  <c r="ER55" i="10"/>
  <c r="ER53" i="10"/>
  <c r="ER49" i="10"/>
  <c r="ER54" i="10"/>
  <c r="ER56" i="10"/>
  <c r="ER58" i="10"/>
  <c r="ER50" i="10"/>
  <c r="ER51" i="10"/>
  <c r="ER52" i="10"/>
  <c r="AF17" i="2"/>
  <c r="AG12" i="2"/>
  <c r="ET41" i="10"/>
  <c r="AF17" i="5"/>
  <c r="AG12" i="5"/>
  <c r="EQ50" i="10"/>
  <c r="EQ59" i="10"/>
  <c r="EQ48" i="10"/>
  <c r="EQ57" i="10"/>
  <c r="EQ55" i="10"/>
  <c r="EQ53" i="10"/>
  <c r="EQ51" i="10"/>
  <c r="EQ45" i="10"/>
  <c r="EQ52" i="10"/>
  <c r="EQ54" i="10"/>
  <c r="EQ56" i="10"/>
  <c r="EQ58" i="10"/>
  <c r="EQ49" i="10"/>
  <c r="AE17" i="3"/>
  <c r="AF12" i="3"/>
  <c r="EP50" i="10"/>
  <c r="EP59" i="10"/>
  <c r="EP48" i="10"/>
  <c r="EP57" i="10"/>
  <c r="EP55" i="10"/>
  <c r="EP51" i="10"/>
  <c r="EP45" i="10"/>
  <c r="EP53" i="10"/>
  <c r="EP52" i="10"/>
  <c r="EP54" i="10"/>
  <c r="EP56" i="10"/>
  <c r="EP49" i="10"/>
  <c r="EP58" i="10"/>
  <c r="AK17" i="4"/>
  <c r="AL12" i="4"/>
  <c r="AL17" i="4" s="1"/>
  <c r="ES41" i="10"/>
  <c r="ET24" i="10" l="1"/>
  <c r="ET20" i="10"/>
  <c r="ET19" i="10"/>
  <c r="ET12" i="10"/>
  <c r="ET17" i="10"/>
  <c r="ET29" i="10"/>
  <c r="ET5" i="10"/>
  <c r="ET40" i="10"/>
  <c r="ET7" i="10"/>
  <c r="ET6" i="10"/>
  <c r="ET4" i="10"/>
  <c r="AF17" i="3"/>
  <c r="AG12" i="3"/>
  <c r="ES36" i="10"/>
  <c r="ET36" i="10" s="1"/>
  <c r="ES29" i="10"/>
  <c r="ES17" i="10"/>
  <c r="ES35" i="10"/>
  <c r="ET35" i="10" s="1"/>
  <c r="ES28" i="10"/>
  <c r="ET28" i="10" s="1"/>
  <c r="ES16" i="10"/>
  <c r="ET16" i="10" s="1"/>
  <c r="ES27" i="10"/>
  <c r="ET27" i="10" s="1"/>
  <c r="ES34" i="10"/>
  <c r="ET34" i="10" s="1"/>
  <c r="ES15" i="10"/>
  <c r="ET15" i="10" s="1"/>
  <c r="ES26" i="10"/>
  <c r="ET26" i="10" s="1"/>
  <c r="ES33" i="10"/>
  <c r="ET33" i="10" s="1"/>
  <c r="ES14" i="10"/>
  <c r="ET14" i="10" s="1"/>
  <c r="ES25" i="10"/>
  <c r="ET25" i="10" s="1"/>
  <c r="ES32" i="10"/>
  <c r="ET32" i="10" s="1"/>
  <c r="ES13" i="10"/>
  <c r="ET13" i="10" s="1"/>
  <c r="ES31" i="10"/>
  <c r="ET31" i="10" s="1"/>
  <c r="ES30" i="10"/>
  <c r="ET30" i="10" s="1"/>
  <c r="ES23" i="10"/>
  <c r="ET23" i="10" s="1"/>
  <c r="ES22" i="10"/>
  <c r="ET22" i="10" s="1"/>
  <c r="ES21" i="10"/>
  <c r="ET21" i="10" s="1"/>
  <c r="ES37" i="10"/>
  <c r="ET37" i="10" s="1"/>
  <c r="ES20" i="10"/>
  <c r="ES19" i="10"/>
  <c r="ES12" i="10"/>
  <c r="ES18" i="10"/>
  <c r="ET18" i="10" s="1"/>
  <c r="ES11" i="10"/>
  <c r="ET11" i="10" s="1"/>
  <c r="ES24" i="10"/>
  <c r="ES9" i="10"/>
  <c r="ET9" i="10" s="1"/>
  <c r="ES8" i="10"/>
  <c r="ET8" i="10" s="1"/>
  <c r="ES5" i="10"/>
  <c r="ES40" i="10"/>
  <c r="ES7" i="10"/>
  <c r="ES6" i="10"/>
  <c r="ES39" i="10"/>
  <c r="ET39" i="10" s="1"/>
  <c r="ES10" i="10"/>
  <c r="ET10" i="10" s="1"/>
  <c r="ES4" i="10"/>
  <c r="EQ44" i="10"/>
  <c r="ER44" i="10"/>
  <c r="EU41" i="10"/>
  <c r="AG17" i="5"/>
  <c r="AH12" i="5"/>
  <c r="AG17" i="2"/>
  <c r="AH12" i="2"/>
  <c r="ER45" i="10"/>
  <c r="ES44" i="10" s="1"/>
  <c r="AM12" i="4"/>
  <c r="ET38" i="10" l="1"/>
  <c r="ET46" i="10" s="1"/>
  <c r="AG17" i="3"/>
  <c r="AH12" i="3"/>
  <c r="ES38" i="10"/>
  <c r="ES46" i="10" s="1"/>
  <c r="AM17" i="4"/>
  <c r="AN12" i="4"/>
  <c r="AO12" i="4"/>
  <c r="EU35" i="10"/>
  <c r="EU28" i="10"/>
  <c r="EU16" i="10"/>
  <c r="EU27" i="10"/>
  <c r="EU34" i="10"/>
  <c r="EU15" i="10"/>
  <c r="EU26" i="10"/>
  <c r="EU33" i="10"/>
  <c r="EU14" i="10"/>
  <c r="EU25" i="10"/>
  <c r="EU32" i="10"/>
  <c r="EU13" i="10"/>
  <c r="EU24" i="10"/>
  <c r="EU31" i="10"/>
  <c r="EU30" i="10"/>
  <c r="EU40" i="10"/>
  <c r="EU38" i="10" s="1"/>
  <c r="EU46" i="10" s="1"/>
  <c r="EU22" i="10"/>
  <c r="EU21" i="10"/>
  <c r="EU37" i="10"/>
  <c r="EU20" i="10"/>
  <c r="EU19" i="10"/>
  <c r="EU12" i="10"/>
  <c r="EU36" i="10"/>
  <c r="EU18" i="10"/>
  <c r="EU11" i="10"/>
  <c r="EU17" i="10"/>
  <c r="EU10" i="10"/>
  <c r="EU8" i="10"/>
  <c r="EU9" i="10"/>
  <c r="EU39" i="10"/>
  <c r="EU23" i="10"/>
  <c r="EU5" i="10"/>
  <c r="EU7" i="10"/>
  <c r="EU6" i="10"/>
  <c r="EU29" i="10"/>
  <c r="EU4" i="10"/>
  <c r="AH17" i="2"/>
  <c r="AI12" i="2"/>
  <c r="EV41" i="10"/>
  <c r="AH17" i="5"/>
  <c r="AI12" i="5"/>
  <c r="EU57" i="10" l="1"/>
  <c r="EU55" i="10"/>
  <c r="EU53" i="10"/>
  <c r="EU51" i="10"/>
  <c r="EU49" i="10"/>
  <c r="EU58" i="10"/>
  <c r="EU56" i="10"/>
  <c r="EU59" i="10"/>
  <c r="EU54" i="10"/>
  <c r="EU50" i="10"/>
  <c r="EU48" i="10"/>
  <c r="EU52" i="10"/>
  <c r="AO17" i="4"/>
  <c r="AP12" i="4"/>
  <c r="AP17" i="4" s="1"/>
  <c r="AN17" i="4"/>
  <c r="AQ12" i="4"/>
  <c r="AQ17" i="4" s="1"/>
  <c r="ES59" i="10"/>
  <c r="ES48" i="10"/>
  <c r="ES57" i="10"/>
  <c r="ES55" i="10"/>
  <c r="ES53" i="10"/>
  <c r="ES51" i="10"/>
  <c r="ES45" i="10"/>
  <c r="EU45" i="10" s="1"/>
  <c r="ES49" i="10"/>
  <c r="ES54" i="10"/>
  <c r="ES56" i="10"/>
  <c r="ES58" i="10"/>
  <c r="ES50" i="10"/>
  <c r="ES52" i="10"/>
  <c r="EV27" i="10"/>
  <c r="EV34" i="10"/>
  <c r="EV15" i="10"/>
  <c r="EV26" i="10"/>
  <c r="EV33" i="10"/>
  <c r="EV14" i="10"/>
  <c r="EV25" i="10"/>
  <c r="EV32" i="10"/>
  <c r="EV13" i="10"/>
  <c r="EV24" i="10"/>
  <c r="EV31" i="10"/>
  <c r="EV30" i="10"/>
  <c r="EV23" i="10"/>
  <c r="EV40" i="10"/>
  <c r="EV22" i="10"/>
  <c r="EV37" i="10"/>
  <c r="EV20" i="10"/>
  <c r="EV19" i="10"/>
  <c r="EV12" i="10"/>
  <c r="EV36" i="10"/>
  <c r="EV18" i="10"/>
  <c r="EV11" i="10"/>
  <c r="EV17" i="10"/>
  <c r="EV10" i="10"/>
  <c r="EV35" i="10"/>
  <c r="EV29" i="10"/>
  <c r="EV9" i="10"/>
  <c r="EV7" i="10"/>
  <c r="EV28" i="10"/>
  <c r="EV39" i="10"/>
  <c r="EV38" i="10" s="1"/>
  <c r="EV46" i="10" s="1"/>
  <c r="EV8" i="10"/>
  <c r="EV6" i="10"/>
  <c r="EV21" i="10"/>
  <c r="EV16" i="10"/>
  <c r="EV4" i="10"/>
  <c r="EV5" i="10"/>
  <c r="AH17" i="3"/>
  <c r="AI12" i="3"/>
  <c r="EW41" i="10"/>
  <c r="AI17" i="5"/>
  <c r="AJ12" i="5"/>
  <c r="AI17" i="2"/>
  <c r="AJ12" i="2"/>
  <c r="ET57" i="10"/>
  <c r="ET55" i="10"/>
  <c r="ET53" i="10"/>
  <c r="ET51" i="10"/>
  <c r="ET45" i="10"/>
  <c r="EV44" i="10" s="1"/>
  <c r="ET58" i="10"/>
  <c r="ET56" i="10"/>
  <c r="ET59" i="10"/>
  <c r="ET54" i="10"/>
  <c r="ET50" i="10"/>
  <c r="ET48" i="10"/>
  <c r="ET52" i="10"/>
  <c r="ET49" i="10"/>
  <c r="EV55" i="10" l="1"/>
  <c r="EV53" i="10"/>
  <c r="EV51" i="10"/>
  <c r="EV45" i="10"/>
  <c r="EV49" i="10"/>
  <c r="EV56" i="10"/>
  <c r="EV58" i="10"/>
  <c r="EV57" i="10"/>
  <c r="EV59" i="10"/>
  <c r="EV54" i="10"/>
  <c r="EV50" i="10"/>
  <c r="EV48" i="10"/>
  <c r="EV52" i="10"/>
  <c r="AJ17" i="2"/>
  <c r="AK12" i="2"/>
  <c r="AJ17" i="5"/>
  <c r="AK12" i="5"/>
  <c r="EU44" i="10"/>
  <c r="ET44" i="10"/>
  <c r="EW34" i="10"/>
  <c r="EW15" i="10"/>
  <c r="EW26" i="10"/>
  <c r="EW33" i="10"/>
  <c r="EW14" i="10"/>
  <c r="EW25" i="10"/>
  <c r="EW32" i="10"/>
  <c r="EW13" i="10"/>
  <c r="EW24" i="10"/>
  <c r="EW31" i="10"/>
  <c r="EW30" i="10"/>
  <c r="EW23" i="10"/>
  <c r="EW39" i="10"/>
  <c r="EW38" i="10" s="1"/>
  <c r="EW46" i="10" s="1"/>
  <c r="EW21" i="10"/>
  <c r="EW20" i="10"/>
  <c r="EW19" i="10"/>
  <c r="EW12" i="10"/>
  <c r="EW36" i="10"/>
  <c r="EW18" i="10"/>
  <c r="EW11" i="10"/>
  <c r="EW17" i="10"/>
  <c r="EW10" i="10"/>
  <c r="EW35" i="10"/>
  <c r="EW29" i="10"/>
  <c r="EW9" i="10"/>
  <c r="EW16" i="10"/>
  <c r="EW8" i="10"/>
  <c r="EW7" i="10"/>
  <c r="EW37" i="10"/>
  <c r="EW27" i="10"/>
  <c r="EW28" i="10"/>
  <c r="EW6" i="10"/>
  <c r="EW40" i="10"/>
  <c r="EW22" i="10"/>
  <c r="EW44" i="10"/>
  <c r="EW5" i="10"/>
  <c r="EW4" i="10"/>
  <c r="AI17" i="3"/>
  <c r="AJ12" i="3"/>
  <c r="EX41" i="10" s="1"/>
  <c r="EW55" i="10" l="1"/>
  <c r="EW53" i="10"/>
  <c r="EW51" i="10"/>
  <c r="EW45" i="10"/>
  <c r="EX44" i="10" s="1"/>
  <c r="EW49" i="10"/>
  <c r="EW58" i="10"/>
  <c r="EW56" i="10"/>
  <c r="EW57" i="10"/>
  <c r="EW59" i="10"/>
  <c r="EW48" i="10"/>
  <c r="EW54" i="10"/>
  <c r="EW50" i="10"/>
  <c r="EW52" i="10"/>
  <c r="EX26" i="10"/>
  <c r="EX33" i="10"/>
  <c r="EX14" i="10"/>
  <c r="EX25" i="10"/>
  <c r="EX32" i="10"/>
  <c r="EX13" i="10"/>
  <c r="EX38" i="10" s="1"/>
  <c r="EX46" i="10" s="1"/>
  <c r="EX24" i="10"/>
  <c r="EX31" i="10"/>
  <c r="EX30" i="10"/>
  <c r="EX23" i="10"/>
  <c r="EX40" i="10"/>
  <c r="EX22" i="10"/>
  <c r="EX39" i="10"/>
  <c r="EX21" i="10"/>
  <c r="EX20" i="10"/>
  <c r="EX19" i="10"/>
  <c r="EX12" i="10"/>
  <c r="EX36" i="10"/>
  <c r="EX18" i="10"/>
  <c r="EX11" i="10"/>
  <c r="EX17" i="10"/>
  <c r="EX10" i="10"/>
  <c r="EX35" i="10"/>
  <c r="EX29" i="10"/>
  <c r="EX9" i="10"/>
  <c r="EX16" i="10"/>
  <c r="EX8" i="10"/>
  <c r="EX28" i="10"/>
  <c r="EX6" i="10"/>
  <c r="EX27" i="10"/>
  <c r="EX15" i="10"/>
  <c r="EX7" i="10"/>
  <c r="EX34" i="10"/>
  <c r="EX37" i="10"/>
  <c r="EX5" i="10"/>
  <c r="EX4" i="10"/>
  <c r="AK17" i="5"/>
  <c r="AL12" i="5"/>
  <c r="AJ17" i="3"/>
  <c r="AK12" i="3"/>
  <c r="EY41" i="10" s="1"/>
  <c r="AK17" i="2"/>
  <c r="AL12" i="2"/>
  <c r="EY33" i="10" l="1"/>
  <c r="EY14" i="10"/>
  <c r="EY25" i="10"/>
  <c r="EY32" i="10"/>
  <c r="EY24" i="10"/>
  <c r="EY31" i="10"/>
  <c r="EY30" i="10"/>
  <c r="EY23" i="10"/>
  <c r="EY40" i="10"/>
  <c r="EY22" i="10"/>
  <c r="EY20" i="10"/>
  <c r="EY36" i="10"/>
  <c r="EY18" i="10"/>
  <c r="EY11" i="10"/>
  <c r="EY17" i="10"/>
  <c r="EY10" i="10"/>
  <c r="EY35" i="10"/>
  <c r="EY29" i="10"/>
  <c r="EY9" i="10"/>
  <c r="EY16" i="10"/>
  <c r="EY13" i="10"/>
  <c r="EY8" i="10"/>
  <c r="EY7" i="10"/>
  <c r="EY28" i="10"/>
  <c r="EY6" i="10"/>
  <c r="EY27" i="10"/>
  <c r="EY26" i="10"/>
  <c r="EY19" i="10"/>
  <c r="EY39" i="10"/>
  <c r="EY38" i="10" s="1"/>
  <c r="EY46" i="10" s="1"/>
  <c r="EY15" i="10"/>
  <c r="EY12" i="10"/>
  <c r="EY21" i="10"/>
  <c r="EY34" i="10"/>
  <c r="EY37" i="10"/>
  <c r="EY4" i="10"/>
  <c r="EY5" i="10"/>
  <c r="EX53" i="10"/>
  <c r="EX51" i="10"/>
  <c r="EX45" i="10"/>
  <c r="EX49" i="10"/>
  <c r="EX58" i="10"/>
  <c r="EX54" i="10"/>
  <c r="EX56" i="10"/>
  <c r="EX55" i="10"/>
  <c r="EX57" i="10"/>
  <c r="EX59" i="10"/>
  <c r="EX48" i="10"/>
  <c r="EX50" i="10"/>
  <c r="EX52" i="10"/>
  <c r="AL17" i="2"/>
  <c r="AM12" i="2"/>
  <c r="AL17" i="5"/>
  <c r="AM12" i="5"/>
  <c r="AK17" i="3"/>
  <c r="AL12" i="3"/>
  <c r="EY53" i="10" l="1"/>
  <c r="EY51" i="10"/>
  <c r="EY45" i="10"/>
  <c r="EY49" i="10"/>
  <c r="EY58" i="10"/>
  <c r="EY56" i="10"/>
  <c r="EY54" i="10"/>
  <c r="EY55" i="10"/>
  <c r="EY57" i="10"/>
  <c r="EY59" i="10"/>
  <c r="EY48" i="10"/>
  <c r="EY52" i="10"/>
  <c r="EY50" i="10"/>
  <c r="AL17" i="3"/>
  <c r="AM12" i="3"/>
  <c r="EZ41" i="10"/>
  <c r="AM17" i="2"/>
  <c r="AN12" i="2"/>
  <c r="FA41" i="10"/>
  <c r="AM17" i="5"/>
  <c r="AN12" i="5"/>
  <c r="AO12" i="5"/>
  <c r="AN17" i="2" l="1"/>
  <c r="AO12" i="2"/>
  <c r="AM17" i="3"/>
  <c r="AN12" i="3"/>
  <c r="AO17" i="5"/>
  <c r="FA32" i="10"/>
  <c r="FA13" i="10"/>
  <c r="FA24" i="10"/>
  <c r="FA31" i="10"/>
  <c r="FA30" i="10"/>
  <c r="FA23" i="10"/>
  <c r="FA40" i="10"/>
  <c r="FA22" i="10"/>
  <c r="FA39" i="10"/>
  <c r="FA21" i="10"/>
  <c r="FA20" i="10"/>
  <c r="FA19" i="10"/>
  <c r="FA17" i="10"/>
  <c r="FA7" i="10"/>
  <c r="FA28" i="10"/>
  <c r="FA34" i="10"/>
  <c r="FA15" i="10"/>
  <c r="FA5" i="10"/>
  <c r="FA27" i="10"/>
  <c r="FA26" i="10"/>
  <c r="FA33" i="10"/>
  <c r="FA12" i="10"/>
  <c r="FA36" i="10"/>
  <c r="FA18" i="10"/>
  <c r="FA14" i="10"/>
  <c r="FA37" i="10"/>
  <c r="EZ25" i="10"/>
  <c r="FA25" i="10" s="1"/>
  <c r="EZ32" i="10"/>
  <c r="EZ13" i="10"/>
  <c r="EZ24" i="10"/>
  <c r="EZ31" i="10"/>
  <c r="EZ30" i="10"/>
  <c r="EZ23" i="10"/>
  <c r="EZ40" i="10"/>
  <c r="EZ22" i="10"/>
  <c r="EZ39" i="10"/>
  <c r="EZ21" i="10"/>
  <c r="EZ19" i="10"/>
  <c r="EZ11" i="10"/>
  <c r="FA11" i="10" s="1"/>
  <c r="EZ17" i="10"/>
  <c r="EZ10" i="10"/>
  <c r="FA10" i="10" s="1"/>
  <c r="EZ35" i="10"/>
  <c r="FA35" i="10" s="1"/>
  <c r="EZ29" i="10"/>
  <c r="FA29" i="10" s="1"/>
  <c r="EZ9" i="10"/>
  <c r="FA9" i="10" s="1"/>
  <c r="EZ16" i="10"/>
  <c r="FA16" i="10" s="1"/>
  <c r="EZ8" i="10"/>
  <c r="FA8" i="10" s="1"/>
  <c r="EZ7" i="10"/>
  <c r="EZ27" i="10"/>
  <c r="EZ34" i="10"/>
  <c r="EZ15" i="10"/>
  <c r="EZ5" i="10"/>
  <c r="EZ26" i="10"/>
  <c r="EZ33" i="10"/>
  <c r="EZ28" i="10"/>
  <c r="EZ12" i="10"/>
  <c r="EZ14" i="10"/>
  <c r="EZ36" i="10"/>
  <c r="EZ18" i="10"/>
  <c r="EZ37" i="10"/>
  <c r="EZ6" i="10"/>
  <c r="FA6" i="10" s="1"/>
  <c r="EZ20" i="10"/>
  <c r="EZ4" i="10"/>
  <c r="FA4" i="10" s="1"/>
  <c r="AP12" i="5"/>
  <c r="FB41" i="10"/>
  <c r="AN17" i="5"/>
  <c r="FA38" i="10" l="1"/>
  <c r="FA46" i="10" s="1"/>
  <c r="AP17" i="5"/>
  <c r="AQ12" i="5"/>
  <c r="FB24" i="10"/>
  <c r="FB31" i="10"/>
  <c r="FB30" i="10"/>
  <c r="FB23" i="10"/>
  <c r="FB40" i="10"/>
  <c r="FB22" i="10"/>
  <c r="FB39" i="10"/>
  <c r="FB38" i="10" s="1"/>
  <c r="FB46" i="10" s="1"/>
  <c r="FB21" i="10"/>
  <c r="FB20" i="10"/>
  <c r="FB37" i="10"/>
  <c r="FB18" i="10"/>
  <c r="FB10" i="10"/>
  <c r="FB35" i="10"/>
  <c r="FB29" i="10"/>
  <c r="FB25" i="10"/>
  <c r="FB9" i="10"/>
  <c r="FB16" i="10"/>
  <c r="FB8" i="10"/>
  <c r="FB13" i="10"/>
  <c r="FB7" i="10"/>
  <c r="FB32" i="10"/>
  <c r="FB28" i="10"/>
  <c r="FB6" i="10"/>
  <c r="FB27" i="10"/>
  <c r="FB4" i="10"/>
  <c r="FB33" i="10"/>
  <c r="FB19" i="10"/>
  <c r="FB17" i="10"/>
  <c r="FB12" i="10"/>
  <c r="FB15" i="10"/>
  <c r="FB14" i="10"/>
  <c r="FB36" i="10"/>
  <c r="FB34" i="10"/>
  <c r="FB11" i="10"/>
  <c r="FB26" i="10"/>
  <c r="FB5" i="10"/>
  <c r="EZ38" i="10"/>
  <c r="EZ46" i="10" s="1"/>
  <c r="AN17" i="3"/>
  <c r="AO12" i="3"/>
  <c r="AO17" i="2"/>
  <c r="AP12" i="2"/>
  <c r="FB49" i="10" l="1"/>
  <c r="FB58" i="10"/>
  <c r="FB56" i="10"/>
  <c r="FB54" i="10"/>
  <c r="FB50" i="10"/>
  <c r="FB57" i="10"/>
  <c r="FB59" i="10"/>
  <c r="FB48" i="10"/>
  <c r="FB55" i="10"/>
  <c r="FB52" i="10"/>
  <c r="FB51" i="10"/>
  <c r="FB53" i="10"/>
  <c r="AP17" i="2"/>
  <c r="AQ12" i="2"/>
  <c r="AQ17" i="2" s="1"/>
  <c r="AO17" i="3"/>
  <c r="AP12" i="3"/>
  <c r="FC41" i="10"/>
  <c r="EZ51" i="10"/>
  <c r="EZ45" i="10"/>
  <c r="EZ49" i="10"/>
  <c r="EZ58" i="10"/>
  <c r="EZ56" i="10"/>
  <c r="EZ52" i="10"/>
  <c r="EZ53" i="10"/>
  <c r="EZ55" i="10"/>
  <c r="EZ57" i="10"/>
  <c r="EZ59" i="10"/>
  <c r="EZ48" i="10"/>
  <c r="EZ50" i="10"/>
  <c r="EZ54" i="10"/>
  <c r="AQ17" i="5"/>
  <c r="AR12" i="5"/>
  <c r="FA51" i="10"/>
  <c r="FA49" i="10"/>
  <c r="FA58" i="10"/>
  <c r="FA56" i="10"/>
  <c r="FA54" i="10"/>
  <c r="FA52" i="10"/>
  <c r="FA55" i="10"/>
  <c r="FA57" i="10"/>
  <c r="FA59" i="10"/>
  <c r="FA48" i="10"/>
  <c r="FA50" i="10"/>
  <c r="FA53" i="10"/>
  <c r="FF41" i="10" l="1"/>
  <c r="AR17" i="5"/>
  <c r="FA45" i="10"/>
  <c r="FB45" i="10" s="1"/>
  <c r="AP17" i="3"/>
  <c r="AQ12" i="3"/>
  <c r="FD41" i="10"/>
  <c r="AS12" i="5"/>
  <c r="FC31" i="10"/>
  <c r="FC30" i="10"/>
  <c r="FC23" i="10"/>
  <c r="FC40" i="10"/>
  <c r="FC22" i="10"/>
  <c r="FC39" i="10"/>
  <c r="FC21" i="10"/>
  <c r="FC20" i="10"/>
  <c r="FC19" i="10"/>
  <c r="FC37" i="10"/>
  <c r="FC18" i="10"/>
  <c r="FC35" i="10"/>
  <c r="FC29" i="10"/>
  <c r="FC25" i="10"/>
  <c r="FC9" i="10"/>
  <c r="FC16" i="10"/>
  <c r="FC8" i="10"/>
  <c r="FC13" i="10"/>
  <c r="FC7" i="10"/>
  <c r="FC32" i="10"/>
  <c r="FC28" i="10"/>
  <c r="FC6" i="10"/>
  <c r="FC27" i="10"/>
  <c r="FC34" i="10"/>
  <c r="FC15" i="10"/>
  <c r="FC5" i="10"/>
  <c r="FC17" i="10"/>
  <c r="FC12" i="10"/>
  <c r="FC38" i="10" s="1"/>
  <c r="FC46" i="10" s="1"/>
  <c r="FC14" i="10"/>
  <c r="FC36" i="10"/>
  <c r="FC33" i="10"/>
  <c r="FC11" i="10"/>
  <c r="FC10" i="10"/>
  <c r="FC4" i="10"/>
  <c r="FC24" i="10"/>
  <c r="FC26" i="10"/>
  <c r="FC49" i="10" l="1"/>
  <c r="FC58" i="10"/>
  <c r="FC56" i="10"/>
  <c r="FC54" i="10"/>
  <c r="FC52" i="10"/>
  <c r="FC50" i="10"/>
  <c r="FC59" i="10"/>
  <c r="FC48" i="10"/>
  <c r="FC45" i="10"/>
  <c r="FC57" i="10"/>
  <c r="FC55" i="10"/>
  <c r="FC51" i="10"/>
  <c r="FC53" i="10"/>
  <c r="FG41" i="10"/>
  <c r="AS17" i="5"/>
  <c r="AQ17" i="3"/>
  <c r="FE41" i="10"/>
  <c r="AU12" i="5"/>
  <c r="FD23" i="10"/>
  <c r="FD40" i="10"/>
  <c r="FD38" i="10" s="1"/>
  <c r="FD46" i="10" s="1"/>
  <c r="FD22" i="10"/>
  <c r="FD39" i="10"/>
  <c r="FD21" i="10"/>
  <c r="FD20" i="10"/>
  <c r="FD19" i="10"/>
  <c r="FD36" i="10"/>
  <c r="FD29" i="10"/>
  <c r="FD17" i="10"/>
  <c r="FD35" i="10"/>
  <c r="FD25" i="10"/>
  <c r="FD9" i="10"/>
  <c r="FD16" i="10"/>
  <c r="FD8" i="10"/>
  <c r="FD13" i="10"/>
  <c r="FD7" i="10"/>
  <c r="FD32" i="10"/>
  <c r="FD28" i="10"/>
  <c r="FD6" i="10"/>
  <c r="FD27" i="10"/>
  <c r="FD34" i="10"/>
  <c r="FD15" i="10"/>
  <c r="FD5" i="10"/>
  <c r="FD24" i="10"/>
  <c r="FD4" i="10"/>
  <c r="FD12" i="10"/>
  <c r="FD14" i="10"/>
  <c r="FD30" i="10"/>
  <c r="FD31" i="10"/>
  <c r="FD33" i="10"/>
  <c r="FD18" i="10"/>
  <c r="FD10" i="10"/>
  <c r="FD11" i="10"/>
  <c r="FD37" i="10"/>
  <c r="FD26" i="10"/>
  <c r="AT12" i="5"/>
  <c r="FD58" i="10" l="1"/>
  <c r="FD56" i="10"/>
  <c r="FD54" i="10"/>
  <c r="FD52" i="10"/>
  <c r="FD59" i="10"/>
  <c r="FD48" i="10"/>
  <c r="FD45" i="10"/>
  <c r="FD57" i="10"/>
  <c r="FD55" i="10"/>
  <c r="FD51" i="10"/>
  <c r="FD50" i="10"/>
  <c r="FD49" i="10"/>
  <c r="FD53" i="10"/>
  <c r="FF6" i="10"/>
  <c r="FG6" i="10" s="1"/>
  <c r="FF7" i="10"/>
  <c r="FG7" i="10" s="1"/>
  <c r="FF33" i="10"/>
  <c r="FG33" i="10" s="1"/>
  <c r="FF5" i="10"/>
  <c r="FF36" i="10"/>
  <c r="FG36" i="10" s="1"/>
  <c r="FF37" i="10"/>
  <c r="FG37" i="10" s="1"/>
  <c r="FF25" i="10"/>
  <c r="FG25" i="10" s="1"/>
  <c r="FF18" i="10"/>
  <c r="FG18" i="10" s="1"/>
  <c r="FF29" i="10"/>
  <c r="FG29" i="10" s="1"/>
  <c r="FF30" i="10"/>
  <c r="FE40" i="10"/>
  <c r="FF40" i="10" s="1"/>
  <c r="FE22" i="10"/>
  <c r="FF22" i="10" s="1"/>
  <c r="FE39" i="10"/>
  <c r="FF39" i="10" s="1"/>
  <c r="FE21" i="10"/>
  <c r="FF21" i="10" s="1"/>
  <c r="FE20" i="10"/>
  <c r="FF20" i="10" s="1"/>
  <c r="FG20" i="10" s="1"/>
  <c r="FE19" i="10"/>
  <c r="FF19" i="10" s="1"/>
  <c r="FE37" i="10"/>
  <c r="FE18" i="10"/>
  <c r="FE36" i="10"/>
  <c r="FE29" i="10"/>
  <c r="FE17" i="10"/>
  <c r="FF17" i="10" s="1"/>
  <c r="FE16" i="10"/>
  <c r="FF16" i="10" s="1"/>
  <c r="FG16" i="10" s="1"/>
  <c r="FE8" i="10"/>
  <c r="FE13" i="10"/>
  <c r="FF13" i="10" s="1"/>
  <c r="FG13" i="10" s="1"/>
  <c r="FE7" i="10"/>
  <c r="FE32" i="10"/>
  <c r="FF32" i="10" s="1"/>
  <c r="FG32" i="10" s="1"/>
  <c r="FE28" i="10"/>
  <c r="FE6" i="10"/>
  <c r="FE27" i="10"/>
  <c r="FF27" i="10" s="1"/>
  <c r="FE34" i="10"/>
  <c r="FF34" i="10" s="1"/>
  <c r="FE15" i="10"/>
  <c r="FF15" i="10" s="1"/>
  <c r="FE5" i="10"/>
  <c r="FG5" i="10" s="1"/>
  <c r="FE24" i="10"/>
  <c r="FF24" i="10" s="1"/>
  <c r="FE4" i="10"/>
  <c r="FF4" i="10" s="1"/>
  <c r="FE31" i="10"/>
  <c r="FF31" i="10" s="1"/>
  <c r="FE12" i="10"/>
  <c r="FF12" i="10" s="1"/>
  <c r="FE35" i="10"/>
  <c r="FE9" i="10"/>
  <c r="FF9" i="10" s="1"/>
  <c r="FE14" i="10"/>
  <c r="FF14" i="10" s="1"/>
  <c r="FE30" i="10"/>
  <c r="FE11" i="10"/>
  <c r="FF11" i="10" s="1"/>
  <c r="FG11" i="10" s="1"/>
  <c r="FE33" i="10"/>
  <c r="FE25" i="10"/>
  <c r="FE26" i="10"/>
  <c r="FF26" i="10" s="1"/>
  <c r="FE10" i="10"/>
  <c r="FE23" i="10"/>
  <c r="AV12" i="5"/>
  <c r="FI41" i="10"/>
  <c r="AU17" i="5"/>
  <c r="FH41" i="10"/>
  <c r="AT17" i="5"/>
  <c r="FG17" i="10"/>
  <c r="FG26" i="10"/>
  <c r="FG14" i="10"/>
  <c r="FG30" i="10"/>
  <c r="FE38" i="10" l="1"/>
  <c r="FE46" i="10" s="1"/>
  <c r="FF35" i="10"/>
  <c r="FG35" i="10" s="1"/>
  <c r="FG12" i="10"/>
  <c r="FG19" i="10"/>
  <c r="FG15" i="10"/>
  <c r="FI15" i="10" s="1"/>
  <c r="FG34" i="10"/>
  <c r="FI34" i="10" s="1"/>
  <c r="FI20" i="10"/>
  <c r="FI19" i="10"/>
  <c r="FI37" i="10"/>
  <c r="FI18" i="10"/>
  <c r="FI36" i="10"/>
  <c r="FI29" i="10"/>
  <c r="FI17" i="10"/>
  <c r="FI5" i="10"/>
  <c r="FI14" i="10"/>
  <c r="FI9" i="10"/>
  <c r="FI13" i="10"/>
  <c r="FI39" i="10"/>
  <c r="FI22" i="10"/>
  <c r="FI11" i="10"/>
  <c r="FI25" i="10"/>
  <c r="FF28" i="10"/>
  <c r="FG28" i="10" s="1"/>
  <c r="FG4" i="10"/>
  <c r="FH4" i="10" s="1"/>
  <c r="FI4" i="10" s="1"/>
  <c r="FH39" i="10"/>
  <c r="FH20" i="10"/>
  <c r="FH19" i="10"/>
  <c r="FH37" i="10"/>
  <c r="FH18" i="10"/>
  <c r="FH36" i="10"/>
  <c r="FH29" i="10"/>
  <c r="FH17" i="10"/>
  <c r="FH27" i="10"/>
  <c r="FI27" i="10" s="1"/>
  <c r="FH34" i="10"/>
  <c r="FH15" i="10"/>
  <c r="FH32" i="10"/>
  <c r="FI32" i="10" s="1"/>
  <c r="FH6" i="10"/>
  <c r="FI6" i="10" s="1"/>
  <c r="FH5" i="10"/>
  <c r="FH9" i="10"/>
  <c r="FH14" i="10"/>
  <c r="FH13" i="10"/>
  <c r="FH30" i="10"/>
  <c r="FI30" i="10" s="1"/>
  <c r="FH22" i="10"/>
  <c r="FH11" i="10"/>
  <c r="FH16" i="10"/>
  <c r="FI16" i="10" s="1"/>
  <c r="FH25" i="10"/>
  <c r="FH26" i="10"/>
  <c r="FI26" i="10" s="1"/>
  <c r="FH12" i="10"/>
  <c r="FI12" i="10" s="1"/>
  <c r="FH40" i="10"/>
  <c r="FI40" i="10" s="1"/>
  <c r="FH7" i="10"/>
  <c r="FI7" i="10" s="1"/>
  <c r="FH33" i="10"/>
  <c r="FI33" i="10" s="1"/>
  <c r="FG27" i="10"/>
  <c r="FG40" i="10"/>
  <c r="FF10" i="10"/>
  <c r="FG9" i="10"/>
  <c r="FG39" i="10"/>
  <c r="FJ41" i="10"/>
  <c r="AV17" i="5"/>
  <c r="FG22" i="10"/>
  <c r="FF8" i="10"/>
  <c r="FG8" i="10" s="1"/>
  <c r="FG21" i="10"/>
  <c r="FH21" i="10" s="1"/>
  <c r="FI21" i="10" s="1"/>
  <c r="FG24" i="10"/>
  <c r="FH24" i="10" s="1"/>
  <c r="FF23" i="10"/>
  <c r="FF38" i="10" s="1"/>
  <c r="FF46" i="10" s="1"/>
  <c r="FG31" i="10"/>
  <c r="AW12" i="5"/>
  <c r="FF56" i="10" l="1"/>
  <c r="FF54" i="10"/>
  <c r="FF52" i="10"/>
  <c r="FF50" i="10"/>
  <c r="FF57" i="10"/>
  <c r="FF59" i="10"/>
  <c r="FF58" i="10"/>
  <c r="FF48" i="10"/>
  <c r="FF45" i="10"/>
  <c r="FF55" i="10"/>
  <c r="FF51" i="10"/>
  <c r="FF53" i="10"/>
  <c r="FF49" i="10"/>
  <c r="FH8" i="10"/>
  <c r="FJ8" i="10" s="1"/>
  <c r="FI8" i="10"/>
  <c r="FI35" i="10"/>
  <c r="FJ35" i="10" s="1"/>
  <c r="FK41" i="10"/>
  <c r="AW17" i="5"/>
  <c r="AX12" i="5"/>
  <c r="AY12" i="5"/>
  <c r="FH35" i="10"/>
  <c r="FJ19" i="10"/>
  <c r="FJ37" i="10"/>
  <c r="FJ18" i="10"/>
  <c r="FJ36" i="10"/>
  <c r="FJ29" i="10"/>
  <c r="FJ17" i="10"/>
  <c r="FJ16" i="10"/>
  <c r="FJ27" i="10"/>
  <c r="FJ26" i="10"/>
  <c r="FJ33" i="10"/>
  <c r="FJ14" i="10"/>
  <c r="FJ5" i="10"/>
  <c r="FJ24" i="10"/>
  <c r="FJ4" i="10"/>
  <c r="FJ34" i="10"/>
  <c r="FJ15" i="10"/>
  <c r="FJ30" i="10"/>
  <c r="FJ12" i="10"/>
  <c r="FJ40" i="10"/>
  <c r="FJ13" i="10"/>
  <c r="FJ39" i="10"/>
  <c r="FJ22" i="10"/>
  <c r="FJ11" i="10"/>
  <c r="FJ21" i="10"/>
  <c r="FJ25" i="10"/>
  <c r="FJ9" i="10"/>
  <c r="FJ20" i="10"/>
  <c r="FJ6" i="10"/>
  <c r="FJ32" i="10"/>
  <c r="FJ7" i="10"/>
  <c r="FH31" i="10"/>
  <c r="FI24" i="10"/>
  <c r="FE58" i="10"/>
  <c r="FE56" i="10"/>
  <c r="FE54" i="10"/>
  <c r="FE52" i="10"/>
  <c r="FE50" i="10"/>
  <c r="FE59" i="10"/>
  <c r="FE48" i="10"/>
  <c r="FE45" i="10"/>
  <c r="FE55" i="10"/>
  <c r="FE51" i="10"/>
  <c r="FE53" i="10"/>
  <c r="FE49" i="10"/>
  <c r="FE57" i="10"/>
  <c r="FG23" i="10"/>
  <c r="FH23" i="10" s="1"/>
  <c r="FG10" i="10"/>
  <c r="FH10" i="10" s="1"/>
  <c r="FI10" i="10" s="1"/>
  <c r="FH28" i="10"/>
  <c r="FI28" i="10" s="1"/>
  <c r="FG38" i="10" l="1"/>
  <c r="FG46" i="10" s="1"/>
  <c r="FI31" i="10"/>
  <c r="FI38" i="10" s="1"/>
  <c r="FI46" i="10" s="1"/>
  <c r="FJ28" i="10"/>
  <c r="FH38" i="10"/>
  <c r="FH46" i="10" s="1"/>
  <c r="FI23" i="10"/>
  <c r="FJ23" i="10" s="1"/>
  <c r="FK23" i="10" s="1"/>
  <c r="FJ10" i="10"/>
  <c r="FM41" i="10"/>
  <c r="AY17" i="5"/>
  <c r="FK19" i="10"/>
  <c r="FK37" i="10"/>
  <c r="FK18" i="10"/>
  <c r="FK36" i="10"/>
  <c r="FK29" i="10"/>
  <c r="FK17" i="10"/>
  <c r="FK35" i="10"/>
  <c r="FK28" i="10"/>
  <c r="FK16" i="10"/>
  <c r="FK27" i="10"/>
  <c r="FK34" i="10"/>
  <c r="FK15" i="10"/>
  <c r="FK33" i="10"/>
  <c r="FK14" i="10"/>
  <c r="FK25" i="10"/>
  <c r="FK5" i="10"/>
  <c r="FK24" i="10"/>
  <c r="FK4" i="10"/>
  <c r="FK26" i="10"/>
  <c r="FK40" i="10"/>
  <c r="FK11" i="10"/>
  <c r="FK30" i="10"/>
  <c r="FK8" i="10"/>
  <c r="FK39" i="10"/>
  <c r="FK22" i="10"/>
  <c r="FK20" i="10"/>
  <c r="FK9" i="10"/>
  <c r="FK10" i="10"/>
  <c r="FK12" i="10"/>
  <c r="FK6" i="10"/>
  <c r="FK7" i="10"/>
  <c r="FK13" i="10"/>
  <c r="FK21" i="10"/>
  <c r="FK32" i="10"/>
  <c r="AZ12" i="5"/>
  <c r="FL41" i="10"/>
  <c r="AX17" i="5"/>
  <c r="FI54" i="10" l="1"/>
  <c r="FI52" i="10"/>
  <c r="FI50" i="10"/>
  <c r="FI59" i="10"/>
  <c r="FI48" i="10"/>
  <c r="FI57" i="10"/>
  <c r="FI55" i="10"/>
  <c r="FI58" i="10"/>
  <c r="FI51" i="10"/>
  <c r="FI56" i="10"/>
  <c r="FI53" i="10"/>
  <c r="FI49" i="10"/>
  <c r="FM40" i="10"/>
  <c r="FM10" i="10"/>
  <c r="FM11" i="10"/>
  <c r="FM7" i="10"/>
  <c r="FH54" i="10"/>
  <c r="FH52" i="10"/>
  <c r="FH50" i="10"/>
  <c r="FH59" i="10"/>
  <c r="FH48" i="10"/>
  <c r="FH55" i="10"/>
  <c r="FH58" i="10"/>
  <c r="FH45" i="10"/>
  <c r="FI45" i="10" s="1"/>
  <c r="FH49" i="10"/>
  <c r="FH51" i="10"/>
  <c r="FH56" i="10"/>
  <c r="FH53" i="10"/>
  <c r="FH57" i="10"/>
  <c r="FG56" i="10"/>
  <c r="FG54" i="10"/>
  <c r="FG52" i="10"/>
  <c r="FG50" i="10"/>
  <c r="FG59" i="10"/>
  <c r="FG48" i="10"/>
  <c r="FG57" i="10"/>
  <c r="FG58" i="10"/>
  <c r="FG45" i="10"/>
  <c r="FG49" i="10"/>
  <c r="FG55" i="10"/>
  <c r="FG51" i="10"/>
  <c r="FG53" i="10"/>
  <c r="FN41" i="10"/>
  <c r="AZ17" i="5"/>
  <c r="FJ31" i="10"/>
  <c r="FK31" i="10" s="1"/>
  <c r="FK38" i="10" s="1"/>
  <c r="FK46" i="10" s="1"/>
  <c r="FL37" i="10"/>
  <c r="FM37" i="10" s="1"/>
  <c r="FL18" i="10"/>
  <c r="FM18" i="10" s="1"/>
  <c r="FL36" i="10"/>
  <c r="FM36" i="10" s="1"/>
  <c r="FL29" i="10"/>
  <c r="FM29" i="10" s="1"/>
  <c r="FL17" i="10"/>
  <c r="FM17" i="10" s="1"/>
  <c r="FL35" i="10"/>
  <c r="FM35" i="10" s="1"/>
  <c r="FL28" i="10"/>
  <c r="FM28" i="10" s="1"/>
  <c r="FL16" i="10"/>
  <c r="FM16" i="10" s="1"/>
  <c r="FL27" i="10"/>
  <c r="FM27" i="10" s="1"/>
  <c r="FL34" i="10"/>
  <c r="FM34" i="10" s="1"/>
  <c r="FL15" i="10"/>
  <c r="FM15" i="10" s="1"/>
  <c r="FL26" i="10"/>
  <c r="FM26" i="10" s="1"/>
  <c r="FL25" i="10"/>
  <c r="FM25" i="10" s="1"/>
  <c r="FL32" i="10"/>
  <c r="FM32" i="10" s="1"/>
  <c r="FL13" i="10"/>
  <c r="FM13" i="10" s="1"/>
  <c r="FL24" i="10"/>
  <c r="FM24" i="10" s="1"/>
  <c r="FL4" i="10"/>
  <c r="FM4" i="10" s="1"/>
  <c r="FL30" i="10"/>
  <c r="FM30" i="10" s="1"/>
  <c r="FL23" i="10"/>
  <c r="FM23" i="10" s="1"/>
  <c r="FL12" i="10"/>
  <c r="FM12" i="10" s="1"/>
  <c r="FL14" i="10"/>
  <c r="FM14" i="10" s="1"/>
  <c r="FL11" i="10"/>
  <c r="FL39" i="10"/>
  <c r="FM39" i="10" s="1"/>
  <c r="FL33" i="10"/>
  <c r="FM33" i="10" s="1"/>
  <c r="FL19" i="10"/>
  <c r="FM19" i="10" s="1"/>
  <c r="FL8" i="10"/>
  <c r="FM8" i="10" s="1"/>
  <c r="FL22" i="10"/>
  <c r="FM22" i="10" s="1"/>
  <c r="FL7" i="10"/>
  <c r="FL9" i="10"/>
  <c r="FM9" i="10" s="1"/>
  <c r="FL10" i="10"/>
  <c r="FL20" i="10"/>
  <c r="FM20" i="10" s="1"/>
  <c r="FL6" i="10"/>
  <c r="FM6" i="10" s="1"/>
  <c r="FL21" i="10"/>
  <c r="FM21" i="10" s="1"/>
  <c r="FL5" i="10"/>
  <c r="FM5" i="10" s="1"/>
  <c r="FL40" i="10"/>
  <c r="FK52" i="10" l="1"/>
  <c r="FK50" i="10"/>
  <c r="FK59" i="10"/>
  <c r="FK48" i="10"/>
  <c r="FK57" i="10"/>
  <c r="FK55" i="10"/>
  <c r="FK53" i="10"/>
  <c r="FK49" i="10"/>
  <c r="FK51" i="10"/>
  <c r="FK54" i="10"/>
  <c r="FK56" i="10"/>
  <c r="FK58" i="10"/>
  <c r="FL31" i="10"/>
  <c r="FM31" i="10" s="1"/>
  <c r="FM38" i="10" s="1"/>
  <c r="FM46" i="10" s="1"/>
  <c r="FN36" i="10"/>
  <c r="FN29" i="10"/>
  <c r="FN17" i="10"/>
  <c r="FN35" i="10"/>
  <c r="FN28" i="10"/>
  <c r="FN16" i="10"/>
  <c r="FN27" i="10"/>
  <c r="FN34" i="10"/>
  <c r="FN15" i="10"/>
  <c r="FN26" i="10"/>
  <c r="FN33" i="10"/>
  <c r="FN14" i="10"/>
  <c r="FN25" i="10"/>
  <c r="FN24" i="10"/>
  <c r="FN30" i="10"/>
  <c r="FN23" i="10"/>
  <c r="FN12" i="10"/>
  <c r="FN40" i="10"/>
  <c r="FN11" i="10"/>
  <c r="FN10" i="10"/>
  <c r="FN8" i="10"/>
  <c r="FN22" i="10"/>
  <c r="FN39" i="10"/>
  <c r="FN7" i="10"/>
  <c r="FN20" i="10"/>
  <c r="FN18" i="10"/>
  <c r="FN9" i="10"/>
  <c r="FN4" i="10"/>
  <c r="FN6" i="10"/>
  <c r="FN32" i="10"/>
  <c r="FN37" i="10"/>
  <c r="FN21" i="10"/>
  <c r="FN5" i="10"/>
  <c r="FN13" i="10"/>
  <c r="FN19" i="10"/>
  <c r="FJ38" i="10"/>
  <c r="FJ46" i="10" s="1"/>
  <c r="FM50" i="10" l="1"/>
  <c r="FM59" i="10"/>
  <c r="FM48" i="10"/>
  <c r="FM57" i="10"/>
  <c r="FM55" i="10"/>
  <c r="FM53" i="10"/>
  <c r="FM51" i="10"/>
  <c r="FM49" i="10"/>
  <c r="FM52" i="10"/>
  <c r="FM58" i="10"/>
  <c r="FM54" i="10"/>
  <c r="FM56" i="10"/>
  <c r="FL38" i="10"/>
  <c r="FL46" i="10" s="1"/>
  <c r="FN31" i="10"/>
  <c r="FN38" i="10" s="1"/>
  <c r="FN46" i="10" s="1"/>
  <c r="FJ52" i="10"/>
  <c r="FJ50" i="10"/>
  <c r="FJ59" i="10"/>
  <c r="FJ48" i="10"/>
  <c r="FJ57" i="10"/>
  <c r="FJ53" i="10"/>
  <c r="FJ58" i="10"/>
  <c r="FJ45" i="10"/>
  <c r="FK45" i="10" s="1"/>
  <c r="FJ49" i="10"/>
  <c r="FJ51" i="10"/>
  <c r="FJ55" i="10"/>
  <c r="FJ54" i="10"/>
  <c r="FJ56" i="10"/>
  <c r="FN59" i="10" l="1"/>
  <c r="FN48" i="10"/>
  <c r="FN57" i="10"/>
  <c r="FN55" i="10"/>
  <c r="FN53" i="10"/>
  <c r="FN49" i="10"/>
  <c r="FN50" i="10"/>
  <c r="FN52" i="10"/>
  <c r="FN51" i="10"/>
  <c r="FN58" i="10"/>
  <c r="FN56" i="10"/>
  <c r="FN54" i="10"/>
  <c r="FL50" i="10"/>
  <c r="FL59" i="10"/>
  <c r="FL48" i="10"/>
  <c r="FL57" i="10"/>
  <c r="FL55" i="10"/>
  <c r="FL51" i="10"/>
  <c r="FL45" i="10"/>
  <c r="FM45" i="10" s="1"/>
  <c r="FL49" i="10"/>
  <c r="FL52" i="10"/>
  <c r="FL58" i="10"/>
  <c r="FL54" i="10"/>
  <c r="FL56" i="10"/>
  <c r="FL53" i="10"/>
  <c r="FN45" i="10" l="1"/>
  <c r="FO45" i="10" s="1"/>
</calcChain>
</file>

<file path=xl/sharedStrings.xml><?xml version="1.0" encoding="utf-8"?>
<sst xmlns="http://schemas.openxmlformats.org/spreadsheetml/2006/main" count="2255" uniqueCount="177">
  <si>
    <t>CANADA INEDIBLE TALLOW SUPPLY AND DEMAND (tonnes)</t>
  </si>
  <si>
    <t>Carryin (October 1)</t>
  </si>
  <si>
    <t>Production</t>
  </si>
  <si>
    <t>Imports</t>
  </si>
  <si>
    <t xml:space="preserve">    Total Supply</t>
  </si>
  <si>
    <t>Domestic Use</t>
  </si>
  <si>
    <t xml:space="preserve">  Biodiesel</t>
  </si>
  <si>
    <t xml:space="preserve">    Renewable Biodiesel</t>
  </si>
  <si>
    <t xml:space="preserve">    Biodiesel</t>
  </si>
  <si>
    <t xml:space="preserve">  Non-Biodiesel</t>
  </si>
  <si>
    <t>Exports</t>
  </si>
  <si>
    <t xml:space="preserve">    Total Use</t>
  </si>
  <si>
    <t>Carryout (September 30)</t>
  </si>
  <si>
    <t>Stocks-to-Usage</t>
  </si>
  <si>
    <t>Average Price (cents per pound)</t>
  </si>
  <si>
    <t>Bold Numbers are The Jacobsen Estimates and Forecasts</t>
  </si>
  <si>
    <t>INEDIBLE TALLOW PRODUCTION (tonnes)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</si>
  <si>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</si>
  <si>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</si>
  <si>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</si>
  <si>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</si>
  <si>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</si>
  <si>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</si>
  <si>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</si>
  <si>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</si>
  <si>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</si>
  <si>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</si>
  <si>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</si>
  <si>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</si>
  <si>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 xml:space="preserve">    Total</t>
  </si>
  <si>
    <t>INEDIBLE TALLOW IMPORTS (tonnes)</t>
  </si>
  <si>
    <t>INEDIBLE TALLOW EXPORTS (tonnes)</t>
  </si>
  <si>
    <t>INEDIBLE TALLOW DOMESTIC USAGE (tonnes)</t>
  </si>
  <si>
    <t>INEDIBLE TALLOW TOTAL BIODIESEL USAGE (tonnes)</t>
  </si>
  <si>
    <t>INEDIBLE TALLOW RENEWABLE BIODIESEL USAGE (tonnes)</t>
  </si>
  <si>
    <t>INEDIBLE TALLOW BIODIESEL USAGE (tonnes)</t>
  </si>
  <si>
    <t>INEDIBLE TALLOW NON-BIODIESEL USAGE (tonnes)</t>
  </si>
  <si>
    <t>INEDIBLE TALLOW END-OF-MONTH STOCKS (tonnes)</t>
  </si>
  <si>
    <r>
      <t xml:space="preserve">BLEACHABLE FANCY TALLOW - PACKER, CHICAGO </t>
    </r>
    <r>
      <rPr>
        <sz val="9"/>
        <color theme="1"/>
        <rFont val="Helvetica-Normal"/>
      </rPr>
      <t>(Cents per Pound)</t>
    </r>
  </si>
  <si>
    <t xml:space="preserve">    Average</t>
  </si>
  <si>
    <r>
      <t xml:space="preserve">COMMERCIAL CATTLE SLAUGHTER </t>
    </r>
    <r>
      <rPr>
        <sz val="9"/>
        <color theme="1"/>
        <rFont val="Helvetica-Normal"/>
      </rPr>
      <t>(Head)</t>
    </r>
  </si>
  <si>
    <t>COMMERCIAL BEEF PRODUCTION (tonnes, CWE)</t>
  </si>
  <si>
    <r>
      <t xml:space="preserve">INEDIBLE TALLOW YIELD </t>
    </r>
    <r>
      <rPr>
        <sz val="9"/>
        <color theme="1"/>
        <rFont val="Helvetica-Normal"/>
      </rPr>
      <t>(Pounds per Pound of Beef)</t>
    </r>
  </si>
  <si>
    <t>AUSTRALIA INEDIBLE TALLOW SUPPLY AND DEMAND (tonnes)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</si>
  <si>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</si>
  <si>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</si>
  <si>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</si>
  <si>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</si>
  <si>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</si>
  <si>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</si>
  <si>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</si>
  <si>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</si>
  <si>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</si>
  <si>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</si>
  <si>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</si>
  <si>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</si>
  <si>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</si>
  <si>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</si>
  <si>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</si>
  <si>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</si>
  <si>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</si>
  <si>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</si>
  <si>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</si>
  <si>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</si>
  <si>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</si>
  <si>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</si>
  <si>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</si>
  <si>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</si>
  <si>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</si>
  <si>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</si>
  <si>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</si>
  <si>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</si>
  <si>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</si>
  <si>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</si>
  <si>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</si>
  <si>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</si>
  <si>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</si>
  <si>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</si>
  <si>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</si>
  <si>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</si>
  <si>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</si>
  <si>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</si>
  <si>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</si>
  <si>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</si>
  <si>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</si>
  <si>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</si>
  <si>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NEW ZEALAND INEDIBLE TALLOW SUPPLY AND DEMAND (tonnes)</t>
  </si>
  <si>
    <r>
      <t xml:space="preserve">INEDIBLE TALLOW PRODUCTION </t>
    </r>
    <r>
      <rPr>
        <sz val="9"/>
        <color theme="1"/>
        <rFont val="Helvetica-Normal"/>
      </rPr>
      <t>(Million Pounds)</t>
    </r>
  </si>
  <si>
    <r>
      <t xml:space="preserve">INEDIBLE TALLOW IMPORTS </t>
    </r>
    <r>
      <rPr>
        <sz val="9"/>
        <color theme="1"/>
        <rFont val="Helvetica-Normal"/>
      </rPr>
      <t>(Million Pounds)</t>
    </r>
  </si>
  <si>
    <r>
      <t xml:space="preserve">INEDIBLE TALLOW EXPORTS </t>
    </r>
    <r>
      <rPr>
        <sz val="9"/>
        <color theme="1"/>
        <rFont val="Helvetica-Normal"/>
      </rPr>
      <t>(Million Pounds)</t>
    </r>
  </si>
  <si>
    <r>
      <t xml:space="preserve">INEDIBLE TALLOW DOMESTIC USAGE </t>
    </r>
    <r>
      <rPr>
        <sz val="9"/>
        <color theme="1"/>
        <rFont val="Helvetica-Normal"/>
      </rPr>
      <t>(Million Pounds)</t>
    </r>
  </si>
  <si>
    <r>
      <t xml:space="preserve">INEDIBLE TALLOW TOTAL BIODIESEL USAGE </t>
    </r>
    <r>
      <rPr>
        <sz val="9"/>
        <color theme="1"/>
        <rFont val="Helvetica-Normal"/>
      </rPr>
      <t>(Million Pounds)</t>
    </r>
  </si>
  <si>
    <r>
      <t xml:space="preserve">INEDIBLE TALLOW RENEWABLE BIODIESEL USAGE </t>
    </r>
    <r>
      <rPr>
        <sz val="9"/>
        <color theme="1"/>
        <rFont val="Helvetica-Normal"/>
      </rPr>
      <t>(Million Pounds)</t>
    </r>
  </si>
  <si>
    <t>INEDIBLE TALLOW BIODIESEL USAGE (Million Pounds)</t>
  </si>
  <si>
    <r>
      <t xml:space="preserve">INEDIBLE TALLOW NON-BIODIESEL USAGE </t>
    </r>
    <r>
      <rPr>
        <sz val="9"/>
        <color theme="1"/>
        <rFont val="Helvetica-Normal"/>
      </rPr>
      <t>(Million Pounds)</t>
    </r>
  </si>
  <si>
    <r>
      <t xml:space="preserve">INEDIBLE TALLOW END-OF-MONTH STOCKS </t>
    </r>
    <r>
      <rPr>
        <sz val="9"/>
        <color theme="1"/>
        <rFont val="Helvetica-Normal"/>
      </rPr>
      <t>(Million Pounds)</t>
    </r>
  </si>
  <si>
    <r>
      <t xml:space="preserve">COMMERCIAL BEEF PRODUCTION </t>
    </r>
    <r>
      <rPr>
        <sz val="9"/>
        <color theme="1"/>
        <rFont val="Helvetica-Normal"/>
      </rPr>
      <t>(Million Pounds)</t>
    </r>
  </si>
  <si>
    <t>PARAGUAY INEDIBLE TALLOW SUPPLY AND DEMAND (tonnes)</t>
  </si>
  <si>
    <r>
      <t xml:space="preserve">COMMERCIAL CATTLE SLAUGHTER </t>
    </r>
    <r>
      <rPr>
        <sz val="9"/>
        <color theme="1"/>
        <rFont val="Helvetica-Normal"/>
      </rPr>
      <t>(1,000 Head)</t>
    </r>
  </si>
  <si>
    <t>BRAZIL INEDIBLE TALLOW SUPPLY AND DEMAND (tonnes)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</si>
  <si>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</si>
  <si>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</si>
  <si>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</si>
  <si>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</si>
  <si>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</si>
  <si>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</si>
  <si>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</si>
  <si>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</si>
  <si>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</si>
  <si>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COMMERCIAL BEEF PRODUCTION (tonnes)</t>
  </si>
  <si>
    <t>URUGUAY INEDIBLE TALLOW SUPPLY AND DEMAND (Million Pounds)</t>
  </si>
  <si>
    <t>MEXICO INEDIBLE TALLOW SUPPLY AND DEMAND (Million Pounds)</t>
  </si>
  <si>
    <t>TALLOW TRADE MATRIX (tonnes)</t>
  </si>
  <si>
    <t>CANADA</t>
  </si>
  <si>
    <t>AUSTRALIA</t>
  </si>
  <si>
    <t>NEW ZEALAND</t>
  </si>
  <si>
    <t>PARAGUAY</t>
  </si>
  <si>
    <t>BRAZIL</t>
  </si>
  <si>
    <t>TOTAL</t>
  </si>
  <si>
    <t>EU-28</t>
  </si>
  <si>
    <t>Other Europe</t>
  </si>
  <si>
    <t>FSU-12</t>
  </si>
  <si>
    <t>China</t>
  </si>
  <si>
    <t>Indonesia</t>
  </si>
  <si>
    <t>Iran</t>
  </si>
  <si>
    <t>Israel</t>
  </si>
  <si>
    <t>Japan</t>
  </si>
  <si>
    <t>Jordan</t>
  </si>
  <si>
    <t>Malaysia</t>
  </si>
  <si>
    <t>Philippines</t>
  </si>
  <si>
    <t>Saudi Arabia</t>
  </si>
  <si>
    <t>South Korea</t>
  </si>
  <si>
    <t>Singapore</t>
  </si>
  <si>
    <t>Taiwan</t>
  </si>
  <si>
    <t>Thailand</t>
  </si>
  <si>
    <t>Turkey</t>
  </si>
  <si>
    <t>Vietnam</t>
  </si>
  <si>
    <t>Other Asia</t>
  </si>
  <si>
    <t>Algeria</t>
  </si>
  <si>
    <t>Egypt</t>
  </si>
  <si>
    <t>Morocco</t>
  </si>
  <si>
    <t>South Africa</t>
  </si>
  <si>
    <t>Tunisia</t>
  </si>
  <si>
    <t xml:space="preserve">Other Africa     </t>
  </si>
  <si>
    <t>Argentina</t>
  </si>
  <si>
    <t>Brazil</t>
  </si>
  <si>
    <t>N/A</t>
  </si>
  <si>
    <t>Canada</t>
  </si>
  <si>
    <t>Chile</t>
  </si>
  <si>
    <t>Colombia</t>
  </si>
  <si>
    <t>Cuba</t>
  </si>
  <si>
    <t>Dominican Rep.</t>
  </si>
  <si>
    <t>Mexico</t>
  </si>
  <si>
    <t>Peru</t>
  </si>
  <si>
    <t>US</t>
  </si>
  <si>
    <t>Venezuela</t>
  </si>
  <si>
    <t>Other West Hemis.</t>
  </si>
  <si>
    <t xml:space="preserve"> Total</t>
  </si>
  <si>
    <t>US imports (million pounds)</t>
  </si>
  <si>
    <t>Forecast Total US Imports</t>
  </si>
  <si>
    <r>
      <t>US Balance Sheet/</t>
    </r>
    <r>
      <rPr>
        <sz val="8.5"/>
        <color rgb="FF6F0791"/>
        <rFont val="Arial Narrow"/>
        <family val="2"/>
      </rPr>
      <t>Forecast</t>
    </r>
  </si>
  <si>
    <t>Sum of US imports from country trade sheets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</si>
  <si>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</si>
  <si>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</si>
  <si>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</si>
  <si>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</si>
  <si>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</si>
  <si>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</si>
  <si>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</si>
  <si>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</si>
  <si>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</si>
  <si>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</si>
  <si>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</si>
  <si>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HS Codes</t>
  </si>
  <si>
    <t>prior to 2012</t>
  </si>
  <si>
    <t>Edible</t>
  </si>
  <si>
    <t>Inedible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</si>
</sst>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#,##0.0_);[Red]\(#,##0.0\)"/>
    <numFmt numFmtId="166" formatCode="0.000"/>
    <numFmt numFmtId="167" formatCode="_(* #,##0_);_(* \(#,##0\);_(* &quot;-&quot;??_);_(@_)"/>
    <numFmt numFmtId="168" formatCode="#,##0.000_);[Red]\(#,##0.000\)"/>
  </numFmts>
  <fonts count="1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Helvetica-Normal"/>
    </font>
    <font>
      <sz val="11"/>
      <color theme="1"/>
      <name val="Helvetica-Normal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Helvetica-Normal"/>
    </font>
    <font>
      <sz val="10"/>
      <color theme="1"/>
      <name val="Helvetica-Normal"/>
    </font>
    <font>
      <sz val="9"/>
      <color theme="1"/>
      <name val="Helvetica-Normal"/>
    </font>
    <font>
      <b/>
      <sz val="10"/>
      <color rgb="FFFF0000"/>
      <name val="Helvetica-Normal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8.5"/>
      <color rgb="FF6F0791"/>
      <name val="Arial Narrow"/>
      <family val="2"/>
    </font>
    <font>
      <sz val="10"/>
      <color rgb="FF6F079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8C8C8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6F0791"/>
      </top>
      <bottom style="medium">
        <color rgb="FF8C8C8C"/>
      </bottom>
      <diagonal/>
    </border>
    <border>
      <left/>
      <right/>
      <top style="thin">
        <color rgb="FF8E9A44"/>
      </top>
      <bottom/>
      <diagonal/>
    </border>
    <border>
      <left/>
      <right/>
      <top style="medium">
        <color rgb="FF335163"/>
      </top>
      <bottom/>
      <diagonal/>
    </border>
    <border>
      <left/>
      <right/>
      <top style="medium">
        <color rgb="FF335163"/>
      </top>
      <bottom style="medium">
        <color rgb="FF335163"/>
      </bottom>
      <diagonal/>
    </border>
    <border>
      <left/>
      <right style="thin">
        <color rgb="FF6F0791"/>
      </right>
      <top/>
      <bottom/>
      <diagonal/>
    </border>
    <border>
      <left/>
      <right/>
      <top/>
      <bottom style="medium">
        <color rgb="FF8E9A44"/>
      </bottom>
      <diagonal/>
    </border>
    <border>
      <left/>
      <right style="thin">
        <color rgb="FF6F0791"/>
      </right>
      <top/>
      <bottom style="medium">
        <color rgb="FF8E9A44"/>
      </bottom>
      <diagonal/>
    </border>
    <border>
      <left/>
      <right/>
      <top style="medium">
        <color rgb="FF8E9A44"/>
      </top>
      <bottom/>
      <diagonal/>
    </border>
    <border>
      <left/>
      <right style="thin">
        <color rgb="FF6F0791"/>
      </right>
      <top style="medium">
        <color rgb="FF8E9A4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3" fillId="2" borderId="0" xfId="0" applyFont="1" applyFill="1"/>
    <xf numFmtId="0" fontId="4" fillId="2" borderId="0" xfId="0" applyFont="1" applyFill="1"/>
    <xf numFmtId="0" fontId="0" fillId="2" borderId="0" xfId="0" applyFill="1" applyAlignment="1">
      <alignment horizontal="center"/>
    </xf>
    <xf numFmtId="0" fontId="0" fillId="3" borderId="1" xfId="0" applyFill="1" applyBorder="1"/>
    <xf numFmtId="38" fontId="5" fillId="3" borderId="1" xfId="1" quotePrefix="1" applyNumberFormat="1" applyFont="1" applyFill="1" applyBorder="1" applyAlignment="1">
      <alignment horizontal="right"/>
    </xf>
    <xf numFmtId="0" fontId="4" fillId="0" borderId="0" xfId="0" applyFont="1"/>
    <xf numFmtId="38" fontId="6" fillId="0" borderId="0" xfId="0" applyNumberFormat="1" applyFont="1" applyAlignment="1">
      <alignment horizontal="center"/>
    </xf>
    <xf numFmtId="38" fontId="2" fillId="0" borderId="0" xfId="0" applyNumberFormat="1" applyFont="1" applyAlignment="1">
      <alignment horizontal="center"/>
    </xf>
    <xf numFmtId="38" fontId="7" fillId="0" borderId="0" xfId="0" applyNumberFormat="1" applyFont="1" applyAlignment="1">
      <alignment horizontal="center"/>
    </xf>
    <xf numFmtId="0" fontId="4" fillId="0" borderId="2" xfId="0" applyFont="1" applyBorder="1"/>
    <xf numFmtId="38" fontId="6" fillId="0" borderId="2" xfId="0" applyNumberFormat="1" applyFont="1" applyBorder="1" applyAlignment="1">
      <alignment horizontal="center"/>
    </xf>
    <xf numFmtId="38" fontId="7" fillId="0" borderId="2" xfId="0" applyNumberFormat="1" applyFont="1" applyBorder="1" applyAlignment="1">
      <alignment horizontal="center"/>
    </xf>
    <xf numFmtId="164" fontId="6" fillId="0" borderId="0" xfId="2" applyNumberFormat="1" applyFont="1" applyAlignment="1">
      <alignment horizontal="center"/>
    </xf>
    <xf numFmtId="164" fontId="7" fillId="0" borderId="0" xfId="2" applyNumberFormat="1" applyFont="1" applyAlignment="1">
      <alignment horizontal="center"/>
    </xf>
    <xf numFmtId="40" fontId="6" fillId="0" borderId="0" xfId="0" applyNumberFormat="1" applyFont="1" applyAlignment="1">
      <alignment horizontal="center"/>
    </xf>
    <xf numFmtId="40" fontId="7" fillId="0" borderId="0" xfId="0" applyNumberFormat="1" applyFont="1" applyAlignment="1">
      <alignment horizontal="center"/>
    </xf>
    <xf numFmtId="0" fontId="8" fillId="0" borderId="3" xfId="0" applyFont="1" applyBorder="1"/>
    <xf numFmtId="0" fontId="0" fillId="0" borderId="3" xfId="0" applyBorder="1" applyAlignment="1">
      <alignment horizontal="center"/>
    </xf>
    <xf numFmtId="9" fontId="0" fillId="0" borderId="3" xfId="2" applyFont="1" applyBorder="1" applyAlignment="1">
      <alignment horizontal="center"/>
    </xf>
    <xf numFmtId="0" fontId="9" fillId="0" borderId="0" xfId="0" applyFont="1"/>
    <xf numFmtId="0" fontId="0" fillId="0" borderId="0" xfId="0" applyAlignment="1">
      <alignment horizontal="center"/>
    </xf>
    <xf numFmtId="38" fontId="5" fillId="0" borderId="4" xfId="1" quotePrefix="1" applyNumberFormat="1" applyFont="1" applyBorder="1" applyAlignment="1" applyProtection="1">
      <alignment horizontal="right"/>
    </xf>
    <xf numFmtId="38" fontId="5" fillId="0" borderId="4" xfId="1" quotePrefix="1" applyNumberFormat="1" applyFont="1" applyFill="1" applyBorder="1" applyAlignment="1" applyProtection="1">
      <alignment horizontal="center"/>
    </xf>
    <xf numFmtId="3" fontId="9" fillId="0" borderId="0" xfId="0" applyNumberFormat="1" applyFont="1"/>
    <xf numFmtId="0" fontId="0" fillId="0" borderId="3" xfId="0" applyBorder="1"/>
    <xf numFmtId="38" fontId="9" fillId="0" borderId="0" xfId="0" applyNumberFormat="1" applyFont="1"/>
    <xf numFmtId="165" fontId="9" fillId="0" borderId="0" xfId="0" applyNumberFormat="1" applyFont="1"/>
    <xf numFmtId="165" fontId="11" fillId="0" borderId="0" xfId="0" applyNumberFormat="1" applyFont="1"/>
    <xf numFmtId="3" fontId="12" fillId="0" borderId="0" xfId="0" applyNumberFormat="1" applyFont="1" applyAlignment="1">
      <alignment horizontal="center"/>
    </xf>
    <xf numFmtId="3" fontId="13" fillId="0" borderId="0" xfId="0" applyNumberFormat="1" applyFont="1" applyAlignment="1">
      <alignment horizontal="center"/>
    </xf>
    <xf numFmtId="166" fontId="13" fillId="0" borderId="0" xfId="0" applyNumberFormat="1" applyFont="1" applyAlignment="1">
      <alignment horizontal="center"/>
    </xf>
    <xf numFmtId="166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0" fillId="0" borderId="4" xfId="0" applyBorder="1"/>
    <xf numFmtId="38" fontId="12" fillId="0" borderId="0" xfId="0" applyNumberFormat="1" applyFont="1" applyAlignment="1">
      <alignment horizontal="center"/>
    </xf>
    <xf numFmtId="167" fontId="12" fillId="0" borderId="0" xfId="1" applyNumberFormat="1" applyFont="1" applyAlignment="1">
      <alignment horizontal="center"/>
    </xf>
    <xf numFmtId="0" fontId="12" fillId="0" borderId="0" xfId="0" applyFont="1" applyAlignment="1">
      <alignment horizontal="center"/>
    </xf>
    <xf numFmtId="168" fontId="13" fillId="0" borderId="0" xfId="0" applyNumberFormat="1" applyFont="1" applyAlignment="1">
      <alignment horizontal="center"/>
    </xf>
    <xf numFmtId="168" fontId="12" fillId="0" borderId="0" xfId="0" applyNumberFormat="1" applyFont="1" applyAlignment="1">
      <alignment horizontal="center"/>
    </xf>
    <xf numFmtId="10" fontId="0" fillId="0" borderId="3" xfId="2" applyNumberFormat="1" applyFont="1" applyBorder="1" applyAlignment="1">
      <alignment horizontal="center"/>
    </xf>
    <xf numFmtId="167" fontId="0" fillId="0" borderId="0" xfId="0" applyNumberFormat="1" applyAlignment="1">
      <alignment horizontal="center"/>
    </xf>
    <xf numFmtId="167" fontId="0" fillId="0" borderId="3" xfId="0" applyNumberFormat="1" applyBorder="1" applyAlignment="1">
      <alignment horizontal="center"/>
    </xf>
    <xf numFmtId="166" fontId="0" fillId="0" borderId="0" xfId="0" applyNumberFormat="1" applyAlignment="1">
      <alignment horizontal="center"/>
    </xf>
    <xf numFmtId="0" fontId="12" fillId="0" borderId="0" xfId="0" applyFont="1"/>
    <xf numFmtId="2" fontId="12" fillId="0" borderId="0" xfId="0" applyNumberFormat="1" applyFont="1"/>
    <xf numFmtId="2" fontId="12" fillId="0" borderId="5" xfId="0" applyNumberFormat="1" applyFont="1" applyBorder="1"/>
    <xf numFmtId="0" fontId="12" fillId="0" borderId="5" xfId="0" applyFont="1" applyBorder="1"/>
    <xf numFmtId="0" fontId="13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2" fontId="12" fillId="0" borderId="5" xfId="0" applyNumberFormat="1" applyFont="1" applyBorder="1" applyAlignment="1">
      <alignment horizontal="centerContinuous"/>
    </xf>
    <xf numFmtId="0" fontId="12" fillId="0" borderId="5" xfId="0" applyFont="1" applyBorder="1" applyAlignment="1">
      <alignment horizontal="centerContinuous"/>
    </xf>
    <xf numFmtId="0" fontId="12" fillId="0" borderId="6" xfId="0" applyFont="1" applyBorder="1"/>
    <xf numFmtId="0" fontId="12" fillId="0" borderId="7" xfId="0" applyFont="1" applyBorder="1"/>
    <xf numFmtId="0" fontId="12" fillId="0" borderId="8" xfId="0" applyFont="1" applyBorder="1"/>
    <xf numFmtId="38" fontId="12" fillId="0" borderId="8" xfId="0" applyNumberFormat="1" applyFont="1" applyBorder="1"/>
    <xf numFmtId="38" fontId="13" fillId="0" borderId="9" xfId="0" applyNumberFormat="1" applyFont="1" applyBorder="1"/>
    <xf numFmtId="38" fontId="12" fillId="0" borderId="0" xfId="0" applyNumberFormat="1" applyFont="1"/>
    <xf numFmtId="38" fontId="13" fillId="0" borderId="5" xfId="0" applyNumberFormat="1" applyFont="1" applyBorder="1"/>
    <xf numFmtId="38" fontId="13" fillId="0" borderId="8" xfId="0" applyNumberFormat="1" applyFont="1" applyBorder="1"/>
    <xf numFmtId="38" fontId="13" fillId="0" borderId="0" xfId="0" applyNumberFormat="1" applyFont="1"/>
    <xf numFmtId="38" fontId="13" fillId="0" borderId="7" xfId="0" applyNumberFormat="1" applyFont="1" applyBorder="1"/>
    <xf numFmtId="0" fontId="12" fillId="0" borderId="0" xfId="0" applyFont="1" applyAlignment="1">
      <alignment horizontal="right"/>
    </xf>
    <xf numFmtId="38" fontId="15" fillId="0" borderId="0" xfId="0" applyNumberFormat="1" applyFont="1"/>
    <xf numFmtId="164" fontId="12" fillId="0" borderId="0" xfId="2" applyNumberFormat="1" applyFont="1"/>
    <xf numFmtId="165" fontId="12" fillId="0" borderId="0" xfId="0" applyNumberFormat="1" applyFont="1"/>
    <xf numFmtId="165" fontId="15" fillId="0" borderId="0" xfId="0" applyNumberFormat="1" applyFont="1"/>
    <xf numFmtId="9" fontId="12" fillId="0" borderId="0" xfId="0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wldrapbal%20-%20HOBO.xlsx" TargetMode="External"/><Relationship Id="rId1" Type="http://schemas.openxmlformats.org/officeDocument/2006/relationships/externalLinkPath" Target="/Users/torem/Dropbox/FM%20Files/HOBO/Biofuel%20Model/wldrapbal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torem/Dropbox/FM%20Files/HOBO/Biofuel%20Model/wldtaltrade%20-%20HOBO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namericalowcibal%20-%20HOBO.xlsx" TargetMode="External"/><Relationship Id="rId1" Type="http://schemas.openxmlformats.org/officeDocument/2006/relationships/externalLinkPath" Target="/Users/torem/Dropbox/FM%20Files/HOBO/Biofuel%20Model/namericalowcibal%20-%20HOBO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orem\Dropbox\FM%20Files\HOBO\Biofuel%20Model\usoilseedbal%20-%20HOBO.xlsx" TargetMode="External"/><Relationship Id="rId1" Type="http://schemas.openxmlformats.org/officeDocument/2006/relationships/externalLinkPath" Target="/Users/torem/Dropbox/FM%20Files/HOBO/Biofuel%20Model/usoilseedbal%20-%20HO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World Rapeseed"/>
      <sheetName val="Canada Rapeseed USDA Comp"/>
      <sheetName val="Canada Rapeseed"/>
      <sheetName val="Canada Canola Oil CY"/>
      <sheetName val="Australia Rapeseed"/>
      <sheetName val="China Rapeseed"/>
      <sheetName val="Chart1"/>
      <sheetName val="EU Rapeseed"/>
      <sheetName val="Ukraine Rapeseed"/>
      <sheetName val="Russia Rapeseed"/>
      <sheetName val="Japan Rapeseed"/>
      <sheetName val="India Rapeseed"/>
      <sheetName val="Mexico Rapeseed"/>
    </sheetNames>
    <sheetDataSet>
      <sheetData sheetId="0"/>
      <sheetData sheetId="1"/>
      <sheetData sheetId="2">
        <row r="2">
          <cell r="B2" t="str">
            <v xml:space="preserve">93/94 </v>
          </cell>
        </row>
      </sheetData>
      <sheetData sheetId="3"/>
      <sheetData sheetId="4"/>
      <sheetData sheetId="5"/>
      <sheetData sheetId="6" refreshError="1"/>
      <sheetData sheetId="7"/>
      <sheetData sheetId="8"/>
      <sheetData sheetId="9"/>
      <sheetData sheetId="10"/>
      <sheetData sheetId="11"/>
      <sheetData sheetId="12">
        <row r="2">
          <cell r="F2" t="str">
            <v xml:space="preserve">97/98 </v>
          </cell>
          <cell r="G2" t="str">
            <v xml:space="preserve">98/99 </v>
          </cell>
          <cell r="H2" t="str">
            <v xml:space="preserve">99/00 </v>
          </cell>
          <cell r="I2" t="str">
            <v xml:space="preserve">00/01 </v>
          </cell>
          <cell r="J2" t="str">
            <v xml:space="preserve">01/02 </v>
          </cell>
          <cell r="K2" t="str">
            <v xml:space="preserve">02/03 </v>
          </cell>
          <cell r="L2" t="str">
            <v xml:space="preserve">03/04 </v>
          </cell>
          <cell r="M2" t="str">
            <v xml:space="preserve">04/05 </v>
          </cell>
          <cell r="N2" t="str">
            <v xml:space="preserve">05/06 </v>
          </cell>
          <cell r="O2" t="str">
            <v xml:space="preserve">06/07 </v>
          </cell>
          <cell r="P2" t="str">
            <v xml:space="preserve">07/08 </v>
          </cell>
          <cell r="Q2" t="str">
            <v xml:space="preserve">08/09 </v>
          </cell>
          <cell r="R2" t="str">
            <v xml:space="preserve">09/10 </v>
          </cell>
          <cell r="S2" t="str">
            <v xml:space="preserve">10/11 </v>
          </cell>
          <cell r="T2" t="str">
            <v xml:space="preserve">11/12 </v>
          </cell>
          <cell r="U2" t="str">
            <v xml:space="preserve">12/13 </v>
          </cell>
          <cell r="V2" t="str">
            <v xml:space="preserve">13/14 </v>
          </cell>
          <cell r="W2" t="str">
            <v xml:space="preserve">14/15 </v>
          </cell>
          <cell r="X2" t="str">
            <v xml:space="preserve">15/16 </v>
          </cell>
          <cell r="Y2" t="str">
            <v xml:space="preserve">16/17 </v>
          </cell>
          <cell r="Z2" t="str">
            <v xml:space="preserve">17/18 </v>
          </cell>
          <cell r="AA2" t="str">
            <v xml:space="preserve">18/19 </v>
          </cell>
          <cell r="AB2" t="str">
            <v>19/20</v>
          </cell>
          <cell r="AC2" t="str">
            <v>20/21</v>
          </cell>
          <cell r="AD2" t="str">
            <v xml:space="preserve">21/22 </v>
          </cell>
          <cell r="AE2" t="str">
            <v xml:space="preserve">22/23 </v>
          </cell>
          <cell r="AF2" t="str">
            <v xml:space="preserve">23/24 </v>
          </cell>
          <cell r="AG2" t="str">
            <v xml:space="preserve">24/25 </v>
          </cell>
          <cell r="AH2" t="str">
            <v>25/26</v>
          </cell>
          <cell r="AI2" t="str">
            <v>26/27</v>
          </cell>
          <cell r="AJ2" t="str">
            <v>27/28</v>
          </cell>
          <cell r="AK2" t="str">
            <v>28/29</v>
          </cell>
          <cell r="AL2" t="str">
            <v>29/30</v>
          </cell>
          <cell r="AM2" t="str">
            <v>30/31</v>
          </cell>
          <cell r="AN2" t="str">
            <v>31/32</v>
          </cell>
          <cell r="AO2" t="str">
            <v>32/33</v>
          </cell>
          <cell r="AP2" t="str">
            <v>33/34</v>
          </cell>
          <cell r="AQ2" t="str">
            <v>34/35</v>
          </cell>
          <cell r="AR2" t="str">
            <v>35/36</v>
          </cell>
          <cell r="AS2" t="str">
            <v>36/37</v>
          </cell>
          <cell r="AT2" t="str">
            <v>37/38</v>
          </cell>
          <cell r="AU2" t="str">
            <v>38/39</v>
          </cell>
          <cell r="AV2" t="str">
            <v>39/40</v>
          </cell>
          <cell r="AW2" t="str">
            <v>40/41</v>
          </cell>
          <cell r="AX2" t="str">
            <v>41/42</v>
          </cell>
          <cell r="AY2" t="str">
            <v>42/43</v>
          </cell>
          <cell r="AZ2" t="str">
            <v>43/44</v>
          </cell>
          <cell r="BA2" t="str">
            <v>44/45</v>
          </cell>
          <cell r="BB2" t="str">
            <v>45/46</v>
          </cell>
          <cell r="BC2" t="str">
            <v>46/47</v>
          </cell>
          <cell r="BD2" t="str">
            <v>47/48</v>
          </cell>
          <cell r="BE2" t="str">
            <v>48/49</v>
          </cell>
          <cell r="BF2" t="str">
            <v>49/50</v>
          </cell>
          <cell r="BG2" t="str">
            <v>50/51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llow Trade Template"/>
      <sheetName val="Canada Tallow Imports"/>
      <sheetName val="Canada Tallow Exports"/>
      <sheetName val="Australia Tallow Imports"/>
      <sheetName val="Australia Tallow Exports"/>
      <sheetName val="Brazil Tallow Imports"/>
      <sheetName val="Brazil Tallow Exports"/>
      <sheetName val="Paraguay Tallow Imports"/>
      <sheetName val="Paraguay Tallow Exports"/>
      <sheetName val="Uruguay Tallow Imports"/>
      <sheetName val="Uruguay Tallow Exports"/>
      <sheetName val="New Zealand Tallow Imports"/>
      <sheetName val="New Zealand Tallow Exports"/>
    </sheetNames>
    <sheetDataSet>
      <sheetData sheetId="0"/>
      <sheetData sheetId="1"/>
      <sheetData sheetId="2">
        <row r="4">
          <cell r="I4">
            <v>57673</v>
          </cell>
          <cell r="J4">
            <v>60115</v>
          </cell>
          <cell r="K4">
            <v>41082</v>
          </cell>
          <cell r="L4">
            <v>2030</v>
          </cell>
          <cell r="M4">
            <v>7494</v>
          </cell>
          <cell r="N4">
            <v>98</v>
          </cell>
          <cell r="O4">
            <v>9040</v>
          </cell>
          <cell r="P4">
            <v>85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</row>
        <row r="37"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</row>
        <row r="59"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</row>
        <row r="74">
          <cell r="I74">
            <v>109356</v>
          </cell>
          <cell r="J74">
            <v>100356</v>
          </cell>
          <cell r="K74">
            <v>155010</v>
          </cell>
          <cell r="L74">
            <v>137576</v>
          </cell>
          <cell r="M74">
            <v>124605</v>
          </cell>
          <cell r="N74">
            <v>92003</v>
          </cell>
          <cell r="O74">
            <v>122547</v>
          </cell>
          <cell r="P74">
            <v>88820</v>
          </cell>
          <cell r="Q74">
            <v>76199</v>
          </cell>
          <cell r="R74">
            <v>85687</v>
          </cell>
          <cell r="S74">
            <v>86618</v>
          </cell>
          <cell r="T74">
            <v>67427</v>
          </cell>
          <cell r="U74">
            <v>66435</v>
          </cell>
          <cell r="V74">
            <v>68030</v>
          </cell>
          <cell r="W74">
            <v>54315</v>
          </cell>
          <cell r="X74">
            <v>50230</v>
          </cell>
          <cell r="Y74">
            <v>75591</v>
          </cell>
          <cell r="Z74">
            <v>66019</v>
          </cell>
          <cell r="AA74">
            <v>35609</v>
          </cell>
          <cell r="AB74">
            <v>33290</v>
          </cell>
          <cell r="AC74">
            <v>8184</v>
          </cell>
          <cell r="AD74">
            <v>39070</v>
          </cell>
          <cell r="AE74">
            <v>15971</v>
          </cell>
          <cell r="AF74">
            <v>0</v>
          </cell>
        </row>
        <row r="88">
          <cell r="I88">
            <v>68983</v>
          </cell>
          <cell r="J88">
            <v>42854</v>
          </cell>
          <cell r="K88">
            <v>82237</v>
          </cell>
          <cell r="L88">
            <v>33000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5</v>
          </cell>
          <cell r="AD88">
            <v>0</v>
          </cell>
          <cell r="AE88">
            <v>0</v>
          </cell>
          <cell r="AF88">
            <v>0</v>
          </cell>
        </row>
        <row r="103"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/>
          <cell r="AF103"/>
        </row>
        <row r="104"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14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/>
          <cell r="AF104"/>
        </row>
        <row r="107">
          <cell r="I107">
            <v>0</v>
          </cell>
          <cell r="J107">
            <v>0</v>
          </cell>
          <cell r="K107">
            <v>83</v>
          </cell>
          <cell r="L107">
            <v>160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/>
          <cell r="AF107"/>
        </row>
        <row r="108">
          <cell r="I108">
            <v>31744</v>
          </cell>
          <cell r="J108">
            <v>44674</v>
          </cell>
          <cell r="K108">
            <v>35863</v>
          </cell>
          <cell r="L108">
            <v>48973</v>
          </cell>
          <cell r="M108">
            <v>57152</v>
          </cell>
          <cell r="N108">
            <v>45713</v>
          </cell>
          <cell r="O108">
            <v>48141</v>
          </cell>
          <cell r="P108">
            <v>42517</v>
          </cell>
          <cell r="Q108">
            <v>44220</v>
          </cell>
          <cell r="R108">
            <v>34617</v>
          </cell>
          <cell r="S108">
            <v>54219</v>
          </cell>
          <cell r="T108">
            <v>47197</v>
          </cell>
          <cell r="U108">
            <v>46596</v>
          </cell>
          <cell r="V108">
            <v>41762</v>
          </cell>
          <cell r="W108">
            <v>39248</v>
          </cell>
          <cell r="X108">
            <v>32121</v>
          </cell>
          <cell r="Y108">
            <v>25348</v>
          </cell>
          <cell r="Z108">
            <v>18238</v>
          </cell>
          <cell r="AA108">
            <v>19459</v>
          </cell>
          <cell r="AB108">
            <v>17111</v>
          </cell>
          <cell r="AC108">
            <v>8019</v>
          </cell>
          <cell r="AD108">
            <v>13395</v>
          </cell>
          <cell r="AE108">
            <v>15971</v>
          </cell>
          <cell r="AF108">
            <v>0</v>
          </cell>
        </row>
        <row r="109"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/>
          <cell r="AF109"/>
        </row>
        <row r="112">
          <cell r="I112">
            <v>5485</v>
          </cell>
          <cell r="J112">
            <v>11825</v>
          </cell>
          <cell r="K112">
            <v>33837</v>
          </cell>
          <cell r="L112">
            <v>8936</v>
          </cell>
          <cell r="M112">
            <v>44045</v>
          </cell>
          <cell r="N112">
            <v>43246</v>
          </cell>
          <cell r="O112">
            <v>74406</v>
          </cell>
          <cell r="P112">
            <v>46284</v>
          </cell>
          <cell r="Q112">
            <v>30773</v>
          </cell>
          <cell r="R112">
            <v>44372</v>
          </cell>
          <cell r="S112">
            <v>31276</v>
          </cell>
          <cell r="T112">
            <v>14911</v>
          </cell>
          <cell r="U112">
            <v>5602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4000</v>
          </cell>
          <cell r="AB112">
            <v>3000</v>
          </cell>
          <cell r="AC112">
            <v>0</v>
          </cell>
          <cell r="AD112">
            <v>4003</v>
          </cell>
          <cell r="AE112">
            <v>0</v>
          </cell>
          <cell r="AF112">
            <v>0</v>
          </cell>
        </row>
        <row r="117"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6399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/>
          <cell r="AF117"/>
        </row>
        <row r="136">
          <cell r="I136">
            <v>0</v>
          </cell>
          <cell r="J136">
            <v>0</v>
          </cell>
          <cell r="K136">
            <v>0</v>
          </cell>
          <cell r="L136">
            <v>49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68</v>
          </cell>
          <cell r="AD136">
            <v>166</v>
          </cell>
          <cell r="AE136">
            <v>0</v>
          </cell>
          <cell r="AF136">
            <v>0</v>
          </cell>
        </row>
        <row r="140"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/>
          <cell r="AF140"/>
        </row>
        <row r="141"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5090</v>
          </cell>
          <cell r="U141">
            <v>14237</v>
          </cell>
          <cell r="V141">
            <v>26268</v>
          </cell>
          <cell r="W141">
            <v>15067</v>
          </cell>
          <cell r="X141">
            <v>18109</v>
          </cell>
          <cell r="Y141">
            <v>50243</v>
          </cell>
          <cell r="Z141">
            <v>47781</v>
          </cell>
          <cell r="AA141">
            <v>12150</v>
          </cell>
          <cell r="AB141">
            <v>13179</v>
          </cell>
          <cell r="AC141">
            <v>0</v>
          </cell>
          <cell r="AD141">
            <v>21421</v>
          </cell>
          <cell r="AE141">
            <v>0</v>
          </cell>
          <cell r="AF141">
            <v>0</v>
          </cell>
        </row>
        <row r="147">
          <cell r="I147">
            <v>3101</v>
          </cell>
          <cell r="J147">
            <v>1003</v>
          </cell>
          <cell r="K147">
            <v>2990</v>
          </cell>
          <cell r="L147">
            <v>2241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1149</v>
          </cell>
          <cell r="R147">
            <v>1097</v>
          </cell>
          <cell r="S147">
            <v>1000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/>
          <cell r="AF147"/>
        </row>
        <row r="148"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/>
          <cell r="AF148"/>
        </row>
        <row r="151">
          <cell r="I151">
            <v>0</v>
          </cell>
          <cell r="J151">
            <v>0</v>
          </cell>
          <cell r="K151">
            <v>0</v>
          </cell>
          <cell r="L151">
            <v>701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/>
          <cell r="AF151"/>
        </row>
        <row r="156"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/>
          <cell r="AF156"/>
        </row>
        <row r="164">
          <cell r="I164">
            <v>6006</v>
          </cell>
          <cell r="J164">
            <v>0</v>
          </cell>
          <cell r="K164">
            <v>0</v>
          </cell>
          <cell r="L164">
            <v>0</v>
          </cell>
          <cell r="M164">
            <v>27995</v>
          </cell>
          <cell r="N164">
            <v>36591</v>
          </cell>
          <cell r="O164">
            <v>48750</v>
          </cell>
          <cell r="P164">
            <v>52500</v>
          </cell>
          <cell r="Q164">
            <v>13350</v>
          </cell>
          <cell r="R164">
            <v>13000</v>
          </cell>
          <cell r="S164">
            <v>17500</v>
          </cell>
          <cell r="T164">
            <v>9000</v>
          </cell>
          <cell r="U164">
            <v>18500</v>
          </cell>
          <cell r="V164">
            <v>4250</v>
          </cell>
          <cell r="W164">
            <v>3000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</row>
        <row r="165">
          <cell r="I165">
            <v>6006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/>
          <cell r="AF165"/>
        </row>
        <row r="184"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/>
          <cell r="AF184"/>
        </row>
        <row r="207"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/>
          <cell r="AF207"/>
        </row>
        <row r="219"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/>
          <cell r="AF219"/>
        </row>
        <row r="225"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/>
          <cell r="AF225"/>
        </row>
        <row r="231">
          <cell r="I231">
            <v>54063</v>
          </cell>
          <cell r="J231">
            <v>92009</v>
          </cell>
          <cell r="K231">
            <v>49149</v>
          </cell>
          <cell r="L231">
            <v>33829</v>
          </cell>
          <cell r="M231">
            <v>129338</v>
          </cell>
          <cell r="N231">
            <v>101962</v>
          </cell>
          <cell r="O231">
            <v>57385</v>
          </cell>
          <cell r="P231">
            <v>66441</v>
          </cell>
          <cell r="Q231">
            <v>94216</v>
          </cell>
          <cell r="R231">
            <v>71594</v>
          </cell>
          <cell r="S231">
            <v>77772</v>
          </cell>
          <cell r="T231">
            <v>68317</v>
          </cell>
          <cell r="U231">
            <v>76943</v>
          </cell>
          <cell r="V231">
            <v>66002</v>
          </cell>
          <cell r="W231">
            <v>71786</v>
          </cell>
          <cell r="X231">
            <v>78572</v>
          </cell>
          <cell r="Y231">
            <v>82518</v>
          </cell>
          <cell r="Z231">
            <v>79896</v>
          </cell>
          <cell r="AA231">
            <v>134170</v>
          </cell>
          <cell r="AB231">
            <v>163516</v>
          </cell>
          <cell r="AC231">
            <v>208802</v>
          </cell>
          <cell r="AD231">
            <v>198002</v>
          </cell>
          <cell r="AE231">
            <v>243959</v>
          </cell>
          <cell r="AF231">
            <v>250000</v>
          </cell>
        </row>
        <row r="234"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/>
          <cell r="AF234"/>
        </row>
        <row r="241"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1</v>
          </cell>
          <cell r="S241">
            <v>5000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/>
          <cell r="AF241"/>
        </row>
        <row r="245"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/>
          <cell r="AF245"/>
        </row>
        <row r="246"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6986</v>
          </cell>
          <cell r="O246">
            <v>9900</v>
          </cell>
          <cell r="P246">
            <v>5000</v>
          </cell>
          <cell r="Q246">
            <v>8500</v>
          </cell>
          <cell r="R246">
            <v>5001</v>
          </cell>
          <cell r="S246">
            <v>10040</v>
          </cell>
          <cell r="T246">
            <v>7000</v>
          </cell>
          <cell r="U246">
            <v>7500</v>
          </cell>
          <cell r="V246">
            <v>5000</v>
          </cell>
          <cell r="W246">
            <v>2500</v>
          </cell>
          <cell r="X246">
            <v>2500</v>
          </cell>
          <cell r="Y246">
            <v>2000</v>
          </cell>
          <cell r="Z246">
            <v>2000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</row>
        <row r="248">
          <cell r="I248">
            <v>0</v>
          </cell>
          <cell r="J248">
            <v>5001</v>
          </cell>
          <cell r="K248">
            <v>1998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3995</v>
          </cell>
          <cell r="Q248">
            <v>4299</v>
          </cell>
          <cell r="R248">
            <v>0</v>
          </cell>
          <cell r="S248">
            <v>0</v>
          </cell>
          <cell r="T248">
            <v>0</v>
          </cell>
          <cell r="U248">
            <v>4929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/>
          <cell r="AF248"/>
        </row>
        <row r="250"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2500</v>
          </cell>
          <cell r="P250">
            <v>0</v>
          </cell>
          <cell r="Q250">
            <v>0</v>
          </cell>
          <cell r="R250">
            <v>2500</v>
          </cell>
          <cell r="S250">
            <v>2500</v>
          </cell>
          <cell r="T250">
            <v>0</v>
          </cell>
          <cell r="U250">
            <v>0</v>
          </cell>
          <cell r="V250">
            <v>0</v>
          </cell>
          <cell r="W250">
            <v>96</v>
          </cell>
          <cell r="X250">
            <v>87</v>
          </cell>
          <cell r="Y250">
            <v>91</v>
          </cell>
          <cell r="Z250">
            <v>177</v>
          </cell>
          <cell r="AA250">
            <v>92</v>
          </cell>
          <cell r="AB250">
            <v>95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</row>
        <row r="266">
          <cell r="I266">
            <v>2501</v>
          </cell>
          <cell r="J266">
            <v>1995</v>
          </cell>
          <cell r="K266">
            <v>0</v>
          </cell>
          <cell r="L266">
            <v>5959</v>
          </cell>
          <cell r="M266">
            <v>43737</v>
          </cell>
          <cell r="N266">
            <v>28822</v>
          </cell>
          <cell r="O266">
            <v>5082</v>
          </cell>
          <cell r="P266">
            <v>14319</v>
          </cell>
          <cell r="Q266">
            <v>15300</v>
          </cell>
          <cell r="R266">
            <v>14423</v>
          </cell>
          <cell r="S266">
            <v>1502</v>
          </cell>
          <cell r="T266">
            <v>4500</v>
          </cell>
          <cell r="U266">
            <v>0</v>
          </cell>
          <cell r="V266">
            <v>0</v>
          </cell>
          <cell r="W266">
            <v>5080</v>
          </cell>
          <cell r="X266">
            <v>12087</v>
          </cell>
          <cell r="Y266">
            <v>0</v>
          </cell>
          <cell r="Z266">
            <v>0</v>
          </cell>
          <cell r="AA266">
            <v>445</v>
          </cell>
          <cell r="AB266">
            <v>237</v>
          </cell>
          <cell r="AC266">
            <v>0</v>
          </cell>
          <cell r="AD266">
            <v>428</v>
          </cell>
          <cell r="AE266">
            <v>1581</v>
          </cell>
          <cell r="AF266">
            <v>1150</v>
          </cell>
        </row>
        <row r="274">
          <cell r="I274">
            <v>0</v>
          </cell>
          <cell r="J274">
            <v>8203</v>
          </cell>
          <cell r="K274">
            <v>0</v>
          </cell>
          <cell r="L274">
            <v>0</v>
          </cell>
          <cell r="M274">
            <v>1206</v>
          </cell>
          <cell r="N274">
            <v>2002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/>
          <cell r="AF274"/>
        </row>
        <row r="284">
          <cell r="I284">
            <v>42540</v>
          </cell>
          <cell r="J284">
            <v>55054</v>
          </cell>
          <cell r="K284">
            <v>39780</v>
          </cell>
          <cell r="L284">
            <v>14723</v>
          </cell>
          <cell r="M284">
            <v>26198</v>
          </cell>
          <cell r="N284">
            <v>33215</v>
          </cell>
          <cell r="O284">
            <v>29578</v>
          </cell>
          <cell r="P284">
            <v>34230</v>
          </cell>
          <cell r="Q284">
            <v>45149</v>
          </cell>
          <cell r="R284">
            <v>31279</v>
          </cell>
          <cell r="S284">
            <v>46106</v>
          </cell>
          <cell r="T284">
            <v>49051</v>
          </cell>
          <cell r="U284">
            <v>62460</v>
          </cell>
          <cell r="V284">
            <v>59436</v>
          </cell>
          <cell r="W284">
            <v>62592</v>
          </cell>
          <cell r="X284">
            <v>63898</v>
          </cell>
          <cell r="Y284">
            <v>78150</v>
          </cell>
          <cell r="Z284">
            <v>73782</v>
          </cell>
          <cell r="AA284">
            <v>131632</v>
          </cell>
          <cell r="AB284">
            <v>163182</v>
          </cell>
          <cell r="AC284">
            <v>208747</v>
          </cell>
          <cell r="AD284">
            <v>197574</v>
          </cell>
          <cell r="AE284">
            <v>242378</v>
          </cell>
          <cell r="AF284">
            <v>248850</v>
          </cell>
        </row>
        <row r="286">
          <cell r="I286">
            <v>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/>
          <cell r="AF286"/>
        </row>
        <row r="289">
          <cell r="I289">
            <v>227098</v>
          </cell>
          <cell r="J289">
            <v>252480</v>
          </cell>
          <cell r="K289">
            <v>245241</v>
          </cell>
          <cell r="L289">
            <v>173435</v>
          </cell>
          <cell r="M289">
            <v>289432</v>
          </cell>
          <cell r="N289">
            <v>230654</v>
          </cell>
          <cell r="O289">
            <v>237722</v>
          </cell>
          <cell r="P289">
            <v>207846</v>
          </cell>
          <cell r="Q289">
            <v>183765</v>
          </cell>
          <cell r="R289">
            <v>170281</v>
          </cell>
          <cell r="S289">
            <v>181890</v>
          </cell>
          <cell r="T289">
            <v>144744</v>
          </cell>
          <cell r="U289">
            <v>161878</v>
          </cell>
          <cell r="V289">
            <v>138282</v>
          </cell>
          <cell r="W289">
            <v>129101</v>
          </cell>
          <cell r="X289">
            <v>128802</v>
          </cell>
          <cell r="Y289">
            <v>158109</v>
          </cell>
          <cell r="Z289">
            <v>145915</v>
          </cell>
          <cell r="AA289">
            <v>169779</v>
          </cell>
          <cell r="AB289">
            <v>196806</v>
          </cell>
          <cell r="AC289">
            <v>216986</v>
          </cell>
          <cell r="AD289">
            <v>237072</v>
          </cell>
          <cell r="AE289">
            <v>259930</v>
          </cell>
        </row>
      </sheetData>
      <sheetData sheetId="3"/>
      <sheetData sheetId="4">
        <row r="4">
          <cell r="N4">
            <v>190</v>
          </cell>
          <cell r="O4">
            <v>0</v>
          </cell>
          <cell r="P4">
            <v>0</v>
          </cell>
          <cell r="Q4">
            <v>0</v>
          </cell>
          <cell r="R4">
            <v>3576</v>
          </cell>
          <cell r="S4">
            <v>1910</v>
          </cell>
          <cell r="T4">
            <v>1314</v>
          </cell>
          <cell r="U4">
            <v>675</v>
          </cell>
          <cell r="V4">
            <v>626</v>
          </cell>
          <cell r="W4">
            <v>471</v>
          </cell>
          <cell r="X4">
            <v>49</v>
          </cell>
          <cell r="Y4">
            <v>76</v>
          </cell>
          <cell r="Z4">
            <v>0</v>
          </cell>
          <cell r="AA4">
            <v>56</v>
          </cell>
          <cell r="AB4">
            <v>199</v>
          </cell>
          <cell r="AC4">
            <v>4</v>
          </cell>
          <cell r="AD4">
            <v>7</v>
          </cell>
          <cell r="AE4">
            <v>0</v>
          </cell>
          <cell r="AF4">
            <v>0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170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1</v>
          </cell>
          <cell r="AA37">
            <v>3</v>
          </cell>
          <cell r="AB37">
            <v>199</v>
          </cell>
          <cell r="AC37">
            <v>4</v>
          </cell>
          <cell r="AD37">
            <v>7</v>
          </cell>
          <cell r="AE37">
            <v>0</v>
          </cell>
          <cell r="AF37">
            <v>0</v>
          </cell>
        </row>
        <row r="59">
          <cell r="N59">
            <v>0</v>
          </cell>
          <cell r="O59">
            <v>0</v>
          </cell>
          <cell r="P59">
            <v>122</v>
          </cell>
          <cell r="Q59">
            <v>295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</row>
        <row r="74">
          <cell r="N74">
            <v>349705</v>
          </cell>
          <cell r="O74">
            <v>331972</v>
          </cell>
          <cell r="P74">
            <v>346277</v>
          </cell>
          <cell r="Q74">
            <v>360995</v>
          </cell>
          <cell r="R74">
            <v>317169</v>
          </cell>
          <cell r="S74">
            <v>331519</v>
          </cell>
          <cell r="T74">
            <v>358295</v>
          </cell>
          <cell r="U74">
            <v>347193</v>
          </cell>
          <cell r="V74">
            <v>427332</v>
          </cell>
          <cell r="W74">
            <v>436487</v>
          </cell>
          <cell r="X74">
            <v>445086</v>
          </cell>
          <cell r="Y74">
            <v>433009</v>
          </cell>
          <cell r="Z74">
            <v>385694</v>
          </cell>
          <cell r="AA74">
            <v>414969</v>
          </cell>
          <cell r="AB74">
            <v>370130</v>
          </cell>
          <cell r="AC74">
            <v>405046</v>
          </cell>
          <cell r="AD74">
            <v>288782</v>
          </cell>
          <cell r="AE74">
            <v>216271</v>
          </cell>
          <cell r="AF74">
            <v>255985</v>
          </cell>
        </row>
        <row r="88">
          <cell r="N88">
            <v>207459</v>
          </cell>
          <cell r="O88">
            <v>199454</v>
          </cell>
          <cell r="P88">
            <v>242266</v>
          </cell>
          <cell r="Q88">
            <v>253296</v>
          </cell>
          <cell r="R88">
            <v>228605</v>
          </cell>
          <cell r="S88">
            <v>216692</v>
          </cell>
          <cell r="T88">
            <v>181102</v>
          </cell>
          <cell r="U88">
            <v>108799</v>
          </cell>
          <cell r="V88">
            <v>58084</v>
          </cell>
          <cell r="W88">
            <v>71419</v>
          </cell>
          <cell r="X88">
            <v>44542</v>
          </cell>
          <cell r="Y88">
            <v>27947</v>
          </cell>
          <cell r="Z88">
            <v>64167</v>
          </cell>
          <cell r="AA88">
            <v>51349</v>
          </cell>
          <cell r="AB88">
            <v>58770</v>
          </cell>
          <cell r="AC88">
            <v>66141</v>
          </cell>
          <cell r="AD88">
            <v>39983</v>
          </cell>
          <cell r="AE88">
            <v>15274</v>
          </cell>
          <cell r="AF88">
            <v>20000</v>
          </cell>
        </row>
        <row r="103">
          <cell r="N103">
            <v>213</v>
          </cell>
          <cell r="O103">
            <v>477</v>
          </cell>
          <cell r="P103">
            <v>2119</v>
          </cell>
          <cell r="Q103">
            <v>1701</v>
          </cell>
          <cell r="R103">
            <v>860</v>
          </cell>
          <cell r="S103">
            <v>955</v>
          </cell>
          <cell r="T103">
            <v>863</v>
          </cell>
          <cell r="U103">
            <v>304</v>
          </cell>
          <cell r="V103">
            <v>94</v>
          </cell>
          <cell r="W103">
            <v>42</v>
          </cell>
          <cell r="X103">
            <v>603</v>
          </cell>
          <cell r="Y103">
            <v>468</v>
          </cell>
          <cell r="Z103">
            <v>383</v>
          </cell>
          <cell r="AA103">
            <v>511</v>
          </cell>
          <cell r="AB103">
            <v>57</v>
          </cell>
          <cell r="AC103">
            <v>16</v>
          </cell>
          <cell r="AD103">
            <v>19</v>
          </cell>
          <cell r="AE103">
            <v>23</v>
          </cell>
          <cell r="AF103">
            <v>0</v>
          </cell>
        </row>
        <row r="104">
          <cell r="N104">
            <v>7615</v>
          </cell>
          <cell r="O104">
            <v>4518</v>
          </cell>
          <cell r="P104">
            <v>2010</v>
          </cell>
          <cell r="Q104">
            <v>4111</v>
          </cell>
          <cell r="R104">
            <v>819</v>
          </cell>
          <cell r="S104">
            <v>450</v>
          </cell>
          <cell r="T104">
            <v>20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/>
          <cell r="AF104"/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5</v>
          </cell>
          <cell r="AE107">
            <v>0</v>
          </cell>
          <cell r="AF107">
            <v>0</v>
          </cell>
        </row>
        <row r="108">
          <cell r="N108">
            <v>2987</v>
          </cell>
          <cell r="O108">
            <v>8325</v>
          </cell>
          <cell r="P108">
            <v>1189</v>
          </cell>
          <cell r="Q108">
            <v>305</v>
          </cell>
          <cell r="R108">
            <v>580</v>
          </cell>
          <cell r="S108">
            <v>87</v>
          </cell>
          <cell r="T108">
            <v>105</v>
          </cell>
          <cell r="U108">
            <v>3466</v>
          </cell>
          <cell r="V108">
            <v>0</v>
          </cell>
          <cell r="W108">
            <v>1961</v>
          </cell>
          <cell r="X108">
            <v>2728</v>
          </cell>
          <cell r="Y108">
            <v>1056</v>
          </cell>
          <cell r="Z108">
            <v>1124</v>
          </cell>
          <cell r="AA108">
            <v>1417</v>
          </cell>
          <cell r="AB108">
            <v>1013</v>
          </cell>
          <cell r="AC108">
            <v>770</v>
          </cell>
          <cell r="AD108">
            <v>150</v>
          </cell>
          <cell r="AE108">
            <v>78</v>
          </cell>
          <cell r="AF108">
            <v>50</v>
          </cell>
        </row>
        <row r="109"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25</v>
          </cell>
          <cell r="T109">
            <v>99</v>
          </cell>
          <cell r="U109">
            <v>25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56</v>
          </cell>
          <cell r="AD109">
            <v>32</v>
          </cell>
          <cell r="AE109">
            <v>0</v>
          </cell>
          <cell r="AF109">
            <v>0</v>
          </cell>
        </row>
        <row r="112">
          <cell r="N112">
            <v>11072</v>
          </cell>
          <cell r="O112">
            <v>15632</v>
          </cell>
          <cell r="P112">
            <v>12570</v>
          </cell>
          <cell r="Q112">
            <v>14266</v>
          </cell>
          <cell r="R112">
            <v>8695</v>
          </cell>
          <cell r="S112">
            <v>17220</v>
          </cell>
          <cell r="T112">
            <v>11551</v>
          </cell>
          <cell r="U112">
            <v>21196</v>
          </cell>
          <cell r="V112">
            <v>13766</v>
          </cell>
          <cell r="W112">
            <v>31019</v>
          </cell>
          <cell r="X112">
            <v>13631</v>
          </cell>
          <cell r="Y112">
            <v>11342</v>
          </cell>
          <cell r="Z112">
            <v>14933</v>
          </cell>
          <cell r="AA112">
            <v>16804</v>
          </cell>
          <cell r="AB112">
            <v>8302</v>
          </cell>
          <cell r="AC112">
            <v>6446</v>
          </cell>
          <cell r="AD112">
            <v>9676</v>
          </cell>
          <cell r="AE112">
            <v>7969</v>
          </cell>
          <cell r="AF112">
            <v>5000</v>
          </cell>
        </row>
        <row r="117">
          <cell r="N117">
            <v>295</v>
          </cell>
          <cell r="O117">
            <v>471</v>
          </cell>
          <cell r="P117">
            <v>1441</v>
          </cell>
          <cell r="Q117">
            <v>2259</v>
          </cell>
          <cell r="R117">
            <v>36</v>
          </cell>
          <cell r="S117">
            <v>127</v>
          </cell>
          <cell r="T117">
            <v>154</v>
          </cell>
          <cell r="U117">
            <v>0</v>
          </cell>
          <cell r="V117">
            <v>84</v>
          </cell>
          <cell r="W117">
            <v>21</v>
          </cell>
          <cell r="X117">
            <v>1015</v>
          </cell>
          <cell r="Y117">
            <v>104</v>
          </cell>
          <cell r="Z117">
            <v>18</v>
          </cell>
          <cell r="AA117">
            <v>3295</v>
          </cell>
          <cell r="AB117">
            <v>0</v>
          </cell>
          <cell r="AC117">
            <v>740</v>
          </cell>
          <cell r="AD117">
            <v>1520</v>
          </cell>
          <cell r="AE117">
            <v>11758</v>
          </cell>
          <cell r="AF117">
            <v>750</v>
          </cell>
        </row>
        <row r="136">
          <cell r="N136">
            <v>1350</v>
          </cell>
          <cell r="O136">
            <v>1290</v>
          </cell>
          <cell r="P136">
            <v>1045</v>
          </cell>
          <cell r="Q136">
            <v>1460</v>
          </cell>
          <cell r="R136">
            <v>815</v>
          </cell>
          <cell r="S136">
            <v>705</v>
          </cell>
          <cell r="T136">
            <v>777</v>
          </cell>
          <cell r="U136">
            <v>0</v>
          </cell>
          <cell r="V136">
            <v>0</v>
          </cell>
          <cell r="W136">
            <v>240</v>
          </cell>
          <cell r="X136">
            <v>313</v>
          </cell>
          <cell r="Y136">
            <v>557</v>
          </cell>
          <cell r="Z136">
            <v>489</v>
          </cell>
          <cell r="AA136">
            <v>565</v>
          </cell>
          <cell r="AB136">
            <v>144</v>
          </cell>
          <cell r="AC136">
            <v>25002</v>
          </cell>
          <cell r="AD136">
            <v>50</v>
          </cell>
          <cell r="AE136">
            <v>603</v>
          </cell>
          <cell r="AF136">
            <v>175</v>
          </cell>
        </row>
        <row r="140">
          <cell r="N140">
            <v>1645</v>
          </cell>
          <cell r="O140">
            <v>0</v>
          </cell>
          <cell r="P140">
            <v>55</v>
          </cell>
          <cell r="Q140">
            <v>42</v>
          </cell>
          <cell r="R140">
            <v>0</v>
          </cell>
          <cell r="S140">
            <v>0</v>
          </cell>
          <cell r="T140">
            <v>51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2</v>
          </cell>
          <cell r="AC140">
            <v>28</v>
          </cell>
          <cell r="AD140">
            <v>8</v>
          </cell>
          <cell r="AE140">
            <v>37</v>
          </cell>
          <cell r="AF140">
            <v>10</v>
          </cell>
        </row>
        <row r="141">
          <cell r="N141">
            <v>440</v>
          </cell>
          <cell r="O141">
            <v>128</v>
          </cell>
          <cell r="P141">
            <v>543</v>
          </cell>
          <cell r="Q141">
            <v>706</v>
          </cell>
          <cell r="R141">
            <v>39</v>
          </cell>
          <cell r="S141">
            <v>36</v>
          </cell>
          <cell r="T141">
            <v>96945</v>
          </cell>
          <cell r="U141">
            <v>122890</v>
          </cell>
          <cell r="V141">
            <v>308867</v>
          </cell>
          <cell r="W141">
            <v>281467</v>
          </cell>
          <cell r="X141">
            <v>312220</v>
          </cell>
          <cell r="Y141">
            <v>365506</v>
          </cell>
          <cell r="Z141">
            <v>268565</v>
          </cell>
          <cell r="AA141">
            <v>312632</v>
          </cell>
          <cell r="AB141">
            <v>280225</v>
          </cell>
          <cell r="AC141">
            <v>285943</v>
          </cell>
          <cell r="AD141">
            <v>224161</v>
          </cell>
          <cell r="AE141">
            <v>173234</v>
          </cell>
          <cell r="AF141">
            <v>225000</v>
          </cell>
        </row>
        <row r="147">
          <cell r="N147">
            <v>55588</v>
          </cell>
          <cell r="O147">
            <v>47437</v>
          </cell>
          <cell r="P147">
            <v>44393</v>
          </cell>
          <cell r="Q147">
            <v>52373</v>
          </cell>
          <cell r="R147">
            <v>49159</v>
          </cell>
          <cell r="S147">
            <v>38072</v>
          </cell>
          <cell r="T147">
            <v>39460</v>
          </cell>
          <cell r="U147">
            <v>45647</v>
          </cell>
          <cell r="V147">
            <v>23021</v>
          </cell>
          <cell r="W147">
            <v>30869</v>
          </cell>
          <cell r="X147">
            <v>45199</v>
          </cell>
          <cell r="Y147">
            <v>22911</v>
          </cell>
          <cell r="Z147">
            <v>21997</v>
          </cell>
          <cell r="AA147">
            <v>22650</v>
          </cell>
          <cell r="AB147">
            <v>17721</v>
          </cell>
          <cell r="AC147">
            <v>17927</v>
          </cell>
          <cell r="AD147">
            <v>10576</v>
          </cell>
          <cell r="AE147">
            <v>5277</v>
          </cell>
          <cell r="AF147">
            <v>2500</v>
          </cell>
        </row>
        <row r="148">
          <cell r="N148">
            <v>20</v>
          </cell>
          <cell r="O148">
            <v>99</v>
          </cell>
          <cell r="P148">
            <v>93</v>
          </cell>
          <cell r="Q148">
            <v>70</v>
          </cell>
          <cell r="R148">
            <v>50</v>
          </cell>
          <cell r="S148">
            <v>197</v>
          </cell>
          <cell r="T148">
            <v>610</v>
          </cell>
          <cell r="U148">
            <v>820</v>
          </cell>
          <cell r="V148">
            <v>604</v>
          </cell>
          <cell r="W148">
            <v>386</v>
          </cell>
          <cell r="X148">
            <v>320</v>
          </cell>
          <cell r="Y148">
            <v>270</v>
          </cell>
          <cell r="Z148">
            <v>195</v>
          </cell>
          <cell r="AA148">
            <v>187</v>
          </cell>
          <cell r="AB148">
            <v>1350</v>
          </cell>
          <cell r="AC148">
            <v>1057</v>
          </cell>
          <cell r="AD148">
            <v>1548</v>
          </cell>
          <cell r="AE148">
            <v>1123</v>
          </cell>
          <cell r="AF148">
            <v>1750</v>
          </cell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14000</v>
          </cell>
          <cell r="V151">
            <v>7056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/>
          <cell r="AF151"/>
        </row>
        <row r="156">
          <cell r="N156">
            <v>0</v>
          </cell>
          <cell r="O156">
            <v>100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64</v>
          </cell>
          <cell r="AB156">
            <v>0</v>
          </cell>
          <cell r="AC156">
            <v>0</v>
          </cell>
          <cell r="AD156">
            <v>5</v>
          </cell>
          <cell r="AE156">
            <v>0</v>
          </cell>
          <cell r="AF156">
            <v>0</v>
          </cell>
        </row>
        <row r="164">
          <cell r="N164">
            <v>25743</v>
          </cell>
          <cell r="O164">
            <v>32234</v>
          </cell>
          <cell r="P164">
            <v>15458</v>
          </cell>
          <cell r="Q164">
            <v>10931</v>
          </cell>
          <cell r="R164">
            <v>17609</v>
          </cell>
          <cell r="S164">
            <v>18897</v>
          </cell>
          <cell r="T164">
            <v>4940</v>
          </cell>
          <cell r="U164">
            <v>12974</v>
          </cell>
          <cell r="V164">
            <v>788</v>
          </cell>
          <cell r="W164">
            <v>22470</v>
          </cell>
          <cell r="X164">
            <v>24936</v>
          </cell>
          <cell r="Y164">
            <v>1095</v>
          </cell>
          <cell r="Z164">
            <v>12208</v>
          </cell>
          <cell r="AA164">
            <v>15390</v>
          </cell>
          <cell r="AB164">
            <v>1277</v>
          </cell>
          <cell r="AC164">
            <v>1446</v>
          </cell>
          <cell r="AD164">
            <v>501</v>
          </cell>
          <cell r="AE164">
            <v>791</v>
          </cell>
          <cell r="AF164">
            <v>500</v>
          </cell>
        </row>
        <row r="165"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/>
          <cell r="AF165"/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36</v>
          </cell>
          <cell r="AA184">
            <v>56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</row>
        <row r="207"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/>
          <cell r="AF207"/>
        </row>
        <row r="219">
          <cell r="N219">
            <v>2859</v>
          </cell>
          <cell r="O219">
            <v>2386</v>
          </cell>
          <cell r="P219">
            <v>3040</v>
          </cell>
          <cell r="Q219">
            <v>6691</v>
          </cell>
          <cell r="R219">
            <v>7150</v>
          </cell>
          <cell r="S219">
            <v>10698</v>
          </cell>
          <cell r="T219">
            <v>2501</v>
          </cell>
          <cell r="U219">
            <v>2683</v>
          </cell>
          <cell r="V219">
            <v>66</v>
          </cell>
          <cell r="W219">
            <v>0</v>
          </cell>
          <cell r="X219">
            <v>148</v>
          </cell>
          <cell r="Y219">
            <v>36</v>
          </cell>
          <cell r="Z219">
            <v>38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</row>
        <row r="225"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/>
          <cell r="AF225"/>
        </row>
        <row r="231">
          <cell r="N231">
            <v>148</v>
          </cell>
          <cell r="O231">
            <v>0</v>
          </cell>
          <cell r="P231">
            <v>1</v>
          </cell>
          <cell r="Q231">
            <v>9</v>
          </cell>
          <cell r="R231">
            <v>6000</v>
          </cell>
          <cell r="S231">
            <v>28</v>
          </cell>
          <cell r="T231">
            <v>29</v>
          </cell>
          <cell r="U231">
            <v>0</v>
          </cell>
          <cell r="V231">
            <v>0</v>
          </cell>
          <cell r="W231">
            <v>0</v>
          </cell>
          <cell r="X231">
            <v>19</v>
          </cell>
          <cell r="Y231">
            <v>538</v>
          </cell>
          <cell r="Z231">
            <v>22955</v>
          </cell>
          <cell r="AA231">
            <v>10574</v>
          </cell>
          <cell r="AB231">
            <v>29630</v>
          </cell>
          <cell r="AC231">
            <v>24728</v>
          </cell>
          <cell r="AD231">
            <v>101654</v>
          </cell>
          <cell r="AE231">
            <v>230542</v>
          </cell>
          <cell r="AF231">
            <v>195197.39810637844</v>
          </cell>
        </row>
        <row r="234"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/>
          <cell r="AF234"/>
        </row>
        <row r="241"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6000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55</v>
          </cell>
          <cell r="AD241">
            <v>0</v>
          </cell>
          <cell r="AE241">
            <v>0</v>
          </cell>
          <cell r="AF241">
            <v>0</v>
          </cell>
        </row>
        <row r="243"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34</v>
          </cell>
          <cell r="Z243">
            <v>331</v>
          </cell>
          <cell r="AA243">
            <v>0</v>
          </cell>
          <cell r="AB243">
            <v>353</v>
          </cell>
          <cell r="AC243">
            <v>0</v>
          </cell>
          <cell r="AD243">
            <v>127</v>
          </cell>
          <cell r="AE243">
            <v>172</v>
          </cell>
          <cell r="AF243">
            <v>0</v>
          </cell>
        </row>
        <row r="245"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/>
          <cell r="AF245"/>
        </row>
        <row r="246"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/>
          <cell r="AF246"/>
        </row>
        <row r="248"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/>
          <cell r="AF248"/>
        </row>
        <row r="250"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/>
          <cell r="AF250"/>
        </row>
        <row r="266"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/>
          <cell r="AF266"/>
        </row>
        <row r="274"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/>
          <cell r="AF274"/>
        </row>
        <row r="284">
          <cell r="N284">
            <v>111</v>
          </cell>
          <cell r="O284">
            <v>0</v>
          </cell>
          <cell r="P284">
            <v>1</v>
          </cell>
          <cell r="Q284">
            <v>9</v>
          </cell>
          <cell r="R284">
            <v>0</v>
          </cell>
          <cell r="S284">
            <v>28</v>
          </cell>
          <cell r="T284">
            <v>29</v>
          </cell>
          <cell r="U284">
            <v>0</v>
          </cell>
          <cell r="V284">
            <v>0</v>
          </cell>
          <cell r="W284">
            <v>0</v>
          </cell>
          <cell r="X284">
            <v>19</v>
          </cell>
          <cell r="Y284">
            <v>504</v>
          </cell>
          <cell r="Z284">
            <v>22624</v>
          </cell>
          <cell r="AA284">
            <v>10574</v>
          </cell>
          <cell r="AB284">
            <v>29277</v>
          </cell>
          <cell r="AC284">
            <v>24673</v>
          </cell>
          <cell r="AD284">
            <v>101527</v>
          </cell>
          <cell r="AE284">
            <v>230370</v>
          </cell>
          <cell r="AF284">
            <v>195197.39810637844</v>
          </cell>
        </row>
        <row r="286"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/>
          <cell r="AF286"/>
        </row>
        <row r="289">
          <cell r="N289">
            <v>375786</v>
          </cell>
          <cell r="O289">
            <v>364206</v>
          </cell>
          <cell r="P289">
            <v>361858</v>
          </cell>
          <cell r="Q289">
            <v>372400</v>
          </cell>
          <cell r="R289">
            <v>344354</v>
          </cell>
          <cell r="S289">
            <v>352354</v>
          </cell>
          <cell r="T289">
            <v>364578</v>
          </cell>
          <cell r="U289">
            <v>360842</v>
          </cell>
          <cell r="V289">
            <v>428746</v>
          </cell>
          <cell r="W289">
            <v>459428</v>
          </cell>
          <cell r="X289">
            <v>470090</v>
          </cell>
          <cell r="Y289">
            <v>434718</v>
          </cell>
          <cell r="Z289">
            <v>420858</v>
          </cell>
          <cell r="AA289">
            <v>440992</v>
          </cell>
          <cell r="AB289">
            <v>401435</v>
          </cell>
          <cell r="AC289">
            <v>431228</v>
          </cell>
          <cell r="AD289">
            <v>390951</v>
          </cell>
          <cell r="AE289">
            <v>447604</v>
          </cell>
          <cell r="AF289">
            <v>451682.39810637844</v>
          </cell>
        </row>
      </sheetData>
      <sheetData sheetId="5"/>
      <sheetData sheetId="6">
        <row r="4"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3627</v>
          </cell>
          <cell r="AA4">
            <v>0</v>
          </cell>
          <cell r="AB4">
            <v>0</v>
          </cell>
          <cell r="AC4">
            <v>21</v>
          </cell>
          <cell r="AD4">
            <v>7</v>
          </cell>
          <cell r="AE4">
            <v>28</v>
          </cell>
          <cell r="AF4">
            <v>0</v>
          </cell>
        </row>
        <row r="37"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164</v>
          </cell>
          <cell r="AB37">
            <v>401</v>
          </cell>
          <cell r="AC37">
            <v>147</v>
          </cell>
          <cell r="AD37">
            <v>101</v>
          </cell>
          <cell r="AE37">
            <v>196</v>
          </cell>
          <cell r="AF37">
            <v>350</v>
          </cell>
        </row>
        <row r="59"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25</v>
          </cell>
          <cell r="AC59">
            <v>15</v>
          </cell>
          <cell r="AD59">
            <v>25</v>
          </cell>
          <cell r="AE59">
            <v>125</v>
          </cell>
          <cell r="AF59">
            <v>125</v>
          </cell>
        </row>
        <row r="74">
          <cell r="U74">
            <v>3862</v>
          </cell>
          <cell r="V74">
            <v>13694</v>
          </cell>
          <cell r="W74">
            <v>238</v>
          </cell>
          <cell r="X74">
            <v>476</v>
          </cell>
          <cell r="Y74">
            <v>891</v>
          </cell>
          <cell r="Z74">
            <v>1005</v>
          </cell>
          <cell r="AA74">
            <v>1128</v>
          </cell>
          <cell r="AB74">
            <v>3019</v>
          </cell>
          <cell r="AC74">
            <v>3327</v>
          </cell>
          <cell r="AD74">
            <v>9127</v>
          </cell>
          <cell r="AE74">
            <v>14857</v>
          </cell>
          <cell r="AF74">
            <v>17655</v>
          </cell>
        </row>
        <row r="88"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399</v>
          </cell>
          <cell r="AC88">
            <v>846</v>
          </cell>
          <cell r="AD88">
            <v>5668</v>
          </cell>
          <cell r="AE88">
            <v>10555</v>
          </cell>
          <cell r="AF88">
            <v>12500</v>
          </cell>
        </row>
        <row r="103"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</row>
        <row r="104"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</row>
        <row r="107">
          <cell r="U107">
            <v>69</v>
          </cell>
          <cell r="V107">
            <v>99</v>
          </cell>
          <cell r="W107">
            <v>79</v>
          </cell>
          <cell r="X107">
            <v>171</v>
          </cell>
          <cell r="Y107">
            <v>229</v>
          </cell>
          <cell r="Z107">
            <v>264</v>
          </cell>
          <cell r="AA107">
            <v>138</v>
          </cell>
          <cell r="AB107">
            <v>371</v>
          </cell>
          <cell r="AC107">
            <v>480</v>
          </cell>
          <cell r="AD107">
            <v>254</v>
          </cell>
          <cell r="AE107">
            <v>653</v>
          </cell>
          <cell r="AF107">
            <v>500</v>
          </cell>
        </row>
        <row r="108"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</row>
        <row r="109">
          <cell r="U109">
            <v>0</v>
          </cell>
          <cell r="V109">
            <v>80</v>
          </cell>
          <cell r="W109">
            <v>0</v>
          </cell>
          <cell r="X109">
            <v>54</v>
          </cell>
          <cell r="Y109">
            <v>0</v>
          </cell>
          <cell r="Z109">
            <v>0</v>
          </cell>
          <cell r="AA109">
            <v>0</v>
          </cell>
          <cell r="AB109">
            <v>196</v>
          </cell>
          <cell r="AC109">
            <v>142</v>
          </cell>
          <cell r="AD109">
            <v>412</v>
          </cell>
          <cell r="AE109">
            <v>495</v>
          </cell>
          <cell r="AF109">
            <v>500</v>
          </cell>
        </row>
        <row r="112"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</row>
        <row r="117">
          <cell r="U117">
            <v>0</v>
          </cell>
          <cell r="V117">
            <v>0</v>
          </cell>
          <cell r="W117">
            <v>8</v>
          </cell>
          <cell r="X117">
            <v>27</v>
          </cell>
          <cell r="Y117">
            <v>56</v>
          </cell>
          <cell r="Z117">
            <v>0</v>
          </cell>
          <cell r="AA117">
            <v>28</v>
          </cell>
          <cell r="AB117">
            <v>524</v>
          </cell>
          <cell r="AC117">
            <v>313</v>
          </cell>
          <cell r="AD117">
            <v>489</v>
          </cell>
          <cell r="AE117">
            <v>411</v>
          </cell>
          <cell r="AF117">
            <v>2000</v>
          </cell>
        </row>
        <row r="136">
          <cell r="U136">
            <v>7</v>
          </cell>
          <cell r="V136">
            <v>534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</row>
        <row r="140">
          <cell r="U140">
            <v>207</v>
          </cell>
          <cell r="V140">
            <v>0</v>
          </cell>
          <cell r="W140">
            <v>0</v>
          </cell>
          <cell r="X140">
            <v>0</v>
          </cell>
          <cell r="Y140">
            <v>359</v>
          </cell>
          <cell r="Z140">
            <v>25</v>
          </cell>
          <cell r="AA140">
            <v>270</v>
          </cell>
          <cell r="AB140">
            <v>411</v>
          </cell>
          <cell r="AC140">
            <v>370</v>
          </cell>
          <cell r="AD140">
            <v>811</v>
          </cell>
          <cell r="AE140">
            <v>1243</v>
          </cell>
          <cell r="AF140">
            <v>1250</v>
          </cell>
        </row>
        <row r="141">
          <cell r="U141">
            <v>3363</v>
          </cell>
          <cell r="V141">
            <v>6280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</row>
        <row r="147"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</row>
        <row r="148"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5</v>
          </cell>
        </row>
        <row r="151"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</row>
        <row r="156"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28</v>
          </cell>
          <cell r="AE156">
            <v>0</v>
          </cell>
          <cell r="AF156">
            <v>0</v>
          </cell>
        </row>
        <row r="164">
          <cell r="U164">
            <v>0</v>
          </cell>
          <cell r="V164">
            <v>0</v>
          </cell>
          <cell r="W164">
            <v>0</v>
          </cell>
          <cell r="X164">
            <v>7</v>
          </cell>
          <cell r="Y164">
            <v>0</v>
          </cell>
          <cell r="Z164">
            <v>3873</v>
          </cell>
          <cell r="AA164">
            <v>285</v>
          </cell>
          <cell r="AB164">
            <v>1143</v>
          </cell>
          <cell r="AC164">
            <v>1740</v>
          </cell>
          <cell r="AD164">
            <v>2902</v>
          </cell>
          <cell r="AE164">
            <v>2924</v>
          </cell>
          <cell r="AF164">
            <v>5052</v>
          </cell>
        </row>
        <row r="165"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</row>
        <row r="184"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285</v>
          </cell>
          <cell r="AB184">
            <v>532</v>
          </cell>
          <cell r="AC184">
            <v>603</v>
          </cell>
          <cell r="AD184">
            <v>670</v>
          </cell>
          <cell r="AE184">
            <v>1179</v>
          </cell>
          <cell r="AF184">
            <v>2500</v>
          </cell>
        </row>
        <row r="207"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</row>
        <row r="219">
          <cell r="U219">
            <v>0</v>
          </cell>
          <cell r="V219">
            <v>0</v>
          </cell>
          <cell r="W219">
            <v>0</v>
          </cell>
          <cell r="X219">
            <v>7</v>
          </cell>
          <cell r="Y219">
            <v>0</v>
          </cell>
          <cell r="Z219">
            <v>2</v>
          </cell>
          <cell r="AA219">
            <v>0</v>
          </cell>
          <cell r="AB219">
            <v>611</v>
          </cell>
          <cell r="AC219">
            <v>1137</v>
          </cell>
          <cell r="AD219">
            <v>2232</v>
          </cell>
          <cell r="AE219">
            <v>1744</v>
          </cell>
          <cell r="AF219">
            <v>2500</v>
          </cell>
        </row>
        <row r="225"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</row>
        <row r="231">
          <cell r="U231">
            <v>192</v>
          </cell>
          <cell r="V231">
            <v>171</v>
          </cell>
          <cell r="W231">
            <v>254</v>
          </cell>
          <cell r="X231">
            <v>360</v>
          </cell>
          <cell r="Y231">
            <v>432</v>
          </cell>
          <cell r="Z231">
            <v>582</v>
          </cell>
          <cell r="AA231">
            <v>473</v>
          </cell>
          <cell r="AB231">
            <v>564</v>
          </cell>
          <cell r="AC231">
            <v>310</v>
          </cell>
          <cell r="AD231">
            <v>21952.698</v>
          </cell>
          <cell r="AE231">
            <v>138747.329</v>
          </cell>
          <cell r="AF231">
            <v>482230.97399999999</v>
          </cell>
        </row>
        <row r="234"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</row>
        <row r="243"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</row>
        <row r="245"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46</v>
          </cell>
          <cell r="AE245">
            <v>0</v>
          </cell>
          <cell r="AF245">
            <v>1</v>
          </cell>
        </row>
        <row r="246"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1</v>
          </cell>
          <cell r="AD246">
            <v>0</v>
          </cell>
          <cell r="AE246">
            <v>0</v>
          </cell>
          <cell r="AF246">
            <v>1</v>
          </cell>
        </row>
        <row r="248"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</row>
        <row r="250">
          <cell r="U250">
            <v>0</v>
          </cell>
          <cell r="V250">
            <v>2</v>
          </cell>
          <cell r="W250">
            <v>0</v>
          </cell>
          <cell r="X250">
            <v>2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</row>
        <row r="266"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</row>
        <row r="274"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</row>
        <row r="284"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42</v>
          </cell>
          <cell r="AB284">
            <v>0</v>
          </cell>
          <cell r="AC284">
            <v>0</v>
          </cell>
          <cell r="AD284">
            <v>21514.698</v>
          </cell>
          <cell r="AE284">
            <v>138459.329</v>
          </cell>
          <cell r="AF284">
            <v>481928.97399999999</v>
          </cell>
        </row>
        <row r="286"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</row>
        <row r="289">
          <cell r="K289">
            <v>13352</v>
          </cell>
          <cell r="L289">
            <v>4260</v>
          </cell>
          <cell r="M289">
            <v>46348</v>
          </cell>
          <cell r="N289">
            <v>44546</v>
          </cell>
          <cell r="O289">
            <v>12443</v>
          </cell>
          <cell r="P289">
            <v>18517</v>
          </cell>
          <cell r="Q289">
            <v>632</v>
          </cell>
          <cell r="R289">
            <v>3400</v>
          </cell>
          <cell r="S289">
            <v>5379</v>
          </cell>
          <cell r="T289">
            <v>261</v>
          </cell>
          <cell r="U289">
            <v>4054</v>
          </cell>
          <cell r="V289">
            <v>13865</v>
          </cell>
          <cell r="W289">
            <v>492</v>
          </cell>
          <cell r="X289">
            <v>843</v>
          </cell>
          <cell r="Y289">
            <v>1323</v>
          </cell>
          <cell r="Z289">
            <v>9087</v>
          </cell>
          <cell r="AA289">
            <v>2050</v>
          </cell>
          <cell r="AB289">
            <v>5152</v>
          </cell>
          <cell r="AC289">
            <v>5560</v>
          </cell>
          <cell r="AD289">
            <v>34114.698000000004</v>
          </cell>
          <cell r="AE289">
            <v>156877.329</v>
          </cell>
          <cell r="AF289">
            <v>505412.97399999999</v>
          </cell>
        </row>
        <row r="290">
          <cell r="AB290">
            <v>10429</v>
          </cell>
          <cell r="AC290">
            <v>12239.842000000001</v>
          </cell>
          <cell r="AD290">
            <v>49500.042999999998</v>
          </cell>
          <cell r="AE290">
            <v>179342.05300000001</v>
          </cell>
          <cell r="AF290">
            <v>540398.88800000004</v>
          </cell>
        </row>
      </sheetData>
      <sheetData sheetId="7"/>
      <sheetData sheetId="8">
        <row r="4"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1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</row>
        <row r="37"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296</v>
          </cell>
          <cell r="W37">
            <v>250</v>
          </cell>
          <cell r="X37">
            <v>0</v>
          </cell>
          <cell r="Y37">
            <v>80</v>
          </cell>
          <cell r="Z37">
            <v>0</v>
          </cell>
          <cell r="AA37">
            <v>0</v>
          </cell>
          <cell r="AB37">
            <v>56</v>
          </cell>
          <cell r="AC37">
            <v>0</v>
          </cell>
          <cell r="AD37">
            <v>0</v>
          </cell>
        </row>
        <row r="59"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29</v>
          </cell>
          <cell r="R59">
            <v>0</v>
          </cell>
          <cell r="S59">
            <v>0</v>
          </cell>
          <cell r="T59">
            <v>0</v>
          </cell>
          <cell r="U59">
            <v>313</v>
          </cell>
          <cell r="V59">
            <v>1080</v>
          </cell>
          <cell r="W59">
            <v>1823</v>
          </cell>
          <cell r="X59">
            <v>2420</v>
          </cell>
          <cell r="Y59">
            <v>1265</v>
          </cell>
          <cell r="Z59">
            <v>2479</v>
          </cell>
          <cell r="AA59">
            <v>2677</v>
          </cell>
          <cell r="AB59">
            <v>3042</v>
          </cell>
          <cell r="AC59">
            <v>3468</v>
          </cell>
          <cell r="AD59">
            <v>2518</v>
          </cell>
        </row>
        <row r="74">
          <cell r="K74">
            <v>0</v>
          </cell>
          <cell r="L74">
            <v>0</v>
          </cell>
          <cell r="M74">
            <v>0</v>
          </cell>
          <cell r="N74">
            <v>336</v>
          </cell>
          <cell r="O74">
            <v>259</v>
          </cell>
          <cell r="P74">
            <v>57</v>
          </cell>
          <cell r="Q74">
            <v>920</v>
          </cell>
          <cell r="R74">
            <v>807</v>
          </cell>
          <cell r="S74">
            <v>735</v>
          </cell>
          <cell r="T74">
            <v>814</v>
          </cell>
          <cell r="U74">
            <v>189</v>
          </cell>
          <cell r="V74">
            <v>914</v>
          </cell>
          <cell r="W74">
            <v>572</v>
          </cell>
          <cell r="X74">
            <v>568</v>
          </cell>
          <cell r="Y74">
            <v>1216</v>
          </cell>
          <cell r="Z74">
            <v>1206</v>
          </cell>
          <cell r="AA74">
            <v>1096</v>
          </cell>
          <cell r="AB74">
            <v>1595</v>
          </cell>
          <cell r="AC74">
            <v>1354</v>
          </cell>
          <cell r="AD74">
            <v>1227</v>
          </cell>
        </row>
        <row r="88"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</row>
        <row r="103"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</row>
        <row r="104"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101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</row>
        <row r="107">
          <cell r="K107">
            <v>0</v>
          </cell>
          <cell r="L107">
            <v>0</v>
          </cell>
          <cell r="M107">
            <v>0</v>
          </cell>
          <cell r="N107">
            <v>44</v>
          </cell>
          <cell r="O107">
            <v>89</v>
          </cell>
          <cell r="P107">
            <v>28</v>
          </cell>
          <cell r="Q107">
            <v>112</v>
          </cell>
          <cell r="R107">
            <v>164</v>
          </cell>
          <cell r="S107">
            <v>193</v>
          </cell>
          <cell r="T107">
            <v>274</v>
          </cell>
          <cell r="U107">
            <v>137</v>
          </cell>
          <cell r="V107">
            <v>620</v>
          </cell>
          <cell r="W107">
            <v>513</v>
          </cell>
          <cell r="X107">
            <v>501</v>
          </cell>
          <cell r="Y107">
            <v>627</v>
          </cell>
          <cell r="Z107">
            <v>535</v>
          </cell>
          <cell r="AA107">
            <v>446</v>
          </cell>
          <cell r="AB107">
            <v>892</v>
          </cell>
          <cell r="AC107">
            <v>716</v>
          </cell>
          <cell r="AD107">
            <v>477</v>
          </cell>
        </row>
        <row r="108"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</row>
        <row r="109">
          <cell r="K109">
            <v>0</v>
          </cell>
          <cell r="L109">
            <v>0</v>
          </cell>
          <cell r="M109">
            <v>0</v>
          </cell>
          <cell r="N109">
            <v>120</v>
          </cell>
          <cell r="O109">
            <v>60</v>
          </cell>
          <cell r="P109">
            <v>29</v>
          </cell>
          <cell r="Q109">
            <v>314</v>
          </cell>
          <cell r="R109">
            <v>349</v>
          </cell>
          <cell r="S109">
            <v>170</v>
          </cell>
          <cell r="T109">
            <v>0</v>
          </cell>
          <cell r="U109">
            <v>0</v>
          </cell>
          <cell r="V109">
            <v>218</v>
          </cell>
          <cell r="W109">
            <v>0</v>
          </cell>
          <cell r="X109">
            <v>0</v>
          </cell>
          <cell r="Y109">
            <v>249</v>
          </cell>
          <cell r="Z109">
            <v>269</v>
          </cell>
          <cell r="AA109">
            <v>468</v>
          </cell>
          <cell r="AB109">
            <v>327</v>
          </cell>
          <cell r="AC109">
            <v>349</v>
          </cell>
          <cell r="AD109">
            <v>91</v>
          </cell>
        </row>
        <row r="112"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</row>
        <row r="117"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</row>
        <row r="136"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</row>
        <row r="140">
          <cell r="K140">
            <v>0</v>
          </cell>
          <cell r="L140">
            <v>0</v>
          </cell>
          <cell r="M140">
            <v>0</v>
          </cell>
          <cell r="N140">
            <v>171</v>
          </cell>
          <cell r="O140">
            <v>110</v>
          </cell>
          <cell r="P140">
            <v>0</v>
          </cell>
          <cell r="Q140">
            <v>166</v>
          </cell>
          <cell r="R140">
            <v>201</v>
          </cell>
          <cell r="S140">
            <v>113</v>
          </cell>
          <cell r="T140">
            <v>456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54</v>
          </cell>
          <cell r="AD140">
            <v>297</v>
          </cell>
        </row>
        <row r="141"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</row>
        <row r="147"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</row>
        <row r="148"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</row>
        <row r="151"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</row>
        <row r="156"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150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68</v>
          </cell>
          <cell r="AA156">
            <v>78</v>
          </cell>
          <cell r="AB156">
            <v>132</v>
          </cell>
          <cell r="AC156">
            <v>0</v>
          </cell>
          <cell r="AD156">
            <v>0</v>
          </cell>
        </row>
        <row r="164">
          <cell r="K164">
            <v>0</v>
          </cell>
          <cell r="L164">
            <v>0</v>
          </cell>
          <cell r="M164">
            <v>0</v>
          </cell>
          <cell r="N164">
            <v>256</v>
          </cell>
          <cell r="O164">
            <v>0</v>
          </cell>
          <cell r="P164">
            <v>0</v>
          </cell>
          <cell r="Q164">
            <v>88</v>
          </cell>
          <cell r="R164">
            <v>29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84</v>
          </cell>
          <cell r="Z164">
            <v>0</v>
          </cell>
          <cell r="AA164">
            <v>112</v>
          </cell>
          <cell r="AB164">
            <v>1174</v>
          </cell>
          <cell r="AC164">
            <v>1640</v>
          </cell>
          <cell r="AD164">
            <v>1929</v>
          </cell>
        </row>
        <row r="165"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</row>
        <row r="184"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112</v>
          </cell>
          <cell r="AB184">
            <v>1174</v>
          </cell>
          <cell r="AC184">
            <v>1640</v>
          </cell>
          <cell r="AD184">
            <v>1929</v>
          </cell>
        </row>
        <row r="207"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</row>
        <row r="219">
          <cell r="K219">
            <v>0</v>
          </cell>
          <cell r="L219">
            <v>0</v>
          </cell>
          <cell r="M219">
            <v>0</v>
          </cell>
          <cell r="N219">
            <v>240</v>
          </cell>
          <cell r="O219">
            <v>0</v>
          </cell>
          <cell r="P219">
            <v>0</v>
          </cell>
          <cell r="Q219">
            <v>88</v>
          </cell>
          <cell r="R219">
            <v>29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</row>
        <row r="225"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</row>
        <row r="231">
          <cell r="K231">
            <v>694</v>
          </cell>
          <cell r="L231">
            <v>0</v>
          </cell>
          <cell r="M231">
            <v>607</v>
          </cell>
          <cell r="N231">
            <v>2716</v>
          </cell>
          <cell r="O231">
            <v>4560</v>
          </cell>
          <cell r="P231">
            <v>1499</v>
          </cell>
          <cell r="Q231">
            <v>5000</v>
          </cell>
          <cell r="R231">
            <v>5174</v>
          </cell>
          <cell r="S231">
            <v>11629</v>
          </cell>
          <cell r="T231">
            <v>10486</v>
          </cell>
          <cell r="U231">
            <v>13890</v>
          </cell>
          <cell r="V231">
            <v>26851</v>
          </cell>
          <cell r="W231">
            <v>36555</v>
          </cell>
          <cell r="X231">
            <v>38643</v>
          </cell>
          <cell r="Y231">
            <v>34497</v>
          </cell>
          <cell r="Z231">
            <v>39831</v>
          </cell>
          <cell r="AA231">
            <v>34966</v>
          </cell>
          <cell r="AB231">
            <v>36610</v>
          </cell>
          <cell r="AC231">
            <v>38315</v>
          </cell>
          <cell r="AD231">
            <v>49884</v>
          </cell>
        </row>
        <row r="234"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150</v>
          </cell>
          <cell r="S234">
            <v>75</v>
          </cell>
          <cell r="T234">
            <v>250</v>
          </cell>
          <cell r="U234">
            <v>150</v>
          </cell>
          <cell r="V234">
            <v>100</v>
          </cell>
          <cell r="W234">
            <v>150</v>
          </cell>
          <cell r="X234">
            <v>100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54</v>
          </cell>
          <cell r="AD234">
            <v>0</v>
          </cell>
        </row>
        <row r="241">
          <cell r="K241">
            <v>694</v>
          </cell>
          <cell r="L241">
            <v>0</v>
          </cell>
          <cell r="M241">
            <v>557</v>
          </cell>
          <cell r="N241">
            <v>1941</v>
          </cell>
          <cell r="O241">
            <v>3310</v>
          </cell>
          <cell r="P241">
            <v>850</v>
          </cell>
          <cell r="Q241">
            <v>3300</v>
          </cell>
          <cell r="R241">
            <v>4475</v>
          </cell>
          <cell r="S241">
            <v>11177</v>
          </cell>
          <cell r="T241">
            <v>9816</v>
          </cell>
          <cell r="U241">
            <v>13040</v>
          </cell>
          <cell r="V241">
            <v>24958</v>
          </cell>
          <cell r="W241">
            <v>33066</v>
          </cell>
          <cell r="X241">
            <v>38473</v>
          </cell>
          <cell r="Y241">
            <v>34429</v>
          </cell>
          <cell r="Z241">
            <v>39796</v>
          </cell>
          <cell r="AA241">
            <v>34961</v>
          </cell>
          <cell r="AB241">
            <v>35877</v>
          </cell>
          <cell r="AC241">
            <v>36689</v>
          </cell>
          <cell r="AD241">
            <v>46032</v>
          </cell>
        </row>
        <row r="243"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</row>
        <row r="245"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56</v>
          </cell>
          <cell r="V245">
            <v>357</v>
          </cell>
          <cell r="W245">
            <v>416</v>
          </cell>
          <cell r="X245">
            <v>0</v>
          </cell>
          <cell r="Y245">
            <v>0</v>
          </cell>
          <cell r="Z245">
            <v>1</v>
          </cell>
          <cell r="AA245">
            <v>5</v>
          </cell>
          <cell r="AB245">
            <v>5</v>
          </cell>
          <cell r="AC245">
            <v>5</v>
          </cell>
          <cell r="AD245">
            <v>1571</v>
          </cell>
        </row>
        <row r="246"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</row>
        <row r="248"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</row>
        <row r="250"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</row>
        <row r="266"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</row>
        <row r="274"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13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70</v>
          </cell>
          <cell r="Y274">
            <v>68</v>
          </cell>
          <cell r="Z274">
            <v>34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</row>
        <row r="284"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</row>
        <row r="286"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</row>
        <row r="289">
          <cell r="K289">
            <v>694</v>
          </cell>
          <cell r="L289">
            <v>0</v>
          </cell>
          <cell r="M289">
            <v>607</v>
          </cell>
          <cell r="N289">
            <v>3308</v>
          </cell>
          <cell r="O289">
            <v>4819</v>
          </cell>
          <cell r="P289">
            <v>1556</v>
          </cell>
          <cell r="Q289">
            <v>6037</v>
          </cell>
          <cell r="R289">
            <v>6010</v>
          </cell>
          <cell r="S289">
            <v>12364</v>
          </cell>
          <cell r="T289">
            <v>11300</v>
          </cell>
          <cell r="U289">
            <v>14392</v>
          </cell>
          <cell r="V289">
            <v>29141</v>
          </cell>
          <cell r="W289">
            <v>39200</v>
          </cell>
          <cell r="X289">
            <v>41631</v>
          </cell>
          <cell r="Y289">
            <v>37143</v>
          </cell>
          <cell r="Z289">
            <v>43516</v>
          </cell>
          <cell r="AA289">
            <v>38851</v>
          </cell>
          <cell r="AB289">
            <v>42477</v>
          </cell>
          <cell r="AC289">
            <v>44777</v>
          </cell>
          <cell r="AD289">
            <v>55558</v>
          </cell>
        </row>
      </sheetData>
      <sheetData sheetId="9"/>
      <sheetData sheetId="10">
        <row r="289">
          <cell r="U289">
            <v>76035</v>
          </cell>
          <cell r="V289">
            <v>58492</v>
          </cell>
          <cell r="W289">
            <v>42411</v>
          </cell>
          <cell r="X289">
            <v>64435</v>
          </cell>
          <cell r="Y289">
            <v>63065</v>
          </cell>
          <cell r="Z289">
            <v>62242</v>
          </cell>
          <cell r="AA289">
            <v>63172</v>
          </cell>
          <cell r="AB289">
            <v>67566</v>
          </cell>
          <cell r="AC289">
            <v>56066</v>
          </cell>
          <cell r="AD289">
            <v>83762</v>
          </cell>
          <cell r="AE289">
            <v>35834</v>
          </cell>
          <cell r="AF289"/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</row>
      </sheetData>
      <sheetData sheetId="11"/>
      <sheetData sheetId="12">
        <row r="4">
          <cell r="N4">
            <v>398</v>
          </cell>
          <cell r="O4">
            <v>181</v>
          </cell>
          <cell r="P4">
            <v>110</v>
          </cell>
          <cell r="Q4">
            <v>106</v>
          </cell>
          <cell r="R4">
            <v>327</v>
          </cell>
          <cell r="S4">
            <v>224</v>
          </cell>
          <cell r="T4">
            <v>142</v>
          </cell>
          <cell r="U4">
            <v>14</v>
          </cell>
          <cell r="V4">
            <v>45</v>
          </cell>
          <cell r="W4">
            <v>0</v>
          </cell>
          <cell r="X4">
            <v>0</v>
          </cell>
          <cell r="Y4">
            <v>72</v>
          </cell>
          <cell r="Z4">
            <v>596</v>
          </cell>
          <cell r="AA4">
            <v>1383</v>
          </cell>
          <cell r="AB4">
            <v>282</v>
          </cell>
          <cell r="AC4">
            <v>79</v>
          </cell>
          <cell r="AD4">
            <v>45</v>
          </cell>
          <cell r="AE4">
            <v>26</v>
          </cell>
          <cell r="AF4">
            <v>0</v>
          </cell>
        </row>
        <row r="37"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43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55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</row>
        <row r="59"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8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</row>
        <row r="74">
          <cell r="N74">
            <v>143097</v>
          </cell>
          <cell r="O74">
            <v>160574</v>
          </cell>
          <cell r="P74">
            <v>134778</v>
          </cell>
          <cell r="Q74">
            <v>157980</v>
          </cell>
          <cell r="R74">
            <v>135273</v>
          </cell>
          <cell r="S74">
            <v>141918</v>
          </cell>
          <cell r="T74">
            <v>120104</v>
          </cell>
          <cell r="U74">
            <v>128154</v>
          </cell>
          <cell r="V74">
            <v>122125</v>
          </cell>
          <cell r="W74">
            <v>134352</v>
          </cell>
          <cell r="X74">
            <v>140606</v>
          </cell>
          <cell r="Y74">
            <v>163088</v>
          </cell>
          <cell r="Z74">
            <v>123974</v>
          </cell>
          <cell r="AA74">
            <v>145970</v>
          </cell>
          <cell r="AB74">
            <v>117062</v>
          </cell>
          <cell r="AC74">
            <v>115586</v>
          </cell>
          <cell r="AD74">
            <v>101539</v>
          </cell>
          <cell r="AE74">
            <v>31896</v>
          </cell>
          <cell r="AF74">
            <v>33902</v>
          </cell>
        </row>
        <row r="88">
          <cell r="N88">
            <v>99548</v>
          </cell>
          <cell r="O88">
            <v>116521</v>
          </cell>
          <cell r="P88">
            <v>95738</v>
          </cell>
          <cell r="Q88">
            <v>122580</v>
          </cell>
          <cell r="R88">
            <v>103899</v>
          </cell>
          <cell r="S88">
            <v>106189</v>
          </cell>
          <cell r="T88">
            <v>71105</v>
          </cell>
          <cell r="U88">
            <v>80115</v>
          </cell>
          <cell r="V88">
            <v>43390</v>
          </cell>
          <cell r="W88">
            <v>73732</v>
          </cell>
          <cell r="X88">
            <v>85471</v>
          </cell>
          <cell r="Y88">
            <v>40195</v>
          </cell>
          <cell r="Z88">
            <v>29446</v>
          </cell>
          <cell r="AA88">
            <v>62759</v>
          </cell>
          <cell r="AB88">
            <v>47912</v>
          </cell>
          <cell r="AC88">
            <v>20494</v>
          </cell>
          <cell r="AD88">
            <v>19417</v>
          </cell>
          <cell r="AE88">
            <v>111</v>
          </cell>
          <cell r="AF88">
            <v>150</v>
          </cell>
        </row>
        <row r="103">
          <cell r="N103">
            <v>181</v>
          </cell>
          <cell r="O103">
            <v>305</v>
          </cell>
          <cell r="P103">
            <v>168</v>
          </cell>
          <cell r="Q103">
            <v>216</v>
          </cell>
          <cell r="R103">
            <v>0</v>
          </cell>
          <cell r="S103">
            <v>12</v>
          </cell>
          <cell r="T103">
            <v>53</v>
          </cell>
          <cell r="U103">
            <v>74</v>
          </cell>
          <cell r="V103">
            <v>77</v>
          </cell>
          <cell r="W103">
            <v>40</v>
          </cell>
          <cell r="X103">
            <v>153</v>
          </cell>
          <cell r="Y103">
            <v>4</v>
          </cell>
          <cell r="Z103">
            <v>21</v>
          </cell>
          <cell r="AA103">
            <v>17</v>
          </cell>
          <cell r="AB103">
            <v>550</v>
          </cell>
          <cell r="AC103">
            <v>116</v>
          </cell>
          <cell r="AD103">
            <v>651</v>
          </cell>
          <cell r="AE103">
            <v>249</v>
          </cell>
          <cell r="AF103"/>
        </row>
        <row r="104"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/>
          <cell r="AF104"/>
        </row>
        <row r="107"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/>
          <cell r="AF107"/>
        </row>
        <row r="108">
          <cell r="N108">
            <v>0</v>
          </cell>
          <cell r="O108">
            <v>4</v>
          </cell>
          <cell r="P108">
            <v>7</v>
          </cell>
          <cell r="Q108">
            <v>57</v>
          </cell>
          <cell r="R108">
            <v>29</v>
          </cell>
          <cell r="S108">
            <v>24</v>
          </cell>
          <cell r="T108">
            <v>12</v>
          </cell>
          <cell r="U108">
            <v>16</v>
          </cell>
          <cell r="V108">
            <v>27</v>
          </cell>
          <cell r="W108">
            <v>52</v>
          </cell>
          <cell r="X108">
            <v>25</v>
          </cell>
          <cell r="Y108">
            <v>57</v>
          </cell>
          <cell r="Z108">
            <v>8</v>
          </cell>
          <cell r="AA108">
            <v>26</v>
          </cell>
          <cell r="AB108">
            <v>26</v>
          </cell>
          <cell r="AC108">
            <v>34</v>
          </cell>
          <cell r="AD108">
            <v>11</v>
          </cell>
          <cell r="AE108">
            <v>0</v>
          </cell>
          <cell r="AF108"/>
        </row>
        <row r="109">
          <cell r="N109">
            <v>32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/>
          <cell r="AF109"/>
        </row>
        <row r="112">
          <cell r="N112">
            <v>1378</v>
          </cell>
          <cell r="O112">
            <v>4768</v>
          </cell>
          <cell r="P112">
            <v>5083</v>
          </cell>
          <cell r="Q112">
            <v>3981</v>
          </cell>
          <cell r="R112">
            <v>3855</v>
          </cell>
          <cell r="S112">
            <v>2000</v>
          </cell>
          <cell r="T112">
            <v>1500</v>
          </cell>
          <cell r="U112">
            <v>3558</v>
          </cell>
          <cell r="V112">
            <v>0</v>
          </cell>
          <cell r="W112">
            <v>21</v>
          </cell>
          <cell r="X112">
            <v>105</v>
          </cell>
          <cell r="Y112">
            <v>0</v>
          </cell>
          <cell r="Z112">
            <v>0</v>
          </cell>
          <cell r="AA112">
            <v>1535</v>
          </cell>
          <cell r="AB112">
            <v>418</v>
          </cell>
          <cell r="AC112">
            <v>0</v>
          </cell>
          <cell r="AD112">
            <v>0</v>
          </cell>
          <cell r="AE112">
            <v>0</v>
          </cell>
          <cell r="AF112"/>
        </row>
        <row r="117">
          <cell r="N117">
            <v>167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117</v>
          </cell>
          <cell r="T117">
            <v>328</v>
          </cell>
          <cell r="U117">
            <v>993</v>
          </cell>
          <cell r="V117">
            <v>1062</v>
          </cell>
          <cell r="W117">
            <v>1112</v>
          </cell>
          <cell r="X117">
            <v>872</v>
          </cell>
          <cell r="Y117">
            <v>784</v>
          </cell>
          <cell r="Z117">
            <v>691</v>
          </cell>
          <cell r="AA117">
            <v>788</v>
          </cell>
          <cell r="AB117">
            <v>1262</v>
          </cell>
          <cell r="AC117">
            <v>1435</v>
          </cell>
          <cell r="AD117">
            <v>1323</v>
          </cell>
          <cell r="AE117">
            <v>1554</v>
          </cell>
          <cell r="AF117">
            <v>1750</v>
          </cell>
        </row>
        <row r="136">
          <cell r="N136">
            <v>1716</v>
          </cell>
          <cell r="O136">
            <v>2917</v>
          </cell>
          <cell r="P136">
            <v>4108</v>
          </cell>
          <cell r="Q136">
            <v>3349</v>
          </cell>
          <cell r="R136">
            <v>2994</v>
          </cell>
          <cell r="S136">
            <v>4690</v>
          </cell>
          <cell r="T136">
            <v>4443</v>
          </cell>
          <cell r="U136">
            <v>2932</v>
          </cell>
          <cell r="V136">
            <v>1389</v>
          </cell>
          <cell r="W136">
            <v>1194</v>
          </cell>
          <cell r="X136">
            <v>2118</v>
          </cell>
          <cell r="Y136">
            <v>2441</v>
          </cell>
          <cell r="Z136">
            <v>1175</v>
          </cell>
          <cell r="AA136">
            <v>2336</v>
          </cell>
          <cell r="AB136">
            <v>2555</v>
          </cell>
          <cell r="AC136">
            <v>1211</v>
          </cell>
          <cell r="AD136">
            <v>1043</v>
          </cell>
          <cell r="AE136">
            <v>987</v>
          </cell>
          <cell r="AF136">
            <v>1200</v>
          </cell>
        </row>
        <row r="140"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50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/>
          <cell r="AF140"/>
        </row>
        <row r="141">
          <cell r="N141">
            <v>3</v>
          </cell>
          <cell r="O141">
            <v>7</v>
          </cell>
          <cell r="P141">
            <v>0</v>
          </cell>
          <cell r="Q141">
            <v>0</v>
          </cell>
          <cell r="R141">
            <v>0</v>
          </cell>
          <cell r="S141">
            <v>7</v>
          </cell>
          <cell r="T141">
            <v>23694</v>
          </cell>
          <cell r="U141">
            <v>26607</v>
          </cell>
          <cell r="V141">
            <v>66353</v>
          </cell>
          <cell r="W141">
            <v>48034</v>
          </cell>
          <cell r="X141">
            <v>44873</v>
          </cell>
          <cell r="Y141">
            <v>109713</v>
          </cell>
          <cell r="Z141">
            <v>84859</v>
          </cell>
          <cell r="AA141">
            <v>73835</v>
          </cell>
          <cell r="AB141">
            <v>61431</v>
          </cell>
          <cell r="AC141">
            <v>89239</v>
          </cell>
          <cell r="AD141">
            <v>76825</v>
          </cell>
          <cell r="AE141">
            <v>28077</v>
          </cell>
          <cell r="AF141">
            <v>30000</v>
          </cell>
        </row>
        <row r="147">
          <cell r="N147">
            <v>22890</v>
          </cell>
          <cell r="O147">
            <v>16674</v>
          </cell>
          <cell r="P147">
            <v>12465</v>
          </cell>
          <cell r="Q147">
            <v>12611</v>
          </cell>
          <cell r="R147">
            <v>5540</v>
          </cell>
          <cell r="S147">
            <v>12223</v>
          </cell>
          <cell r="T147">
            <v>2267</v>
          </cell>
          <cell r="U147">
            <v>0</v>
          </cell>
          <cell r="V147">
            <v>425</v>
          </cell>
          <cell r="W147">
            <v>43</v>
          </cell>
          <cell r="X147">
            <v>0</v>
          </cell>
          <cell r="Y147">
            <v>0</v>
          </cell>
          <cell r="Z147">
            <v>0</v>
          </cell>
          <cell r="AA147">
            <v>133</v>
          </cell>
          <cell r="AB147">
            <v>178</v>
          </cell>
          <cell r="AC147">
            <v>49</v>
          </cell>
          <cell r="AD147">
            <v>131</v>
          </cell>
          <cell r="AE147">
            <v>118</v>
          </cell>
          <cell r="AF147"/>
        </row>
        <row r="148">
          <cell r="N148">
            <v>719</v>
          </cell>
          <cell r="O148">
            <v>1067</v>
          </cell>
          <cell r="P148">
            <v>1399</v>
          </cell>
          <cell r="Q148">
            <v>1436</v>
          </cell>
          <cell r="R148">
            <v>675</v>
          </cell>
          <cell r="S148">
            <v>1388</v>
          </cell>
          <cell r="T148">
            <v>1598</v>
          </cell>
          <cell r="U148">
            <v>797</v>
          </cell>
          <cell r="V148">
            <v>600</v>
          </cell>
          <cell r="W148">
            <v>629</v>
          </cell>
          <cell r="X148">
            <v>720</v>
          </cell>
          <cell r="Y148">
            <v>520</v>
          </cell>
          <cell r="Z148">
            <v>414</v>
          </cell>
          <cell r="AA148">
            <v>396</v>
          </cell>
          <cell r="AB148">
            <v>478</v>
          </cell>
          <cell r="AC148">
            <v>373</v>
          </cell>
          <cell r="AD148">
            <v>230</v>
          </cell>
          <cell r="AE148">
            <v>43</v>
          </cell>
          <cell r="AF148"/>
        </row>
        <row r="151"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63</v>
          </cell>
          <cell r="U151">
            <v>0</v>
          </cell>
          <cell r="V151">
            <v>0</v>
          </cell>
          <cell r="W151">
            <v>0</v>
          </cell>
          <cell r="X151">
            <v>26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/>
          <cell r="AF151"/>
        </row>
        <row r="156">
          <cell r="N156">
            <v>0</v>
          </cell>
          <cell r="O156">
            <v>74</v>
          </cell>
          <cell r="P156">
            <v>41</v>
          </cell>
          <cell r="Q156">
            <v>19</v>
          </cell>
          <cell r="R156">
            <v>52</v>
          </cell>
          <cell r="S156">
            <v>0</v>
          </cell>
          <cell r="T156">
            <v>126</v>
          </cell>
          <cell r="U156">
            <v>0</v>
          </cell>
          <cell r="V156">
            <v>32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33</v>
          </cell>
          <cell r="AB156">
            <v>67</v>
          </cell>
          <cell r="AC156">
            <v>275</v>
          </cell>
          <cell r="AD156">
            <v>470</v>
          </cell>
          <cell r="AE156">
            <v>0</v>
          </cell>
          <cell r="AF156"/>
        </row>
        <row r="164">
          <cell r="N164">
            <v>1550</v>
          </cell>
          <cell r="O164">
            <v>4182</v>
          </cell>
          <cell r="P164">
            <v>1781</v>
          </cell>
          <cell r="Q164">
            <v>1554</v>
          </cell>
          <cell r="R164">
            <v>882</v>
          </cell>
          <cell r="S164">
            <v>1826</v>
          </cell>
          <cell r="T164">
            <v>287</v>
          </cell>
          <cell r="U164">
            <v>390</v>
          </cell>
          <cell r="V164">
            <v>258</v>
          </cell>
          <cell r="W164">
            <v>0</v>
          </cell>
          <cell r="X164">
            <v>0</v>
          </cell>
          <cell r="Y164">
            <v>124</v>
          </cell>
          <cell r="Z164">
            <v>196</v>
          </cell>
          <cell r="AA164">
            <v>171</v>
          </cell>
          <cell r="AB164">
            <v>0</v>
          </cell>
          <cell r="AC164">
            <v>23</v>
          </cell>
          <cell r="AD164">
            <v>207</v>
          </cell>
          <cell r="AE164">
            <v>41</v>
          </cell>
          <cell r="AF164">
            <v>0</v>
          </cell>
        </row>
        <row r="165"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/>
          <cell r="AF165"/>
        </row>
        <row r="184"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69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23</v>
          </cell>
          <cell r="AD184">
            <v>98</v>
          </cell>
          <cell r="AE184">
            <v>0</v>
          </cell>
          <cell r="AF184"/>
        </row>
        <row r="207"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/>
          <cell r="AF207"/>
        </row>
        <row r="219">
          <cell r="N219">
            <v>309</v>
          </cell>
          <cell r="O219">
            <v>556</v>
          </cell>
          <cell r="P219">
            <v>247</v>
          </cell>
          <cell r="Q219">
            <v>212</v>
          </cell>
          <cell r="R219">
            <v>412</v>
          </cell>
          <cell r="S219">
            <v>86</v>
          </cell>
          <cell r="T219">
            <v>65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124</v>
          </cell>
          <cell r="Z219">
            <v>73</v>
          </cell>
          <cell r="AA219">
            <v>26</v>
          </cell>
          <cell r="AB219">
            <v>0</v>
          </cell>
          <cell r="AC219">
            <v>0</v>
          </cell>
          <cell r="AD219">
            <v>26</v>
          </cell>
          <cell r="AE219">
            <v>0</v>
          </cell>
          <cell r="AF219"/>
        </row>
        <row r="225"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/>
          <cell r="AF225"/>
        </row>
        <row r="231">
          <cell r="N231">
            <v>264</v>
          </cell>
          <cell r="O231">
            <v>122</v>
          </cell>
          <cell r="P231">
            <v>77</v>
          </cell>
          <cell r="Q231">
            <v>151</v>
          </cell>
          <cell r="R231">
            <v>155</v>
          </cell>
          <cell r="S231">
            <v>236</v>
          </cell>
          <cell r="T231">
            <v>278</v>
          </cell>
          <cell r="U231">
            <v>35</v>
          </cell>
          <cell r="V231">
            <v>70</v>
          </cell>
          <cell r="W231">
            <v>17</v>
          </cell>
          <cell r="X231">
            <v>1</v>
          </cell>
          <cell r="Y231">
            <v>0</v>
          </cell>
          <cell r="Z231">
            <v>0</v>
          </cell>
          <cell r="AA231">
            <v>7</v>
          </cell>
          <cell r="AB231">
            <v>13</v>
          </cell>
          <cell r="AC231">
            <v>22</v>
          </cell>
          <cell r="AD231">
            <v>48975</v>
          </cell>
          <cell r="AE231">
            <v>85578</v>
          </cell>
          <cell r="AF231">
            <v>117962.7984397634</v>
          </cell>
        </row>
        <row r="234"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/>
          <cell r="AF234"/>
        </row>
        <row r="241"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/>
          <cell r="AF241"/>
        </row>
        <row r="243">
          <cell r="N243">
            <v>52</v>
          </cell>
          <cell r="O243">
            <v>17</v>
          </cell>
          <cell r="P243">
            <v>42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2</v>
          </cell>
          <cell r="AC243">
            <v>15</v>
          </cell>
          <cell r="AD243">
            <v>6</v>
          </cell>
          <cell r="AE243">
            <v>7</v>
          </cell>
          <cell r="AF243">
            <v>75</v>
          </cell>
        </row>
        <row r="245"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/>
          <cell r="AF245"/>
        </row>
        <row r="246"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/>
          <cell r="AF246"/>
        </row>
        <row r="248"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/>
          <cell r="AF248"/>
        </row>
        <row r="250"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/>
          <cell r="AF250"/>
        </row>
        <row r="266"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/>
          <cell r="AF266"/>
        </row>
        <row r="274"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/>
          <cell r="AF274"/>
        </row>
        <row r="284"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14</v>
          </cell>
          <cell r="S284">
            <v>0</v>
          </cell>
          <cell r="T284">
            <v>15</v>
          </cell>
          <cell r="U284">
            <v>0</v>
          </cell>
          <cell r="V284">
            <v>0</v>
          </cell>
          <cell r="W284">
            <v>0</v>
          </cell>
          <cell r="X284">
            <v>1</v>
          </cell>
          <cell r="Y284">
            <v>0</v>
          </cell>
          <cell r="Z284">
            <v>0</v>
          </cell>
          <cell r="AA284">
            <v>7</v>
          </cell>
          <cell r="AB284">
            <v>11</v>
          </cell>
          <cell r="AC284">
            <v>7</v>
          </cell>
          <cell r="AD284">
            <v>48969</v>
          </cell>
          <cell r="AE284">
            <v>85571</v>
          </cell>
          <cell r="AF284">
            <v>117887.7984397634</v>
          </cell>
        </row>
        <row r="286"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/>
          <cell r="AF286"/>
        </row>
        <row r="289">
          <cell r="K289">
            <v>115185</v>
          </cell>
          <cell r="L289">
            <v>137665</v>
          </cell>
          <cell r="M289">
            <v>145189</v>
          </cell>
          <cell r="N289">
            <v>145309</v>
          </cell>
          <cell r="O289">
            <v>165059</v>
          </cell>
          <cell r="P289">
            <v>136746</v>
          </cell>
          <cell r="Q289">
            <v>159791</v>
          </cell>
          <cell r="R289">
            <v>136637</v>
          </cell>
          <cell r="S289">
            <v>144247</v>
          </cell>
          <cell r="T289">
            <v>120811</v>
          </cell>
          <cell r="U289">
            <v>128593</v>
          </cell>
          <cell r="V289">
            <v>122498</v>
          </cell>
          <cell r="W289">
            <v>134377</v>
          </cell>
          <cell r="X289">
            <v>140607</v>
          </cell>
          <cell r="Y289">
            <v>163284</v>
          </cell>
          <cell r="Z289">
            <v>124766</v>
          </cell>
          <cell r="AA289">
            <v>147531</v>
          </cell>
        </row>
        <row r="290">
          <cell r="N290">
            <v>145309</v>
          </cell>
          <cell r="O290">
            <v>165059</v>
          </cell>
          <cell r="P290">
            <v>136746</v>
          </cell>
          <cell r="Q290">
            <v>159791</v>
          </cell>
          <cell r="R290">
            <v>136637</v>
          </cell>
          <cell r="S290">
            <v>144247</v>
          </cell>
          <cell r="T290">
            <v>120811</v>
          </cell>
          <cell r="U290">
            <v>128593</v>
          </cell>
          <cell r="V290">
            <v>122498</v>
          </cell>
          <cell r="W290">
            <v>134377</v>
          </cell>
          <cell r="X290">
            <v>140607</v>
          </cell>
          <cell r="Y290">
            <v>163284</v>
          </cell>
          <cell r="Z290">
            <v>123895</v>
          </cell>
          <cell r="AA290">
            <v>147668</v>
          </cell>
          <cell r="AB290">
            <v>116716</v>
          </cell>
          <cell r="AC290">
            <v>115560</v>
          </cell>
          <cell r="AD290">
            <v>149906</v>
          </cell>
          <cell r="AE290">
            <v>117494</v>
          </cell>
          <cell r="AF290">
            <v>151864.7984397634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xico Choice White Grease "/>
      <sheetName val="Mexico Used Cooking Oil"/>
      <sheetName val="Mexico Yellow Grease"/>
      <sheetName val="Mexico Poultry Fat "/>
      <sheetName val="Mexico Inedible Tallow"/>
      <sheetName val="Canada Inedible Tallow"/>
      <sheetName val="Canada Used Cooking Oil"/>
      <sheetName val="Canada Yellow Grease"/>
      <sheetName val="Canada DCO"/>
      <sheetName val="Canada Choice White Grease"/>
      <sheetName val="Canada Poultry Fat"/>
    </sheetNames>
    <sheetDataSet>
      <sheetData sheetId="0"/>
      <sheetData sheetId="1"/>
      <sheetData sheetId="2"/>
      <sheetData sheetId="3"/>
      <sheetData sheetId="4"/>
      <sheetData sheetId="5">
        <row r="21">
          <cell r="H21">
            <v>15.795833908125259</v>
          </cell>
          <cell r="I21">
            <v>16.124845707625887</v>
          </cell>
          <cell r="J21">
            <v>15.682181136120045</v>
          </cell>
          <cell r="K21">
            <v>17.107073424752645</v>
          </cell>
          <cell r="L21">
            <v>18.033618761930736</v>
          </cell>
          <cell r="M21">
            <v>17.672937732836616</v>
          </cell>
          <cell r="N21">
            <v>17.370639136864014</v>
          </cell>
          <cell r="O21">
            <v>17.586200397864097</v>
          </cell>
          <cell r="P21">
            <v>18.233529472488897</v>
          </cell>
          <cell r="Q21">
            <v>20.311869139184491</v>
          </cell>
          <cell r="R21">
            <v>19.201713706917793</v>
          </cell>
          <cell r="S21">
            <v>19.577269260106792</v>
          </cell>
          <cell r="T21">
            <v>19.975433145153772</v>
          </cell>
          <cell r="U21">
            <v>19.01112410315978</v>
          </cell>
          <cell r="V21">
            <v>20.956098215540568</v>
          </cell>
          <cell r="W21">
            <v>24.335798302284605</v>
          </cell>
          <cell r="X21">
            <v>24.881816949519905</v>
          </cell>
          <cell r="Y21">
            <v>18.995815262868192</v>
          </cell>
          <cell r="Z21">
            <v>19.853656903794789</v>
          </cell>
          <cell r="AA21">
            <v>24.388847910416384</v>
          </cell>
          <cell r="AB21">
            <v>24.004692551373598</v>
          </cell>
          <cell r="AC21">
            <v>26.033348064437799</v>
          </cell>
          <cell r="AD21">
            <v>25.030258475951328</v>
          </cell>
          <cell r="AE21">
            <v>27.826762612312038</v>
          </cell>
          <cell r="AF21">
            <v>25.605374572679796</v>
          </cell>
          <cell r="AG21">
            <v>31.244716873483863</v>
          </cell>
          <cell r="AH21">
            <v>29.706853858239345</v>
          </cell>
          <cell r="AI21">
            <v>20.639369119249626</v>
          </cell>
          <cell r="AJ21">
            <v>21.046618673434832</v>
          </cell>
          <cell r="AK21">
            <v>20.075451144005861</v>
          </cell>
          <cell r="AL21">
            <v>19.717086563495336</v>
          </cell>
          <cell r="AM21">
            <v>20.606239698657376</v>
          </cell>
          <cell r="AN21">
            <v>22.801428736577169</v>
          </cell>
          <cell r="AO21">
            <v>23.205196377649067</v>
          </cell>
          <cell r="AP21">
            <v>24.117998627300125</v>
          </cell>
          <cell r="AQ21">
            <v>23.180384471448487</v>
          </cell>
          <cell r="AR21">
            <v>23.387896309614824</v>
          </cell>
          <cell r="AS21">
            <v>24.157881934553473</v>
          </cell>
          <cell r="AT21">
            <v>25.067497608301402</v>
          </cell>
          <cell r="AU21">
            <v>25.969130268121351</v>
          </cell>
          <cell r="AV21">
            <v>26.0273995233614</v>
          </cell>
          <cell r="AW21">
            <v>25.363335381763363</v>
          </cell>
          <cell r="AX21">
            <v>26.82042826061662</v>
          </cell>
          <cell r="AY21">
            <v>26.843674294470929</v>
          </cell>
          <cell r="AZ21">
            <v>26.855855083740785</v>
          </cell>
          <cell r="BA21">
            <v>27.013415434414334</v>
          </cell>
          <cell r="BB21">
            <v>26.993869092300812</v>
          </cell>
          <cell r="BC21">
            <v>27.06316996513748</v>
          </cell>
          <cell r="BD21">
            <v>27.152504570141325</v>
          </cell>
          <cell r="BE21">
            <v>27.256825099976911</v>
          </cell>
          <cell r="BF21">
            <v>27.356842089173895</v>
          </cell>
          <cell r="BG21">
            <v>27.44848818088461</v>
          </cell>
          <cell r="BH21">
            <v>27.336439074556921</v>
          </cell>
        </row>
        <row r="22">
          <cell r="H22">
            <v>15.499931024968962</v>
          </cell>
          <cell r="I22">
            <v>15.647344581887532</v>
          </cell>
          <cell r="J22">
            <v>16.641988210075031</v>
          </cell>
          <cell r="K22">
            <v>15.694456980848228</v>
          </cell>
          <cell r="L22">
            <v>17.017562039814567</v>
          </cell>
          <cell r="M22">
            <v>15.674409260244811</v>
          </cell>
          <cell r="N22">
            <v>17.237241908100113</v>
          </cell>
          <cell r="O22">
            <v>16.831452203957703</v>
          </cell>
          <cell r="P22">
            <v>16.418168679673787</v>
          </cell>
          <cell r="Q22">
            <v>18.676414497945419</v>
          </cell>
          <cell r="R22">
            <v>18.981149223904296</v>
          </cell>
          <cell r="S22">
            <v>18.955987795575901</v>
          </cell>
          <cell r="T22">
            <v>18.424860730988478</v>
          </cell>
          <cell r="U22">
            <v>18.761722647631135</v>
          </cell>
          <cell r="V22">
            <v>21.028983579811854</v>
          </cell>
          <cell r="W22">
            <v>18.484374849866558</v>
          </cell>
          <cell r="X22">
            <v>18.935348973189864</v>
          </cell>
          <cell r="Y22">
            <v>16.762066353656756</v>
          </cell>
          <cell r="Z22">
            <v>20.15777581098375</v>
          </cell>
          <cell r="AA22">
            <v>26.979515556198585</v>
          </cell>
          <cell r="AB22">
            <v>26.273094627330792</v>
          </cell>
          <cell r="AC22">
            <v>27.067781436812396</v>
          </cell>
          <cell r="AD22">
            <v>27.581349586006329</v>
          </cell>
          <cell r="AE22">
            <v>30.007107294753713</v>
          </cell>
          <cell r="AF22">
            <v>28.930954988549811</v>
          </cell>
          <cell r="AG22">
            <v>34.82324312554136</v>
          </cell>
          <cell r="AH22">
            <v>33.325740504134224</v>
          </cell>
          <cell r="AI22">
            <v>20.758550858817092</v>
          </cell>
          <cell r="AJ22">
            <v>23.408944981712043</v>
          </cell>
          <cell r="AK22">
            <v>21.918631811971053</v>
          </cell>
          <cell r="AL22">
            <v>21.7045170523207</v>
          </cell>
          <cell r="AM22">
            <v>22.265383500419443</v>
          </cell>
          <cell r="AN22">
            <v>24.886476592890165</v>
          </cell>
          <cell r="AO22">
            <v>25.029638807032768</v>
          </cell>
          <cell r="AP22">
            <v>26.386373405484896</v>
          </cell>
          <cell r="AQ22">
            <v>25.277646378355051</v>
          </cell>
          <cell r="AR22">
            <v>25.495228664665071</v>
          </cell>
          <cell r="AS22">
            <v>26.282922060537281</v>
          </cell>
          <cell r="AT22">
            <v>27.302658705073217</v>
          </cell>
          <cell r="AU22">
            <v>28.262626411549121</v>
          </cell>
          <cell r="AV22">
            <v>28.385030890268258</v>
          </cell>
          <cell r="AW22">
            <v>27.625856799408165</v>
          </cell>
          <cell r="AX22">
            <v>29.213083263804748</v>
          </cell>
          <cell r="AY22">
            <v>29.234598713739938</v>
          </cell>
          <cell r="AZ22">
            <v>29.25434405996684</v>
          </cell>
          <cell r="BA22">
            <v>29.427118215333394</v>
          </cell>
          <cell r="BB22">
            <v>29.409341043252503</v>
          </cell>
          <cell r="BC22">
            <v>29.477826983069225</v>
          </cell>
          <cell r="BD22">
            <v>29.576684362605096</v>
          </cell>
          <cell r="BE22">
            <v>29.690423543384608</v>
          </cell>
          <cell r="BF22">
            <v>29.800512523290447</v>
          </cell>
          <cell r="BG22">
            <v>29.900297067886935</v>
          </cell>
          <cell r="BH22">
            <v>29.777994925912257</v>
          </cell>
        </row>
        <row r="23">
          <cell r="H23">
            <v>17.070906331907846</v>
          </cell>
          <cell r="I23">
            <v>17.226771382406696</v>
          </cell>
          <cell r="J23">
            <v>17.276527331189712</v>
          </cell>
          <cell r="K23">
            <v>16.063466990684486</v>
          </cell>
          <cell r="L23">
            <v>16.01816198527407</v>
          </cell>
          <cell r="M23">
            <v>16.764515699840342</v>
          </cell>
          <cell r="N23">
            <v>19.464395640506055</v>
          </cell>
          <cell r="O23">
            <v>18.567940529787453</v>
          </cell>
          <cell r="P23">
            <v>19.55223495406214</v>
          </cell>
          <cell r="Q23">
            <v>19.661268570224422</v>
          </cell>
          <cell r="R23">
            <v>19.44118371704673</v>
          </cell>
          <cell r="S23">
            <v>20.357322654462244</v>
          </cell>
          <cell r="T23">
            <v>21.542296518386486</v>
          </cell>
          <cell r="U23">
            <v>21.2708437231544</v>
          </cell>
          <cell r="V23">
            <v>22.293565771001525</v>
          </cell>
          <cell r="W23">
            <v>20.222651757213001</v>
          </cell>
          <cell r="X23">
            <v>20.320327758768293</v>
          </cell>
          <cell r="Y23">
            <v>18.307211627248879</v>
          </cell>
          <cell r="Z23">
            <v>20.592723229189847</v>
          </cell>
          <cell r="AA23">
            <v>25.972936008975825</v>
          </cell>
          <cell r="AB23">
            <v>27.826122646409303</v>
          </cell>
          <cell r="AC23">
            <v>27.262366566005543</v>
          </cell>
          <cell r="AD23">
            <v>28.503030838671648</v>
          </cell>
          <cell r="AE23">
            <v>37.744480523653401</v>
          </cell>
          <cell r="AF23">
            <v>30.506137806428715</v>
          </cell>
          <cell r="AG23">
            <v>33.701408815725934</v>
          </cell>
          <cell r="AH23">
            <v>34.167898558042687</v>
          </cell>
          <cell r="AI23">
            <v>21.082611177850289</v>
          </cell>
          <cell r="AJ23">
            <v>24.870024747741031</v>
          </cell>
          <cell r="AK23">
            <v>23.335160190459881</v>
          </cell>
          <cell r="AL23">
            <v>22.070239032599623</v>
          </cell>
          <cell r="AM23">
            <v>22.62958794230283</v>
          </cell>
          <cell r="AN23">
            <v>25.207779665381956</v>
          </cell>
          <cell r="AO23">
            <v>25.878836082747803</v>
          </cell>
          <cell r="AP23">
            <v>27.326091696656722</v>
          </cell>
          <cell r="AQ23">
            <v>25.95263829813333</v>
          </cell>
          <cell r="AR23">
            <v>26.105809227447775</v>
          </cell>
          <cell r="AS23">
            <v>26.957735955817181</v>
          </cell>
          <cell r="AT23">
            <v>27.994013098255447</v>
          </cell>
          <cell r="AU23">
            <v>29.070264515747677</v>
          </cell>
          <cell r="AV23">
            <v>29.144704929430606</v>
          </cell>
          <cell r="AW23">
            <v>28.346342476409063</v>
          </cell>
          <cell r="AX23">
            <v>29.977142917805363</v>
          </cell>
          <cell r="AY23">
            <v>30.006931091354911</v>
          </cell>
          <cell r="AZ23">
            <v>30.031473158372055</v>
          </cell>
          <cell r="BA23">
            <v>30.215443832601661</v>
          </cell>
          <cell r="BB23">
            <v>30.185973374340882</v>
          </cell>
          <cell r="BC23">
            <v>30.256797866737479</v>
          </cell>
          <cell r="BD23">
            <v>30.359637647758106</v>
          </cell>
          <cell r="BE23">
            <v>30.477963269007052</v>
          </cell>
          <cell r="BF23">
            <v>30.591592346410305</v>
          </cell>
          <cell r="BG23">
            <v>30.693507075781643</v>
          </cell>
          <cell r="BH23">
            <v>30.566538197733017</v>
          </cell>
        </row>
        <row r="24">
          <cell r="H24">
            <v>16.640502138225962</v>
          </cell>
          <cell r="I24">
            <v>16.917182740444467</v>
          </cell>
          <cell r="J24">
            <v>14.210476956055738</v>
          </cell>
          <cell r="K24">
            <v>14.800760863276047</v>
          </cell>
          <cell r="L24">
            <v>16.556727570220893</v>
          </cell>
          <cell r="M24">
            <v>16.714965407131455</v>
          </cell>
          <cell r="N24">
            <v>17.011046607152636</v>
          </cell>
          <cell r="O24">
            <v>16.905224583813212</v>
          </cell>
          <cell r="P24">
            <v>16.949076081346128</v>
          </cell>
          <cell r="Q24">
            <v>17.954188178274155</v>
          </cell>
          <cell r="R24">
            <v>19.655446357688412</v>
          </cell>
          <cell r="S24">
            <v>19.749847444698709</v>
          </cell>
          <cell r="T24">
            <v>19.153153925931658</v>
          </cell>
          <cell r="U24">
            <v>18.820134525880128</v>
          </cell>
          <cell r="V24">
            <v>18.495664569319633</v>
          </cell>
          <cell r="W24">
            <v>21.354609967961881</v>
          </cell>
          <cell r="X24">
            <v>22.382086808131547</v>
          </cell>
          <cell r="Y24">
            <v>18.077940879499849</v>
          </cell>
          <cell r="Z24">
            <v>19.755822425161362</v>
          </cell>
          <cell r="AA24">
            <v>23.401257380902326</v>
          </cell>
          <cell r="AB24">
            <v>24.814847772390092</v>
          </cell>
          <cell r="AC24">
            <v>24.873627186027242</v>
          </cell>
          <cell r="AD24">
            <v>19.211288318576536</v>
          </cell>
          <cell r="AE24">
            <v>37.968897395335183</v>
          </cell>
          <cell r="AF24">
            <v>28.557772787622692</v>
          </cell>
          <cell r="AG24">
            <v>29.506480705409182</v>
          </cell>
          <cell r="AH24">
            <v>29.966238154427739</v>
          </cell>
          <cell r="AI24">
            <v>20.915753338356236</v>
          </cell>
          <cell r="AJ24">
            <v>21.699296827828949</v>
          </cell>
          <cell r="AK24">
            <v>21.840695995108653</v>
          </cell>
          <cell r="AL24">
            <v>20.148014593800486</v>
          </cell>
          <cell r="AM24">
            <v>20.917383868294017</v>
          </cell>
          <cell r="AN24">
            <v>23.600592912458811</v>
          </cell>
          <cell r="AO24">
            <v>23.956982276205064</v>
          </cell>
          <cell r="AP24">
            <v>24.915361564039856</v>
          </cell>
          <cell r="AQ24">
            <v>24.000341792652648</v>
          </cell>
          <cell r="AR24">
            <v>24.060747908110322</v>
          </cell>
          <cell r="AS24">
            <v>24.927603668846466</v>
          </cell>
          <cell r="AT24">
            <v>25.880774811604553</v>
          </cell>
          <cell r="AU24">
            <v>26.793097945914827</v>
          </cell>
          <cell r="AV24">
            <v>26.850344510535994</v>
          </cell>
          <cell r="AW24">
            <v>26.1769314480877</v>
          </cell>
          <cell r="AX24">
            <v>27.663838722005032</v>
          </cell>
          <cell r="AY24">
            <v>27.701506104316053</v>
          </cell>
          <cell r="AZ24">
            <v>27.711047345969689</v>
          </cell>
          <cell r="BA24">
            <v>27.87220387843476</v>
          </cell>
          <cell r="BB24">
            <v>27.852502820982671</v>
          </cell>
          <cell r="BC24">
            <v>27.925311786017268</v>
          </cell>
          <cell r="BD24">
            <v>28.015089219411944</v>
          </cell>
          <cell r="BE24">
            <v>28.124847872951221</v>
          </cell>
          <cell r="BF24">
            <v>28.227254095760369</v>
          </cell>
          <cell r="BG24">
            <v>28.321829510448868</v>
          </cell>
          <cell r="BH24">
            <v>28.206399980525507</v>
          </cell>
        </row>
        <row r="25">
          <cell r="H25">
            <v>16.005655952545176</v>
          </cell>
          <cell r="I25">
            <v>17.022128042804546</v>
          </cell>
          <cell r="J25">
            <v>17.500482315112542</v>
          </cell>
          <cell r="K25">
            <v>17.032118266504654</v>
          </cell>
          <cell r="L25">
            <v>17.828186528497415</v>
          </cell>
          <cell r="M25">
            <v>17.639904204364026</v>
          </cell>
          <cell r="N25">
            <v>18.240621063585081</v>
          </cell>
          <cell r="O25">
            <v>17.586200397864097</v>
          </cell>
          <cell r="P25">
            <v>19.569360999277379</v>
          </cell>
          <cell r="Q25">
            <v>19.601580444631754</v>
          </cell>
          <cell r="R25">
            <v>19.415976347559475</v>
          </cell>
          <cell r="S25">
            <v>19.660106788710909</v>
          </cell>
          <cell r="T25">
            <v>19.474031458531972</v>
          </cell>
          <cell r="U25">
            <v>19.969812651711916</v>
          </cell>
          <cell r="V25">
            <v>21.940847997509895</v>
          </cell>
          <cell r="W25">
            <v>22.558448945563544</v>
          </cell>
          <cell r="X25">
            <v>22.587564121839797</v>
          </cell>
          <cell r="Y25">
            <v>23.546491226425101</v>
          </cell>
          <cell r="Z25">
            <v>20.92560432547852</v>
          </cell>
          <cell r="AA25">
            <v>25.963239489294786</v>
          </cell>
          <cell r="AB25">
            <v>26.705670979022369</v>
          </cell>
          <cell r="AC25">
            <v>27.156797236113849</v>
          </cell>
          <cell r="AD25">
            <v>23.599391934517939</v>
          </cell>
          <cell r="AE25">
            <v>35.033404914579108</v>
          </cell>
          <cell r="AF25">
            <v>31.021475394994031</v>
          </cell>
          <cell r="AG25">
            <v>31.721411094073336</v>
          </cell>
          <cell r="AH25">
            <v>31.228850560253289</v>
          </cell>
          <cell r="AI25">
            <v>22.26120843212043</v>
          </cell>
          <cell r="AJ25">
            <v>23.164778061673672</v>
          </cell>
          <cell r="AK25">
            <v>22.512686557714659</v>
          </cell>
          <cell r="AL25">
            <v>21.38449471434069</v>
          </cell>
          <cell r="AM25">
            <v>22.126694606600598</v>
          </cell>
          <cell r="AN25">
            <v>24.772336819330224</v>
          </cell>
          <cell r="AO25">
            <v>25.176385892935645</v>
          </cell>
          <cell r="AP25">
            <v>26.282589801181697</v>
          </cell>
          <cell r="AQ25">
            <v>25.259327170512389</v>
          </cell>
          <cell r="AR25">
            <v>25.40315553268066</v>
          </cell>
          <cell r="AS25">
            <v>26.250716822721259</v>
          </cell>
          <cell r="AT25">
            <v>27.238699042014296</v>
          </cell>
          <cell r="AU25">
            <v>28.218493139756795</v>
          </cell>
          <cell r="AV25">
            <v>28.294530476962567</v>
          </cell>
          <cell r="AW25">
            <v>27.576607607738257</v>
          </cell>
          <cell r="AX25">
            <v>29.14958684369654</v>
          </cell>
          <cell r="AY25">
            <v>29.175009332667031</v>
          </cell>
          <cell r="AZ25">
            <v>29.18868796814029</v>
          </cell>
          <cell r="BA25">
            <v>29.362245067281233</v>
          </cell>
          <cell r="BB25">
            <v>29.342518338127299</v>
          </cell>
          <cell r="BC25">
            <v>29.417478321412641</v>
          </cell>
          <cell r="BD25">
            <v>29.512167903766283</v>
          </cell>
          <cell r="BE25">
            <v>29.626159450465007</v>
          </cell>
          <cell r="BF25">
            <v>29.735419455194585</v>
          </cell>
          <cell r="BG25">
            <v>29.835408160097462</v>
          </cell>
          <cell r="BH25">
            <v>29.713635130170992</v>
          </cell>
        </row>
        <row r="26">
          <cell r="H26">
            <v>17.017105807697611</v>
          </cell>
          <cell r="I26">
            <v>16.927677270680476</v>
          </cell>
          <cell r="J26">
            <v>16.508681672025727</v>
          </cell>
          <cell r="K26">
            <v>15.394636347856272</v>
          </cell>
          <cell r="L26">
            <v>15.524014180529049</v>
          </cell>
          <cell r="M26">
            <v>17.63439861628526</v>
          </cell>
          <cell r="N26">
            <v>18.060824798729392</v>
          </cell>
          <cell r="O26">
            <v>18.953826824416289</v>
          </cell>
          <cell r="P26">
            <v>19.238257458449464</v>
          </cell>
          <cell r="Q26">
            <v>19.183763565483087</v>
          </cell>
          <cell r="R26">
            <v>17.985458129157657</v>
          </cell>
          <cell r="S26">
            <v>19.708428680396647</v>
          </cell>
          <cell r="T26">
            <v>20.327495257236212</v>
          </cell>
          <cell r="U26">
            <v>20.474298491810679</v>
          </cell>
          <cell r="V26">
            <v>20.183535699485457</v>
          </cell>
          <cell r="W26">
            <v>19.036031033484623</v>
          </cell>
          <cell r="X26">
            <v>19.740811489575808</v>
          </cell>
          <cell r="Y26">
            <v>22.531130329262979</v>
          </cell>
          <cell r="Z26">
            <v>20.817441280185843</v>
          </cell>
          <cell r="AA26">
            <v>24.046560765675626</v>
          </cell>
          <cell r="AB26">
            <v>25.291438381419471</v>
          </cell>
          <cell r="AC26">
            <v>27.600983640285367</v>
          </cell>
          <cell r="AD26">
            <v>27.460276263269659</v>
          </cell>
          <cell r="AE26">
            <v>31.632451393477997</v>
          </cell>
          <cell r="AF26">
            <v>35.605549095543473</v>
          </cell>
          <cell r="AG26">
            <v>26.642331864708609</v>
          </cell>
          <cell r="AH26">
            <v>30.768705317515224</v>
          </cell>
          <cell r="AI26">
            <v>20.786004138039424</v>
          </cell>
          <cell r="AJ26">
            <v>23.281067004157332</v>
          </cell>
          <cell r="AK26">
            <v>21.832092072539833</v>
          </cell>
          <cell r="AL26">
            <v>21.359876312792501</v>
          </cell>
          <cell r="AM26">
            <v>21.297744830644056</v>
          </cell>
          <cell r="AN26">
            <v>24.110003132759161</v>
          </cell>
          <cell r="AO26">
            <v>24.642856789716927</v>
          </cell>
          <cell r="AP26">
            <v>25.81334769927216</v>
          </cell>
          <cell r="AQ26">
            <v>24.644510582951984</v>
          </cell>
          <cell r="AR26">
            <v>24.821423424624314</v>
          </cell>
          <cell r="AS26">
            <v>25.562394026916394</v>
          </cell>
          <cell r="AT26">
            <v>26.609606733320437</v>
          </cell>
          <cell r="AU26">
            <v>27.593286398595215</v>
          </cell>
          <cell r="AV26">
            <v>27.654936824434827</v>
          </cell>
          <cell r="AW26">
            <v>26.920758252393991</v>
          </cell>
          <cell r="AX26">
            <v>28.464617112664019</v>
          </cell>
          <cell r="AY26">
            <v>28.490484022626806</v>
          </cell>
          <cell r="AZ26">
            <v>28.517564867989392</v>
          </cell>
          <cell r="BA26">
            <v>28.685173175282777</v>
          </cell>
          <cell r="BB26">
            <v>28.659193362831026</v>
          </cell>
          <cell r="BC26">
            <v>28.729594196518747</v>
          </cell>
          <cell r="BD26">
            <v>28.825629041354397</v>
          </cell>
          <cell r="BE26">
            <v>28.937778368010189</v>
          </cell>
          <cell r="BF26">
            <v>29.045582595388989</v>
          </cell>
          <cell r="BG26">
            <v>29.141981599088183</v>
          </cell>
          <cell r="BH26">
            <v>29.022074074296668</v>
          </cell>
        </row>
        <row r="27">
          <cell r="H27">
            <v>16.489860670437299</v>
          </cell>
          <cell r="I27">
            <v>16.974902656742511</v>
          </cell>
          <cell r="J27">
            <v>15.436897106109328</v>
          </cell>
          <cell r="K27">
            <v>16.265269339813688</v>
          </cell>
          <cell r="L27">
            <v>17.51170984455959</v>
          </cell>
          <cell r="M27">
            <v>18.597876530069186</v>
          </cell>
          <cell r="N27">
            <v>17.190842872008325</v>
          </cell>
          <cell r="O27">
            <v>17.495403622657314</v>
          </cell>
          <cell r="P27">
            <v>17.091793124806436</v>
          </cell>
          <cell r="Q27">
            <v>18.503318933726685</v>
          </cell>
          <cell r="R27">
            <v>18.615642366339074</v>
          </cell>
          <cell r="S27">
            <v>19.404691075514876</v>
          </cell>
          <cell r="T27">
            <v>19.71324022153695</v>
          </cell>
          <cell r="U27">
            <v>18.940627008721339</v>
          </cell>
          <cell r="V27">
            <v>19.9634804962663</v>
          </cell>
          <cell r="W27">
            <v>22.216918954387562</v>
          </cell>
          <cell r="X27">
            <v>21.119949123787201</v>
          </cell>
          <cell r="Y27">
            <v>19.947959576910815</v>
          </cell>
          <cell r="Z27">
            <v>19.154111691102827</v>
          </cell>
          <cell r="AA27">
            <v>21.781049746531007</v>
          </cell>
          <cell r="AB27">
            <v>24.102239861074217</v>
          </cell>
          <cell r="AC27">
            <v>25.170535854800271</v>
          </cell>
          <cell r="AD27">
            <v>24.959900482109251</v>
          </cell>
          <cell r="AE27">
            <v>31.389238446947576</v>
          </cell>
          <cell r="AF27">
            <v>29.61810418447266</v>
          </cell>
          <cell r="AG27">
            <v>26.724752731738509</v>
          </cell>
          <cell r="AH27">
            <v>29.21931901771924</v>
          </cell>
          <cell r="AI27">
            <v>20.669834002146992</v>
          </cell>
          <cell r="AJ27">
            <v>21.752924963677909</v>
          </cell>
          <cell r="AK27">
            <v>20.542580136456607</v>
          </cell>
          <cell r="AL27">
            <v>19.625363543932529</v>
          </cell>
          <cell r="AM27">
            <v>20.242832684279698</v>
          </cell>
          <cell r="AN27">
            <v>23.117648496585726</v>
          </cell>
          <cell r="AO27">
            <v>23.321768914972075</v>
          </cell>
          <cell r="AP27">
            <v>24.306967247720042</v>
          </cell>
          <cell r="AQ27">
            <v>23.224547567859876</v>
          </cell>
          <cell r="AR27">
            <v>23.415633743805657</v>
          </cell>
          <cell r="AS27">
            <v>24.227735939561001</v>
          </cell>
          <cell r="AT27">
            <v>25.17831640226456</v>
          </cell>
          <cell r="AU27">
            <v>26.051695781539586</v>
          </cell>
          <cell r="AV27">
            <v>26.105549489821868</v>
          </cell>
          <cell r="AW27">
            <v>25.432979373854955</v>
          </cell>
          <cell r="AX27">
            <v>26.902819990163071</v>
          </cell>
          <cell r="AY27">
            <v>26.930501632982278</v>
          </cell>
          <cell r="AZ27">
            <v>26.943644655924814</v>
          </cell>
          <cell r="BA27">
            <v>27.096508224205262</v>
          </cell>
          <cell r="BB27">
            <v>27.076976856495644</v>
          </cell>
          <cell r="BC27">
            <v>27.147321413799627</v>
          </cell>
          <cell r="BD27">
            <v>27.237832832724493</v>
          </cell>
          <cell r="BE27">
            <v>27.342652431069794</v>
          </cell>
          <cell r="BF27">
            <v>27.442731411900475</v>
          </cell>
          <cell r="BG27">
            <v>27.533982744738385</v>
          </cell>
          <cell r="BH27">
            <v>27.421953076906419</v>
          </cell>
        </row>
        <row r="28">
          <cell r="H28">
            <v>15.419230238653606</v>
          </cell>
          <cell r="I28">
            <v>17.273996768468731</v>
          </cell>
          <cell r="J28">
            <v>17.415166130760987</v>
          </cell>
          <cell r="K28">
            <v>17.695183127929177</v>
          </cell>
          <cell r="L28">
            <v>17.989200981728938</v>
          </cell>
          <cell r="M28">
            <v>16.885638637573177</v>
          </cell>
          <cell r="N28">
            <v>18.049225039706446</v>
          </cell>
          <cell r="O28">
            <v>20.338477646319753</v>
          </cell>
          <cell r="P28">
            <v>19.672117270568801</v>
          </cell>
          <cell r="Q28">
            <v>19.500110631124222</v>
          </cell>
          <cell r="R28">
            <v>17.487612581784337</v>
          </cell>
          <cell r="S28">
            <v>18.569412662090009</v>
          </cell>
          <cell r="T28">
            <v>19.678855425699151</v>
          </cell>
          <cell r="U28">
            <v>22.488186931493814</v>
          </cell>
          <cell r="V28">
            <v>22.400601630296411</v>
          </cell>
          <cell r="W28">
            <v>20.908349679798892</v>
          </cell>
          <cell r="X28">
            <v>19.399558056808313</v>
          </cell>
          <cell r="Y28">
            <v>21.192357595919713</v>
          </cell>
          <cell r="Z28">
            <v>21.812856891970842</v>
          </cell>
          <cell r="AA28">
            <v>25.470575485167217</v>
          </cell>
          <cell r="AB28">
            <v>27.060876612177417</v>
          </cell>
          <cell r="AC28">
            <v>25.524408143545617</v>
          </cell>
          <cell r="AD28">
            <v>27.466456929395378</v>
          </cell>
          <cell r="AE28">
            <v>35.488848266680655</v>
          </cell>
          <cell r="AF28">
            <v>34.099985468874529</v>
          </cell>
          <cell r="AG28">
            <v>29.653775994819341</v>
          </cell>
          <cell r="AH28">
            <v>30.53757555377565</v>
          </cell>
          <cell r="AI28">
            <v>20.122347822395103</v>
          </cell>
          <cell r="AJ28">
            <v>24.090033805171068</v>
          </cell>
          <cell r="AK28">
            <v>22.388336504446372</v>
          </cell>
          <cell r="AL28">
            <v>21.3723764527664</v>
          </cell>
          <cell r="AM28">
            <v>21.829331706263961</v>
          </cell>
          <cell r="AN28">
            <v>24.452485909006331</v>
          </cell>
          <cell r="AO28">
            <v>24.857878227979054</v>
          </cell>
          <cell r="AP28">
            <v>26.309192714008873</v>
          </cell>
          <cell r="AQ28">
            <v>25.036663322962941</v>
          </cell>
          <cell r="AR28">
            <v>25.202939718493518</v>
          </cell>
          <cell r="AS28">
            <v>26.008591865788837</v>
          </cell>
          <cell r="AT28">
            <v>27.013958870709669</v>
          </cell>
          <cell r="AU28">
            <v>28.013532694423716</v>
          </cell>
          <cell r="AV28">
            <v>28.110172098040856</v>
          </cell>
          <cell r="AW28">
            <v>27.345991712057327</v>
          </cell>
          <cell r="AX28">
            <v>28.918283179970121</v>
          </cell>
          <cell r="AY28">
            <v>28.942703979028174</v>
          </cell>
          <cell r="AZ28">
            <v>28.965420840280995</v>
          </cell>
          <cell r="BA28">
            <v>29.140017294806274</v>
          </cell>
          <cell r="BB28">
            <v>29.116972326347408</v>
          </cell>
          <cell r="BC28">
            <v>29.184782078233113</v>
          </cell>
          <cell r="BD28">
            <v>29.283133143673034</v>
          </cell>
          <cell r="BE28">
            <v>29.396563279548811</v>
          </cell>
          <cell r="BF28">
            <v>29.506209953614871</v>
          </cell>
          <cell r="BG28">
            <v>29.604641991537228</v>
          </cell>
          <cell r="BH28">
            <v>29.482888669756051</v>
          </cell>
        </row>
        <row r="29">
          <cell r="H29">
            <v>16.134777210649741</v>
          </cell>
          <cell r="I29">
            <v>16.943419066034487</v>
          </cell>
          <cell r="J29">
            <v>16.055439442658095</v>
          </cell>
          <cell r="K29">
            <v>16.103827460510324</v>
          </cell>
          <cell r="L29">
            <v>16.390160894464145</v>
          </cell>
          <cell r="M29">
            <v>17.766532730175623</v>
          </cell>
          <cell r="N29">
            <v>18.020225642149075</v>
          </cell>
          <cell r="O29">
            <v>19.544005863260388</v>
          </cell>
          <cell r="P29">
            <v>17.902425931660986</v>
          </cell>
          <cell r="Q29">
            <v>16.664924665472551</v>
          </cell>
          <cell r="R29">
            <v>18.949640012045226</v>
          </cell>
          <cell r="S29">
            <v>20.12261632341724</v>
          </cell>
          <cell r="T29">
            <v>19.608681989396779</v>
          </cell>
          <cell r="U29">
            <v>21.178353787977287</v>
          </cell>
          <cell r="V29">
            <v>17.52324100108877</v>
          </cell>
          <cell r="W29">
            <v>19.035636424246295</v>
          </cell>
          <cell r="X29">
            <v>21.482413372847109</v>
          </cell>
          <cell r="Y29">
            <v>21.414495053777333</v>
          </cell>
          <cell r="Z29">
            <v>22.299518869630536</v>
          </cell>
          <cell r="AA29">
            <v>24.047288004651705</v>
          </cell>
          <cell r="AB29">
            <v>26.870093925565282</v>
          </cell>
          <cell r="AC29">
            <v>24.303341828241805</v>
          </cell>
          <cell r="AD29">
            <v>27.792677567510339</v>
          </cell>
          <cell r="AE29">
            <v>36.151874643209432</v>
          </cell>
          <cell r="AF29">
            <v>34.413855230362991</v>
          </cell>
          <cell r="AG29">
            <v>27.61772449593467</v>
          </cell>
          <cell r="AH29">
            <v>32.081868349422692</v>
          </cell>
          <cell r="AI29">
            <v>21.436635285539776</v>
          </cell>
          <cell r="AJ29">
            <v>27.319093403142972</v>
          </cell>
          <cell r="AK29">
            <v>25.31058455216386</v>
          </cell>
          <cell r="AL29">
            <v>24.55501744069883</v>
          </cell>
          <cell r="AM29">
            <v>25.643949744850257</v>
          </cell>
          <cell r="AN29">
            <v>29.795059267991064</v>
          </cell>
          <cell r="AO29">
            <v>31.172077385284084</v>
          </cell>
          <cell r="AP29">
            <v>30.515832520428322</v>
          </cell>
          <cell r="AQ29">
            <v>29.60873682114978</v>
          </cell>
          <cell r="AR29">
            <v>29.99089127069054</v>
          </cell>
          <cell r="AS29">
            <v>31.146507633379755</v>
          </cell>
          <cell r="AT29">
            <v>32.437595163695406</v>
          </cell>
          <cell r="AU29">
            <v>33.51999751825732</v>
          </cell>
          <cell r="AV29">
            <v>33.334371868526837</v>
          </cell>
          <cell r="AW29">
            <v>32.637666410333637</v>
          </cell>
          <cell r="AX29">
            <v>34.533994399097125</v>
          </cell>
          <cell r="AY29">
            <v>34.582221900355769</v>
          </cell>
          <cell r="AZ29">
            <v>34.588939107032083</v>
          </cell>
          <cell r="BA29">
            <v>34.762842997296666</v>
          </cell>
          <cell r="BB29">
            <v>34.7215673624505</v>
          </cell>
          <cell r="BC29">
            <v>34.844894014013441</v>
          </cell>
          <cell r="BD29">
            <v>34.956229151298409</v>
          </cell>
          <cell r="BE29">
            <v>35.089958890515049</v>
          </cell>
          <cell r="BF29">
            <v>35.214108209180637</v>
          </cell>
          <cell r="BG29">
            <v>35.328856475882354</v>
          </cell>
          <cell r="BH29">
            <v>35.186536499887033</v>
          </cell>
        </row>
        <row r="30">
          <cell r="G30">
            <v>16.437481901893783</v>
          </cell>
          <cell r="H30">
            <v>17.200027590012411</v>
          </cell>
          <cell r="I30">
            <v>16.145834768097899</v>
          </cell>
          <cell r="J30">
            <v>17.324517684887461</v>
          </cell>
          <cell r="K30">
            <v>18.969420818144993</v>
          </cell>
          <cell r="L30">
            <v>17.683828742841563</v>
          </cell>
          <cell r="M30">
            <v>18.465742416178816</v>
          </cell>
          <cell r="N30">
            <v>18.820609014732462</v>
          </cell>
          <cell r="O30">
            <v>18.130981049104804</v>
          </cell>
          <cell r="P30">
            <v>18.490420150717451</v>
          </cell>
          <cell r="Q30">
            <v>18.927104625434623</v>
          </cell>
          <cell r="R30">
            <v>20.852796408333106</v>
          </cell>
          <cell r="S30">
            <v>21.158085430968725</v>
          </cell>
          <cell r="T30">
            <v>20.999838520962683</v>
          </cell>
          <cell r="U30">
            <v>19.957672764306373</v>
          </cell>
          <cell r="V30">
            <v>20.637266393799127</v>
          </cell>
          <cell r="W30">
            <v>23.609403733663445</v>
          </cell>
          <cell r="X30">
            <v>26.29593935008684</v>
          </cell>
          <cell r="Y30">
            <v>21.012781691432142</v>
          </cell>
          <cell r="Z30">
            <v>19.7258408913866</v>
          </cell>
          <cell r="AA30">
            <v>23.011618898385819</v>
          </cell>
          <cell r="AB30">
            <v>22.279349935175897</v>
          </cell>
          <cell r="AC30">
            <v>26.191174618349674</v>
          </cell>
          <cell r="AD30">
            <v>24.929420484776941</v>
          </cell>
          <cell r="AE30">
            <v>26.261318092775717</v>
          </cell>
          <cell r="AF30">
            <v>33.256193092729269</v>
          </cell>
          <cell r="AG30">
            <v>35.576127869480736</v>
          </cell>
          <cell r="AH30">
            <v>30.53113659570058</v>
          </cell>
          <cell r="AI30">
            <v>22.053787887606045</v>
          </cell>
          <cell r="AJ30">
            <v>22.921554068387824</v>
          </cell>
          <cell r="AK30">
            <v>22.646749990495465</v>
          </cell>
          <cell r="AL30">
            <v>21.637008386393056</v>
          </cell>
          <cell r="AM30">
            <v>22.099700085774852</v>
          </cell>
          <cell r="AN30">
            <v>24.831807956261891</v>
          </cell>
          <cell r="AO30">
            <v>25.36838056901513</v>
          </cell>
          <cell r="AP30">
            <v>26.43022616825337</v>
          </cell>
          <cell r="AQ30">
            <v>25.36504912096412</v>
          </cell>
          <cell r="AR30">
            <v>25.470032871397127</v>
          </cell>
          <cell r="AS30">
            <v>26.348555023811997</v>
          </cell>
          <cell r="AT30">
            <v>27.37374163976741</v>
          </cell>
          <cell r="AU30">
            <v>28.349927416525659</v>
          </cell>
          <cell r="AV30">
            <v>28.406300446410345</v>
          </cell>
          <cell r="AW30">
            <v>27.675407241548502</v>
          </cell>
          <cell r="AX30">
            <v>29.265405213184895</v>
          </cell>
          <cell r="AY30">
            <v>29.300466883908566</v>
          </cell>
          <cell r="AZ30">
            <v>29.312211198962078</v>
          </cell>
          <cell r="BA30">
            <v>29.482331942933197</v>
          </cell>
          <cell r="BB30">
            <v>29.459212991433972</v>
          </cell>
          <cell r="BC30">
            <v>29.536369028143159</v>
          </cell>
          <cell r="BD30">
            <v>29.634310714224846</v>
          </cell>
          <cell r="BE30">
            <v>29.748536645558847</v>
          </cell>
          <cell r="BF30">
            <v>29.85716307038939</v>
          </cell>
          <cell r="BG30">
            <v>29.957136562849119</v>
          </cell>
          <cell r="BH30">
            <v>29.834834781012404</v>
          </cell>
        </row>
        <row r="31">
          <cell r="G31">
            <v>15.502779869114493</v>
          </cell>
          <cell r="H31">
            <v>15.731273279072973</v>
          </cell>
          <cell r="I31">
            <v>15.584377400471485</v>
          </cell>
          <cell r="J31">
            <v>17.004581993569133</v>
          </cell>
          <cell r="K31">
            <v>17.71248047214025</v>
          </cell>
          <cell r="L31">
            <v>16.645563130624495</v>
          </cell>
          <cell r="M31">
            <v>17.100356572645026</v>
          </cell>
          <cell r="N31">
            <v>15.201484199572816</v>
          </cell>
          <cell r="O31">
            <v>16.434216312428021</v>
          </cell>
          <cell r="P31">
            <v>18.610302467224109</v>
          </cell>
          <cell r="Q31">
            <v>19.118106627331155</v>
          </cell>
          <cell r="R31">
            <v>19.806690574611952</v>
          </cell>
          <cell r="S31">
            <v>18.776506483600304</v>
          </cell>
          <cell r="T31">
            <v>18.455279774188551</v>
          </cell>
          <cell r="U31">
            <v>19.77826053639297</v>
          </cell>
          <cell r="V31">
            <v>21.419308662775247</v>
          </cell>
          <cell r="W31">
            <v>23.456574008314334</v>
          </cell>
          <cell r="X31">
            <v>23.13396520087726</v>
          </cell>
          <cell r="Y31">
            <v>16.608566628918091</v>
          </cell>
          <cell r="Z31">
            <v>21.804680110032272</v>
          </cell>
          <cell r="AA31">
            <v>25.558086575288609</v>
          </cell>
          <cell r="AB31">
            <v>26.203452844925682</v>
          </cell>
          <cell r="AC31">
            <v>28.477590458748089</v>
          </cell>
          <cell r="AD31">
            <v>28.837718142712252</v>
          </cell>
          <cell r="AE31">
            <v>28.845468559053455</v>
          </cell>
          <cell r="AF31">
            <v>36.733749480472419</v>
          </cell>
          <cell r="AG31">
            <v>34.28395077809374</v>
          </cell>
          <cell r="AH31">
            <v>30.78898323025911</v>
          </cell>
          <cell r="AI31">
            <v>21.813817457323864</v>
          </cell>
          <cell r="AJ31">
            <v>21.67130713190695</v>
          </cell>
          <cell r="AK31">
            <v>22.975695095021816</v>
          </cell>
          <cell r="AL31">
            <v>21.943330396721723</v>
          </cell>
          <cell r="AM31">
            <v>22.365406413482408</v>
          </cell>
          <cell r="AN31">
            <v>24.757464668813324</v>
          </cell>
          <cell r="AO31">
            <v>25.130167519791542</v>
          </cell>
          <cell r="AP31">
            <v>26.218889409795754</v>
          </cell>
          <cell r="AQ31">
            <v>25.508627913543791</v>
          </cell>
          <cell r="AR31">
            <v>25.518412333728605</v>
          </cell>
          <cell r="AS31">
            <v>26.337248644634233</v>
          </cell>
          <cell r="AT31">
            <v>27.29487775276208</v>
          </cell>
          <cell r="AU31">
            <v>28.302272735095571</v>
          </cell>
          <cell r="AV31">
            <v>28.398012446686412</v>
          </cell>
          <cell r="AW31">
            <v>27.702030740004417</v>
          </cell>
          <cell r="AX31">
            <v>29.244682361041672</v>
          </cell>
          <cell r="AY31">
            <v>29.272634789820906</v>
          </cell>
          <cell r="AZ31">
            <v>29.286525144981223</v>
          </cell>
          <cell r="BA31">
            <v>29.466721634107664</v>
          </cell>
          <cell r="BB31">
            <v>29.44881641948492</v>
          </cell>
          <cell r="BC31">
            <v>29.523448643281501</v>
          </cell>
          <cell r="BD31">
            <v>29.613245890161714</v>
          </cell>
          <cell r="BE31">
            <v>29.729767430697638</v>
          </cell>
          <cell r="BF31">
            <v>29.83983678932422</v>
          </cell>
          <cell r="BG31">
            <v>29.941033802052587</v>
          </cell>
          <cell r="BH31">
            <v>29.81861350430993</v>
          </cell>
        </row>
        <row r="32">
          <cell r="G32">
            <v>15.535964556668787</v>
          </cell>
          <cell r="H32">
            <v>15.994895847703129</v>
          </cell>
          <cell r="I32">
            <v>15.311519614335285</v>
          </cell>
          <cell r="J32">
            <v>17.943060021436228</v>
          </cell>
          <cell r="K32">
            <v>16.461305907539199</v>
          </cell>
          <cell r="L32">
            <v>16.401265339514591</v>
          </cell>
          <cell r="M32">
            <v>15.982722192655668</v>
          </cell>
          <cell r="N32">
            <v>17.132844076893583</v>
          </cell>
          <cell r="O32">
            <v>18.426070568526853</v>
          </cell>
          <cell r="P32">
            <v>19.472313409724368</v>
          </cell>
          <cell r="Q32">
            <v>18.497350121167418</v>
          </cell>
          <cell r="R32">
            <v>19.806690574611952</v>
          </cell>
          <cell r="S32">
            <v>19.259725400457665</v>
          </cell>
          <cell r="T32">
            <v>20.14683303198726</v>
          </cell>
          <cell r="U32">
            <v>20.548962827760153</v>
          </cell>
          <cell r="V32">
            <v>21.757405983105222</v>
          </cell>
          <cell r="W32">
            <v>19.981202343215291</v>
          </cell>
          <cell r="X32">
            <v>22.620218794568004</v>
          </cell>
          <cell r="Y32">
            <v>19.503183774080146</v>
          </cell>
          <cell r="Z32">
            <v>20.599967571082793</v>
          </cell>
          <cell r="AA32">
            <v>25.379024178512044</v>
          </cell>
          <cell r="AB32">
            <v>26.368119863135902</v>
          </cell>
          <cell r="AC32">
            <v>27.43804496663239</v>
          </cell>
          <cell r="AD32">
            <v>26.928230976502356</v>
          </cell>
          <cell r="AE32">
            <v>27.350147857221646</v>
          </cell>
          <cell r="AF32">
            <v>27.760652494970152</v>
          </cell>
          <cell r="AG32">
            <v>33.8409267621022</v>
          </cell>
          <cell r="AH32">
            <v>31.945112568216288</v>
          </cell>
          <cell r="AI32">
            <v>20.612804378959421</v>
          </cell>
          <cell r="AJ32">
            <v>22.720530605705903</v>
          </cell>
          <cell r="AK32">
            <v>21.441095904136557</v>
          </cell>
          <cell r="AL32">
            <v>21.321356623113736</v>
          </cell>
          <cell r="AM32">
            <v>21.922381695472787</v>
          </cell>
          <cell r="AN32">
            <v>24.225335135303002</v>
          </cell>
          <cell r="AO32">
            <v>24.69924289711015</v>
          </cell>
          <cell r="AP32">
            <v>25.80747169338213</v>
          </cell>
          <cell r="AQ32">
            <v>24.808494662356992</v>
          </cell>
          <cell r="AR32">
            <v>24.990293883495461</v>
          </cell>
          <cell r="AS32">
            <v>25.738983630563364</v>
          </cell>
          <cell r="AT32">
            <v>26.747961010705975</v>
          </cell>
          <cell r="AU32">
            <v>27.729242187618656</v>
          </cell>
          <cell r="AV32">
            <v>27.808829964479063</v>
          </cell>
          <cell r="AW32">
            <v>27.080757778504708</v>
          </cell>
          <cell r="AX32">
            <v>28.621871238525362</v>
          </cell>
          <cell r="AY32">
            <v>28.649292960763216</v>
          </cell>
          <cell r="AZ32">
            <v>28.672742765300914</v>
          </cell>
          <cell r="BA32">
            <v>28.840292579108414</v>
          </cell>
          <cell r="BB32">
            <v>28.819150292915712</v>
          </cell>
          <cell r="BC32">
            <v>28.887808718891002</v>
          </cell>
          <cell r="BD32">
            <v>28.984353925502479</v>
          </cell>
          <cell r="BE32">
            <v>29.097410292275349</v>
          </cell>
          <cell r="BF32">
            <v>29.204871575526798</v>
          </cell>
          <cell r="BG32">
            <v>29.301963187751312</v>
          </cell>
          <cell r="BH32">
            <v>29.181875475173047</v>
          </cell>
        </row>
        <row r="44">
          <cell r="G44">
            <v>2.69</v>
          </cell>
        </row>
        <row r="53">
          <cell r="H53">
            <v>7.6790000000000003</v>
          </cell>
          <cell r="I53">
            <v>13.535</v>
          </cell>
          <cell r="J53">
            <v>12.3</v>
          </cell>
          <cell r="K53">
            <v>17.047999999999998</v>
          </cell>
          <cell r="L53">
            <v>17.885999999999999</v>
          </cell>
          <cell r="M53">
            <v>14.336</v>
          </cell>
          <cell r="N53">
            <v>29.173999999999999</v>
          </cell>
          <cell r="O53">
            <v>12.452999999999999</v>
          </cell>
          <cell r="P53">
            <v>21.905000000000001</v>
          </cell>
          <cell r="Q53">
            <v>19.652999999999999</v>
          </cell>
          <cell r="R53">
            <v>22.748000000000001</v>
          </cell>
          <cell r="S53">
            <v>10.116</v>
          </cell>
          <cell r="T53">
            <v>14.225</v>
          </cell>
          <cell r="U53">
            <v>9.2469999999999999</v>
          </cell>
          <cell r="V53">
            <v>12.301</v>
          </cell>
          <cell r="W53">
            <v>10.855</v>
          </cell>
          <cell r="X53">
            <v>10.382</v>
          </cell>
          <cell r="Y53">
            <v>14.379</v>
          </cell>
          <cell r="Z53">
            <v>11.494</v>
          </cell>
          <cell r="AA53">
            <v>10.458</v>
          </cell>
          <cell r="AB53">
            <v>12.238</v>
          </cell>
          <cell r="AC53">
            <v>17.687000000000001</v>
          </cell>
          <cell r="AD53">
            <v>15.238</v>
          </cell>
          <cell r="AE53">
            <v>15.955</v>
          </cell>
          <cell r="AF53">
            <v>16.718</v>
          </cell>
          <cell r="AG53">
            <v>23.378</v>
          </cell>
          <cell r="AH53">
            <v>13.179</v>
          </cell>
          <cell r="AI53">
            <v>11.887</v>
          </cell>
          <cell r="AJ53">
            <v>16.517441928114589</v>
          </cell>
          <cell r="AK53">
            <v>15.044500952510157</v>
          </cell>
          <cell r="AL53">
            <v>14.202757901099218</v>
          </cell>
          <cell r="AM53">
            <v>12.433320333684652</v>
          </cell>
          <cell r="AN53">
            <v>13.115325588848396</v>
          </cell>
          <cell r="AO53">
            <v>7.3350870895807212</v>
          </cell>
          <cell r="AP53">
            <v>5.3490257897642444</v>
          </cell>
        </row>
        <row r="54">
          <cell r="H54">
            <v>16.966000000000001</v>
          </cell>
          <cell r="I54">
            <v>24.12</v>
          </cell>
          <cell r="J54">
            <v>21.38</v>
          </cell>
          <cell r="K54">
            <v>11.214</v>
          </cell>
          <cell r="L54">
            <v>19.032</v>
          </cell>
          <cell r="M54">
            <v>15.087</v>
          </cell>
          <cell r="N54">
            <v>9.1310000000000002</v>
          </cell>
          <cell r="O54">
            <v>16.57</v>
          </cell>
          <cell r="P54">
            <v>9.8460000000000001</v>
          </cell>
          <cell r="Q54">
            <v>12.365</v>
          </cell>
          <cell r="R54">
            <v>9.1679999999999993</v>
          </cell>
          <cell r="S54">
            <v>13.776999999999999</v>
          </cell>
          <cell r="T54">
            <v>13.019</v>
          </cell>
          <cell r="U54">
            <v>18.777000000000001</v>
          </cell>
          <cell r="V54">
            <v>18.884</v>
          </cell>
          <cell r="W54">
            <v>4.6070000000000002</v>
          </cell>
          <cell r="X54">
            <v>4.5330000000000004</v>
          </cell>
          <cell r="Y54">
            <v>4.4240000000000004</v>
          </cell>
          <cell r="Z54">
            <v>20.524000000000001</v>
          </cell>
          <cell r="AA54">
            <v>4.5250000000000004</v>
          </cell>
          <cell r="AB54">
            <v>12.597</v>
          </cell>
          <cell r="AC54">
            <v>12.766</v>
          </cell>
          <cell r="AD54">
            <v>13.452</v>
          </cell>
          <cell r="AE54">
            <v>14.714</v>
          </cell>
          <cell r="AF54">
            <v>22.68</v>
          </cell>
          <cell r="AG54">
            <v>22.763000000000002</v>
          </cell>
          <cell r="AH54">
            <v>20.568000000000001</v>
          </cell>
          <cell r="AI54">
            <v>23.026</v>
          </cell>
          <cell r="AJ54">
            <v>21.126288169974437</v>
          </cell>
          <cell r="AK54">
            <v>20.290928227245391</v>
          </cell>
          <cell r="AL54">
            <v>19.132217537318496</v>
          </cell>
          <cell r="AM54">
            <v>18.280896002262079</v>
          </cell>
          <cell r="AN54">
            <v>19.060833672383701</v>
          </cell>
          <cell r="AO54">
            <v>10.068805399801795</v>
          </cell>
          <cell r="AP54">
            <v>7.4757473570009871</v>
          </cell>
        </row>
        <row r="55">
          <cell r="H55">
            <v>27.806999999999999</v>
          </cell>
          <cell r="I55">
            <v>21.989000000000001</v>
          </cell>
          <cell r="J55">
            <v>11.978999999999999</v>
          </cell>
          <cell r="K55">
            <v>28.957999999999998</v>
          </cell>
          <cell r="L55">
            <v>15.372</v>
          </cell>
          <cell r="M55">
            <v>25.824000000000002</v>
          </cell>
          <cell r="N55">
            <v>24.568000000000001</v>
          </cell>
          <cell r="O55">
            <v>7.8170000000000002</v>
          </cell>
          <cell r="P55">
            <v>18.46</v>
          </cell>
          <cell r="Q55">
            <v>19.193999999999999</v>
          </cell>
          <cell r="R55">
            <v>26.303000000000001</v>
          </cell>
          <cell r="S55">
            <v>16.356999999999999</v>
          </cell>
          <cell r="T55">
            <v>24.268999999999998</v>
          </cell>
          <cell r="U55">
            <v>8.6329999999999991</v>
          </cell>
          <cell r="V55">
            <v>12.786</v>
          </cell>
          <cell r="W55">
            <v>18.169</v>
          </cell>
          <cell r="X55">
            <v>16.527999999999999</v>
          </cell>
          <cell r="Y55">
            <v>12.615</v>
          </cell>
          <cell r="Z55">
            <v>7.0350000000000001</v>
          </cell>
          <cell r="AA55">
            <v>18.239999999999998</v>
          </cell>
          <cell r="AB55">
            <v>17.347999999999999</v>
          </cell>
          <cell r="AC55">
            <v>16.684999999999999</v>
          </cell>
          <cell r="AD55">
            <v>14.584</v>
          </cell>
          <cell r="AE55">
            <v>20.254000000000001</v>
          </cell>
          <cell r="AF55">
            <v>20.771999999999998</v>
          </cell>
          <cell r="AG55">
            <v>24.323</v>
          </cell>
          <cell r="AH55">
            <v>21.257999999999999</v>
          </cell>
          <cell r="AI55">
            <v>11.457000000000001</v>
          </cell>
          <cell r="AJ55">
            <v>19.968273299538058</v>
          </cell>
          <cell r="AK55">
            <v>18.009737714470869</v>
          </cell>
          <cell r="AL55">
            <v>16.867364505330453</v>
          </cell>
          <cell r="AM55">
            <v>15.369976371186322</v>
          </cell>
          <cell r="AN55">
            <v>15.28371497366563</v>
          </cell>
          <cell r="AO55">
            <v>8.7941897346025382</v>
          </cell>
          <cell r="AP55">
            <v>6.398839621790235</v>
          </cell>
        </row>
        <row r="56">
          <cell r="H56">
            <v>22.175999999999998</v>
          </cell>
          <cell r="I56">
            <v>11.385</v>
          </cell>
          <cell r="J56">
            <v>24.501000000000001</v>
          </cell>
          <cell r="K56">
            <v>22.477</v>
          </cell>
          <cell r="L56">
            <v>28.402000000000001</v>
          </cell>
          <cell r="M56">
            <v>15.483000000000001</v>
          </cell>
          <cell r="N56">
            <v>24.745000000000001</v>
          </cell>
          <cell r="O56">
            <v>19.433</v>
          </cell>
          <cell r="P56">
            <v>26.992000000000001</v>
          </cell>
          <cell r="Q56">
            <v>32.600999999999999</v>
          </cell>
          <cell r="R56">
            <v>16.655999999999999</v>
          </cell>
          <cell r="S56">
            <v>14.923</v>
          </cell>
          <cell r="T56">
            <v>7.5170000000000003</v>
          </cell>
          <cell r="U56">
            <v>16.297999999999998</v>
          </cell>
          <cell r="V56">
            <v>5.8230000000000004</v>
          </cell>
          <cell r="W56">
            <v>9.1479999999999997</v>
          </cell>
          <cell r="X56">
            <v>13.347</v>
          </cell>
          <cell r="Y56">
            <v>9.3460000000000001</v>
          </cell>
          <cell r="Z56">
            <v>15.773999999999999</v>
          </cell>
          <cell r="AA56">
            <v>16.286999999999999</v>
          </cell>
          <cell r="AB56">
            <v>11.425000000000001</v>
          </cell>
          <cell r="AC56">
            <v>12.994999999999999</v>
          </cell>
          <cell r="AD56">
            <v>17.777000000000001</v>
          </cell>
          <cell r="AE56">
            <v>25.933</v>
          </cell>
          <cell r="AF56">
            <v>22.922999999999998</v>
          </cell>
          <cell r="AG56">
            <v>15.22</v>
          </cell>
          <cell r="AH56">
            <v>8.109</v>
          </cell>
          <cell r="AI56">
            <v>11.365265170690856</v>
          </cell>
          <cell r="AJ56">
            <v>17.012915332611673</v>
          </cell>
          <cell r="AK56">
            <v>13.746100550687942</v>
          </cell>
          <cell r="AL56">
            <v>11.619350652857047</v>
          </cell>
          <cell r="AM56">
            <v>10.857348226195784</v>
          </cell>
          <cell r="AN56">
            <v>12.089072268171847</v>
          </cell>
          <cell r="AO56">
            <v>6.7191209517110693</v>
          </cell>
          <cell r="AP56">
            <v>4.7377675791066753</v>
          </cell>
        </row>
        <row r="57">
          <cell r="H57">
            <v>17.812999999999999</v>
          </cell>
          <cell r="I57">
            <v>25.760999999999999</v>
          </cell>
          <cell r="J57">
            <v>22.963000000000001</v>
          </cell>
          <cell r="K57">
            <v>17.718</v>
          </cell>
          <cell r="L57">
            <v>19.768000000000001</v>
          </cell>
          <cell r="M57">
            <v>5.93</v>
          </cell>
          <cell r="N57">
            <v>22.911999999999999</v>
          </cell>
          <cell r="O57">
            <v>16.603999999999999</v>
          </cell>
          <cell r="P57">
            <v>21.471</v>
          </cell>
          <cell r="Q57">
            <v>15.7</v>
          </cell>
          <cell r="R57">
            <v>15.462999999999999</v>
          </cell>
          <cell r="S57">
            <v>17.623000000000001</v>
          </cell>
          <cell r="T57">
            <v>15.441000000000001</v>
          </cell>
          <cell r="U57">
            <v>4.7249999999999996</v>
          </cell>
          <cell r="V57">
            <v>12.227</v>
          </cell>
          <cell r="W57">
            <v>21.774999999999999</v>
          </cell>
          <cell r="X57">
            <v>12.407</v>
          </cell>
          <cell r="Y57">
            <v>11.137</v>
          </cell>
          <cell r="Z57">
            <v>6.9390000000000001</v>
          </cell>
          <cell r="AA57">
            <v>7.8090000000000002</v>
          </cell>
          <cell r="AB57">
            <v>12.593999999999999</v>
          </cell>
          <cell r="AC57">
            <v>22.815000000000001</v>
          </cell>
          <cell r="AD57">
            <v>19.664000000000001</v>
          </cell>
          <cell r="AE57">
            <v>14.942</v>
          </cell>
          <cell r="AF57">
            <v>21.425999999999998</v>
          </cell>
          <cell r="AG57">
            <v>13.241</v>
          </cell>
          <cell r="AH57">
            <v>13.159000000000001</v>
          </cell>
          <cell r="AI57">
            <v>10.413969659971864</v>
          </cell>
          <cell r="AJ57">
            <v>14.901672079140363</v>
          </cell>
          <cell r="AK57">
            <v>13.47192724187153</v>
          </cell>
          <cell r="AL57">
            <v>11.572181103840615</v>
          </cell>
          <cell r="AM57">
            <v>11.149811568766161</v>
          </cell>
          <cell r="AN57">
            <v>11.510561245116357</v>
          </cell>
          <cell r="AO57">
            <v>6.4394900474127459</v>
          </cell>
          <cell r="AP57">
            <v>4.6614014946430222</v>
          </cell>
        </row>
        <row r="58">
          <cell r="H58">
            <v>19.417000000000002</v>
          </cell>
          <cell r="I58">
            <v>30.379000000000001</v>
          </cell>
          <cell r="J58">
            <v>25.100999999999999</v>
          </cell>
          <cell r="K58">
            <v>20.58</v>
          </cell>
          <cell r="L58">
            <v>21.204999999999998</v>
          </cell>
          <cell r="M58">
            <v>14.445</v>
          </cell>
          <cell r="N58">
            <v>28.794</v>
          </cell>
          <cell r="O58">
            <v>25.498000000000001</v>
          </cell>
          <cell r="P58">
            <v>14.544</v>
          </cell>
          <cell r="Q58">
            <v>19.314</v>
          </cell>
          <cell r="R58">
            <v>14.345000000000001</v>
          </cell>
          <cell r="S58">
            <v>16.138999999999999</v>
          </cell>
          <cell r="T58">
            <v>15.977</v>
          </cell>
          <cell r="U58">
            <v>16.190000000000001</v>
          </cell>
          <cell r="V58">
            <v>11.976000000000001</v>
          </cell>
          <cell r="W58">
            <v>5.5730000000000004</v>
          </cell>
          <cell r="X58">
            <v>14.670999999999999</v>
          </cell>
          <cell r="Y58">
            <v>14.38</v>
          </cell>
          <cell r="Z58">
            <v>14.234</v>
          </cell>
          <cell r="AA58">
            <v>18.213000000000001</v>
          </cell>
          <cell r="AB58">
            <v>13.446999999999999</v>
          </cell>
          <cell r="AC58">
            <v>19.448</v>
          </cell>
          <cell r="AD58">
            <v>17.074000000000002</v>
          </cell>
          <cell r="AE58">
            <v>18.568999999999999</v>
          </cell>
          <cell r="AF58">
            <v>22.523</v>
          </cell>
          <cell r="AG58">
            <v>19.327000000000002</v>
          </cell>
          <cell r="AH58">
            <v>14.884</v>
          </cell>
          <cell r="AI58">
            <v>11.670361938072846</v>
          </cell>
          <cell r="AJ58">
            <v>17.709943108164872</v>
          </cell>
          <cell r="AK58">
            <v>15.861356465107507</v>
          </cell>
          <cell r="AL58">
            <v>14.10453868067467</v>
          </cell>
          <cell r="AM58">
            <v>13.030054019443794</v>
          </cell>
          <cell r="AN58">
            <v>13.544094355361626</v>
          </cell>
          <cell r="AO58">
            <v>7.6371414818145391</v>
          </cell>
          <cell r="AP58">
            <v>5.5251881127895883</v>
          </cell>
        </row>
        <row r="59">
          <cell r="H59">
            <v>15.124000000000001</v>
          </cell>
          <cell r="I59">
            <v>22.928999999999998</v>
          </cell>
          <cell r="J59">
            <v>11.021000000000001</v>
          </cell>
          <cell r="K59">
            <v>13.266</v>
          </cell>
          <cell r="L59">
            <v>21.302</v>
          </cell>
          <cell r="M59">
            <v>16.038</v>
          </cell>
          <cell r="N59">
            <v>27.006</v>
          </cell>
          <cell r="O59">
            <v>31.844000000000001</v>
          </cell>
          <cell r="P59">
            <v>32.186</v>
          </cell>
          <cell r="Q59">
            <v>21.792000000000002</v>
          </cell>
          <cell r="R59">
            <v>21.045999999999999</v>
          </cell>
          <cell r="S59">
            <v>8.827</v>
          </cell>
          <cell r="T59">
            <v>14.097</v>
          </cell>
          <cell r="U59">
            <v>6.931</v>
          </cell>
          <cell r="V59">
            <v>17.689</v>
          </cell>
          <cell r="W59">
            <v>15.84</v>
          </cell>
          <cell r="X59">
            <v>8.9250000000000007</v>
          </cell>
          <cell r="Y59">
            <v>9.86</v>
          </cell>
          <cell r="Z59">
            <v>9.423</v>
          </cell>
          <cell r="AA59">
            <v>14.007999999999999</v>
          </cell>
          <cell r="AB59">
            <v>11.848000000000001</v>
          </cell>
          <cell r="AC59">
            <v>12.715999999999999</v>
          </cell>
          <cell r="AD59">
            <v>18.308</v>
          </cell>
          <cell r="AE59">
            <v>19.524999999999999</v>
          </cell>
          <cell r="AF59">
            <v>18.611000000000001</v>
          </cell>
          <cell r="AG59">
            <v>10.146000000000001</v>
          </cell>
          <cell r="AH59">
            <v>18.776</v>
          </cell>
          <cell r="AI59">
            <v>10.784633807176316</v>
          </cell>
          <cell r="AJ59">
            <v>15.850699402610109</v>
          </cell>
          <cell r="AK59">
            <v>13.661033098178507</v>
          </cell>
          <cell r="AL59">
            <v>12.287733430608775</v>
          </cell>
          <cell r="AM59">
            <v>12.526248777737678</v>
          </cell>
          <cell r="AN59">
            <v>12.184392704806807</v>
          </cell>
          <cell r="AO59">
            <v>6.8410396197197363</v>
          </cell>
          <cell r="AP59">
            <v>4.9503696636004602</v>
          </cell>
        </row>
        <row r="60">
          <cell r="H60">
            <v>19.039000000000001</v>
          </cell>
          <cell r="I60">
            <v>14.285</v>
          </cell>
          <cell r="J60">
            <v>19.806999999999999</v>
          </cell>
          <cell r="K60">
            <v>29.911999999999999</v>
          </cell>
          <cell r="L60">
            <v>15.611000000000001</v>
          </cell>
          <cell r="M60">
            <v>21.279</v>
          </cell>
          <cell r="N60">
            <v>15.492000000000001</v>
          </cell>
          <cell r="O60">
            <v>15.959</v>
          </cell>
          <cell r="P60">
            <v>11.521000000000001</v>
          </cell>
          <cell r="Q60">
            <v>9.8940000000000001</v>
          </cell>
          <cell r="R60">
            <v>13.731999999999999</v>
          </cell>
          <cell r="S60">
            <v>17.370999999999999</v>
          </cell>
          <cell r="T60">
            <v>19.797999999999998</v>
          </cell>
          <cell r="U60">
            <v>11.238</v>
          </cell>
          <cell r="V60">
            <v>8.8439999999999994</v>
          </cell>
          <cell r="W60">
            <v>4.7439999999999998</v>
          </cell>
          <cell r="X60">
            <v>12.518000000000001</v>
          </cell>
          <cell r="Y60">
            <v>4.7489999999999997</v>
          </cell>
          <cell r="Z60">
            <v>16.338000000000001</v>
          </cell>
          <cell r="AA60">
            <v>6.76</v>
          </cell>
          <cell r="AB60">
            <v>17.390999999999998</v>
          </cell>
          <cell r="AC60">
            <v>15.587999999999999</v>
          </cell>
          <cell r="AD60">
            <v>18.972999999999999</v>
          </cell>
          <cell r="AE60">
            <v>20.611000000000001</v>
          </cell>
          <cell r="AF60">
            <v>22.064</v>
          </cell>
          <cell r="AG60">
            <v>19.545000000000002</v>
          </cell>
          <cell r="AH60">
            <v>14.196</v>
          </cell>
          <cell r="AI60">
            <v>12.050880142360445</v>
          </cell>
          <cell r="AJ60">
            <v>18.014060620004589</v>
          </cell>
          <cell r="AK60">
            <v>15.816347113737091</v>
          </cell>
          <cell r="AL60">
            <v>14.134650971156397</v>
          </cell>
          <cell r="AM60">
            <v>13.026848500556699</v>
          </cell>
          <cell r="AN60">
            <v>13.668825702515129</v>
          </cell>
          <cell r="AO60">
            <v>7.6793896705340465</v>
          </cell>
          <cell r="AP60">
            <v>5.5380053341754421</v>
          </cell>
        </row>
        <row r="61">
          <cell r="H61">
            <v>15.404999999999999</v>
          </cell>
          <cell r="I61">
            <v>31.308</v>
          </cell>
          <cell r="J61">
            <v>18.475999999999999</v>
          </cell>
          <cell r="K61">
            <v>27.960999999999999</v>
          </cell>
          <cell r="L61">
            <v>39.301000000000002</v>
          </cell>
          <cell r="M61">
            <v>15.128</v>
          </cell>
          <cell r="N61">
            <v>56.384</v>
          </cell>
          <cell r="O61">
            <v>20.382999999999999</v>
          </cell>
          <cell r="P61">
            <v>30.292999999999999</v>
          </cell>
          <cell r="Q61">
            <v>15.884</v>
          </cell>
          <cell r="R61">
            <v>16.562000000000001</v>
          </cell>
          <cell r="S61">
            <v>8.4440000000000008</v>
          </cell>
          <cell r="T61">
            <v>11.122999999999999</v>
          </cell>
          <cell r="U61">
            <v>21.58</v>
          </cell>
          <cell r="V61">
            <v>24.562000000000001</v>
          </cell>
          <cell r="W61">
            <v>12.349</v>
          </cell>
          <cell r="X61">
            <v>10.632</v>
          </cell>
          <cell r="Y61">
            <v>18.728000000000002</v>
          </cell>
          <cell r="Z61">
            <v>8.4819999999999993</v>
          </cell>
          <cell r="AA61">
            <v>10.651999999999999</v>
          </cell>
          <cell r="AB61">
            <v>12.471</v>
          </cell>
          <cell r="AC61">
            <v>20.917999999999999</v>
          </cell>
          <cell r="AD61">
            <v>21.312000000000001</v>
          </cell>
          <cell r="AE61">
            <v>21.317</v>
          </cell>
          <cell r="AF61">
            <v>25.045000000000002</v>
          </cell>
          <cell r="AG61">
            <v>15.669</v>
          </cell>
          <cell r="AH61">
            <v>13.096</v>
          </cell>
          <cell r="AI61">
            <v>12.183530910787395</v>
          </cell>
          <cell r="AJ61">
            <v>17.778599110319472</v>
          </cell>
          <cell r="AK61">
            <v>15.429952263943422</v>
          </cell>
          <cell r="AL61">
            <v>13.164460644104571</v>
          </cell>
          <cell r="AM61">
            <v>12.577583013143666</v>
          </cell>
          <cell r="AN61">
            <v>13.311649299143584</v>
          </cell>
          <cell r="AO61">
            <v>7.432687988295914</v>
          </cell>
          <cell r="AP61">
            <v>5.3305452431271858</v>
          </cell>
        </row>
        <row r="62">
          <cell r="G62">
            <v>14.167999999999999</v>
          </cell>
          <cell r="H62">
            <v>13.2</v>
          </cell>
          <cell r="I62">
            <v>22.948</v>
          </cell>
          <cell r="J62">
            <v>28.876999999999999</v>
          </cell>
          <cell r="K62">
            <v>19.081</v>
          </cell>
          <cell r="L62">
            <v>9.34</v>
          </cell>
          <cell r="M62">
            <v>6.7210000000000001</v>
          </cell>
          <cell r="N62">
            <v>20.962</v>
          </cell>
          <cell r="O62">
            <v>27.686</v>
          </cell>
          <cell r="P62">
            <v>11.137</v>
          </cell>
          <cell r="Q62">
            <v>8.4480000000000004</v>
          </cell>
          <cell r="R62">
            <v>10.214</v>
          </cell>
          <cell r="S62">
            <v>16.158999999999999</v>
          </cell>
          <cell r="T62">
            <v>15.4</v>
          </cell>
          <cell r="U62">
            <v>4.415</v>
          </cell>
          <cell r="V62">
            <v>19.37</v>
          </cell>
          <cell r="W62">
            <v>11.903</v>
          </cell>
          <cell r="X62">
            <v>12.308</v>
          </cell>
          <cell r="Y62">
            <v>8.157</v>
          </cell>
          <cell r="Z62">
            <v>17.181000000000001</v>
          </cell>
          <cell r="AA62">
            <v>15.05</v>
          </cell>
          <cell r="AB62">
            <v>17.98</v>
          </cell>
          <cell r="AC62">
            <v>4.0460000000000003</v>
          </cell>
          <cell r="AD62">
            <v>19.539000000000001</v>
          </cell>
          <cell r="AE62">
            <v>19.239000000000001</v>
          </cell>
          <cell r="AF62">
            <v>26.76</v>
          </cell>
          <cell r="AG62">
            <v>15.183999999999999</v>
          </cell>
          <cell r="AH62">
            <v>11.409000000000001</v>
          </cell>
          <cell r="AI62">
            <v>11.63928375804139</v>
          </cell>
          <cell r="AJ62">
            <v>17.151587682039402</v>
          </cell>
          <cell r="AK62">
            <v>15.130044022715003</v>
          </cell>
          <cell r="AL62">
            <v>12.517720983189601</v>
          </cell>
          <cell r="AM62">
            <v>11.909685891939894</v>
          </cell>
          <cell r="AN62">
            <v>12.790329326395376</v>
          </cell>
          <cell r="AO62">
            <v>7.1485064132172971</v>
          </cell>
        </row>
        <row r="63">
          <cell r="G63">
            <v>21.594000000000001</v>
          </cell>
          <cell r="H63">
            <v>24.047999999999998</v>
          </cell>
          <cell r="I63">
            <v>10.693</v>
          </cell>
          <cell r="J63">
            <v>17.355</v>
          </cell>
          <cell r="K63">
            <v>20.748999999999999</v>
          </cell>
          <cell r="L63">
            <v>10.542999999999999</v>
          </cell>
          <cell r="M63">
            <v>22.789000000000001</v>
          </cell>
          <cell r="N63">
            <v>17.257999999999999</v>
          </cell>
          <cell r="O63">
            <v>23.594000000000001</v>
          </cell>
          <cell r="P63">
            <v>17.123000000000001</v>
          </cell>
          <cell r="Q63">
            <v>10.385999999999999</v>
          </cell>
          <cell r="R63">
            <v>10.554</v>
          </cell>
          <cell r="S63">
            <v>17.664999999999999</v>
          </cell>
          <cell r="T63">
            <v>15.497999999999999</v>
          </cell>
          <cell r="U63">
            <v>12.827999999999999</v>
          </cell>
          <cell r="V63">
            <v>6.8659999999999997</v>
          </cell>
          <cell r="W63">
            <v>16.649999999999999</v>
          </cell>
          <cell r="X63">
            <v>7.2869999999999999</v>
          </cell>
          <cell r="Y63">
            <v>9.32</v>
          </cell>
          <cell r="Z63">
            <v>10.273</v>
          </cell>
          <cell r="AA63">
            <v>15.986000000000001</v>
          </cell>
          <cell r="AB63">
            <v>18.452999999999999</v>
          </cell>
          <cell r="AC63">
            <v>23.585999999999999</v>
          </cell>
          <cell r="AD63">
            <v>20.643000000000001</v>
          </cell>
          <cell r="AE63">
            <v>23.452999999999999</v>
          </cell>
          <cell r="AF63">
            <v>22.332999999999998</v>
          </cell>
          <cell r="AG63">
            <v>15.388</v>
          </cell>
          <cell r="AH63">
            <v>17.504999999999999</v>
          </cell>
          <cell r="AI63">
            <v>12.547752020668254</v>
          </cell>
          <cell r="AJ63">
            <v>18.576039286362885</v>
          </cell>
          <cell r="AK63">
            <v>15.904730577260814</v>
          </cell>
          <cell r="AL63">
            <v>14.187771377229694</v>
          </cell>
          <cell r="AM63">
            <v>13.818401419162226</v>
          </cell>
          <cell r="AN63">
            <v>14.041580291122129</v>
          </cell>
          <cell r="AO63">
            <v>7.8715052178313112</v>
          </cell>
        </row>
        <row r="64">
          <cell r="G64">
            <v>12.805</v>
          </cell>
          <cell r="H64">
            <v>24.959</v>
          </cell>
          <cell r="I64">
            <v>24.954999999999998</v>
          </cell>
          <cell r="J64">
            <v>13.337</v>
          </cell>
          <cell r="K64">
            <v>23.518000000000001</v>
          </cell>
          <cell r="L64">
            <v>27.478999999999999</v>
          </cell>
          <cell r="M64">
            <v>0.372</v>
          </cell>
          <cell r="N64">
            <v>13.005000000000001</v>
          </cell>
          <cell r="O64">
            <v>12.814</v>
          </cell>
          <cell r="P64">
            <v>22.245999999999999</v>
          </cell>
          <cell r="Q64">
            <v>22.616</v>
          </cell>
          <cell r="R64">
            <v>6.9740000000000002</v>
          </cell>
          <cell r="S64">
            <v>12.879</v>
          </cell>
          <cell r="T64">
            <v>15.526999999999999</v>
          </cell>
          <cell r="U64">
            <v>13.88</v>
          </cell>
          <cell r="V64">
            <v>10.552</v>
          </cell>
          <cell r="W64">
            <v>6.6680000000000001</v>
          </cell>
          <cell r="X64">
            <v>5.5620000000000003</v>
          </cell>
          <cell r="Y64">
            <v>11.702999999999999</v>
          </cell>
          <cell r="Z64">
            <v>20.411999999999999</v>
          </cell>
          <cell r="AA64">
            <v>7.9279999999999999</v>
          </cell>
          <cell r="AB64">
            <v>11.988</v>
          </cell>
          <cell r="AC64">
            <v>17.553999999999998</v>
          </cell>
          <cell r="AD64">
            <v>20.300999999999998</v>
          </cell>
          <cell r="AE64">
            <v>22.396000000000001</v>
          </cell>
          <cell r="AF64">
            <v>18.079000000000001</v>
          </cell>
          <cell r="AG64">
            <v>17.271000000000001</v>
          </cell>
          <cell r="AH64">
            <v>16.872</v>
          </cell>
          <cell r="AI64">
            <v>11.991503131731235</v>
          </cell>
          <cell r="AJ64">
            <v>17.635852391005944</v>
          </cell>
          <cell r="AK64">
            <v>15.075797263745898</v>
          </cell>
          <cell r="AL64">
            <v>13.996870471614571</v>
          </cell>
          <cell r="AM64">
            <v>13.265591940536568</v>
          </cell>
          <cell r="AN64">
            <v>13.467249627814589</v>
          </cell>
          <cell r="AO64">
            <v>7.5539686314566632</v>
          </cell>
        </row>
        <row r="222">
          <cell r="G222" t="e">
            <v>#REF!</v>
          </cell>
          <cell r="H222" t="e">
            <v>#REF!</v>
          </cell>
          <cell r="I222" t="e">
            <v>#REF!</v>
          </cell>
          <cell r="J222" t="e">
            <v>#REF!</v>
          </cell>
          <cell r="K222" t="e">
            <v>#REF!</v>
          </cell>
          <cell r="L222">
            <v>6.1817960366595344</v>
          </cell>
          <cell r="M222">
            <v>6.4551322534447593</v>
          </cell>
          <cell r="N222">
            <v>6.5791841748008624</v>
          </cell>
          <cell r="O222">
            <v>6.3381085860988202</v>
          </cell>
          <cell r="P222">
            <v>6.4637589328693963</v>
          </cell>
          <cell r="Q222">
            <v>6.6164122069048688</v>
          </cell>
          <cell r="R222">
            <v>7.2895828196981265</v>
          </cell>
          <cell r="S222">
            <v>7.3963037395627511</v>
          </cell>
          <cell r="T222">
            <v>7.3409848301051506</v>
          </cell>
          <cell r="U222">
            <v>6.9766714091980306</v>
          </cell>
          <cell r="V222">
            <v>7.214239260958526</v>
          </cell>
          <cell r="W222">
            <v>8.2532193989797413</v>
          </cell>
          <cell r="X222">
            <v>9.1923607731390895</v>
          </cell>
          <cell r="Y222">
            <v>7.3455094181382874</v>
          </cell>
          <cell r="Z222">
            <v>6.8956291544902113</v>
          </cell>
          <cell r="AA222">
            <v>8.0442497250910865</v>
          </cell>
          <cell r="AB222">
            <v>7.7882679781307571</v>
          </cell>
          <cell r="AC222">
            <v>9.1557378102698816</v>
          </cell>
          <cell r="AD222">
            <v>8.714662135110105</v>
          </cell>
          <cell r="AE222">
            <v>9.1802581027082475</v>
          </cell>
          <cell r="AF222">
            <v>11.625480298673343</v>
          </cell>
          <cell r="AG222">
            <v>12.43646777298013</v>
          </cell>
          <cell r="AH222">
            <v>10.672873049531981</v>
          </cell>
          <cell r="AI222">
            <v>12.363540197417723</v>
          </cell>
          <cell r="AJ222">
            <v>19.051245571278912</v>
          </cell>
          <cell r="AK222">
            <v>14.742081411559472</v>
          </cell>
          <cell r="AL222">
            <v>13.033133415909557</v>
          </cell>
          <cell r="AM222">
            <v>11.564824254512068</v>
          </cell>
          <cell r="AN222">
            <v>13.192911028061342</v>
          </cell>
          <cell r="AO222">
            <v>52.096906136117276</v>
          </cell>
          <cell r="AP222">
            <v>44.868208615425537</v>
          </cell>
          <cell r="AQ222">
            <v>45.291619272257407</v>
          </cell>
          <cell r="AR222">
            <v>44.485647572902622</v>
          </cell>
          <cell r="AS222">
            <v>20.402160796008765</v>
          </cell>
          <cell r="AT222">
            <v>21.532830512080928</v>
          </cell>
          <cell r="AU222">
            <v>22.637004300784916</v>
          </cell>
          <cell r="AV222">
            <v>24.28491161447414</v>
          </cell>
          <cell r="AW222">
            <v>23.138692183743061</v>
          </cell>
          <cell r="AX222">
            <v>21.077701675540894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3H2NNMB766WZDI6HXLG4EJHMOK">
      <xxl21:absoluteUrl r:id="rId2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tblSAFFeedstock"/>
      <sheetName val="DataDepotMetaData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38">
          <cell r="AA38">
            <v>35.431179953840001</v>
          </cell>
          <cell r="AB38">
            <v>7.9776710013000001</v>
          </cell>
          <cell r="AC38">
            <v>39.960761341160001</v>
          </cell>
          <cell r="AD38">
            <v>63.675419961779994</v>
          </cell>
          <cell r="AE38">
            <v>121.226862</v>
          </cell>
          <cell r="AF38">
            <v>166.254729</v>
          </cell>
          <cell r="AG38">
            <v>102.56839785676</v>
          </cell>
        </row>
        <row r="39">
          <cell r="AA39">
            <v>31.907066223779999</v>
          </cell>
          <cell r="AB39">
            <v>32.476224150699998</v>
          </cell>
          <cell r="AC39">
            <v>43.25556593116</v>
          </cell>
          <cell r="AD39">
            <v>67.293489000000008</v>
          </cell>
          <cell r="AE39">
            <v>158.68839600000001</v>
          </cell>
          <cell r="AF39">
            <v>264.017403</v>
          </cell>
          <cell r="AG39">
            <v>195.86665962335999</v>
          </cell>
        </row>
        <row r="40">
          <cell r="AA40">
            <v>25.003192872020001</v>
          </cell>
          <cell r="AB40">
            <v>31.446726135439999</v>
          </cell>
          <cell r="AC40">
            <v>40.34067468728</v>
          </cell>
          <cell r="AD40">
            <v>77.255639000000002</v>
          </cell>
          <cell r="AE40">
            <v>135.88752199999999</v>
          </cell>
          <cell r="AF40">
            <v>197.243236</v>
          </cell>
        </row>
        <row r="41">
          <cell r="Z41">
            <v>13.717806000000001</v>
          </cell>
          <cell r="AA41">
            <v>28.897444663120002</v>
          </cell>
          <cell r="AB41">
            <v>47.857403738979997</v>
          </cell>
          <cell r="AC41">
            <v>35.786749</v>
          </cell>
          <cell r="AD41">
            <v>71.860951</v>
          </cell>
          <cell r="AE41">
            <v>103.96645699999999</v>
          </cell>
          <cell r="AF41">
            <v>193.62886300000002</v>
          </cell>
        </row>
        <row r="42">
          <cell r="Z42">
            <v>22.93691939088</v>
          </cell>
          <cell r="AA42">
            <v>27.20229470816</v>
          </cell>
          <cell r="AB42">
            <v>26.550395188020001</v>
          </cell>
          <cell r="AC42">
            <v>30.984408999999999</v>
          </cell>
          <cell r="AD42">
            <v>30.751085</v>
          </cell>
          <cell r="AE42">
            <v>62.784942999999998</v>
          </cell>
          <cell r="AF42">
            <v>164.072664</v>
          </cell>
        </row>
        <row r="43">
          <cell r="Z43">
            <v>22.97415321806</v>
          </cell>
          <cell r="AA43">
            <v>47.335100600920001</v>
          </cell>
          <cell r="AB43">
            <v>32.119732687460001</v>
          </cell>
          <cell r="AC43">
            <v>35.139523999999994</v>
          </cell>
          <cell r="AD43">
            <v>76.318060000000003</v>
          </cell>
          <cell r="AE43">
            <v>140.56934700000002</v>
          </cell>
          <cell r="AF43">
            <v>170.50000399999999</v>
          </cell>
        </row>
        <row r="44">
          <cell r="Z44">
            <v>9.4971590392800014</v>
          </cell>
          <cell r="AA44">
            <v>27.694398961459999</v>
          </cell>
          <cell r="AB44">
            <v>38.59261385232</v>
          </cell>
          <cell r="AC44">
            <v>43.761764999999997</v>
          </cell>
          <cell r="AD44">
            <v>116.67876200000001</v>
          </cell>
          <cell r="AE44">
            <v>135.70073199999999</v>
          </cell>
          <cell r="AF44">
            <v>86.476101999999997</v>
          </cell>
        </row>
        <row r="45">
          <cell r="Z45">
            <v>7.5981941699400002</v>
          </cell>
          <cell r="AA45">
            <v>36.180682410620001</v>
          </cell>
          <cell r="AB45">
            <v>39.112483089900003</v>
          </cell>
          <cell r="AC45">
            <v>54.260813999999996</v>
          </cell>
          <cell r="AD45">
            <v>69.709271999999999</v>
          </cell>
          <cell r="AE45">
            <v>93.2089</v>
          </cell>
          <cell r="AF45">
            <v>189.48645000000002</v>
          </cell>
        </row>
        <row r="46">
          <cell r="Z46">
            <v>21.24846707148</v>
          </cell>
          <cell r="AA46">
            <v>54.962203952919999</v>
          </cell>
          <cell r="AB46">
            <v>34.996442117560001</v>
          </cell>
          <cell r="AC46">
            <v>71.898547000000008</v>
          </cell>
          <cell r="AD46">
            <v>107.935512</v>
          </cell>
          <cell r="AE46">
            <v>132.71839300000002</v>
          </cell>
          <cell r="AF46">
            <v>81.442381999999995</v>
          </cell>
        </row>
        <row r="47">
          <cell r="Z47">
            <v>24.702782532339999</v>
          </cell>
          <cell r="AA47">
            <v>51.163998636739997</v>
          </cell>
          <cell r="AB47">
            <v>45.790398324000002</v>
          </cell>
          <cell r="AC47">
            <v>43.048353999999996</v>
          </cell>
          <cell r="AD47">
            <v>75.708606000000003</v>
          </cell>
          <cell r="AE47">
            <v>132.696729</v>
          </cell>
          <cell r="AF47">
            <v>189.76729699999999</v>
          </cell>
        </row>
        <row r="48">
          <cell r="Z48">
            <v>29.812095204099997</v>
          </cell>
          <cell r="AA48">
            <v>29.132203623820001</v>
          </cell>
          <cell r="AB48">
            <v>38.542586615280001</v>
          </cell>
          <cell r="AC48">
            <v>67.424770999999993</v>
          </cell>
          <cell r="AD48">
            <v>73.368600999999998</v>
          </cell>
          <cell r="AE48">
            <v>116.094672</v>
          </cell>
          <cell r="AF48">
            <v>124.25082673828</v>
          </cell>
        </row>
        <row r="49">
          <cell r="Z49">
            <v>26.213829080340002</v>
          </cell>
          <cell r="AA49">
            <v>34.523714269439999</v>
          </cell>
          <cell r="AB49">
            <v>84.586798430640002</v>
          </cell>
          <cell r="AC49">
            <v>111.91224100738</v>
          </cell>
          <cell r="AD49">
            <v>110.549975</v>
          </cell>
          <cell r="AE49">
            <v>153.10229199999998</v>
          </cell>
          <cell r="AF49">
            <v>241.81523061388</v>
          </cell>
        </row>
      </sheetData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85C5C-C4A4-4BDA-B7E5-E838011AB97C}">
  <dimension ref="A1:BC225"/>
  <sheetViews>
    <sheetView tabSelected="1" zoomScale="85" zoomScaleNormal="85" workbookViewId="0">
      <pane xSplit="1" ySplit="2" topLeftCell="AH15" activePane="bottomRight" state="frozen"/>
      <selection activeCell="AL31" sqref="AL31"/>
      <selection pane="topRight" activeCell="AL31" sqref="AL31"/>
      <selection pane="bottomLeft" activeCell="AL31" sqref="AL31"/>
      <selection pane="bottomRight" activeCell="AL31" sqref="AL31"/>
    </sheetView>
  </sheetViews>
  <sheetFormatPr defaultColWidth="8.85546875" defaultRowHeight="15"/>
  <cols>
    <col min="1" max="1" width="31.85546875" customWidth="1"/>
    <col min="2" max="4" width="9.140625" customWidth="1"/>
    <col min="5" max="16" width="9.140625" style="21" customWidth="1"/>
    <col min="17" max="17" width="8.85546875" style="21"/>
    <col min="18" max="22" width="9.85546875" style="21" bestFit="1" customWidth="1"/>
    <col min="23" max="24" width="8.85546875" style="21"/>
    <col min="25" max="26" width="9.140625" style="21" bestFit="1" customWidth="1"/>
    <col min="27" max="55" width="8.85546875" style="21"/>
  </cols>
  <sheetData>
    <row r="1" spans="1:55" ht="15.75" thickBot="1">
      <c r="A1" s="1" t="s">
        <v>0</v>
      </c>
      <c r="B1" s="1"/>
      <c r="C1" s="2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 ht="15.75" thickBot="1">
      <c r="A2" s="4"/>
      <c r="B2" s="5" t="str">
        <f>'[1]Mexico Rapeseed'!F$2</f>
        <v xml:space="preserve">97/98 </v>
      </c>
      <c r="C2" s="5" t="str">
        <f>'[1]Mexico Rapeseed'!G$2</f>
        <v xml:space="preserve">98/99 </v>
      </c>
      <c r="D2" s="5" t="str">
        <f>'[1]Mexico Rapeseed'!H$2</f>
        <v xml:space="preserve">99/00 </v>
      </c>
      <c r="E2" s="5" t="str">
        <f>'[1]Mexico Rapeseed'!I$2</f>
        <v xml:space="preserve">00/01 </v>
      </c>
      <c r="F2" s="5" t="str">
        <f>'[1]Mexico Rapeseed'!J$2</f>
        <v xml:space="preserve">01/02 </v>
      </c>
      <c r="G2" s="5" t="str">
        <f>'[1]Mexico Rapeseed'!K$2</f>
        <v xml:space="preserve">02/03 </v>
      </c>
      <c r="H2" s="5" t="str">
        <f>'[1]Mexico Rapeseed'!L$2</f>
        <v xml:space="preserve">03/04 </v>
      </c>
      <c r="I2" s="5" t="str">
        <f>'[1]Mexico Rapeseed'!M$2</f>
        <v xml:space="preserve">04/05 </v>
      </c>
      <c r="J2" s="5" t="str">
        <f>'[1]Mexico Rapeseed'!N$2</f>
        <v xml:space="preserve">05/06 </v>
      </c>
      <c r="K2" s="5" t="str">
        <f>'[1]Mexico Rapeseed'!O$2</f>
        <v xml:space="preserve">06/07 </v>
      </c>
      <c r="L2" s="5" t="str">
        <f>'[1]Mexico Rapeseed'!P$2</f>
        <v xml:space="preserve">07/08 </v>
      </c>
      <c r="M2" s="5" t="str">
        <f>'[1]Mexico Rapeseed'!Q$2</f>
        <v xml:space="preserve">08/09 </v>
      </c>
      <c r="N2" s="5" t="str">
        <f>'[1]Mexico Rapeseed'!R$2</f>
        <v xml:space="preserve">09/10 </v>
      </c>
      <c r="O2" s="5" t="str">
        <f>'[1]Mexico Rapeseed'!S$2</f>
        <v xml:space="preserve">10/11 </v>
      </c>
      <c r="P2" s="5" t="str">
        <f>'[1]Mexico Rapeseed'!T$2</f>
        <v xml:space="preserve">11/12 </v>
      </c>
      <c r="Q2" s="5" t="str">
        <f>'[1]Mexico Rapeseed'!U$2</f>
        <v xml:space="preserve">12/13 </v>
      </c>
      <c r="R2" s="5" t="str">
        <f>'[1]Mexico Rapeseed'!V$2</f>
        <v xml:space="preserve">13/14 </v>
      </c>
      <c r="S2" s="5" t="str">
        <f>'[1]Mexico Rapeseed'!W$2</f>
        <v xml:space="preserve">14/15 </v>
      </c>
      <c r="T2" s="5" t="str">
        <f>'[1]Mexico Rapeseed'!X$2</f>
        <v xml:space="preserve">15/16 </v>
      </c>
      <c r="U2" s="5" t="str">
        <f>'[1]Mexico Rapeseed'!Y$2</f>
        <v xml:space="preserve">16/17 </v>
      </c>
      <c r="V2" s="5" t="str">
        <f>'[1]Mexico Rapeseed'!Z$2</f>
        <v xml:space="preserve">17/18 </v>
      </c>
      <c r="W2" s="5" t="str">
        <f>'[1]Mexico Rapeseed'!AA$2</f>
        <v xml:space="preserve">18/19 </v>
      </c>
      <c r="X2" s="5" t="str">
        <f>'[1]Mexico Rapeseed'!AB$2</f>
        <v>19/20</v>
      </c>
      <c r="Y2" s="5" t="str">
        <f>'[1]Mexico Rapeseed'!AC$2</f>
        <v>20/21</v>
      </c>
      <c r="Z2" s="5" t="str">
        <f>'[1]Mexico Rapeseed'!AD$2</f>
        <v xml:space="preserve">21/22 </v>
      </c>
      <c r="AA2" s="5" t="str">
        <f>'[1]Mexico Rapeseed'!AE$2</f>
        <v xml:space="preserve">22/23 </v>
      </c>
      <c r="AB2" s="5" t="str">
        <f>'[1]Mexico Rapeseed'!AF$2</f>
        <v xml:space="preserve">23/24 </v>
      </c>
      <c r="AC2" s="5" t="str">
        <f>'[1]Mexico Rapeseed'!AG$2</f>
        <v xml:space="preserve">24/25 </v>
      </c>
      <c r="AD2" s="5" t="str">
        <f>'[1]Mexico Rapeseed'!AH$2</f>
        <v>25/26</v>
      </c>
      <c r="AE2" s="5" t="str">
        <f>'[1]Mexico Rapeseed'!AI$2</f>
        <v>26/27</v>
      </c>
      <c r="AF2" s="5" t="str">
        <f>'[1]Mexico Rapeseed'!AJ$2</f>
        <v>27/28</v>
      </c>
      <c r="AG2" s="5" t="str">
        <f>'[1]Mexico Rapeseed'!AK$2</f>
        <v>28/29</v>
      </c>
      <c r="AH2" s="5" t="str">
        <f>'[1]Mexico Rapeseed'!AL$2</f>
        <v>29/30</v>
      </c>
      <c r="AI2" s="5" t="str">
        <f>'[1]Mexico Rapeseed'!AM$2</f>
        <v>30/31</v>
      </c>
      <c r="AJ2" s="5" t="str">
        <f>'[1]Mexico Rapeseed'!AN$2</f>
        <v>31/32</v>
      </c>
      <c r="AK2" s="5" t="str">
        <f>'[1]Mexico Rapeseed'!AO$2</f>
        <v>32/33</v>
      </c>
      <c r="AL2" s="5" t="str">
        <f>'[1]Mexico Rapeseed'!AP$2</f>
        <v>33/34</v>
      </c>
      <c r="AM2" s="5" t="str">
        <f>'[1]Mexico Rapeseed'!AQ$2</f>
        <v>34/35</v>
      </c>
      <c r="AN2" s="5" t="str">
        <f>'[1]Mexico Rapeseed'!AR$2</f>
        <v>35/36</v>
      </c>
      <c r="AO2" s="5" t="str">
        <f>'[1]Mexico Rapeseed'!AS$2</f>
        <v>36/37</v>
      </c>
      <c r="AP2" s="5" t="str">
        <f>'[1]Mexico Rapeseed'!AT$2</f>
        <v>37/38</v>
      </c>
      <c r="AQ2" s="5" t="str">
        <f>'[1]Mexico Rapeseed'!AU$2</f>
        <v>38/39</v>
      </c>
      <c r="AR2" s="5" t="str">
        <f>'[1]Mexico Rapeseed'!AV$2</f>
        <v>39/40</v>
      </c>
      <c r="AS2" s="5" t="str">
        <f>'[1]Mexico Rapeseed'!AW$2</f>
        <v>40/41</v>
      </c>
      <c r="AT2" s="5" t="str">
        <f>'[1]Mexico Rapeseed'!AX$2</f>
        <v>41/42</v>
      </c>
      <c r="AU2" s="5" t="str">
        <f>'[1]Mexico Rapeseed'!AY$2</f>
        <v>42/43</v>
      </c>
      <c r="AV2" s="5" t="str">
        <f>'[1]Mexico Rapeseed'!AZ$2</f>
        <v>43/44</v>
      </c>
      <c r="AW2" s="5" t="str">
        <f>'[1]Mexico Rapeseed'!BA$2</f>
        <v>44/45</v>
      </c>
      <c r="AX2" s="5" t="str">
        <f>'[1]Mexico Rapeseed'!BB$2</f>
        <v>45/46</v>
      </c>
      <c r="AY2" s="5" t="str">
        <f>'[1]Mexico Rapeseed'!BC$2</f>
        <v>46/47</v>
      </c>
      <c r="AZ2" s="5" t="str">
        <f>'[1]Mexico Rapeseed'!BD$2</f>
        <v>47/48</v>
      </c>
      <c r="BA2" s="5" t="str">
        <f>'[1]Mexico Rapeseed'!BE$2</f>
        <v>48/49</v>
      </c>
      <c r="BB2" s="5" t="str">
        <f>'[1]Mexico Rapeseed'!BF$2</f>
        <v>49/50</v>
      </c>
      <c r="BC2" s="5" t="str">
        <f>'[1]Mexico Rapeseed'!BG$2</f>
        <v>50/51</v>
      </c>
    </row>
    <row r="3" spans="1:55">
      <c r="A3" s="6" t="s">
        <v>1</v>
      </c>
      <c r="B3" s="6"/>
      <c r="C3" s="6"/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</row>
    <row r="4" spans="1:55">
      <c r="A4" s="6" t="s">
        <v>2</v>
      </c>
      <c r="B4" s="6"/>
      <c r="C4" s="6"/>
      <c r="D4" s="6"/>
      <c r="E4" s="7">
        <f t="shared" ref="E4:M4" si="0">E208*E224</f>
        <v>295542</v>
      </c>
      <c r="F4" s="7">
        <f t="shared" si="0"/>
        <v>295308</v>
      </c>
      <c r="G4" s="7">
        <f t="shared" si="0"/>
        <v>303732</v>
      </c>
      <c r="H4" s="7">
        <f t="shared" si="0"/>
        <v>281736</v>
      </c>
      <c r="I4" s="7">
        <f t="shared" si="0"/>
        <v>351000</v>
      </c>
      <c r="J4" s="7">
        <f t="shared" si="0"/>
        <v>343980</v>
      </c>
      <c r="K4" s="7">
        <f t="shared" si="0"/>
        <v>310986</v>
      </c>
      <c r="L4" s="7">
        <f t="shared" si="0"/>
        <v>299052</v>
      </c>
      <c r="M4" s="7">
        <f t="shared" si="0"/>
        <v>305136</v>
      </c>
      <c r="N4" s="7">
        <f>N208*N224</f>
        <v>289926</v>
      </c>
      <c r="O4" s="7">
        <v>297605.0077111494</v>
      </c>
      <c r="P4" s="7">
        <v>309443.89004808129</v>
      </c>
      <c r="Q4" s="7">
        <v>255719.85847772838</v>
      </c>
      <c r="R4" s="7">
        <v>248453.234146784</v>
      </c>
      <c r="S4" s="7">
        <v>258577.51973147056</v>
      </c>
      <c r="T4" s="7">
        <v>237267.53152499322</v>
      </c>
      <c r="U4" s="7">
        <v>252453.95990202305</v>
      </c>
      <c r="V4" s="7">
        <v>269436.63249569084</v>
      </c>
      <c r="W4" s="9">
        <v>271477.8191055067</v>
      </c>
      <c r="X4" s="9">
        <f>X224*X208</f>
        <v>314028</v>
      </c>
      <c r="Y4" s="9">
        <f>Y224*Y208</f>
        <v>307476</v>
      </c>
      <c r="Z4" s="9">
        <f>Z224*Z208</f>
        <v>332280</v>
      </c>
      <c r="AA4" s="9">
        <f>AA12/$Z$17</f>
        <v>360211.07511642034</v>
      </c>
      <c r="AB4" s="9">
        <f t="shared" ref="AB4:BC4" si="1">AB12/$Z$17</f>
        <v>380095.41269819066</v>
      </c>
      <c r="AC4" s="9">
        <f>AC12/$Z$17</f>
        <v>404918.53890306153</v>
      </c>
      <c r="AD4" s="9">
        <f t="shared" si="1"/>
        <v>428780.29339505965</v>
      </c>
      <c r="AE4" s="9">
        <f t="shared" si="1"/>
        <v>456960.97103475401</v>
      </c>
      <c r="AF4" s="9">
        <f t="shared" si="1"/>
        <v>484451.25161472277</v>
      </c>
      <c r="AG4" s="9">
        <f t="shared" si="1"/>
        <v>517330.25455658539</v>
      </c>
      <c r="AH4" s="9">
        <f t="shared" si="1"/>
        <v>558849.00302796206</v>
      </c>
      <c r="AI4" s="9">
        <f t="shared" si="1"/>
        <v>589273.61363491276</v>
      </c>
      <c r="AJ4" s="9">
        <f t="shared" si="1"/>
        <v>620526.18320232525</v>
      </c>
      <c r="AK4" s="9">
        <f t="shared" si="1"/>
        <v>653097.67943286709</v>
      </c>
      <c r="AL4" s="9">
        <f t="shared" si="1"/>
        <v>686342.73172368971</v>
      </c>
      <c r="AM4" s="9">
        <f t="shared" si="1"/>
        <v>720558.80838681059</v>
      </c>
      <c r="AN4" s="9">
        <f t="shared" si="1"/>
        <v>754995.85996232473</v>
      </c>
      <c r="AO4" s="9">
        <f t="shared" si="1"/>
        <v>788225.0467734444</v>
      </c>
      <c r="AP4" s="9">
        <f t="shared" si="1"/>
        <v>821924.58243323502</v>
      </c>
      <c r="AQ4" s="9">
        <f t="shared" si="1"/>
        <v>856033.73776444048</v>
      </c>
      <c r="AR4" s="9">
        <f t="shared" si="1"/>
        <v>890398.19666603883</v>
      </c>
      <c r="AS4" s="9">
        <f t="shared" si="1"/>
        <v>924947.01281548745</v>
      </c>
      <c r="AT4" s="9">
        <f t="shared" si="1"/>
        <v>924948.41441500117</v>
      </c>
      <c r="AU4" s="9">
        <f t="shared" si="1"/>
        <v>924949.81601451524</v>
      </c>
      <c r="AV4" s="9">
        <f t="shared" si="1"/>
        <v>924951.2176140293</v>
      </c>
      <c r="AW4" s="9">
        <f t="shared" si="1"/>
        <v>924952.61921354337</v>
      </c>
      <c r="AX4" s="9">
        <f t="shared" si="1"/>
        <v>924954.02081305743</v>
      </c>
      <c r="AY4" s="9">
        <f t="shared" si="1"/>
        <v>924955.4224125715</v>
      </c>
      <c r="AZ4" s="9">
        <f t="shared" si="1"/>
        <v>924956.82401208556</v>
      </c>
      <c r="BA4" s="9">
        <f t="shared" si="1"/>
        <v>924958.22561159974</v>
      </c>
      <c r="BB4" s="9">
        <f t="shared" si="1"/>
        <v>924959.62721111381</v>
      </c>
      <c r="BC4" s="9">
        <f t="shared" si="1"/>
        <v>924961.02881062787</v>
      </c>
    </row>
    <row r="5" spans="1:55">
      <c r="A5" s="6" t="s">
        <v>3</v>
      </c>
      <c r="B5" s="6"/>
      <c r="C5" s="6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</row>
    <row r="6" spans="1:55">
      <c r="A6" s="10" t="s">
        <v>4</v>
      </c>
      <c r="B6" s="10"/>
      <c r="C6" s="10"/>
      <c r="D6" s="10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</row>
    <row r="7" spans="1:55">
      <c r="A7" s="6" t="s">
        <v>5</v>
      </c>
      <c r="B7" s="6"/>
      <c r="C7" s="6"/>
      <c r="D7" s="6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</row>
    <row r="8" spans="1:55">
      <c r="A8" s="6" t="s">
        <v>6</v>
      </c>
      <c r="B8" s="6"/>
      <c r="C8" s="6"/>
      <c r="D8" s="6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</row>
    <row r="9" spans="1:55">
      <c r="A9" s="6" t="s">
        <v>7</v>
      </c>
      <c r="B9" s="6"/>
      <c r="C9" s="6"/>
      <c r="D9" s="6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</row>
    <row r="10" spans="1:55">
      <c r="A10" s="6" t="s">
        <v>8</v>
      </c>
      <c r="B10" s="6"/>
      <c r="C10" s="6"/>
      <c r="D10" s="6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</row>
    <row r="11" spans="1:55">
      <c r="A11" s="6" t="s">
        <v>9</v>
      </c>
      <c r="B11" s="6"/>
      <c r="C11" s="6"/>
      <c r="D11" s="6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</row>
    <row r="12" spans="1:55">
      <c r="A12" s="6" t="s">
        <v>10</v>
      </c>
      <c r="B12" s="6"/>
      <c r="C12" s="6"/>
      <c r="D12" s="6"/>
      <c r="E12" s="7">
        <f>'[2]Canada Tallow Exports'!I$289</f>
        <v>227098</v>
      </c>
      <c r="F12" s="7">
        <f>'[2]Canada Tallow Exports'!J$289</f>
        <v>252480</v>
      </c>
      <c r="G12" s="7">
        <f>'[2]Canada Tallow Exports'!K$289</f>
        <v>245241</v>
      </c>
      <c r="H12" s="7">
        <f>'[2]Canada Tallow Exports'!L$289</f>
        <v>173435</v>
      </c>
      <c r="I12" s="7">
        <f>'[2]Canada Tallow Exports'!M$289</f>
        <v>289432</v>
      </c>
      <c r="J12" s="7">
        <f>'[2]Canada Tallow Exports'!N$289</f>
        <v>230654</v>
      </c>
      <c r="K12" s="7">
        <f>'[2]Canada Tallow Exports'!O$289</f>
        <v>237722</v>
      </c>
      <c r="L12" s="7">
        <f>'[2]Canada Tallow Exports'!P$289</f>
        <v>207846</v>
      </c>
      <c r="M12" s="7">
        <f>'[2]Canada Tallow Exports'!Q$289</f>
        <v>183765</v>
      </c>
      <c r="N12" s="7">
        <f>'[2]Canada Tallow Exports'!R$289</f>
        <v>170281</v>
      </c>
      <c r="O12" s="7">
        <f>'[2]Canada Tallow Exports'!S$289</f>
        <v>181890</v>
      </c>
      <c r="P12" s="7">
        <f>'[2]Canada Tallow Exports'!T$289</f>
        <v>144744</v>
      </c>
      <c r="Q12" s="7">
        <f>'[2]Canada Tallow Exports'!U$289</f>
        <v>161878</v>
      </c>
      <c r="R12" s="7">
        <f>'[2]Canada Tallow Exports'!V$289</f>
        <v>138282</v>
      </c>
      <c r="S12" s="7">
        <f>'[2]Canada Tallow Exports'!W$289</f>
        <v>129101</v>
      </c>
      <c r="T12" s="7">
        <f>'[2]Canada Tallow Exports'!X$289</f>
        <v>128802</v>
      </c>
      <c r="U12" s="7">
        <f>'[2]Canada Tallow Exports'!Y$289</f>
        <v>158109</v>
      </c>
      <c r="V12" s="7">
        <f>'[2]Canada Tallow Exports'!Z$289</f>
        <v>145915</v>
      </c>
      <c r="W12" s="7">
        <f>'[2]Canada Tallow Exports'!AA$289</f>
        <v>169779</v>
      </c>
      <c r="X12" s="7">
        <f>'[2]Canada Tallow Exports'!AB$289</f>
        <v>196806</v>
      </c>
      <c r="Y12" s="7">
        <f>'[2]Canada Tallow Exports'!AC$289</f>
        <v>216986</v>
      </c>
      <c r="Z12" s="7">
        <f>'[2]Canada Tallow Exports'!AD$289</f>
        <v>237072</v>
      </c>
      <c r="AA12" s="9">
        <v>257000</v>
      </c>
      <c r="AB12" s="9">
        <v>271186.88960871991</v>
      </c>
      <c r="AC12" s="9">
        <v>288897.45953661553</v>
      </c>
      <c r="AD12" s="9">
        <v>305922.119043438</v>
      </c>
      <c r="AE12" s="9">
        <v>326028.20309724088</v>
      </c>
      <c r="AF12" s="9">
        <v>345641.70916939195</v>
      </c>
      <c r="AG12" s="9">
        <v>369099.91004044423</v>
      </c>
      <c r="AH12" s="9">
        <v>398722.31505310285</v>
      </c>
      <c r="AI12" s="9">
        <v>420429.37923334551</v>
      </c>
      <c r="AJ12" s="9">
        <v>442727.1677625546</v>
      </c>
      <c r="AK12" s="9">
        <v>465965.97164592717</v>
      </c>
      <c r="AL12" s="9">
        <v>489685.33795352885</v>
      </c>
      <c r="AM12" s="9">
        <v>514097.501570597</v>
      </c>
      <c r="AN12" s="9">
        <v>538667.32428370125</v>
      </c>
      <c r="AO12" s="9">
        <v>562375.37103850371</v>
      </c>
      <c r="AP12" s="9">
        <v>586418.99785305129</v>
      </c>
      <c r="AQ12" s="9">
        <v>610754.87624681427</v>
      </c>
      <c r="AR12" s="9">
        <v>635272.90622370038</v>
      </c>
      <c r="AS12" s="9">
        <v>659922.46967073926</v>
      </c>
      <c r="AT12" s="9">
        <v>659923.46967073902</v>
      </c>
      <c r="AU12" s="9">
        <v>659924.46967073902</v>
      </c>
      <c r="AV12" s="9">
        <v>659925.46967073902</v>
      </c>
      <c r="AW12" s="9">
        <v>659926.46967073902</v>
      </c>
      <c r="AX12" s="9">
        <v>659927.46967073902</v>
      </c>
      <c r="AY12" s="9">
        <v>659928.46967073902</v>
      </c>
      <c r="AZ12" s="9">
        <v>659929.46967073902</v>
      </c>
      <c r="BA12" s="9">
        <v>659930.46967073902</v>
      </c>
      <c r="BB12" s="9">
        <v>659931.46967073902</v>
      </c>
      <c r="BC12" s="9">
        <v>659932.46967073902</v>
      </c>
    </row>
    <row r="13" spans="1:55">
      <c r="A13" s="10" t="s">
        <v>11</v>
      </c>
      <c r="B13" s="10"/>
      <c r="C13" s="10"/>
      <c r="D13" s="10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</row>
    <row r="14" spans="1:55">
      <c r="A14" t="s">
        <v>12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</row>
    <row r="15" spans="1:55">
      <c r="A15" s="6" t="s">
        <v>13</v>
      </c>
      <c r="B15" s="6"/>
      <c r="C15" s="6"/>
      <c r="D15" s="6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</row>
    <row r="16" spans="1:55" ht="15.75" thickBot="1">
      <c r="A16" s="6" t="s">
        <v>14</v>
      </c>
      <c r="B16" s="6"/>
      <c r="C16" s="6"/>
      <c r="D16" s="6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</row>
    <row r="17" spans="1:55">
      <c r="A17" s="17" t="s">
        <v>15</v>
      </c>
      <c r="B17" s="17"/>
      <c r="C17" s="17"/>
      <c r="D17" s="17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9">
        <f t="shared" ref="Q17:Z17" si="2">Q12/Q4</f>
        <v>0.6330286625514403</v>
      </c>
      <c r="R17" s="19">
        <f t="shared" si="2"/>
        <v>0.55657154343301563</v>
      </c>
      <c r="S17" s="19">
        <f t="shared" si="2"/>
        <v>0.49927387397817774</v>
      </c>
      <c r="T17" s="19">
        <f t="shared" si="2"/>
        <v>0.54285556549667346</v>
      </c>
      <c r="U17" s="19">
        <f t="shared" si="2"/>
        <v>0.62628845299698144</v>
      </c>
      <c r="V17" s="19">
        <f t="shared" si="2"/>
        <v>0.54155590740740744</v>
      </c>
      <c r="W17" s="19">
        <f t="shared" si="2"/>
        <v>0.62538810927318289</v>
      </c>
      <c r="X17" s="19">
        <f t="shared" si="2"/>
        <v>0.62671481523940542</v>
      </c>
      <c r="Y17" s="19">
        <f t="shared" si="2"/>
        <v>0.70570060752709152</v>
      </c>
      <c r="Z17" s="19">
        <f t="shared" si="2"/>
        <v>0.71347056699169376</v>
      </c>
      <c r="AA17" s="19">
        <f>AA12/AA4</f>
        <v>0.71347056699169376</v>
      </c>
      <c r="AB17" s="19">
        <f t="shared" ref="AB17:BC17" si="3">AB12/AB4</f>
        <v>0.71347056699169376</v>
      </c>
      <c r="AC17" s="19">
        <f t="shared" si="3"/>
        <v>0.71347056699169376</v>
      </c>
      <c r="AD17" s="19">
        <f t="shared" si="3"/>
        <v>0.71347056699169376</v>
      </c>
      <c r="AE17" s="19">
        <f t="shared" si="3"/>
        <v>0.71347056699169376</v>
      </c>
      <c r="AF17" s="19">
        <f t="shared" si="3"/>
        <v>0.71347056699169376</v>
      </c>
      <c r="AG17" s="19">
        <f t="shared" si="3"/>
        <v>0.71347056699169376</v>
      </c>
      <c r="AH17" s="19">
        <f t="shared" si="3"/>
        <v>0.71347056699169376</v>
      </c>
      <c r="AI17" s="19">
        <f t="shared" si="3"/>
        <v>0.71347056699169376</v>
      </c>
      <c r="AJ17" s="19">
        <f t="shared" si="3"/>
        <v>0.71347056699169376</v>
      </c>
      <c r="AK17" s="19">
        <f t="shared" si="3"/>
        <v>0.71347056699169387</v>
      </c>
      <c r="AL17" s="19">
        <f t="shared" si="3"/>
        <v>0.71347056699169376</v>
      </c>
      <c r="AM17" s="19">
        <f t="shared" si="3"/>
        <v>0.71347056699169376</v>
      </c>
      <c r="AN17" s="19">
        <f t="shared" si="3"/>
        <v>0.71347056699169376</v>
      </c>
      <c r="AO17" s="19">
        <f t="shared" si="3"/>
        <v>0.71347056699169376</v>
      </c>
      <c r="AP17" s="19">
        <f t="shared" si="3"/>
        <v>0.71347056699169376</v>
      </c>
      <c r="AQ17" s="19">
        <f t="shared" si="3"/>
        <v>0.71347056699169376</v>
      </c>
      <c r="AR17" s="19">
        <f t="shared" si="3"/>
        <v>0.71347056699169376</v>
      </c>
      <c r="AS17" s="19">
        <f t="shared" si="3"/>
        <v>0.71347056699169376</v>
      </c>
      <c r="AT17" s="19">
        <f t="shared" si="3"/>
        <v>0.71347056699169376</v>
      </c>
      <c r="AU17" s="19">
        <f t="shared" si="3"/>
        <v>0.71347056699169376</v>
      </c>
      <c r="AV17" s="19">
        <f t="shared" si="3"/>
        <v>0.71347056699169376</v>
      </c>
      <c r="AW17" s="19">
        <f t="shared" si="3"/>
        <v>0.71347056699169376</v>
      </c>
      <c r="AX17" s="19">
        <f t="shared" si="3"/>
        <v>0.71347056699169376</v>
      </c>
      <c r="AY17" s="19">
        <f t="shared" si="3"/>
        <v>0.71347056699169376</v>
      </c>
      <c r="AZ17" s="19">
        <f t="shared" si="3"/>
        <v>0.71347056699169376</v>
      </c>
      <c r="BA17" s="19">
        <f t="shared" si="3"/>
        <v>0.71347056699169376</v>
      </c>
      <c r="BB17" s="19">
        <f t="shared" si="3"/>
        <v>0.71347056699169376</v>
      </c>
      <c r="BC17" s="19">
        <f t="shared" si="3"/>
        <v>0.71347056699169376</v>
      </c>
    </row>
    <row r="19" spans="1:55" ht="15.75" thickBot="1">
      <c r="A19" s="20" t="s">
        <v>16</v>
      </c>
      <c r="B19" s="20"/>
      <c r="C19" s="20"/>
      <c r="D19" s="20"/>
    </row>
    <row r="20" spans="1:55" ht="15.75" thickBot="1">
      <c r="A20" s="22"/>
      <c r="B20" s="23" t="str">
        <f>B2</f>
        <v xml:space="preserve">97/98 </v>
      </c>
      <c r="C20" s="23" t="str">
        <f>C2</f>
        <v xml:space="preserve">98/99 </v>
      </c>
      <c r="D20" s="23" t="str">
        <f>D2</f>
        <v xml:space="preserve">99/00 </v>
      </c>
      <c r="E20" s="23" t="str">
        <f>E2</f>
        <v xml:space="preserve">00/01 </v>
      </c>
      <c r="F20" s="23" t="str">
        <f t="shared" ref="F20:BC20" si="4">F2</f>
        <v xml:space="preserve">01/02 </v>
      </c>
      <c r="G20" s="23" t="str">
        <f t="shared" si="4"/>
        <v xml:space="preserve">02/03 </v>
      </c>
      <c r="H20" s="23" t="str">
        <f t="shared" si="4"/>
        <v xml:space="preserve">03/04 </v>
      </c>
      <c r="I20" s="23" t="str">
        <f t="shared" si="4"/>
        <v xml:space="preserve">04/05 </v>
      </c>
      <c r="J20" s="23" t="str">
        <f t="shared" si="4"/>
        <v xml:space="preserve">05/06 </v>
      </c>
      <c r="K20" s="23" t="str">
        <f t="shared" si="4"/>
        <v xml:space="preserve">06/07 </v>
      </c>
      <c r="L20" s="23" t="str">
        <f t="shared" si="4"/>
        <v xml:space="preserve">07/08 </v>
      </c>
      <c r="M20" s="23" t="str">
        <f t="shared" si="4"/>
        <v xml:space="preserve">08/09 </v>
      </c>
      <c r="N20" s="23" t="str">
        <f t="shared" si="4"/>
        <v xml:space="preserve">09/10 </v>
      </c>
      <c r="O20" s="23" t="str">
        <f t="shared" si="4"/>
        <v xml:space="preserve">10/11 </v>
      </c>
      <c r="P20" s="23" t="str">
        <f t="shared" si="4"/>
        <v xml:space="preserve">11/12 </v>
      </c>
      <c r="Q20" s="23" t="str">
        <f t="shared" si="4"/>
        <v xml:space="preserve">12/13 </v>
      </c>
      <c r="R20" s="23" t="str">
        <f t="shared" si="4"/>
        <v xml:space="preserve">13/14 </v>
      </c>
      <c r="S20" s="23" t="str">
        <f t="shared" si="4"/>
        <v xml:space="preserve">14/15 </v>
      </c>
      <c r="T20" s="23" t="str">
        <f t="shared" si="4"/>
        <v xml:space="preserve">15/16 </v>
      </c>
      <c r="U20" s="23" t="str">
        <f t="shared" si="4"/>
        <v xml:space="preserve">16/17 </v>
      </c>
      <c r="V20" s="23" t="str">
        <f t="shared" si="4"/>
        <v xml:space="preserve">17/18 </v>
      </c>
      <c r="W20" s="23" t="str">
        <f t="shared" si="4"/>
        <v xml:space="preserve">18/19 </v>
      </c>
      <c r="X20" s="23" t="str">
        <f t="shared" si="4"/>
        <v>19/20</v>
      </c>
      <c r="Y20" s="23" t="str">
        <f t="shared" si="4"/>
        <v>20/21</v>
      </c>
      <c r="Z20" s="23" t="str">
        <f t="shared" si="4"/>
        <v xml:space="preserve">21/22 </v>
      </c>
      <c r="AA20" s="23" t="str">
        <f t="shared" si="4"/>
        <v xml:space="preserve">22/23 </v>
      </c>
      <c r="AB20" s="23" t="str">
        <f t="shared" si="4"/>
        <v xml:space="preserve">23/24 </v>
      </c>
      <c r="AC20" s="23" t="str">
        <f t="shared" si="4"/>
        <v xml:space="preserve">24/25 </v>
      </c>
      <c r="AD20" s="23" t="str">
        <f t="shared" si="4"/>
        <v>25/26</v>
      </c>
      <c r="AE20" s="23" t="str">
        <f t="shared" si="4"/>
        <v>26/27</v>
      </c>
      <c r="AF20" s="23" t="str">
        <f t="shared" si="4"/>
        <v>27/28</v>
      </c>
      <c r="AG20" s="23" t="str">
        <f t="shared" si="4"/>
        <v>28/29</v>
      </c>
      <c r="AH20" s="23" t="str">
        <f t="shared" si="4"/>
        <v>29/30</v>
      </c>
      <c r="AI20" s="23" t="str">
        <f t="shared" si="4"/>
        <v>30/31</v>
      </c>
      <c r="AJ20" s="23" t="str">
        <f t="shared" si="4"/>
        <v>31/32</v>
      </c>
      <c r="AK20" s="23" t="str">
        <f t="shared" si="4"/>
        <v>32/33</v>
      </c>
      <c r="AL20" s="23" t="str">
        <f t="shared" si="4"/>
        <v>33/34</v>
      </c>
      <c r="AM20" s="23" t="str">
        <f t="shared" si="4"/>
        <v>34/35</v>
      </c>
      <c r="AN20" s="23" t="str">
        <f t="shared" si="4"/>
        <v>35/36</v>
      </c>
      <c r="AO20" s="23" t="str">
        <f t="shared" si="4"/>
        <v>36/37</v>
      </c>
      <c r="AP20" s="23" t="str">
        <f t="shared" si="4"/>
        <v>37/38</v>
      </c>
      <c r="AQ20" s="23" t="str">
        <f t="shared" si="4"/>
        <v>38/39</v>
      </c>
      <c r="AR20" s="23" t="str">
        <f t="shared" si="4"/>
        <v>39/40</v>
      </c>
      <c r="AS20" s="23" t="str">
        <f t="shared" si="4"/>
        <v>40/41</v>
      </c>
      <c r="AT20" s="23" t="str">
        <f t="shared" si="4"/>
        <v>41/42</v>
      </c>
      <c r="AU20" s="23" t="str">
        <f t="shared" si="4"/>
        <v>42/43</v>
      </c>
      <c r="AV20" s="23" t="str">
        <f t="shared" si="4"/>
        <v>43/44</v>
      </c>
      <c r="AW20" s="23" t="str">
        <f t="shared" si="4"/>
        <v>44/45</v>
      </c>
      <c r="AX20" s="23" t="str">
        <f t="shared" si="4"/>
        <v>45/46</v>
      </c>
      <c r="AY20" s="23" t="str">
        <f t="shared" si="4"/>
        <v>46/47</v>
      </c>
      <c r="AZ20" s="23" t="str">
        <f t="shared" si="4"/>
        <v>47/48</v>
      </c>
      <c r="BA20" s="23" t="str">
        <f t="shared" si="4"/>
        <v>48/49</v>
      </c>
      <c r="BB20" s="23" t="str">
        <f t="shared" si="4"/>
        <v>49/50</v>
      </c>
      <c r="BC20" s="23" t="str">
        <f t="shared" si="4"/>
        <v>50/51</v>
      </c>
    </row>
    <row r="21" spans="1:55">
      <c r="A21" s="20" t="s">
        <v>17</v>
      </c>
      <c r="B21" s="24">
        <f>'[3]Canada Inedible Tallow'!G30</f>
        <v>16.437481901893783</v>
      </c>
      <c r="C21" s="24">
        <f>'[3]Canada Inedible Tallow'!H30</f>
        <v>17.200027590012411</v>
      </c>
      <c r="D21" s="24">
        <f>'[3]Canada Inedible Tallow'!I30</f>
        <v>16.145834768097899</v>
      </c>
      <c r="E21" s="24">
        <f>'[3]Canada Inedible Tallow'!J30</f>
        <v>17.324517684887461</v>
      </c>
      <c r="F21" s="24">
        <f>'[3]Canada Inedible Tallow'!K30</f>
        <v>18.969420818144993</v>
      </c>
      <c r="G21" s="24">
        <f>'[3]Canada Inedible Tallow'!L30</f>
        <v>17.683828742841563</v>
      </c>
      <c r="H21" s="24">
        <f>'[3]Canada Inedible Tallow'!M30</f>
        <v>18.465742416178816</v>
      </c>
      <c r="I21" s="24">
        <f>'[3]Canada Inedible Tallow'!N30</f>
        <v>18.820609014732462</v>
      </c>
      <c r="J21" s="24">
        <f>'[3]Canada Inedible Tallow'!O30</f>
        <v>18.130981049104804</v>
      </c>
      <c r="K21" s="24">
        <f>'[3]Canada Inedible Tallow'!P30</f>
        <v>18.490420150717451</v>
      </c>
      <c r="L21" s="24">
        <f>'[3]Canada Inedible Tallow'!Q30</f>
        <v>18.927104625434623</v>
      </c>
      <c r="M21" s="24">
        <f>'[3]Canada Inedible Tallow'!R30</f>
        <v>20.852796408333106</v>
      </c>
      <c r="N21" s="24">
        <f>'[3]Canada Inedible Tallow'!S30</f>
        <v>21.158085430968725</v>
      </c>
      <c r="O21" s="24">
        <f>'[3]Canada Inedible Tallow'!T30</f>
        <v>20.999838520962683</v>
      </c>
      <c r="P21" s="24">
        <f>'[3]Canada Inedible Tallow'!U30</f>
        <v>19.957672764306373</v>
      </c>
      <c r="Q21" s="24">
        <f>'[3]Canada Inedible Tallow'!V30</f>
        <v>20.637266393799127</v>
      </c>
      <c r="R21" s="24">
        <f>'[3]Canada Inedible Tallow'!W30</f>
        <v>23.609403733663445</v>
      </c>
      <c r="S21" s="24">
        <f>'[3]Canada Inedible Tallow'!X30</f>
        <v>26.29593935008684</v>
      </c>
      <c r="T21" s="24">
        <f>'[3]Canada Inedible Tallow'!Y30</f>
        <v>21.012781691432142</v>
      </c>
      <c r="U21" s="24">
        <f>'[3]Canada Inedible Tallow'!Z30</f>
        <v>19.7258408913866</v>
      </c>
      <c r="V21" s="24">
        <f>'[3]Canada Inedible Tallow'!AA30</f>
        <v>23.011618898385819</v>
      </c>
      <c r="W21" s="24">
        <f>'[3]Canada Inedible Tallow'!AB30</f>
        <v>22.279349935175897</v>
      </c>
      <c r="X21" s="24">
        <f>'[3]Canada Inedible Tallow'!AC30</f>
        <v>26.191174618349674</v>
      </c>
      <c r="Y21" s="24">
        <f>'[3]Canada Inedible Tallow'!AD30</f>
        <v>24.929420484776941</v>
      </c>
      <c r="Z21" s="24">
        <f>'[3]Canada Inedible Tallow'!AE30</f>
        <v>26.261318092775717</v>
      </c>
      <c r="AA21" s="24">
        <f>'[3]Canada Inedible Tallow'!AF30</f>
        <v>33.256193092729269</v>
      </c>
      <c r="AB21" s="24">
        <f>'[3]Canada Inedible Tallow'!AG30</f>
        <v>35.576127869480736</v>
      </c>
      <c r="AC21" s="24">
        <f>'[3]Canada Inedible Tallow'!AH30</f>
        <v>30.53113659570058</v>
      </c>
      <c r="AD21" s="24">
        <f>'[3]Canada Inedible Tallow'!AI30</f>
        <v>22.053787887606045</v>
      </c>
      <c r="AE21" s="24">
        <f>'[3]Canada Inedible Tallow'!AJ30</f>
        <v>22.921554068387824</v>
      </c>
      <c r="AF21" s="24">
        <f>'[3]Canada Inedible Tallow'!AK30</f>
        <v>22.646749990495465</v>
      </c>
      <c r="AG21" s="24">
        <f>'[3]Canada Inedible Tallow'!AL30</f>
        <v>21.637008386393056</v>
      </c>
      <c r="AH21" s="24">
        <f>'[3]Canada Inedible Tallow'!AM30</f>
        <v>22.099700085774852</v>
      </c>
      <c r="AI21" s="24">
        <f>'[3]Canada Inedible Tallow'!AN30</f>
        <v>24.831807956261891</v>
      </c>
      <c r="AJ21" s="24">
        <f>'[3]Canada Inedible Tallow'!AO30</f>
        <v>25.36838056901513</v>
      </c>
      <c r="AK21" s="24">
        <f>'[3]Canada Inedible Tallow'!AP30</f>
        <v>26.43022616825337</v>
      </c>
      <c r="AL21" s="24">
        <f>'[3]Canada Inedible Tallow'!AQ30</f>
        <v>25.36504912096412</v>
      </c>
      <c r="AM21" s="24">
        <f>'[3]Canada Inedible Tallow'!AR30</f>
        <v>25.470032871397127</v>
      </c>
      <c r="AN21" s="24">
        <f>'[3]Canada Inedible Tallow'!AS30</f>
        <v>26.348555023811997</v>
      </c>
      <c r="AO21" s="24">
        <f>'[3]Canada Inedible Tallow'!AT30</f>
        <v>27.37374163976741</v>
      </c>
      <c r="AP21" s="24">
        <f>'[3]Canada Inedible Tallow'!AU30</f>
        <v>28.349927416525659</v>
      </c>
      <c r="AQ21" s="24">
        <f>'[3]Canada Inedible Tallow'!AV30</f>
        <v>28.406300446410345</v>
      </c>
      <c r="AR21" s="24">
        <f>'[3]Canada Inedible Tallow'!AW30</f>
        <v>27.675407241548502</v>
      </c>
      <c r="AS21" s="24">
        <f>'[3]Canada Inedible Tallow'!AX30</f>
        <v>29.265405213184895</v>
      </c>
      <c r="AT21" s="24">
        <f>'[3]Canada Inedible Tallow'!AY30</f>
        <v>29.300466883908566</v>
      </c>
      <c r="AU21" s="24">
        <f>'[3]Canada Inedible Tallow'!AZ30</f>
        <v>29.312211198962078</v>
      </c>
      <c r="AV21" s="24">
        <f>'[3]Canada Inedible Tallow'!BA30</f>
        <v>29.482331942933197</v>
      </c>
      <c r="AW21" s="24">
        <f>'[3]Canada Inedible Tallow'!BB30</f>
        <v>29.459212991433972</v>
      </c>
      <c r="AX21" s="24">
        <f>'[3]Canada Inedible Tallow'!BC30</f>
        <v>29.536369028143159</v>
      </c>
      <c r="AY21" s="24">
        <f>'[3]Canada Inedible Tallow'!BD30</f>
        <v>29.634310714224846</v>
      </c>
      <c r="AZ21" s="24">
        <f>'[3]Canada Inedible Tallow'!BE30</f>
        <v>29.748536645558847</v>
      </c>
      <c r="BA21" s="24">
        <f>'[3]Canada Inedible Tallow'!BF30</f>
        <v>29.85716307038939</v>
      </c>
      <c r="BB21" s="24">
        <f>'[3]Canada Inedible Tallow'!BG30</f>
        <v>29.957136562849119</v>
      </c>
      <c r="BC21" s="24">
        <f>'[3]Canada Inedible Tallow'!BH30</f>
        <v>29.834834781012404</v>
      </c>
    </row>
    <row r="22" spans="1:55">
      <c r="A22" s="20" t="s">
        <v>18</v>
      </c>
      <c r="B22" s="24">
        <f>'[3]Canada Inedible Tallow'!G31</f>
        <v>15.502779869114493</v>
      </c>
      <c r="C22" s="24">
        <f>'[3]Canada Inedible Tallow'!H31</f>
        <v>15.731273279072973</v>
      </c>
      <c r="D22" s="24">
        <f>'[3]Canada Inedible Tallow'!I31</f>
        <v>15.584377400471485</v>
      </c>
      <c r="E22" s="24">
        <f>'[3]Canada Inedible Tallow'!J31</f>
        <v>17.004581993569133</v>
      </c>
      <c r="F22" s="24">
        <f>'[3]Canada Inedible Tallow'!K31</f>
        <v>17.71248047214025</v>
      </c>
      <c r="G22" s="24">
        <f>'[3]Canada Inedible Tallow'!L31</f>
        <v>16.645563130624495</v>
      </c>
      <c r="H22" s="24">
        <f>'[3]Canada Inedible Tallow'!M31</f>
        <v>17.100356572645026</v>
      </c>
      <c r="I22" s="24">
        <f>'[3]Canada Inedible Tallow'!N31</f>
        <v>15.201484199572816</v>
      </c>
      <c r="J22" s="24">
        <f>'[3]Canada Inedible Tallow'!O31</f>
        <v>16.434216312428021</v>
      </c>
      <c r="K22" s="24">
        <f>'[3]Canada Inedible Tallow'!P31</f>
        <v>18.610302467224109</v>
      </c>
      <c r="L22" s="24">
        <f>'[3]Canada Inedible Tallow'!Q31</f>
        <v>19.118106627331155</v>
      </c>
      <c r="M22" s="24">
        <f>'[3]Canada Inedible Tallow'!R31</f>
        <v>19.806690574611952</v>
      </c>
      <c r="N22" s="24">
        <f>'[3]Canada Inedible Tallow'!S31</f>
        <v>18.776506483600304</v>
      </c>
      <c r="O22" s="24">
        <f>'[3]Canada Inedible Tallow'!T31</f>
        <v>18.455279774188551</v>
      </c>
      <c r="P22" s="24">
        <f>'[3]Canada Inedible Tallow'!U31</f>
        <v>19.77826053639297</v>
      </c>
      <c r="Q22" s="24">
        <f>'[3]Canada Inedible Tallow'!V31</f>
        <v>21.419308662775247</v>
      </c>
      <c r="R22" s="24">
        <f>'[3]Canada Inedible Tallow'!W31</f>
        <v>23.456574008314334</v>
      </c>
      <c r="S22" s="24">
        <f>'[3]Canada Inedible Tallow'!X31</f>
        <v>23.13396520087726</v>
      </c>
      <c r="T22" s="24">
        <f>'[3]Canada Inedible Tallow'!Y31</f>
        <v>16.608566628918091</v>
      </c>
      <c r="U22" s="24">
        <f>'[3]Canada Inedible Tallow'!Z31</f>
        <v>21.804680110032272</v>
      </c>
      <c r="V22" s="24">
        <f>'[3]Canada Inedible Tallow'!AA31</f>
        <v>25.558086575288609</v>
      </c>
      <c r="W22" s="24">
        <f>'[3]Canada Inedible Tallow'!AB31</f>
        <v>26.203452844925682</v>
      </c>
      <c r="X22" s="24">
        <f>'[3]Canada Inedible Tallow'!AC31</f>
        <v>28.477590458748089</v>
      </c>
      <c r="Y22" s="24">
        <f>'[3]Canada Inedible Tallow'!AD31</f>
        <v>28.837718142712252</v>
      </c>
      <c r="Z22" s="24">
        <f>'[3]Canada Inedible Tallow'!AE31</f>
        <v>28.845468559053455</v>
      </c>
      <c r="AA22" s="24">
        <f>'[3]Canada Inedible Tallow'!AF31</f>
        <v>36.733749480472419</v>
      </c>
      <c r="AB22" s="24">
        <f>'[3]Canada Inedible Tallow'!AG31</f>
        <v>34.28395077809374</v>
      </c>
      <c r="AC22" s="24">
        <f>'[3]Canada Inedible Tallow'!AH31</f>
        <v>30.78898323025911</v>
      </c>
      <c r="AD22" s="24">
        <f>'[3]Canada Inedible Tallow'!AI31</f>
        <v>21.813817457323864</v>
      </c>
      <c r="AE22" s="24">
        <f>'[3]Canada Inedible Tallow'!AJ31</f>
        <v>21.67130713190695</v>
      </c>
      <c r="AF22" s="24">
        <f>'[3]Canada Inedible Tallow'!AK31</f>
        <v>22.975695095021816</v>
      </c>
      <c r="AG22" s="24">
        <f>'[3]Canada Inedible Tallow'!AL31</f>
        <v>21.943330396721723</v>
      </c>
      <c r="AH22" s="24">
        <f>'[3]Canada Inedible Tallow'!AM31</f>
        <v>22.365406413482408</v>
      </c>
      <c r="AI22" s="24">
        <f>'[3]Canada Inedible Tallow'!AN31</f>
        <v>24.757464668813324</v>
      </c>
      <c r="AJ22" s="24">
        <f>'[3]Canada Inedible Tallow'!AO31</f>
        <v>25.130167519791542</v>
      </c>
      <c r="AK22" s="24">
        <f>'[3]Canada Inedible Tallow'!AP31</f>
        <v>26.218889409795754</v>
      </c>
      <c r="AL22" s="24">
        <f>'[3]Canada Inedible Tallow'!AQ31</f>
        <v>25.508627913543791</v>
      </c>
      <c r="AM22" s="24">
        <f>'[3]Canada Inedible Tallow'!AR31</f>
        <v>25.518412333728605</v>
      </c>
      <c r="AN22" s="24">
        <f>'[3]Canada Inedible Tallow'!AS31</f>
        <v>26.337248644634233</v>
      </c>
      <c r="AO22" s="24">
        <f>'[3]Canada Inedible Tallow'!AT31</f>
        <v>27.29487775276208</v>
      </c>
      <c r="AP22" s="24">
        <f>'[3]Canada Inedible Tallow'!AU31</f>
        <v>28.302272735095571</v>
      </c>
      <c r="AQ22" s="24">
        <f>'[3]Canada Inedible Tallow'!AV31</f>
        <v>28.398012446686412</v>
      </c>
      <c r="AR22" s="24">
        <f>'[3]Canada Inedible Tallow'!AW31</f>
        <v>27.702030740004417</v>
      </c>
      <c r="AS22" s="24">
        <f>'[3]Canada Inedible Tallow'!AX31</f>
        <v>29.244682361041672</v>
      </c>
      <c r="AT22" s="24">
        <f>'[3]Canada Inedible Tallow'!AY31</f>
        <v>29.272634789820906</v>
      </c>
      <c r="AU22" s="24">
        <f>'[3]Canada Inedible Tallow'!AZ31</f>
        <v>29.286525144981223</v>
      </c>
      <c r="AV22" s="24">
        <f>'[3]Canada Inedible Tallow'!BA31</f>
        <v>29.466721634107664</v>
      </c>
      <c r="AW22" s="24">
        <f>'[3]Canada Inedible Tallow'!BB31</f>
        <v>29.44881641948492</v>
      </c>
      <c r="AX22" s="24">
        <f>'[3]Canada Inedible Tallow'!BC31</f>
        <v>29.523448643281501</v>
      </c>
      <c r="AY22" s="24">
        <f>'[3]Canada Inedible Tallow'!BD31</f>
        <v>29.613245890161714</v>
      </c>
      <c r="AZ22" s="24">
        <f>'[3]Canada Inedible Tallow'!BE31</f>
        <v>29.729767430697638</v>
      </c>
      <c r="BA22" s="24">
        <f>'[3]Canada Inedible Tallow'!BF31</f>
        <v>29.83983678932422</v>
      </c>
      <c r="BB22" s="24">
        <f>'[3]Canada Inedible Tallow'!BG31</f>
        <v>29.941033802052587</v>
      </c>
      <c r="BC22" s="24">
        <f>'[3]Canada Inedible Tallow'!BH31</f>
        <v>29.81861350430993</v>
      </c>
    </row>
    <row r="23" spans="1:55">
      <c r="A23" s="20" t="s">
        <v>19</v>
      </c>
      <c r="B23" s="24">
        <f>'[3]Canada Inedible Tallow'!G32</f>
        <v>15.535964556668787</v>
      </c>
      <c r="C23" s="24">
        <f>'[3]Canada Inedible Tallow'!H32</f>
        <v>15.994895847703129</v>
      </c>
      <c r="D23" s="24">
        <f>'[3]Canada Inedible Tallow'!I32</f>
        <v>15.311519614335285</v>
      </c>
      <c r="E23" s="24">
        <f>'[3]Canada Inedible Tallow'!J32</f>
        <v>17.943060021436228</v>
      </c>
      <c r="F23" s="24">
        <f>'[3]Canada Inedible Tallow'!K32</f>
        <v>16.461305907539199</v>
      </c>
      <c r="G23" s="24">
        <f>'[3]Canada Inedible Tallow'!L32</f>
        <v>16.401265339514591</v>
      </c>
      <c r="H23" s="24">
        <f>'[3]Canada Inedible Tallow'!M32</f>
        <v>15.982722192655668</v>
      </c>
      <c r="I23" s="24">
        <f>'[3]Canada Inedible Tallow'!N32</f>
        <v>17.132844076893583</v>
      </c>
      <c r="J23" s="24">
        <f>'[3]Canada Inedible Tallow'!O32</f>
        <v>18.426070568526853</v>
      </c>
      <c r="K23" s="24">
        <f>'[3]Canada Inedible Tallow'!P32</f>
        <v>19.472313409724368</v>
      </c>
      <c r="L23" s="24">
        <f>'[3]Canada Inedible Tallow'!Q32</f>
        <v>18.497350121167418</v>
      </c>
      <c r="M23" s="24">
        <f>'[3]Canada Inedible Tallow'!R32</f>
        <v>19.806690574611952</v>
      </c>
      <c r="N23" s="24">
        <f>'[3]Canada Inedible Tallow'!S32</f>
        <v>19.259725400457665</v>
      </c>
      <c r="O23" s="24">
        <f>'[3]Canada Inedible Tallow'!T32</f>
        <v>20.14683303198726</v>
      </c>
      <c r="P23" s="24">
        <f>'[3]Canada Inedible Tallow'!U32</f>
        <v>20.548962827760153</v>
      </c>
      <c r="Q23" s="24">
        <f>'[3]Canada Inedible Tallow'!V32</f>
        <v>21.757405983105222</v>
      </c>
      <c r="R23" s="24">
        <f>'[3]Canada Inedible Tallow'!W32</f>
        <v>19.981202343215291</v>
      </c>
      <c r="S23" s="24">
        <f>'[3]Canada Inedible Tallow'!X32</f>
        <v>22.620218794568004</v>
      </c>
      <c r="T23" s="24">
        <f>'[3]Canada Inedible Tallow'!Y32</f>
        <v>19.503183774080146</v>
      </c>
      <c r="U23" s="24">
        <f>'[3]Canada Inedible Tallow'!Z32</f>
        <v>20.599967571082793</v>
      </c>
      <c r="V23" s="24">
        <f>'[3]Canada Inedible Tallow'!AA32</f>
        <v>25.379024178512044</v>
      </c>
      <c r="W23" s="24">
        <f>'[3]Canada Inedible Tallow'!AB32</f>
        <v>26.368119863135902</v>
      </c>
      <c r="X23" s="24">
        <f>'[3]Canada Inedible Tallow'!AC32</f>
        <v>27.43804496663239</v>
      </c>
      <c r="Y23" s="24">
        <f>'[3]Canada Inedible Tallow'!AD32</f>
        <v>26.928230976502356</v>
      </c>
      <c r="Z23" s="24">
        <f>'[3]Canada Inedible Tallow'!AE32</f>
        <v>27.350147857221646</v>
      </c>
      <c r="AA23" s="24">
        <f>'[3]Canada Inedible Tallow'!AF32</f>
        <v>27.760652494970152</v>
      </c>
      <c r="AB23" s="24">
        <f>'[3]Canada Inedible Tallow'!AG32</f>
        <v>33.8409267621022</v>
      </c>
      <c r="AC23" s="24">
        <f>'[3]Canada Inedible Tallow'!AH32</f>
        <v>31.945112568216288</v>
      </c>
      <c r="AD23" s="24">
        <f>'[3]Canada Inedible Tallow'!AI32</f>
        <v>20.612804378959421</v>
      </c>
      <c r="AE23" s="24">
        <f>'[3]Canada Inedible Tallow'!AJ32</f>
        <v>22.720530605705903</v>
      </c>
      <c r="AF23" s="24">
        <f>'[3]Canada Inedible Tallow'!AK32</f>
        <v>21.441095904136557</v>
      </c>
      <c r="AG23" s="24">
        <f>'[3]Canada Inedible Tallow'!AL32</f>
        <v>21.321356623113736</v>
      </c>
      <c r="AH23" s="24">
        <f>'[3]Canada Inedible Tallow'!AM32</f>
        <v>21.922381695472787</v>
      </c>
      <c r="AI23" s="24">
        <f>'[3]Canada Inedible Tallow'!AN32</f>
        <v>24.225335135303002</v>
      </c>
      <c r="AJ23" s="24">
        <f>'[3]Canada Inedible Tallow'!AO32</f>
        <v>24.69924289711015</v>
      </c>
      <c r="AK23" s="24">
        <f>'[3]Canada Inedible Tallow'!AP32</f>
        <v>25.80747169338213</v>
      </c>
      <c r="AL23" s="24">
        <f>'[3]Canada Inedible Tallow'!AQ32</f>
        <v>24.808494662356992</v>
      </c>
      <c r="AM23" s="24">
        <f>'[3]Canada Inedible Tallow'!AR32</f>
        <v>24.990293883495461</v>
      </c>
      <c r="AN23" s="24">
        <f>'[3]Canada Inedible Tallow'!AS32</f>
        <v>25.738983630563364</v>
      </c>
      <c r="AO23" s="24">
        <f>'[3]Canada Inedible Tallow'!AT32</f>
        <v>26.747961010705975</v>
      </c>
      <c r="AP23" s="24">
        <f>'[3]Canada Inedible Tallow'!AU32</f>
        <v>27.729242187618656</v>
      </c>
      <c r="AQ23" s="24">
        <f>'[3]Canada Inedible Tallow'!AV32</f>
        <v>27.808829964479063</v>
      </c>
      <c r="AR23" s="24">
        <f>'[3]Canada Inedible Tallow'!AW32</f>
        <v>27.080757778504708</v>
      </c>
      <c r="AS23" s="24">
        <f>'[3]Canada Inedible Tallow'!AX32</f>
        <v>28.621871238525362</v>
      </c>
      <c r="AT23" s="24">
        <f>'[3]Canada Inedible Tallow'!AY32</f>
        <v>28.649292960763216</v>
      </c>
      <c r="AU23" s="24">
        <f>'[3]Canada Inedible Tallow'!AZ32</f>
        <v>28.672742765300914</v>
      </c>
      <c r="AV23" s="24">
        <f>'[3]Canada Inedible Tallow'!BA32</f>
        <v>28.840292579108414</v>
      </c>
      <c r="AW23" s="24">
        <f>'[3]Canada Inedible Tallow'!BB32</f>
        <v>28.819150292915712</v>
      </c>
      <c r="AX23" s="24">
        <f>'[3]Canada Inedible Tallow'!BC32</f>
        <v>28.887808718891002</v>
      </c>
      <c r="AY23" s="24">
        <f>'[3]Canada Inedible Tallow'!BD32</f>
        <v>28.984353925502479</v>
      </c>
      <c r="AZ23" s="24">
        <f>'[3]Canada Inedible Tallow'!BE32</f>
        <v>29.097410292275349</v>
      </c>
      <c r="BA23" s="24">
        <f>'[3]Canada Inedible Tallow'!BF32</f>
        <v>29.204871575526798</v>
      </c>
      <c r="BB23" s="24">
        <f>'[3]Canada Inedible Tallow'!BG32</f>
        <v>29.301963187751312</v>
      </c>
      <c r="BC23" s="24">
        <f>'[3]Canada Inedible Tallow'!BH32</f>
        <v>29.181875475173047</v>
      </c>
    </row>
    <row r="24" spans="1:55">
      <c r="A24" s="20" t="s">
        <v>20</v>
      </c>
      <c r="B24" s="24">
        <f>'[3]Canada Inedible Tallow'!H21</f>
        <v>15.795833908125259</v>
      </c>
      <c r="C24" s="24">
        <f>'[3]Canada Inedible Tallow'!I21</f>
        <v>16.124845707625887</v>
      </c>
      <c r="D24" s="24">
        <f>'[3]Canada Inedible Tallow'!J21</f>
        <v>15.682181136120045</v>
      </c>
      <c r="E24" s="24">
        <f>'[3]Canada Inedible Tallow'!K21</f>
        <v>17.107073424752645</v>
      </c>
      <c r="F24" s="24">
        <f>'[3]Canada Inedible Tallow'!L21</f>
        <v>18.033618761930736</v>
      </c>
      <c r="G24" s="24">
        <f>'[3]Canada Inedible Tallow'!M21</f>
        <v>17.672937732836616</v>
      </c>
      <c r="H24" s="24">
        <f>'[3]Canada Inedible Tallow'!N21</f>
        <v>17.370639136864014</v>
      </c>
      <c r="I24" s="24">
        <f>'[3]Canada Inedible Tallow'!O21</f>
        <v>17.586200397864097</v>
      </c>
      <c r="J24" s="24">
        <f>'[3]Canada Inedible Tallow'!P21</f>
        <v>18.233529472488897</v>
      </c>
      <c r="K24" s="24">
        <f>'[3]Canada Inedible Tallow'!Q21</f>
        <v>20.311869139184491</v>
      </c>
      <c r="L24" s="24">
        <f>'[3]Canada Inedible Tallow'!R21</f>
        <v>19.201713706917793</v>
      </c>
      <c r="M24" s="24">
        <f>'[3]Canada Inedible Tallow'!S21</f>
        <v>19.577269260106792</v>
      </c>
      <c r="N24" s="24">
        <f>'[3]Canada Inedible Tallow'!T21</f>
        <v>19.975433145153772</v>
      </c>
      <c r="O24" s="24">
        <f>'[3]Canada Inedible Tallow'!U21</f>
        <v>19.01112410315978</v>
      </c>
      <c r="P24" s="24">
        <f>'[3]Canada Inedible Tallow'!V21</f>
        <v>20.956098215540568</v>
      </c>
      <c r="Q24" s="24">
        <f>'[3]Canada Inedible Tallow'!W21</f>
        <v>24.335798302284605</v>
      </c>
      <c r="R24" s="24">
        <f>'[3]Canada Inedible Tallow'!X21</f>
        <v>24.881816949519905</v>
      </c>
      <c r="S24" s="24">
        <f>'[3]Canada Inedible Tallow'!Y21</f>
        <v>18.995815262868192</v>
      </c>
      <c r="T24" s="24">
        <f>'[3]Canada Inedible Tallow'!Z21</f>
        <v>19.853656903794789</v>
      </c>
      <c r="U24" s="24">
        <f>'[3]Canada Inedible Tallow'!AA21</f>
        <v>24.388847910416384</v>
      </c>
      <c r="V24" s="24">
        <f>'[3]Canada Inedible Tallow'!AB21</f>
        <v>24.004692551373598</v>
      </c>
      <c r="W24" s="24">
        <f>'[3]Canada Inedible Tallow'!AC21</f>
        <v>26.033348064437799</v>
      </c>
      <c r="X24" s="24">
        <f>'[3]Canada Inedible Tallow'!AD21</f>
        <v>25.030258475951328</v>
      </c>
      <c r="Y24" s="24">
        <f>'[3]Canada Inedible Tallow'!AE21</f>
        <v>27.826762612312038</v>
      </c>
      <c r="Z24" s="24">
        <f>'[3]Canada Inedible Tallow'!AF21</f>
        <v>25.605374572679796</v>
      </c>
      <c r="AA24" s="24">
        <f>'[3]Canada Inedible Tallow'!AG21</f>
        <v>31.244716873483863</v>
      </c>
      <c r="AB24" s="24">
        <f>'[3]Canada Inedible Tallow'!AH21</f>
        <v>29.706853858239345</v>
      </c>
      <c r="AC24" s="24">
        <f>'[3]Canada Inedible Tallow'!AI21</f>
        <v>20.639369119249626</v>
      </c>
      <c r="AD24" s="24">
        <f>'[3]Canada Inedible Tallow'!AJ21</f>
        <v>21.046618673434832</v>
      </c>
      <c r="AE24" s="24">
        <f>'[3]Canada Inedible Tallow'!AK21</f>
        <v>20.075451144005861</v>
      </c>
      <c r="AF24" s="24">
        <f>'[3]Canada Inedible Tallow'!AL21</f>
        <v>19.717086563495336</v>
      </c>
      <c r="AG24" s="24">
        <f>'[3]Canada Inedible Tallow'!AM21</f>
        <v>20.606239698657376</v>
      </c>
      <c r="AH24" s="24">
        <f>'[3]Canada Inedible Tallow'!AN21</f>
        <v>22.801428736577169</v>
      </c>
      <c r="AI24" s="24">
        <f>'[3]Canada Inedible Tallow'!AO21</f>
        <v>23.205196377649067</v>
      </c>
      <c r="AJ24" s="24">
        <f>'[3]Canada Inedible Tallow'!AP21</f>
        <v>24.117998627300125</v>
      </c>
      <c r="AK24" s="24">
        <f>'[3]Canada Inedible Tallow'!AQ21</f>
        <v>23.180384471448487</v>
      </c>
      <c r="AL24" s="24">
        <f>'[3]Canada Inedible Tallow'!AR21</f>
        <v>23.387896309614824</v>
      </c>
      <c r="AM24" s="24">
        <f>'[3]Canada Inedible Tallow'!AS21</f>
        <v>24.157881934553473</v>
      </c>
      <c r="AN24" s="24">
        <f>'[3]Canada Inedible Tallow'!AT21</f>
        <v>25.067497608301402</v>
      </c>
      <c r="AO24" s="24">
        <f>'[3]Canada Inedible Tallow'!AU21</f>
        <v>25.969130268121351</v>
      </c>
      <c r="AP24" s="24">
        <f>'[3]Canada Inedible Tallow'!AV21</f>
        <v>26.0273995233614</v>
      </c>
      <c r="AQ24" s="24">
        <f>'[3]Canada Inedible Tallow'!AW21</f>
        <v>25.363335381763363</v>
      </c>
      <c r="AR24" s="24">
        <f>'[3]Canada Inedible Tallow'!AX21</f>
        <v>26.82042826061662</v>
      </c>
      <c r="AS24" s="24">
        <f>'[3]Canada Inedible Tallow'!AY21</f>
        <v>26.843674294470929</v>
      </c>
      <c r="AT24" s="24">
        <f>'[3]Canada Inedible Tallow'!AZ21</f>
        <v>26.855855083740785</v>
      </c>
      <c r="AU24" s="24">
        <f>'[3]Canada Inedible Tallow'!BA21</f>
        <v>27.013415434414334</v>
      </c>
      <c r="AV24" s="24">
        <f>'[3]Canada Inedible Tallow'!BB21</f>
        <v>26.993869092300812</v>
      </c>
      <c r="AW24" s="24">
        <f>'[3]Canada Inedible Tallow'!BC21</f>
        <v>27.06316996513748</v>
      </c>
      <c r="AX24" s="24">
        <f>'[3]Canada Inedible Tallow'!BD21</f>
        <v>27.152504570141325</v>
      </c>
      <c r="AY24" s="24">
        <f>'[3]Canada Inedible Tallow'!BE21</f>
        <v>27.256825099976911</v>
      </c>
      <c r="AZ24" s="24">
        <f>'[3]Canada Inedible Tallow'!BF21</f>
        <v>27.356842089173895</v>
      </c>
      <c r="BA24" s="24">
        <f>'[3]Canada Inedible Tallow'!BG21</f>
        <v>27.44848818088461</v>
      </c>
      <c r="BB24" s="24">
        <f>'[3]Canada Inedible Tallow'!BH21</f>
        <v>27.336439074556921</v>
      </c>
      <c r="BC24" s="24">
        <f>'[3]Canada Inedible Tallow'!BI21</f>
        <v>0</v>
      </c>
    </row>
    <row r="25" spans="1:55">
      <c r="A25" s="20" t="s">
        <v>21</v>
      </c>
      <c r="B25" s="24">
        <f>'[3]Canada Inedible Tallow'!H22</f>
        <v>15.499931024968962</v>
      </c>
      <c r="C25" s="24">
        <f>'[3]Canada Inedible Tallow'!I22</f>
        <v>15.647344581887532</v>
      </c>
      <c r="D25" s="24">
        <f>'[3]Canada Inedible Tallow'!J22</f>
        <v>16.641988210075031</v>
      </c>
      <c r="E25" s="24">
        <f>'[3]Canada Inedible Tallow'!K22</f>
        <v>15.694456980848228</v>
      </c>
      <c r="F25" s="24">
        <f>'[3]Canada Inedible Tallow'!L22</f>
        <v>17.017562039814567</v>
      </c>
      <c r="G25" s="24">
        <f>'[3]Canada Inedible Tallow'!M22</f>
        <v>15.674409260244811</v>
      </c>
      <c r="H25" s="24">
        <f>'[3]Canada Inedible Tallow'!N22</f>
        <v>17.237241908100113</v>
      </c>
      <c r="I25" s="24">
        <f>'[3]Canada Inedible Tallow'!O22</f>
        <v>16.831452203957703</v>
      </c>
      <c r="J25" s="24">
        <f>'[3]Canada Inedible Tallow'!P22</f>
        <v>16.418168679673787</v>
      </c>
      <c r="K25" s="24">
        <f>'[3]Canada Inedible Tallow'!Q22</f>
        <v>18.676414497945419</v>
      </c>
      <c r="L25" s="24">
        <f>'[3]Canada Inedible Tallow'!R22</f>
        <v>18.981149223904296</v>
      </c>
      <c r="M25" s="24">
        <f>'[3]Canada Inedible Tallow'!S22</f>
        <v>18.955987795575901</v>
      </c>
      <c r="N25" s="24">
        <f>'[3]Canada Inedible Tallow'!T22</f>
        <v>18.424860730988478</v>
      </c>
      <c r="O25" s="24">
        <f>'[3]Canada Inedible Tallow'!U22</f>
        <v>18.761722647631135</v>
      </c>
      <c r="P25" s="24">
        <f>'[3]Canada Inedible Tallow'!V22</f>
        <v>21.028983579811854</v>
      </c>
      <c r="Q25" s="24">
        <f>'[3]Canada Inedible Tallow'!W22</f>
        <v>18.484374849866558</v>
      </c>
      <c r="R25" s="24">
        <f>'[3]Canada Inedible Tallow'!X22</f>
        <v>18.935348973189864</v>
      </c>
      <c r="S25" s="24">
        <f>'[3]Canada Inedible Tallow'!Y22</f>
        <v>16.762066353656756</v>
      </c>
      <c r="T25" s="24">
        <f>'[3]Canada Inedible Tallow'!Z22</f>
        <v>20.15777581098375</v>
      </c>
      <c r="U25" s="24">
        <f>'[3]Canada Inedible Tallow'!AA22</f>
        <v>26.979515556198585</v>
      </c>
      <c r="V25" s="24">
        <f>'[3]Canada Inedible Tallow'!AB22</f>
        <v>26.273094627330792</v>
      </c>
      <c r="W25" s="24">
        <f>'[3]Canada Inedible Tallow'!AC22</f>
        <v>27.067781436812396</v>
      </c>
      <c r="X25" s="24">
        <f>'[3]Canada Inedible Tallow'!AD22</f>
        <v>27.581349586006329</v>
      </c>
      <c r="Y25" s="24">
        <f>'[3]Canada Inedible Tallow'!AE22</f>
        <v>30.007107294753713</v>
      </c>
      <c r="Z25" s="24">
        <f>'[3]Canada Inedible Tallow'!AF22</f>
        <v>28.930954988549811</v>
      </c>
      <c r="AA25" s="24">
        <f>'[3]Canada Inedible Tallow'!AG22</f>
        <v>34.82324312554136</v>
      </c>
      <c r="AB25" s="24">
        <f>'[3]Canada Inedible Tallow'!AH22</f>
        <v>33.325740504134224</v>
      </c>
      <c r="AC25" s="24">
        <f>'[3]Canada Inedible Tallow'!AI22</f>
        <v>20.758550858817092</v>
      </c>
      <c r="AD25" s="24">
        <f>'[3]Canada Inedible Tallow'!AJ22</f>
        <v>23.408944981712043</v>
      </c>
      <c r="AE25" s="24">
        <f>'[3]Canada Inedible Tallow'!AK22</f>
        <v>21.918631811971053</v>
      </c>
      <c r="AF25" s="24">
        <f>'[3]Canada Inedible Tallow'!AL22</f>
        <v>21.7045170523207</v>
      </c>
      <c r="AG25" s="24">
        <f>'[3]Canada Inedible Tallow'!AM22</f>
        <v>22.265383500419443</v>
      </c>
      <c r="AH25" s="24">
        <f>'[3]Canada Inedible Tallow'!AN22</f>
        <v>24.886476592890165</v>
      </c>
      <c r="AI25" s="24">
        <f>'[3]Canada Inedible Tallow'!AO22</f>
        <v>25.029638807032768</v>
      </c>
      <c r="AJ25" s="24">
        <f>'[3]Canada Inedible Tallow'!AP22</f>
        <v>26.386373405484896</v>
      </c>
      <c r="AK25" s="24">
        <f>'[3]Canada Inedible Tallow'!AQ22</f>
        <v>25.277646378355051</v>
      </c>
      <c r="AL25" s="24">
        <f>'[3]Canada Inedible Tallow'!AR22</f>
        <v>25.495228664665071</v>
      </c>
      <c r="AM25" s="24">
        <f>'[3]Canada Inedible Tallow'!AS22</f>
        <v>26.282922060537281</v>
      </c>
      <c r="AN25" s="24">
        <f>'[3]Canada Inedible Tallow'!AT22</f>
        <v>27.302658705073217</v>
      </c>
      <c r="AO25" s="24">
        <f>'[3]Canada Inedible Tallow'!AU22</f>
        <v>28.262626411549121</v>
      </c>
      <c r="AP25" s="24">
        <f>'[3]Canada Inedible Tallow'!AV22</f>
        <v>28.385030890268258</v>
      </c>
      <c r="AQ25" s="24">
        <f>'[3]Canada Inedible Tallow'!AW22</f>
        <v>27.625856799408165</v>
      </c>
      <c r="AR25" s="24">
        <f>'[3]Canada Inedible Tallow'!AX22</f>
        <v>29.213083263804748</v>
      </c>
      <c r="AS25" s="24">
        <f>'[3]Canada Inedible Tallow'!AY22</f>
        <v>29.234598713739938</v>
      </c>
      <c r="AT25" s="24">
        <f>'[3]Canada Inedible Tallow'!AZ22</f>
        <v>29.25434405996684</v>
      </c>
      <c r="AU25" s="24">
        <f>'[3]Canada Inedible Tallow'!BA22</f>
        <v>29.427118215333394</v>
      </c>
      <c r="AV25" s="24">
        <f>'[3]Canada Inedible Tallow'!BB22</f>
        <v>29.409341043252503</v>
      </c>
      <c r="AW25" s="24">
        <f>'[3]Canada Inedible Tallow'!BC22</f>
        <v>29.477826983069225</v>
      </c>
      <c r="AX25" s="24">
        <f>'[3]Canada Inedible Tallow'!BD22</f>
        <v>29.576684362605096</v>
      </c>
      <c r="AY25" s="24">
        <f>'[3]Canada Inedible Tallow'!BE22</f>
        <v>29.690423543384608</v>
      </c>
      <c r="AZ25" s="24">
        <f>'[3]Canada Inedible Tallow'!BF22</f>
        <v>29.800512523290447</v>
      </c>
      <c r="BA25" s="24">
        <f>'[3]Canada Inedible Tallow'!BG22</f>
        <v>29.900297067886935</v>
      </c>
      <c r="BB25" s="24">
        <f>'[3]Canada Inedible Tallow'!BH22</f>
        <v>29.777994925912257</v>
      </c>
      <c r="BC25" s="24">
        <f>'[3]Canada Inedible Tallow'!BI22</f>
        <v>0</v>
      </c>
    </row>
    <row r="26" spans="1:55">
      <c r="A26" s="20" t="s">
        <v>22</v>
      </c>
      <c r="B26" s="24">
        <f>'[3]Canada Inedible Tallow'!H23</f>
        <v>17.070906331907846</v>
      </c>
      <c r="C26" s="24">
        <f>'[3]Canada Inedible Tallow'!I23</f>
        <v>17.226771382406696</v>
      </c>
      <c r="D26" s="24">
        <f>'[3]Canada Inedible Tallow'!J23</f>
        <v>17.276527331189712</v>
      </c>
      <c r="E26" s="24">
        <f>'[3]Canada Inedible Tallow'!K23</f>
        <v>16.063466990684486</v>
      </c>
      <c r="F26" s="24">
        <f>'[3]Canada Inedible Tallow'!L23</f>
        <v>16.01816198527407</v>
      </c>
      <c r="G26" s="24">
        <f>'[3]Canada Inedible Tallow'!M23</f>
        <v>16.764515699840342</v>
      </c>
      <c r="H26" s="24">
        <f>'[3]Canada Inedible Tallow'!N23</f>
        <v>19.464395640506055</v>
      </c>
      <c r="I26" s="24">
        <f>'[3]Canada Inedible Tallow'!O23</f>
        <v>18.567940529787453</v>
      </c>
      <c r="J26" s="24">
        <f>'[3]Canada Inedible Tallow'!P23</f>
        <v>19.55223495406214</v>
      </c>
      <c r="K26" s="24">
        <f>'[3]Canada Inedible Tallow'!Q23</f>
        <v>19.661268570224422</v>
      </c>
      <c r="L26" s="24">
        <f>'[3]Canada Inedible Tallow'!R23</f>
        <v>19.44118371704673</v>
      </c>
      <c r="M26" s="24">
        <f>'[3]Canada Inedible Tallow'!S23</f>
        <v>20.357322654462244</v>
      </c>
      <c r="N26" s="24">
        <f>'[3]Canada Inedible Tallow'!T23</f>
        <v>21.542296518386486</v>
      </c>
      <c r="O26" s="24">
        <f>'[3]Canada Inedible Tallow'!U23</f>
        <v>21.2708437231544</v>
      </c>
      <c r="P26" s="24">
        <f>'[3]Canada Inedible Tallow'!V23</f>
        <v>22.293565771001525</v>
      </c>
      <c r="Q26" s="24">
        <f>'[3]Canada Inedible Tallow'!W23</f>
        <v>20.222651757213001</v>
      </c>
      <c r="R26" s="24">
        <f>'[3]Canada Inedible Tallow'!X23</f>
        <v>20.320327758768293</v>
      </c>
      <c r="S26" s="24">
        <f>'[3]Canada Inedible Tallow'!Y23</f>
        <v>18.307211627248879</v>
      </c>
      <c r="T26" s="24">
        <f>'[3]Canada Inedible Tallow'!Z23</f>
        <v>20.592723229189847</v>
      </c>
      <c r="U26" s="24">
        <f>'[3]Canada Inedible Tallow'!AA23</f>
        <v>25.972936008975825</v>
      </c>
      <c r="V26" s="24">
        <f>'[3]Canada Inedible Tallow'!AB23</f>
        <v>27.826122646409303</v>
      </c>
      <c r="W26" s="24">
        <f>'[3]Canada Inedible Tallow'!AC23</f>
        <v>27.262366566005543</v>
      </c>
      <c r="X26" s="24">
        <f>'[3]Canada Inedible Tallow'!AD23</f>
        <v>28.503030838671648</v>
      </c>
      <c r="Y26" s="24">
        <f>'[3]Canada Inedible Tallow'!AE23</f>
        <v>37.744480523653401</v>
      </c>
      <c r="Z26" s="24">
        <f>'[3]Canada Inedible Tallow'!AF23</f>
        <v>30.506137806428715</v>
      </c>
      <c r="AA26" s="24">
        <f>'[3]Canada Inedible Tallow'!AG23</f>
        <v>33.701408815725934</v>
      </c>
      <c r="AB26" s="24">
        <f>'[3]Canada Inedible Tallow'!AH23</f>
        <v>34.167898558042687</v>
      </c>
      <c r="AC26" s="24">
        <f>'[3]Canada Inedible Tallow'!AI23</f>
        <v>21.082611177850289</v>
      </c>
      <c r="AD26" s="24">
        <f>'[3]Canada Inedible Tallow'!AJ23</f>
        <v>24.870024747741031</v>
      </c>
      <c r="AE26" s="24">
        <f>'[3]Canada Inedible Tallow'!AK23</f>
        <v>23.335160190459881</v>
      </c>
      <c r="AF26" s="24">
        <f>'[3]Canada Inedible Tallow'!AL23</f>
        <v>22.070239032599623</v>
      </c>
      <c r="AG26" s="24">
        <f>'[3]Canada Inedible Tallow'!AM23</f>
        <v>22.62958794230283</v>
      </c>
      <c r="AH26" s="24">
        <f>'[3]Canada Inedible Tallow'!AN23</f>
        <v>25.207779665381956</v>
      </c>
      <c r="AI26" s="24">
        <f>'[3]Canada Inedible Tallow'!AO23</f>
        <v>25.878836082747803</v>
      </c>
      <c r="AJ26" s="24">
        <f>'[3]Canada Inedible Tallow'!AP23</f>
        <v>27.326091696656722</v>
      </c>
      <c r="AK26" s="24">
        <f>'[3]Canada Inedible Tallow'!AQ23</f>
        <v>25.95263829813333</v>
      </c>
      <c r="AL26" s="24">
        <f>'[3]Canada Inedible Tallow'!AR23</f>
        <v>26.105809227447775</v>
      </c>
      <c r="AM26" s="24">
        <f>'[3]Canada Inedible Tallow'!AS23</f>
        <v>26.957735955817181</v>
      </c>
      <c r="AN26" s="24">
        <f>'[3]Canada Inedible Tallow'!AT23</f>
        <v>27.994013098255447</v>
      </c>
      <c r="AO26" s="24">
        <f>'[3]Canada Inedible Tallow'!AU23</f>
        <v>29.070264515747677</v>
      </c>
      <c r="AP26" s="24">
        <f>'[3]Canada Inedible Tallow'!AV23</f>
        <v>29.144704929430606</v>
      </c>
      <c r="AQ26" s="24">
        <f>'[3]Canada Inedible Tallow'!AW23</f>
        <v>28.346342476409063</v>
      </c>
      <c r="AR26" s="24">
        <f>'[3]Canada Inedible Tallow'!AX23</f>
        <v>29.977142917805363</v>
      </c>
      <c r="AS26" s="24">
        <f>'[3]Canada Inedible Tallow'!AY23</f>
        <v>30.006931091354911</v>
      </c>
      <c r="AT26" s="24">
        <f>'[3]Canada Inedible Tallow'!AZ23</f>
        <v>30.031473158372055</v>
      </c>
      <c r="AU26" s="24">
        <f>'[3]Canada Inedible Tallow'!BA23</f>
        <v>30.215443832601661</v>
      </c>
      <c r="AV26" s="24">
        <f>'[3]Canada Inedible Tallow'!BB23</f>
        <v>30.185973374340882</v>
      </c>
      <c r="AW26" s="24">
        <f>'[3]Canada Inedible Tallow'!BC23</f>
        <v>30.256797866737479</v>
      </c>
      <c r="AX26" s="24">
        <f>'[3]Canada Inedible Tallow'!BD23</f>
        <v>30.359637647758106</v>
      </c>
      <c r="AY26" s="24">
        <f>'[3]Canada Inedible Tallow'!BE23</f>
        <v>30.477963269007052</v>
      </c>
      <c r="AZ26" s="24">
        <f>'[3]Canada Inedible Tallow'!BF23</f>
        <v>30.591592346410305</v>
      </c>
      <c r="BA26" s="24">
        <f>'[3]Canada Inedible Tallow'!BG23</f>
        <v>30.693507075781643</v>
      </c>
      <c r="BB26" s="24">
        <f>'[3]Canada Inedible Tallow'!BH23</f>
        <v>30.566538197733017</v>
      </c>
      <c r="BC26" s="24">
        <f>'[3]Canada Inedible Tallow'!BI23</f>
        <v>0</v>
      </c>
    </row>
    <row r="27" spans="1:55">
      <c r="A27" s="20" t="s">
        <v>23</v>
      </c>
      <c r="B27" s="24">
        <f>'[3]Canada Inedible Tallow'!H24</f>
        <v>16.640502138225962</v>
      </c>
      <c r="C27" s="24">
        <f>'[3]Canada Inedible Tallow'!I24</f>
        <v>16.917182740444467</v>
      </c>
      <c r="D27" s="24">
        <f>'[3]Canada Inedible Tallow'!J24</f>
        <v>14.210476956055738</v>
      </c>
      <c r="E27" s="24">
        <f>'[3]Canada Inedible Tallow'!K24</f>
        <v>14.800760863276047</v>
      </c>
      <c r="F27" s="24">
        <f>'[3]Canada Inedible Tallow'!L24</f>
        <v>16.556727570220893</v>
      </c>
      <c r="G27" s="24">
        <f>'[3]Canada Inedible Tallow'!M24</f>
        <v>16.714965407131455</v>
      </c>
      <c r="H27" s="24">
        <f>'[3]Canada Inedible Tallow'!N24</f>
        <v>17.011046607152636</v>
      </c>
      <c r="I27" s="24">
        <f>'[3]Canada Inedible Tallow'!O24</f>
        <v>16.905224583813212</v>
      </c>
      <c r="J27" s="24">
        <f>'[3]Canada Inedible Tallow'!P24</f>
        <v>16.949076081346128</v>
      </c>
      <c r="K27" s="24">
        <f>'[3]Canada Inedible Tallow'!Q24</f>
        <v>17.954188178274155</v>
      </c>
      <c r="L27" s="24">
        <f>'[3]Canada Inedible Tallow'!R24</f>
        <v>19.655446357688412</v>
      </c>
      <c r="M27" s="24">
        <f>'[3]Canada Inedible Tallow'!S24</f>
        <v>19.749847444698709</v>
      </c>
      <c r="N27" s="24">
        <f>'[3]Canada Inedible Tallow'!T24</f>
        <v>19.153153925931658</v>
      </c>
      <c r="O27" s="24">
        <f>'[3]Canada Inedible Tallow'!U24</f>
        <v>18.820134525880128</v>
      </c>
      <c r="P27" s="24">
        <f>'[3]Canada Inedible Tallow'!V24</f>
        <v>18.495664569319633</v>
      </c>
      <c r="Q27" s="24">
        <f>'[3]Canada Inedible Tallow'!W24</f>
        <v>21.354609967961881</v>
      </c>
      <c r="R27" s="24">
        <f>'[3]Canada Inedible Tallow'!X24</f>
        <v>22.382086808131547</v>
      </c>
      <c r="S27" s="24">
        <f>'[3]Canada Inedible Tallow'!Y24</f>
        <v>18.077940879499849</v>
      </c>
      <c r="T27" s="24">
        <f>'[3]Canada Inedible Tallow'!Z24</f>
        <v>19.755822425161362</v>
      </c>
      <c r="U27" s="24">
        <f>'[3]Canada Inedible Tallow'!AA24</f>
        <v>23.401257380902326</v>
      </c>
      <c r="V27" s="24">
        <f>'[3]Canada Inedible Tallow'!AB24</f>
        <v>24.814847772390092</v>
      </c>
      <c r="W27" s="24">
        <f>'[3]Canada Inedible Tallow'!AC24</f>
        <v>24.873627186027242</v>
      </c>
      <c r="X27" s="24">
        <f>'[3]Canada Inedible Tallow'!AD24</f>
        <v>19.211288318576536</v>
      </c>
      <c r="Y27" s="24">
        <f>'[3]Canada Inedible Tallow'!AE24</f>
        <v>37.968897395335183</v>
      </c>
      <c r="Z27" s="24">
        <f>'[3]Canada Inedible Tallow'!AF24</f>
        <v>28.557772787622692</v>
      </c>
      <c r="AA27" s="24">
        <f>'[3]Canada Inedible Tallow'!AG24</f>
        <v>29.506480705409182</v>
      </c>
      <c r="AB27" s="24">
        <f>'[3]Canada Inedible Tallow'!AH24</f>
        <v>29.966238154427739</v>
      </c>
      <c r="AC27" s="24">
        <f>'[3]Canada Inedible Tallow'!AI24</f>
        <v>20.915753338356236</v>
      </c>
      <c r="AD27" s="24">
        <f>'[3]Canada Inedible Tallow'!AJ24</f>
        <v>21.699296827828949</v>
      </c>
      <c r="AE27" s="24">
        <f>'[3]Canada Inedible Tallow'!AK24</f>
        <v>21.840695995108653</v>
      </c>
      <c r="AF27" s="24">
        <f>'[3]Canada Inedible Tallow'!AL24</f>
        <v>20.148014593800486</v>
      </c>
      <c r="AG27" s="24">
        <f>'[3]Canada Inedible Tallow'!AM24</f>
        <v>20.917383868294017</v>
      </c>
      <c r="AH27" s="24">
        <f>'[3]Canada Inedible Tallow'!AN24</f>
        <v>23.600592912458811</v>
      </c>
      <c r="AI27" s="24">
        <f>'[3]Canada Inedible Tallow'!AO24</f>
        <v>23.956982276205064</v>
      </c>
      <c r="AJ27" s="24">
        <f>'[3]Canada Inedible Tallow'!AP24</f>
        <v>24.915361564039856</v>
      </c>
      <c r="AK27" s="24">
        <f>'[3]Canada Inedible Tallow'!AQ24</f>
        <v>24.000341792652648</v>
      </c>
      <c r="AL27" s="24">
        <f>'[3]Canada Inedible Tallow'!AR24</f>
        <v>24.060747908110322</v>
      </c>
      <c r="AM27" s="24">
        <f>'[3]Canada Inedible Tallow'!AS24</f>
        <v>24.927603668846466</v>
      </c>
      <c r="AN27" s="24">
        <f>'[3]Canada Inedible Tallow'!AT24</f>
        <v>25.880774811604553</v>
      </c>
      <c r="AO27" s="24">
        <f>'[3]Canada Inedible Tallow'!AU24</f>
        <v>26.793097945914827</v>
      </c>
      <c r="AP27" s="24">
        <f>'[3]Canada Inedible Tallow'!AV24</f>
        <v>26.850344510535994</v>
      </c>
      <c r="AQ27" s="24">
        <f>'[3]Canada Inedible Tallow'!AW24</f>
        <v>26.1769314480877</v>
      </c>
      <c r="AR27" s="24">
        <f>'[3]Canada Inedible Tallow'!AX24</f>
        <v>27.663838722005032</v>
      </c>
      <c r="AS27" s="24">
        <f>'[3]Canada Inedible Tallow'!AY24</f>
        <v>27.701506104316053</v>
      </c>
      <c r="AT27" s="24">
        <f>'[3]Canada Inedible Tallow'!AZ24</f>
        <v>27.711047345969689</v>
      </c>
      <c r="AU27" s="24">
        <f>'[3]Canada Inedible Tallow'!BA24</f>
        <v>27.87220387843476</v>
      </c>
      <c r="AV27" s="24">
        <f>'[3]Canada Inedible Tallow'!BB24</f>
        <v>27.852502820982671</v>
      </c>
      <c r="AW27" s="24">
        <f>'[3]Canada Inedible Tallow'!BC24</f>
        <v>27.925311786017268</v>
      </c>
      <c r="AX27" s="24">
        <f>'[3]Canada Inedible Tallow'!BD24</f>
        <v>28.015089219411944</v>
      </c>
      <c r="AY27" s="24">
        <f>'[3]Canada Inedible Tallow'!BE24</f>
        <v>28.124847872951221</v>
      </c>
      <c r="AZ27" s="24">
        <f>'[3]Canada Inedible Tallow'!BF24</f>
        <v>28.227254095760369</v>
      </c>
      <c r="BA27" s="24">
        <f>'[3]Canada Inedible Tallow'!BG24</f>
        <v>28.321829510448868</v>
      </c>
      <c r="BB27" s="24">
        <f>'[3]Canada Inedible Tallow'!BH24</f>
        <v>28.206399980525507</v>
      </c>
      <c r="BC27" s="24">
        <f>'[3]Canada Inedible Tallow'!BI24</f>
        <v>0</v>
      </c>
    </row>
    <row r="28" spans="1:55">
      <c r="A28" s="20" t="s">
        <v>24</v>
      </c>
      <c r="B28" s="24">
        <f>'[3]Canada Inedible Tallow'!H25</f>
        <v>16.005655952545176</v>
      </c>
      <c r="C28" s="24">
        <f>'[3]Canada Inedible Tallow'!I25</f>
        <v>17.022128042804546</v>
      </c>
      <c r="D28" s="24">
        <f>'[3]Canada Inedible Tallow'!J25</f>
        <v>17.500482315112542</v>
      </c>
      <c r="E28" s="24">
        <f>'[3]Canada Inedible Tallow'!K25</f>
        <v>17.032118266504654</v>
      </c>
      <c r="F28" s="24">
        <f>'[3]Canada Inedible Tallow'!L25</f>
        <v>17.828186528497415</v>
      </c>
      <c r="G28" s="24">
        <f>'[3]Canada Inedible Tallow'!M25</f>
        <v>17.639904204364026</v>
      </c>
      <c r="H28" s="24">
        <f>'[3]Canada Inedible Tallow'!N25</f>
        <v>18.240621063585081</v>
      </c>
      <c r="I28" s="24">
        <f>'[3]Canada Inedible Tallow'!O25</f>
        <v>17.586200397864097</v>
      </c>
      <c r="J28" s="24">
        <f>'[3]Canada Inedible Tallow'!P25</f>
        <v>19.569360999277379</v>
      </c>
      <c r="K28" s="24">
        <f>'[3]Canada Inedible Tallow'!Q25</f>
        <v>19.601580444631754</v>
      </c>
      <c r="L28" s="24">
        <f>'[3]Canada Inedible Tallow'!R25</f>
        <v>19.415976347559475</v>
      </c>
      <c r="M28" s="24">
        <f>'[3]Canada Inedible Tallow'!S25</f>
        <v>19.660106788710909</v>
      </c>
      <c r="N28" s="24">
        <f>'[3]Canada Inedible Tallow'!T25</f>
        <v>19.474031458531972</v>
      </c>
      <c r="O28" s="24">
        <f>'[3]Canada Inedible Tallow'!U25</f>
        <v>19.969812651711916</v>
      </c>
      <c r="P28" s="24">
        <f>'[3]Canada Inedible Tallow'!V25</f>
        <v>21.940847997509895</v>
      </c>
      <c r="Q28" s="24">
        <f>'[3]Canada Inedible Tallow'!W25</f>
        <v>22.558448945563544</v>
      </c>
      <c r="R28" s="24">
        <f>'[3]Canada Inedible Tallow'!X25</f>
        <v>22.587564121839797</v>
      </c>
      <c r="S28" s="24">
        <f>'[3]Canada Inedible Tallow'!Y25</f>
        <v>23.546491226425101</v>
      </c>
      <c r="T28" s="24">
        <f>'[3]Canada Inedible Tallow'!Z25</f>
        <v>20.92560432547852</v>
      </c>
      <c r="U28" s="24">
        <f>'[3]Canada Inedible Tallow'!AA25</f>
        <v>25.963239489294786</v>
      </c>
      <c r="V28" s="24">
        <f>'[3]Canada Inedible Tallow'!AB25</f>
        <v>26.705670979022369</v>
      </c>
      <c r="W28" s="24">
        <f>'[3]Canada Inedible Tallow'!AC25</f>
        <v>27.156797236113849</v>
      </c>
      <c r="X28" s="24">
        <f>'[3]Canada Inedible Tallow'!AD25</f>
        <v>23.599391934517939</v>
      </c>
      <c r="Y28" s="24">
        <f>'[3]Canada Inedible Tallow'!AE25</f>
        <v>35.033404914579108</v>
      </c>
      <c r="Z28" s="24">
        <f>'[3]Canada Inedible Tallow'!AF25</f>
        <v>31.021475394994031</v>
      </c>
      <c r="AA28" s="24">
        <f>'[3]Canada Inedible Tallow'!AG25</f>
        <v>31.721411094073336</v>
      </c>
      <c r="AB28" s="24">
        <f>'[3]Canada Inedible Tallow'!AH25</f>
        <v>31.228850560253289</v>
      </c>
      <c r="AC28" s="24">
        <f>'[3]Canada Inedible Tallow'!AI25</f>
        <v>22.26120843212043</v>
      </c>
      <c r="AD28" s="24">
        <f>'[3]Canada Inedible Tallow'!AJ25</f>
        <v>23.164778061673672</v>
      </c>
      <c r="AE28" s="24">
        <f>'[3]Canada Inedible Tallow'!AK25</f>
        <v>22.512686557714659</v>
      </c>
      <c r="AF28" s="24">
        <f>'[3]Canada Inedible Tallow'!AL25</f>
        <v>21.38449471434069</v>
      </c>
      <c r="AG28" s="24">
        <f>'[3]Canada Inedible Tallow'!AM25</f>
        <v>22.126694606600598</v>
      </c>
      <c r="AH28" s="24">
        <f>'[3]Canada Inedible Tallow'!AN25</f>
        <v>24.772336819330224</v>
      </c>
      <c r="AI28" s="24">
        <f>'[3]Canada Inedible Tallow'!AO25</f>
        <v>25.176385892935645</v>
      </c>
      <c r="AJ28" s="24">
        <f>'[3]Canada Inedible Tallow'!AP25</f>
        <v>26.282589801181697</v>
      </c>
      <c r="AK28" s="24">
        <f>'[3]Canada Inedible Tallow'!AQ25</f>
        <v>25.259327170512389</v>
      </c>
      <c r="AL28" s="24">
        <f>'[3]Canada Inedible Tallow'!AR25</f>
        <v>25.40315553268066</v>
      </c>
      <c r="AM28" s="24">
        <f>'[3]Canada Inedible Tallow'!AS25</f>
        <v>26.250716822721259</v>
      </c>
      <c r="AN28" s="24">
        <f>'[3]Canada Inedible Tallow'!AT25</f>
        <v>27.238699042014296</v>
      </c>
      <c r="AO28" s="24">
        <f>'[3]Canada Inedible Tallow'!AU25</f>
        <v>28.218493139756795</v>
      </c>
      <c r="AP28" s="24">
        <f>'[3]Canada Inedible Tallow'!AV25</f>
        <v>28.294530476962567</v>
      </c>
      <c r="AQ28" s="24">
        <f>'[3]Canada Inedible Tallow'!AW25</f>
        <v>27.576607607738257</v>
      </c>
      <c r="AR28" s="24">
        <f>'[3]Canada Inedible Tallow'!AX25</f>
        <v>29.14958684369654</v>
      </c>
      <c r="AS28" s="24">
        <f>'[3]Canada Inedible Tallow'!AY25</f>
        <v>29.175009332667031</v>
      </c>
      <c r="AT28" s="24">
        <f>'[3]Canada Inedible Tallow'!AZ25</f>
        <v>29.18868796814029</v>
      </c>
      <c r="AU28" s="24">
        <f>'[3]Canada Inedible Tallow'!BA25</f>
        <v>29.362245067281233</v>
      </c>
      <c r="AV28" s="24">
        <f>'[3]Canada Inedible Tallow'!BB25</f>
        <v>29.342518338127299</v>
      </c>
      <c r="AW28" s="24">
        <f>'[3]Canada Inedible Tallow'!BC25</f>
        <v>29.417478321412641</v>
      </c>
      <c r="AX28" s="24">
        <f>'[3]Canada Inedible Tallow'!BD25</f>
        <v>29.512167903766283</v>
      </c>
      <c r="AY28" s="24">
        <f>'[3]Canada Inedible Tallow'!BE25</f>
        <v>29.626159450465007</v>
      </c>
      <c r="AZ28" s="24">
        <f>'[3]Canada Inedible Tallow'!BF25</f>
        <v>29.735419455194585</v>
      </c>
      <c r="BA28" s="24">
        <f>'[3]Canada Inedible Tallow'!BG25</f>
        <v>29.835408160097462</v>
      </c>
      <c r="BB28" s="24">
        <f>'[3]Canada Inedible Tallow'!BH25</f>
        <v>29.713635130170992</v>
      </c>
      <c r="BC28" s="24">
        <f>'[3]Canada Inedible Tallow'!BI25</f>
        <v>0</v>
      </c>
    </row>
    <row r="29" spans="1:55">
      <c r="A29" s="20" t="s">
        <v>25</v>
      </c>
      <c r="B29" s="24">
        <f>'[3]Canada Inedible Tallow'!H26</f>
        <v>17.017105807697611</v>
      </c>
      <c r="C29" s="24">
        <f>'[3]Canada Inedible Tallow'!I26</f>
        <v>16.927677270680476</v>
      </c>
      <c r="D29" s="24">
        <f>'[3]Canada Inedible Tallow'!J26</f>
        <v>16.508681672025727</v>
      </c>
      <c r="E29" s="24">
        <f>'[3]Canada Inedible Tallow'!K26</f>
        <v>15.394636347856272</v>
      </c>
      <c r="F29" s="24">
        <f>'[3]Canada Inedible Tallow'!L26</f>
        <v>15.524014180529049</v>
      </c>
      <c r="G29" s="24">
        <f>'[3]Canada Inedible Tallow'!M26</f>
        <v>17.63439861628526</v>
      </c>
      <c r="H29" s="24">
        <f>'[3]Canada Inedible Tallow'!N26</f>
        <v>18.060824798729392</v>
      </c>
      <c r="I29" s="24">
        <f>'[3]Canada Inedible Tallow'!O26</f>
        <v>18.953826824416289</v>
      </c>
      <c r="J29" s="24">
        <f>'[3]Canada Inedible Tallow'!P26</f>
        <v>19.238257458449464</v>
      </c>
      <c r="K29" s="24">
        <f>'[3]Canada Inedible Tallow'!Q26</f>
        <v>19.183763565483087</v>
      </c>
      <c r="L29" s="24">
        <f>'[3]Canada Inedible Tallow'!R26</f>
        <v>17.985458129157657</v>
      </c>
      <c r="M29" s="24">
        <f>'[3]Canada Inedible Tallow'!S26</f>
        <v>19.708428680396647</v>
      </c>
      <c r="N29" s="24">
        <f>'[3]Canada Inedible Tallow'!T26</f>
        <v>20.327495257236212</v>
      </c>
      <c r="O29" s="24">
        <f>'[3]Canada Inedible Tallow'!U26</f>
        <v>20.474298491810679</v>
      </c>
      <c r="P29" s="24">
        <f>'[3]Canada Inedible Tallow'!V26</f>
        <v>20.183535699485457</v>
      </c>
      <c r="Q29" s="24">
        <f>'[3]Canada Inedible Tallow'!W26</f>
        <v>19.036031033484623</v>
      </c>
      <c r="R29" s="24">
        <f>'[3]Canada Inedible Tallow'!X26</f>
        <v>19.740811489575808</v>
      </c>
      <c r="S29" s="24">
        <f>'[3]Canada Inedible Tallow'!Y26</f>
        <v>22.531130329262979</v>
      </c>
      <c r="T29" s="24">
        <f>'[3]Canada Inedible Tallow'!Z26</f>
        <v>20.817441280185843</v>
      </c>
      <c r="U29" s="24">
        <f>'[3]Canada Inedible Tallow'!AA26</f>
        <v>24.046560765675626</v>
      </c>
      <c r="V29" s="24">
        <f>'[3]Canada Inedible Tallow'!AB26</f>
        <v>25.291438381419471</v>
      </c>
      <c r="W29" s="24">
        <f>'[3]Canada Inedible Tallow'!AC26</f>
        <v>27.600983640285367</v>
      </c>
      <c r="X29" s="24">
        <f>'[3]Canada Inedible Tallow'!AD26</f>
        <v>27.460276263269659</v>
      </c>
      <c r="Y29" s="24">
        <f>'[3]Canada Inedible Tallow'!AE26</f>
        <v>31.632451393477997</v>
      </c>
      <c r="Z29" s="24">
        <f>'[3]Canada Inedible Tallow'!AF26</f>
        <v>35.605549095543473</v>
      </c>
      <c r="AA29" s="24">
        <f>'[3]Canada Inedible Tallow'!AG26</f>
        <v>26.642331864708609</v>
      </c>
      <c r="AB29" s="24">
        <f>'[3]Canada Inedible Tallow'!AH26</f>
        <v>30.768705317515224</v>
      </c>
      <c r="AC29" s="24">
        <f>'[3]Canada Inedible Tallow'!AI26</f>
        <v>20.786004138039424</v>
      </c>
      <c r="AD29" s="24">
        <f>'[3]Canada Inedible Tallow'!AJ26</f>
        <v>23.281067004157332</v>
      </c>
      <c r="AE29" s="24">
        <f>'[3]Canada Inedible Tallow'!AK26</f>
        <v>21.832092072539833</v>
      </c>
      <c r="AF29" s="24">
        <f>'[3]Canada Inedible Tallow'!AL26</f>
        <v>21.359876312792501</v>
      </c>
      <c r="AG29" s="24">
        <f>'[3]Canada Inedible Tallow'!AM26</f>
        <v>21.297744830644056</v>
      </c>
      <c r="AH29" s="24">
        <f>'[3]Canada Inedible Tallow'!AN26</f>
        <v>24.110003132759161</v>
      </c>
      <c r="AI29" s="24">
        <f>'[3]Canada Inedible Tallow'!AO26</f>
        <v>24.642856789716927</v>
      </c>
      <c r="AJ29" s="24">
        <f>'[3]Canada Inedible Tallow'!AP26</f>
        <v>25.81334769927216</v>
      </c>
      <c r="AK29" s="24">
        <f>'[3]Canada Inedible Tallow'!AQ26</f>
        <v>24.644510582951984</v>
      </c>
      <c r="AL29" s="24">
        <f>'[3]Canada Inedible Tallow'!AR26</f>
        <v>24.821423424624314</v>
      </c>
      <c r="AM29" s="24">
        <f>'[3]Canada Inedible Tallow'!AS26</f>
        <v>25.562394026916394</v>
      </c>
      <c r="AN29" s="24">
        <f>'[3]Canada Inedible Tallow'!AT26</f>
        <v>26.609606733320437</v>
      </c>
      <c r="AO29" s="24">
        <f>'[3]Canada Inedible Tallow'!AU26</f>
        <v>27.593286398595215</v>
      </c>
      <c r="AP29" s="24">
        <f>'[3]Canada Inedible Tallow'!AV26</f>
        <v>27.654936824434827</v>
      </c>
      <c r="AQ29" s="24">
        <f>'[3]Canada Inedible Tallow'!AW26</f>
        <v>26.920758252393991</v>
      </c>
      <c r="AR29" s="24">
        <f>'[3]Canada Inedible Tallow'!AX26</f>
        <v>28.464617112664019</v>
      </c>
      <c r="AS29" s="24">
        <f>'[3]Canada Inedible Tallow'!AY26</f>
        <v>28.490484022626806</v>
      </c>
      <c r="AT29" s="24">
        <f>'[3]Canada Inedible Tallow'!AZ26</f>
        <v>28.517564867989392</v>
      </c>
      <c r="AU29" s="24">
        <f>'[3]Canada Inedible Tallow'!BA26</f>
        <v>28.685173175282777</v>
      </c>
      <c r="AV29" s="24">
        <f>'[3]Canada Inedible Tallow'!BB26</f>
        <v>28.659193362831026</v>
      </c>
      <c r="AW29" s="24">
        <f>'[3]Canada Inedible Tallow'!BC26</f>
        <v>28.729594196518747</v>
      </c>
      <c r="AX29" s="24">
        <f>'[3]Canada Inedible Tallow'!BD26</f>
        <v>28.825629041354397</v>
      </c>
      <c r="AY29" s="24">
        <f>'[3]Canada Inedible Tallow'!BE26</f>
        <v>28.937778368010189</v>
      </c>
      <c r="AZ29" s="24">
        <f>'[3]Canada Inedible Tallow'!BF26</f>
        <v>29.045582595388989</v>
      </c>
      <c r="BA29" s="24">
        <f>'[3]Canada Inedible Tallow'!BG26</f>
        <v>29.141981599088183</v>
      </c>
      <c r="BB29" s="24">
        <f>'[3]Canada Inedible Tallow'!BH26</f>
        <v>29.022074074296668</v>
      </c>
      <c r="BC29" s="24">
        <f>'[3]Canada Inedible Tallow'!BI26</f>
        <v>0</v>
      </c>
    </row>
    <row r="30" spans="1:55">
      <c r="A30" s="20" t="s">
        <v>26</v>
      </c>
      <c r="B30" s="24">
        <f>'[3]Canada Inedible Tallow'!H27</f>
        <v>16.489860670437299</v>
      </c>
      <c r="C30" s="24">
        <f>'[3]Canada Inedible Tallow'!I27</f>
        <v>16.974902656742511</v>
      </c>
      <c r="D30" s="24">
        <f>'[3]Canada Inedible Tallow'!J27</f>
        <v>15.436897106109328</v>
      </c>
      <c r="E30" s="24">
        <f>'[3]Canada Inedible Tallow'!K27</f>
        <v>16.265269339813688</v>
      </c>
      <c r="F30" s="24">
        <f>'[3]Canada Inedible Tallow'!L27</f>
        <v>17.51170984455959</v>
      </c>
      <c r="G30" s="24">
        <f>'[3]Canada Inedible Tallow'!M27</f>
        <v>18.597876530069186</v>
      </c>
      <c r="H30" s="24">
        <f>'[3]Canada Inedible Tallow'!N27</f>
        <v>17.190842872008325</v>
      </c>
      <c r="I30" s="24">
        <f>'[3]Canada Inedible Tallow'!O27</f>
        <v>17.495403622657314</v>
      </c>
      <c r="J30" s="24">
        <f>'[3]Canada Inedible Tallow'!P27</f>
        <v>17.091793124806436</v>
      </c>
      <c r="K30" s="24">
        <f>'[3]Canada Inedible Tallow'!Q27</f>
        <v>18.503318933726685</v>
      </c>
      <c r="L30" s="24">
        <f>'[3]Canada Inedible Tallow'!R27</f>
        <v>18.615642366339074</v>
      </c>
      <c r="M30" s="24">
        <f>'[3]Canada Inedible Tallow'!S27</f>
        <v>19.404691075514876</v>
      </c>
      <c r="N30" s="24">
        <f>'[3]Canada Inedible Tallow'!T27</f>
        <v>19.71324022153695</v>
      </c>
      <c r="O30" s="24">
        <f>'[3]Canada Inedible Tallow'!U27</f>
        <v>18.940627008721339</v>
      </c>
      <c r="P30" s="24">
        <f>'[3]Canada Inedible Tallow'!V27</f>
        <v>19.9634804962663</v>
      </c>
      <c r="Q30" s="24">
        <f>'[3]Canada Inedible Tallow'!W27</f>
        <v>22.216918954387562</v>
      </c>
      <c r="R30" s="24">
        <f>'[3]Canada Inedible Tallow'!X27</f>
        <v>21.119949123787201</v>
      </c>
      <c r="S30" s="24">
        <f>'[3]Canada Inedible Tallow'!Y27</f>
        <v>19.947959576910815</v>
      </c>
      <c r="T30" s="24">
        <f>'[3]Canada Inedible Tallow'!Z27</f>
        <v>19.154111691102827</v>
      </c>
      <c r="U30" s="24">
        <f>'[3]Canada Inedible Tallow'!AA27</f>
        <v>21.781049746531007</v>
      </c>
      <c r="V30" s="24">
        <f>'[3]Canada Inedible Tallow'!AB27</f>
        <v>24.102239861074217</v>
      </c>
      <c r="W30" s="24">
        <f>'[3]Canada Inedible Tallow'!AC27</f>
        <v>25.170535854800271</v>
      </c>
      <c r="X30" s="24">
        <f>'[3]Canada Inedible Tallow'!AD27</f>
        <v>24.959900482109251</v>
      </c>
      <c r="Y30" s="24">
        <f>'[3]Canada Inedible Tallow'!AE27</f>
        <v>31.389238446947576</v>
      </c>
      <c r="Z30" s="24">
        <f>'[3]Canada Inedible Tallow'!AF27</f>
        <v>29.61810418447266</v>
      </c>
      <c r="AA30" s="24">
        <f>'[3]Canada Inedible Tallow'!AG27</f>
        <v>26.724752731738509</v>
      </c>
      <c r="AB30" s="24">
        <f>'[3]Canada Inedible Tallow'!AH27</f>
        <v>29.21931901771924</v>
      </c>
      <c r="AC30" s="24">
        <f>'[3]Canada Inedible Tallow'!AI27</f>
        <v>20.669834002146992</v>
      </c>
      <c r="AD30" s="24">
        <f>'[3]Canada Inedible Tallow'!AJ27</f>
        <v>21.752924963677909</v>
      </c>
      <c r="AE30" s="24">
        <f>'[3]Canada Inedible Tallow'!AK27</f>
        <v>20.542580136456607</v>
      </c>
      <c r="AF30" s="24">
        <f>'[3]Canada Inedible Tallow'!AL27</f>
        <v>19.625363543932529</v>
      </c>
      <c r="AG30" s="24">
        <f>'[3]Canada Inedible Tallow'!AM27</f>
        <v>20.242832684279698</v>
      </c>
      <c r="AH30" s="24">
        <f>'[3]Canada Inedible Tallow'!AN27</f>
        <v>23.117648496585726</v>
      </c>
      <c r="AI30" s="24">
        <f>'[3]Canada Inedible Tallow'!AO27</f>
        <v>23.321768914972075</v>
      </c>
      <c r="AJ30" s="24">
        <f>'[3]Canada Inedible Tallow'!AP27</f>
        <v>24.306967247720042</v>
      </c>
      <c r="AK30" s="24">
        <f>'[3]Canada Inedible Tallow'!AQ27</f>
        <v>23.224547567859876</v>
      </c>
      <c r="AL30" s="24">
        <f>'[3]Canada Inedible Tallow'!AR27</f>
        <v>23.415633743805657</v>
      </c>
      <c r="AM30" s="24">
        <f>'[3]Canada Inedible Tallow'!AS27</f>
        <v>24.227735939561001</v>
      </c>
      <c r="AN30" s="24">
        <f>'[3]Canada Inedible Tallow'!AT27</f>
        <v>25.17831640226456</v>
      </c>
      <c r="AO30" s="24">
        <f>'[3]Canada Inedible Tallow'!AU27</f>
        <v>26.051695781539586</v>
      </c>
      <c r="AP30" s="24">
        <f>'[3]Canada Inedible Tallow'!AV27</f>
        <v>26.105549489821868</v>
      </c>
      <c r="AQ30" s="24">
        <f>'[3]Canada Inedible Tallow'!AW27</f>
        <v>25.432979373854955</v>
      </c>
      <c r="AR30" s="24">
        <f>'[3]Canada Inedible Tallow'!AX27</f>
        <v>26.902819990163071</v>
      </c>
      <c r="AS30" s="24">
        <f>'[3]Canada Inedible Tallow'!AY27</f>
        <v>26.930501632982278</v>
      </c>
      <c r="AT30" s="24">
        <f>'[3]Canada Inedible Tallow'!AZ27</f>
        <v>26.943644655924814</v>
      </c>
      <c r="AU30" s="24">
        <f>'[3]Canada Inedible Tallow'!BA27</f>
        <v>27.096508224205262</v>
      </c>
      <c r="AV30" s="24">
        <f>'[3]Canada Inedible Tallow'!BB27</f>
        <v>27.076976856495644</v>
      </c>
      <c r="AW30" s="24">
        <f>'[3]Canada Inedible Tallow'!BC27</f>
        <v>27.147321413799627</v>
      </c>
      <c r="AX30" s="24">
        <f>'[3]Canada Inedible Tallow'!BD27</f>
        <v>27.237832832724493</v>
      </c>
      <c r="AY30" s="24">
        <f>'[3]Canada Inedible Tallow'!BE27</f>
        <v>27.342652431069794</v>
      </c>
      <c r="AZ30" s="24">
        <f>'[3]Canada Inedible Tallow'!BF27</f>
        <v>27.442731411900475</v>
      </c>
      <c r="BA30" s="24">
        <f>'[3]Canada Inedible Tallow'!BG27</f>
        <v>27.533982744738385</v>
      </c>
      <c r="BB30" s="24">
        <f>'[3]Canada Inedible Tallow'!BH27</f>
        <v>27.421953076906419</v>
      </c>
      <c r="BC30" s="24">
        <f>'[3]Canada Inedible Tallow'!BI27</f>
        <v>0</v>
      </c>
    </row>
    <row r="31" spans="1:55">
      <c r="A31" s="20" t="s">
        <v>27</v>
      </c>
      <c r="B31" s="24">
        <f>'[3]Canada Inedible Tallow'!H28</f>
        <v>15.419230238653606</v>
      </c>
      <c r="C31" s="24">
        <f>'[3]Canada Inedible Tallow'!I28</f>
        <v>17.273996768468731</v>
      </c>
      <c r="D31" s="24">
        <f>'[3]Canada Inedible Tallow'!J28</f>
        <v>17.415166130760987</v>
      </c>
      <c r="E31" s="24">
        <f>'[3]Canada Inedible Tallow'!K28</f>
        <v>17.695183127929177</v>
      </c>
      <c r="F31" s="24">
        <f>'[3]Canada Inedible Tallow'!L28</f>
        <v>17.989200981728938</v>
      </c>
      <c r="G31" s="24">
        <f>'[3]Canada Inedible Tallow'!M28</f>
        <v>16.885638637573177</v>
      </c>
      <c r="H31" s="24">
        <f>'[3]Canada Inedible Tallow'!N28</f>
        <v>18.049225039706446</v>
      </c>
      <c r="I31" s="24">
        <f>'[3]Canada Inedible Tallow'!O28</f>
        <v>20.338477646319753</v>
      </c>
      <c r="J31" s="24">
        <f>'[3]Canada Inedible Tallow'!P28</f>
        <v>19.672117270568801</v>
      </c>
      <c r="K31" s="24">
        <f>'[3]Canada Inedible Tallow'!Q28</f>
        <v>19.500110631124222</v>
      </c>
      <c r="L31" s="24">
        <f>'[3]Canada Inedible Tallow'!R28</f>
        <v>17.487612581784337</v>
      </c>
      <c r="M31" s="24">
        <f>'[3]Canada Inedible Tallow'!S28</f>
        <v>18.569412662090009</v>
      </c>
      <c r="N31" s="24">
        <f>'[3]Canada Inedible Tallow'!T28</f>
        <v>19.678855425699151</v>
      </c>
      <c r="O31" s="24">
        <f>'[3]Canada Inedible Tallow'!U28</f>
        <v>22.488186931493814</v>
      </c>
      <c r="P31" s="24">
        <f>'[3]Canada Inedible Tallow'!V28</f>
        <v>22.400601630296411</v>
      </c>
      <c r="Q31" s="24">
        <f>'[3]Canada Inedible Tallow'!W28</f>
        <v>20.908349679798892</v>
      </c>
      <c r="R31" s="24">
        <f>'[3]Canada Inedible Tallow'!X28</f>
        <v>19.399558056808313</v>
      </c>
      <c r="S31" s="24">
        <f>'[3]Canada Inedible Tallow'!Y28</f>
        <v>21.192357595919713</v>
      </c>
      <c r="T31" s="24">
        <f>'[3]Canada Inedible Tallow'!Z28</f>
        <v>21.812856891970842</v>
      </c>
      <c r="U31" s="24">
        <f>'[3]Canada Inedible Tallow'!AA28</f>
        <v>25.470575485167217</v>
      </c>
      <c r="V31" s="24">
        <f>'[3]Canada Inedible Tallow'!AB28</f>
        <v>27.060876612177417</v>
      </c>
      <c r="W31" s="24">
        <f>'[3]Canada Inedible Tallow'!AC28</f>
        <v>25.524408143545617</v>
      </c>
      <c r="X31" s="24">
        <f>'[3]Canada Inedible Tallow'!AD28</f>
        <v>27.466456929395378</v>
      </c>
      <c r="Y31" s="24">
        <f>'[3]Canada Inedible Tallow'!AE28</f>
        <v>35.488848266680655</v>
      </c>
      <c r="Z31" s="24">
        <f>'[3]Canada Inedible Tallow'!AF28</f>
        <v>34.099985468874529</v>
      </c>
      <c r="AA31" s="24">
        <f>'[3]Canada Inedible Tallow'!AG28</f>
        <v>29.653775994819341</v>
      </c>
      <c r="AB31" s="24">
        <f>'[3]Canada Inedible Tallow'!AH28</f>
        <v>30.53757555377565</v>
      </c>
      <c r="AC31" s="24">
        <f>'[3]Canada Inedible Tallow'!AI28</f>
        <v>20.122347822395103</v>
      </c>
      <c r="AD31" s="24">
        <f>'[3]Canada Inedible Tallow'!AJ28</f>
        <v>24.090033805171068</v>
      </c>
      <c r="AE31" s="24">
        <f>'[3]Canada Inedible Tallow'!AK28</f>
        <v>22.388336504446372</v>
      </c>
      <c r="AF31" s="24">
        <f>'[3]Canada Inedible Tallow'!AL28</f>
        <v>21.3723764527664</v>
      </c>
      <c r="AG31" s="24">
        <f>'[3]Canada Inedible Tallow'!AM28</f>
        <v>21.829331706263961</v>
      </c>
      <c r="AH31" s="24">
        <f>'[3]Canada Inedible Tallow'!AN28</f>
        <v>24.452485909006331</v>
      </c>
      <c r="AI31" s="24">
        <f>'[3]Canada Inedible Tallow'!AO28</f>
        <v>24.857878227979054</v>
      </c>
      <c r="AJ31" s="24">
        <f>'[3]Canada Inedible Tallow'!AP28</f>
        <v>26.309192714008873</v>
      </c>
      <c r="AK31" s="24">
        <f>'[3]Canada Inedible Tallow'!AQ28</f>
        <v>25.036663322962941</v>
      </c>
      <c r="AL31" s="24">
        <f>'[3]Canada Inedible Tallow'!AR28</f>
        <v>25.202939718493518</v>
      </c>
      <c r="AM31" s="24">
        <f>'[3]Canada Inedible Tallow'!AS28</f>
        <v>26.008591865788837</v>
      </c>
      <c r="AN31" s="24">
        <f>'[3]Canada Inedible Tallow'!AT28</f>
        <v>27.013958870709669</v>
      </c>
      <c r="AO31" s="24">
        <f>'[3]Canada Inedible Tallow'!AU28</f>
        <v>28.013532694423716</v>
      </c>
      <c r="AP31" s="24">
        <f>'[3]Canada Inedible Tallow'!AV28</f>
        <v>28.110172098040856</v>
      </c>
      <c r="AQ31" s="24">
        <f>'[3]Canada Inedible Tallow'!AW28</f>
        <v>27.345991712057327</v>
      </c>
      <c r="AR31" s="24">
        <f>'[3]Canada Inedible Tallow'!AX28</f>
        <v>28.918283179970121</v>
      </c>
      <c r="AS31" s="24">
        <f>'[3]Canada Inedible Tallow'!AY28</f>
        <v>28.942703979028174</v>
      </c>
      <c r="AT31" s="24">
        <f>'[3]Canada Inedible Tallow'!AZ28</f>
        <v>28.965420840280995</v>
      </c>
      <c r="AU31" s="24">
        <f>'[3]Canada Inedible Tallow'!BA28</f>
        <v>29.140017294806274</v>
      </c>
      <c r="AV31" s="24">
        <f>'[3]Canada Inedible Tallow'!BB28</f>
        <v>29.116972326347408</v>
      </c>
      <c r="AW31" s="24">
        <f>'[3]Canada Inedible Tallow'!BC28</f>
        <v>29.184782078233113</v>
      </c>
      <c r="AX31" s="24">
        <f>'[3]Canada Inedible Tallow'!BD28</f>
        <v>29.283133143673034</v>
      </c>
      <c r="AY31" s="24">
        <f>'[3]Canada Inedible Tallow'!BE28</f>
        <v>29.396563279548811</v>
      </c>
      <c r="AZ31" s="24">
        <f>'[3]Canada Inedible Tallow'!BF28</f>
        <v>29.506209953614871</v>
      </c>
      <c r="BA31" s="24">
        <f>'[3]Canada Inedible Tallow'!BG28</f>
        <v>29.604641991537228</v>
      </c>
      <c r="BB31" s="24">
        <f>'[3]Canada Inedible Tallow'!BH28</f>
        <v>29.482888669756051</v>
      </c>
      <c r="BC31" s="24">
        <f>'[3]Canada Inedible Tallow'!BI28</f>
        <v>0</v>
      </c>
    </row>
    <row r="32" spans="1:55">
      <c r="A32" s="20" t="s">
        <v>28</v>
      </c>
      <c r="B32" s="24">
        <f>'[3]Canada Inedible Tallow'!H29</f>
        <v>16.134777210649741</v>
      </c>
      <c r="C32" s="24">
        <f>'[3]Canada Inedible Tallow'!I29</f>
        <v>16.943419066034487</v>
      </c>
      <c r="D32" s="24">
        <f>'[3]Canada Inedible Tallow'!J29</f>
        <v>16.055439442658095</v>
      </c>
      <c r="E32" s="24">
        <f>'[3]Canada Inedible Tallow'!K29</f>
        <v>16.103827460510324</v>
      </c>
      <c r="F32" s="24">
        <f>'[3]Canada Inedible Tallow'!L29</f>
        <v>16.390160894464145</v>
      </c>
      <c r="G32" s="24">
        <f>'[3]Canada Inedible Tallow'!M29</f>
        <v>17.766532730175623</v>
      </c>
      <c r="H32" s="24">
        <f>'[3]Canada Inedible Tallow'!N29</f>
        <v>18.020225642149075</v>
      </c>
      <c r="I32" s="24">
        <f>'[3]Canada Inedible Tallow'!O29</f>
        <v>19.544005863260388</v>
      </c>
      <c r="J32" s="24">
        <f>'[3]Canada Inedible Tallow'!P29</f>
        <v>17.902425931660986</v>
      </c>
      <c r="K32" s="24">
        <f>'[3]Canada Inedible Tallow'!Q29</f>
        <v>16.664924665472551</v>
      </c>
      <c r="L32" s="24">
        <f>'[3]Canada Inedible Tallow'!R29</f>
        <v>18.949640012045226</v>
      </c>
      <c r="M32" s="24">
        <f>'[3]Canada Inedible Tallow'!S29</f>
        <v>20.12261632341724</v>
      </c>
      <c r="N32" s="24">
        <f>'[3]Canada Inedible Tallow'!T29</f>
        <v>19.608681989396779</v>
      </c>
      <c r="O32" s="24">
        <f>'[3]Canada Inedible Tallow'!U29</f>
        <v>21.178353787977287</v>
      </c>
      <c r="P32" s="24">
        <f>'[3]Canada Inedible Tallow'!V29</f>
        <v>17.52324100108877</v>
      </c>
      <c r="Q32" s="24">
        <f>'[3]Canada Inedible Tallow'!W29</f>
        <v>19.035636424246295</v>
      </c>
      <c r="R32" s="24">
        <f>'[3]Canada Inedible Tallow'!X29</f>
        <v>21.482413372847109</v>
      </c>
      <c r="S32" s="24">
        <f>'[3]Canada Inedible Tallow'!Y29</f>
        <v>21.414495053777333</v>
      </c>
      <c r="T32" s="24">
        <f>'[3]Canada Inedible Tallow'!Z29</f>
        <v>22.299518869630536</v>
      </c>
      <c r="U32" s="24">
        <f>'[3]Canada Inedible Tallow'!AA29</f>
        <v>24.047288004651705</v>
      </c>
      <c r="V32" s="24">
        <f>'[3]Canada Inedible Tallow'!AB29</f>
        <v>26.870093925565282</v>
      </c>
      <c r="W32" s="24">
        <f>'[3]Canada Inedible Tallow'!AC29</f>
        <v>24.303341828241805</v>
      </c>
      <c r="X32" s="24">
        <f>'[3]Canada Inedible Tallow'!AD29</f>
        <v>27.792677567510339</v>
      </c>
      <c r="Y32" s="24">
        <f>'[3]Canada Inedible Tallow'!AE29</f>
        <v>36.151874643209432</v>
      </c>
      <c r="Z32" s="24">
        <f>'[3]Canada Inedible Tallow'!AF29</f>
        <v>34.413855230362991</v>
      </c>
      <c r="AA32" s="24">
        <f>'[3]Canada Inedible Tallow'!AG29</f>
        <v>27.61772449593467</v>
      </c>
      <c r="AB32" s="24">
        <f>'[3]Canada Inedible Tallow'!AH29</f>
        <v>32.081868349422692</v>
      </c>
      <c r="AC32" s="24">
        <f>'[3]Canada Inedible Tallow'!AI29</f>
        <v>21.436635285539776</v>
      </c>
      <c r="AD32" s="24">
        <f>'[3]Canada Inedible Tallow'!AJ29</f>
        <v>27.319093403142972</v>
      </c>
      <c r="AE32" s="24">
        <f>'[3]Canada Inedible Tallow'!AK29</f>
        <v>25.31058455216386</v>
      </c>
      <c r="AF32" s="24">
        <f>'[3]Canada Inedible Tallow'!AL29</f>
        <v>24.55501744069883</v>
      </c>
      <c r="AG32" s="24">
        <f>'[3]Canada Inedible Tallow'!AM29</f>
        <v>25.643949744850257</v>
      </c>
      <c r="AH32" s="24">
        <f>'[3]Canada Inedible Tallow'!AN29</f>
        <v>29.795059267991064</v>
      </c>
      <c r="AI32" s="24">
        <f>'[3]Canada Inedible Tallow'!AO29</f>
        <v>31.172077385284084</v>
      </c>
      <c r="AJ32" s="24">
        <f>'[3]Canada Inedible Tallow'!AP29</f>
        <v>30.515832520428322</v>
      </c>
      <c r="AK32" s="24">
        <f>'[3]Canada Inedible Tallow'!AQ29</f>
        <v>29.60873682114978</v>
      </c>
      <c r="AL32" s="24">
        <f>'[3]Canada Inedible Tallow'!AR29</f>
        <v>29.99089127069054</v>
      </c>
      <c r="AM32" s="24">
        <f>'[3]Canada Inedible Tallow'!AS29</f>
        <v>31.146507633379755</v>
      </c>
      <c r="AN32" s="24">
        <f>'[3]Canada Inedible Tallow'!AT29</f>
        <v>32.437595163695406</v>
      </c>
      <c r="AO32" s="24">
        <f>'[3]Canada Inedible Tallow'!AU29</f>
        <v>33.51999751825732</v>
      </c>
      <c r="AP32" s="24">
        <f>'[3]Canada Inedible Tallow'!AV29</f>
        <v>33.334371868526837</v>
      </c>
      <c r="AQ32" s="24">
        <f>'[3]Canada Inedible Tallow'!AW29</f>
        <v>32.637666410333637</v>
      </c>
      <c r="AR32" s="24">
        <f>'[3]Canada Inedible Tallow'!AX29</f>
        <v>34.533994399097125</v>
      </c>
      <c r="AS32" s="24">
        <f>'[3]Canada Inedible Tallow'!AY29</f>
        <v>34.582221900355769</v>
      </c>
      <c r="AT32" s="24">
        <f>'[3]Canada Inedible Tallow'!AZ29</f>
        <v>34.588939107032083</v>
      </c>
      <c r="AU32" s="24">
        <f>'[3]Canada Inedible Tallow'!BA29</f>
        <v>34.762842997296666</v>
      </c>
      <c r="AV32" s="24">
        <f>'[3]Canada Inedible Tallow'!BB29</f>
        <v>34.7215673624505</v>
      </c>
      <c r="AW32" s="24">
        <f>'[3]Canada Inedible Tallow'!BC29</f>
        <v>34.844894014013441</v>
      </c>
      <c r="AX32" s="24">
        <f>'[3]Canada Inedible Tallow'!BD29</f>
        <v>34.956229151298409</v>
      </c>
      <c r="AY32" s="24">
        <f>'[3]Canada Inedible Tallow'!BE29</f>
        <v>35.089958890515049</v>
      </c>
      <c r="AZ32" s="24">
        <f>'[3]Canada Inedible Tallow'!BF29</f>
        <v>35.214108209180637</v>
      </c>
      <c r="BA32" s="24">
        <f>'[3]Canada Inedible Tallow'!BG29</f>
        <v>35.328856475882354</v>
      </c>
      <c r="BB32" s="24">
        <f>'[3]Canada Inedible Tallow'!BH29</f>
        <v>35.186536499887033</v>
      </c>
      <c r="BC32" s="24">
        <f>'[3]Canada Inedible Tallow'!BI29</f>
        <v>0</v>
      </c>
    </row>
    <row r="33" spans="1:55" ht="15.75" thickBot="1">
      <c r="A33" s="20" t="s">
        <v>29</v>
      </c>
      <c r="B33" s="24">
        <f>SUM(B21:B32)</f>
        <v>193.55002961088852</v>
      </c>
      <c r="C33" s="24">
        <f t="shared" ref="C33:BC33" si="5">SUM(C21:C32)</f>
        <v>199.98446493388383</v>
      </c>
      <c r="D33" s="24">
        <f t="shared" si="5"/>
        <v>193.76957208301187</v>
      </c>
      <c r="E33" s="24">
        <f t="shared" si="5"/>
        <v>198.42895250206837</v>
      </c>
      <c r="F33" s="24">
        <f t="shared" si="5"/>
        <v>206.01254998484382</v>
      </c>
      <c r="G33" s="24">
        <f t="shared" si="5"/>
        <v>206.08183603150115</v>
      </c>
      <c r="H33" s="24">
        <f t="shared" si="5"/>
        <v>212.19388389028066</v>
      </c>
      <c r="I33" s="24">
        <f t="shared" si="5"/>
        <v>214.96366936113915</v>
      </c>
      <c r="J33" s="24">
        <f t="shared" si="5"/>
        <v>217.61823190239366</v>
      </c>
      <c r="K33" s="24">
        <f t="shared" si="5"/>
        <v>226.6304746537327</v>
      </c>
      <c r="L33" s="24">
        <f t="shared" si="5"/>
        <v>226.27638381637618</v>
      </c>
      <c r="M33" s="24">
        <f t="shared" si="5"/>
        <v>236.57186024253033</v>
      </c>
      <c r="N33" s="24">
        <f t="shared" si="5"/>
        <v>237.09236598788817</v>
      </c>
      <c r="O33" s="24">
        <f t="shared" si="5"/>
        <v>240.51705519867897</v>
      </c>
      <c r="P33" s="24">
        <f t="shared" si="5"/>
        <v>245.07091508877991</v>
      </c>
      <c r="Q33" s="24">
        <f t="shared" si="5"/>
        <v>251.96680095448656</v>
      </c>
      <c r="R33" s="24">
        <f t="shared" si="5"/>
        <v>257.89705673966091</v>
      </c>
      <c r="S33" s="24">
        <f t="shared" si="5"/>
        <v>252.82559125110174</v>
      </c>
      <c r="T33" s="24">
        <f t="shared" si="5"/>
        <v>242.49404352192872</v>
      </c>
      <c r="U33" s="24">
        <f t="shared" si="5"/>
        <v>284.18175892031513</v>
      </c>
      <c r="V33" s="24">
        <f t="shared" si="5"/>
        <v>306.89780700894903</v>
      </c>
      <c r="W33" s="24">
        <f t="shared" si="5"/>
        <v>309.84411259950735</v>
      </c>
      <c r="X33" s="24">
        <f t="shared" si="5"/>
        <v>313.71144043973851</v>
      </c>
      <c r="Y33" s="24">
        <f t="shared" si="5"/>
        <v>383.93843509494064</v>
      </c>
      <c r="Z33" s="24">
        <f t="shared" si="5"/>
        <v>360.81614403857952</v>
      </c>
      <c r="AA33" s="24">
        <f t="shared" si="5"/>
        <v>369.38644076960668</v>
      </c>
      <c r="AB33" s="24">
        <f t="shared" si="5"/>
        <v>384.70405528320674</v>
      </c>
      <c r="AC33" s="24">
        <f t="shared" si="5"/>
        <v>281.93754656869095</v>
      </c>
      <c r="AD33" s="24">
        <f t="shared" si="5"/>
        <v>275.11319219242915</v>
      </c>
      <c r="AE33" s="24">
        <f t="shared" si="5"/>
        <v>267.06961077086748</v>
      </c>
      <c r="AF33" s="24">
        <f t="shared" si="5"/>
        <v>259.00052669640093</v>
      </c>
      <c r="AG33" s="24">
        <f t="shared" si="5"/>
        <v>262.46084398854077</v>
      </c>
      <c r="AH33" s="24">
        <f t="shared" si="5"/>
        <v>289.13129972771065</v>
      </c>
      <c r="AI33" s="24">
        <f t="shared" si="5"/>
        <v>301.05622851490062</v>
      </c>
      <c r="AJ33" s="24">
        <f t="shared" si="5"/>
        <v>311.17154626200954</v>
      </c>
      <c r="AK33" s="24">
        <f t="shared" si="5"/>
        <v>304.64138367745772</v>
      </c>
      <c r="AL33" s="24">
        <f t="shared" si="5"/>
        <v>303.56589749699754</v>
      </c>
      <c r="AM33" s="24">
        <f t="shared" si="5"/>
        <v>311.50082899674283</v>
      </c>
      <c r="AN33" s="24">
        <f t="shared" si="5"/>
        <v>323.14790773424858</v>
      </c>
      <c r="AO33" s="24">
        <f t="shared" si="5"/>
        <v>334.90870507714101</v>
      </c>
      <c r="AP33" s="24">
        <f t="shared" si="5"/>
        <v>338.28848295062306</v>
      </c>
      <c r="AQ33" s="24">
        <f t="shared" si="5"/>
        <v>332.03961231962228</v>
      </c>
      <c r="AR33" s="24">
        <f t="shared" si="5"/>
        <v>344.1019904498803</v>
      </c>
      <c r="AS33" s="24">
        <f t="shared" si="5"/>
        <v>349.03958988429383</v>
      </c>
      <c r="AT33" s="24">
        <f t="shared" si="5"/>
        <v>349.27937172190963</v>
      </c>
      <c r="AU33" s="24">
        <f t="shared" si="5"/>
        <v>350.84644722890056</v>
      </c>
      <c r="AV33" s="24">
        <f t="shared" si="5"/>
        <v>351.14826073327805</v>
      </c>
      <c r="AW33" s="24">
        <f t="shared" si="5"/>
        <v>351.77435632877359</v>
      </c>
      <c r="AX33" s="24">
        <f t="shared" si="5"/>
        <v>352.86653426304878</v>
      </c>
      <c r="AY33" s="24">
        <f t="shared" si="5"/>
        <v>354.17508273481764</v>
      </c>
      <c r="AZ33" s="24">
        <f t="shared" si="5"/>
        <v>355.49596704844635</v>
      </c>
      <c r="BA33" s="24">
        <f t="shared" si="5"/>
        <v>356.71086424158608</v>
      </c>
      <c r="BB33" s="24">
        <f t="shared" si="5"/>
        <v>355.91459318239788</v>
      </c>
      <c r="BC33" s="24">
        <f t="shared" si="5"/>
        <v>88.835323760495385</v>
      </c>
    </row>
    <row r="34" spans="1:55">
      <c r="A34" s="25"/>
      <c r="B34" s="25"/>
      <c r="C34" s="25"/>
      <c r="D34" s="25"/>
      <c r="E34" s="18">
        <f t="shared" ref="E34:U34" si="6">E4/E33</f>
        <v>1489.4096666509356</v>
      </c>
      <c r="F34" s="18">
        <f t="shared" si="6"/>
        <v>1433.4466517778922</v>
      </c>
      <c r="G34" s="18">
        <f t="shared" si="6"/>
        <v>1473.8416827457431</v>
      </c>
      <c r="H34" s="18">
        <f t="shared" si="6"/>
        <v>1327.7291259991148</v>
      </c>
      <c r="I34" s="18">
        <f t="shared" si="6"/>
        <v>1632.834055369234</v>
      </c>
      <c r="J34" s="18">
        <f t="shared" si="6"/>
        <v>1580.6580036652547</v>
      </c>
      <c r="K34" s="18">
        <f t="shared" si="6"/>
        <v>1372.2161614635172</v>
      </c>
      <c r="L34" s="18">
        <f t="shared" si="6"/>
        <v>1321.6226764640246</v>
      </c>
      <c r="M34" s="18">
        <f t="shared" si="6"/>
        <v>1289.8237334194296</v>
      </c>
      <c r="N34" s="18">
        <f t="shared" si="6"/>
        <v>1222.8398784244737</v>
      </c>
      <c r="O34" s="18">
        <f t="shared" si="6"/>
        <v>1237.3551117417139</v>
      </c>
      <c r="P34" s="18">
        <f t="shared" si="6"/>
        <v>1262.6708066764327</v>
      </c>
      <c r="Q34" s="18">
        <f t="shared" si="6"/>
        <v>1014.8950477167019</v>
      </c>
      <c r="R34" s="18">
        <f t="shared" si="6"/>
        <v>963.38142547159759</v>
      </c>
      <c r="S34" s="18">
        <f t="shared" si="6"/>
        <v>1022.7505785783217</v>
      </c>
      <c r="T34" s="18">
        <f t="shared" si="6"/>
        <v>978.44684380273088</v>
      </c>
      <c r="U34" s="18">
        <f t="shared" si="6"/>
        <v>888.35385093387151</v>
      </c>
      <c r="V34" s="18">
        <f>V4/V33</f>
        <v>877.93599804978135</v>
      </c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</row>
    <row r="35" spans="1:55" ht="15.75" thickBot="1">
      <c r="A35" s="20" t="s">
        <v>30</v>
      </c>
      <c r="B35" s="20"/>
      <c r="C35" s="20"/>
      <c r="D35" s="20"/>
    </row>
    <row r="36" spans="1:55" ht="15.75" thickBot="1">
      <c r="A36" s="22"/>
      <c r="B36" s="23" t="str">
        <f>B20</f>
        <v xml:space="preserve">97/98 </v>
      </c>
      <c r="C36" s="23" t="str">
        <f>C20</f>
        <v xml:space="preserve">98/99 </v>
      </c>
      <c r="D36" s="23" t="str">
        <f>D20</f>
        <v xml:space="preserve">99/00 </v>
      </c>
      <c r="E36" s="23" t="str">
        <f>E20</f>
        <v xml:space="preserve">00/01 </v>
      </c>
      <c r="F36" s="23" t="str">
        <f t="shared" ref="F36:BC36" si="7">F20</f>
        <v xml:space="preserve">01/02 </v>
      </c>
      <c r="G36" s="23" t="str">
        <f t="shared" si="7"/>
        <v xml:space="preserve">02/03 </v>
      </c>
      <c r="H36" s="23" t="str">
        <f t="shared" si="7"/>
        <v xml:space="preserve">03/04 </v>
      </c>
      <c r="I36" s="23" t="str">
        <f t="shared" si="7"/>
        <v xml:space="preserve">04/05 </v>
      </c>
      <c r="J36" s="23" t="str">
        <f t="shared" si="7"/>
        <v xml:space="preserve">05/06 </v>
      </c>
      <c r="K36" s="23" t="str">
        <f t="shared" si="7"/>
        <v xml:space="preserve">06/07 </v>
      </c>
      <c r="L36" s="23" t="str">
        <f t="shared" si="7"/>
        <v xml:space="preserve">07/08 </v>
      </c>
      <c r="M36" s="23" t="str">
        <f t="shared" si="7"/>
        <v xml:space="preserve">08/09 </v>
      </c>
      <c r="N36" s="23" t="str">
        <f t="shared" si="7"/>
        <v xml:space="preserve">09/10 </v>
      </c>
      <c r="O36" s="23" t="str">
        <f t="shared" si="7"/>
        <v xml:space="preserve">10/11 </v>
      </c>
      <c r="P36" s="23" t="str">
        <f t="shared" si="7"/>
        <v xml:space="preserve">11/12 </v>
      </c>
      <c r="Q36" s="23" t="str">
        <f t="shared" si="7"/>
        <v xml:space="preserve">12/13 </v>
      </c>
      <c r="R36" s="23" t="str">
        <f t="shared" si="7"/>
        <v xml:space="preserve">13/14 </v>
      </c>
      <c r="S36" s="23" t="str">
        <f t="shared" si="7"/>
        <v xml:space="preserve">14/15 </v>
      </c>
      <c r="T36" s="23" t="str">
        <f t="shared" si="7"/>
        <v xml:space="preserve">15/16 </v>
      </c>
      <c r="U36" s="23" t="str">
        <f t="shared" si="7"/>
        <v xml:space="preserve">16/17 </v>
      </c>
      <c r="V36" s="23" t="str">
        <f t="shared" si="7"/>
        <v xml:space="preserve">17/18 </v>
      </c>
      <c r="W36" s="23" t="str">
        <f t="shared" si="7"/>
        <v xml:space="preserve">18/19 </v>
      </c>
      <c r="X36" s="23" t="str">
        <f t="shared" si="7"/>
        <v>19/20</v>
      </c>
      <c r="Y36" s="23" t="str">
        <f t="shared" si="7"/>
        <v>20/21</v>
      </c>
      <c r="Z36" s="23" t="str">
        <f t="shared" si="7"/>
        <v xml:space="preserve">21/22 </v>
      </c>
      <c r="AA36" s="23" t="str">
        <f t="shared" si="7"/>
        <v xml:space="preserve">22/23 </v>
      </c>
      <c r="AB36" s="23" t="str">
        <f t="shared" si="7"/>
        <v xml:space="preserve">23/24 </v>
      </c>
      <c r="AC36" s="23" t="str">
        <f t="shared" si="7"/>
        <v xml:space="preserve">24/25 </v>
      </c>
      <c r="AD36" s="23" t="str">
        <f t="shared" si="7"/>
        <v>25/26</v>
      </c>
      <c r="AE36" s="23" t="str">
        <f t="shared" si="7"/>
        <v>26/27</v>
      </c>
      <c r="AF36" s="23" t="str">
        <f t="shared" si="7"/>
        <v>27/28</v>
      </c>
      <c r="AG36" s="23" t="str">
        <f t="shared" si="7"/>
        <v>28/29</v>
      </c>
      <c r="AH36" s="23" t="str">
        <f t="shared" si="7"/>
        <v>29/30</v>
      </c>
      <c r="AI36" s="23" t="str">
        <f t="shared" si="7"/>
        <v>30/31</v>
      </c>
      <c r="AJ36" s="23" t="str">
        <f t="shared" si="7"/>
        <v>31/32</v>
      </c>
      <c r="AK36" s="23" t="str">
        <f t="shared" si="7"/>
        <v>32/33</v>
      </c>
      <c r="AL36" s="23" t="str">
        <f t="shared" si="7"/>
        <v>33/34</v>
      </c>
      <c r="AM36" s="23" t="str">
        <f t="shared" si="7"/>
        <v>34/35</v>
      </c>
      <c r="AN36" s="23" t="str">
        <f t="shared" si="7"/>
        <v>35/36</v>
      </c>
      <c r="AO36" s="23" t="str">
        <f t="shared" si="7"/>
        <v>36/37</v>
      </c>
      <c r="AP36" s="23" t="str">
        <f t="shared" si="7"/>
        <v>37/38</v>
      </c>
      <c r="AQ36" s="23" t="str">
        <f t="shared" si="7"/>
        <v>38/39</v>
      </c>
      <c r="AR36" s="23" t="str">
        <f t="shared" si="7"/>
        <v>39/40</v>
      </c>
      <c r="AS36" s="23" t="str">
        <f t="shared" si="7"/>
        <v>40/41</v>
      </c>
      <c r="AT36" s="23" t="str">
        <f t="shared" si="7"/>
        <v>41/42</v>
      </c>
      <c r="AU36" s="23" t="str">
        <f t="shared" si="7"/>
        <v>42/43</v>
      </c>
      <c r="AV36" s="23" t="str">
        <f t="shared" si="7"/>
        <v>43/44</v>
      </c>
      <c r="AW36" s="23" t="str">
        <f t="shared" si="7"/>
        <v>44/45</v>
      </c>
      <c r="AX36" s="23" t="str">
        <f t="shared" si="7"/>
        <v>45/46</v>
      </c>
      <c r="AY36" s="23" t="str">
        <f t="shared" si="7"/>
        <v>46/47</v>
      </c>
      <c r="AZ36" s="23" t="str">
        <f t="shared" si="7"/>
        <v>47/48</v>
      </c>
      <c r="BA36" s="23" t="str">
        <f t="shared" si="7"/>
        <v>48/49</v>
      </c>
      <c r="BB36" s="23" t="str">
        <f t="shared" si="7"/>
        <v>49/50</v>
      </c>
      <c r="BC36" s="23" t="str">
        <f t="shared" si="7"/>
        <v>50/51</v>
      </c>
    </row>
    <row r="37" spans="1:55">
      <c r="A37" s="20" t="s">
        <v>17</v>
      </c>
      <c r="B37" s="26">
        <f>'[3]Canada Inedible Tallow'!$G$44</f>
        <v>2.69</v>
      </c>
      <c r="C37" s="20"/>
      <c r="D37" s="20"/>
    </row>
    <row r="38" spans="1:55">
      <c r="A38" s="20" t="s">
        <v>18</v>
      </c>
      <c r="B38" s="20"/>
      <c r="C38" s="20"/>
      <c r="D38" s="20"/>
    </row>
    <row r="39" spans="1:55">
      <c r="A39" s="20" t="s">
        <v>19</v>
      </c>
      <c r="B39" s="20"/>
      <c r="C39" s="20"/>
      <c r="D39" s="20"/>
    </row>
    <row r="40" spans="1:55">
      <c r="A40" s="20" t="s">
        <v>20</v>
      </c>
      <c r="B40" s="20"/>
      <c r="C40" s="20"/>
      <c r="D40" s="20"/>
    </row>
    <row r="41" spans="1:55">
      <c r="A41" s="20" t="s">
        <v>21</v>
      </c>
      <c r="B41" s="20"/>
      <c r="C41" s="20"/>
      <c r="D41" s="20"/>
    </row>
    <row r="42" spans="1:55">
      <c r="A42" s="20" t="s">
        <v>22</v>
      </c>
      <c r="B42" s="20"/>
      <c r="C42" s="20"/>
      <c r="D42" s="20"/>
    </row>
    <row r="43" spans="1:55">
      <c r="A43" s="20" t="s">
        <v>23</v>
      </c>
      <c r="B43" s="20"/>
      <c r="C43" s="20"/>
      <c r="D43" s="20"/>
    </row>
    <row r="44" spans="1:55">
      <c r="A44" s="20" t="s">
        <v>24</v>
      </c>
      <c r="B44" s="20"/>
      <c r="C44" s="20"/>
      <c r="D44" s="20"/>
    </row>
    <row r="45" spans="1:55">
      <c r="A45" s="20" t="s">
        <v>25</v>
      </c>
      <c r="B45" s="20"/>
      <c r="C45" s="20"/>
      <c r="D45" s="20"/>
    </row>
    <row r="46" spans="1:55">
      <c r="A46" s="20" t="s">
        <v>26</v>
      </c>
      <c r="B46" s="20"/>
      <c r="C46" s="20"/>
      <c r="D46" s="20"/>
    </row>
    <row r="47" spans="1:55">
      <c r="A47" s="20" t="s">
        <v>27</v>
      </c>
      <c r="B47" s="20"/>
      <c r="C47" s="20"/>
      <c r="D47" s="20"/>
    </row>
    <row r="48" spans="1:55">
      <c r="A48" s="20" t="s">
        <v>28</v>
      </c>
      <c r="B48" s="20"/>
      <c r="C48" s="20"/>
      <c r="D48" s="20"/>
    </row>
    <row r="49" spans="1:55" ht="15.75" thickBot="1">
      <c r="A49" s="20" t="s">
        <v>29</v>
      </c>
      <c r="B49" s="20"/>
      <c r="C49" s="20"/>
      <c r="D49" s="20"/>
    </row>
    <row r="50" spans="1:55">
      <c r="A50" s="25"/>
      <c r="B50" s="25"/>
      <c r="C50" s="25"/>
      <c r="D50" s="25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</row>
    <row r="51" spans="1:55" ht="15.75" thickBot="1">
      <c r="A51" s="20" t="s">
        <v>31</v>
      </c>
      <c r="B51" s="20"/>
      <c r="C51" s="20"/>
      <c r="D51" s="20"/>
    </row>
    <row r="52" spans="1:55" ht="15.75" thickBot="1">
      <c r="A52" s="22"/>
      <c r="B52" s="23" t="str">
        <f>B36</f>
        <v xml:space="preserve">97/98 </v>
      </c>
      <c r="C52" s="23" t="str">
        <f>C36</f>
        <v xml:space="preserve">98/99 </v>
      </c>
      <c r="D52" s="23" t="str">
        <f>D36</f>
        <v xml:space="preserve">99/00 </v>
      </c>
      <c r="E52" s="23" t="str">
        <f>E36</f>
        <v xml:space="preserve">00/01 </v>
      </c>
      <c r="F52" s="23" t="str">
        <f t="shared" ref="F52:BC52" si="8">F36</f>
        <v xml:space="preserve">01/02 </v>
      </c>
      <c r="G52" s="23" t="str">
        <f t="shared" si="8"/>
        <v xml:space="preserve">02/03 </v>
      </c>
      <c r="H52" s="23" t="str">
        <f t="shared" si="8"/>
        <v xml:space="preserve">03/04 </v>
      </c>
      <c r="I52" s="23" t="str">
        <f t="shared" si="8"/>
        <v xml:space="preserve">04/05 </v>
      </c>
      <c r="J52" s="23" t="str">
        <f t="shared" si="8"/>
        <v xml:space="preserve">05/06 </v>
      </c>
      <c r="K52" s="23" t="str">
        <f t="shared" si="8"/>
        <v xml:space="preserve">06/07 </v>
      </c>
      <c r="L52" s="23" t="str">
        <f t="shared" si="8"/>
        <v xml:space="preserve">07/08 </v>
      </c>
      <c r="M52" s="23" t="str">
        <f t="shared" si="8"/>
        <v xml:space="preserve">08/09 </v>
      </c>
      <c r="N52" s="23" t="str">
        <f t="shared" si="8"/>
        <v xml:space="preserve">09/10 </v>
      </c>
      <c r="O52" s="23" t="str">
        <f t="shared" si="8"/>
        <v xml:space="preserve">10/11 </v>
      </c>
      <c r="P52" s="23" t="str">
        <f t="shared" si="8"/>
        <v xml:space="preserve">11/12 </v>
      </c>
      <c r="Q52" s="23" t="str">
        <f t="shared" si="8"/>
        <v xml:space="preserve">12/13 </v>
      </c>
      <c r="R52" s="23" t="str">
        <f t="shared" si="8"/>
        <v xml:space="preserve">13/14 </v>
      </c>
      <c r="S52" s="23" t="str">
        <f t="shared" si="8"/>
        <v xml:space="preserve">14/15 </v>
      </c>
      <c r="T52" s="23" t="str">
        <f t="shared" si="8"/>
        <v xml:space="preserve">15/16 </v>
      </c>
      <c r="U52" s="23" t="str">
        <f t="shared" si="8"/>
        <v xml:space="preserve">16/17 </v>
      </c>
      <c r="V52" s="23" t="str">
        <f t="shared" si="8"/>
        <v xml:space="preserve">17/18 </v>
      </c>
      <c r="W52" s="23" t="str">
        <f t="shared" si="8"/>
        <v xml:space="preserve">18/19 </v>
      </c>
      <c r="X52" s="23" t="str">
        <f t="shared" si="8"/>
        <v>19/20</v>
      </c>
      <c r="Y52" s="23" t="str">
        <f t="shared" si="8"/>
        <v>20/21</v>
      </c>
      <c r="Z52" s="23" t="str">
        <f t="shared" si="8"/>
        <v xml:space="preserve">21/22 </v>
      </c>
      <c r="AA52" s="23" t="str">
        <f t="shared" si="8"/>
        <v xml:space="preserve">22/23 </v>
      </c>
      <c r="AB52" s="23" t="str">
        <f t="shared" si="8"/>
        <v xml:space="preserve">23/24 </v>
      </c>
      <c r="AC52" s="23" t="str">
        <f t="shared" si="8"/>
        <v xml:space="preserve">24/25 </v>
      </c>
      <c r="AD52" s="23" t="str">
        <f t="shared" si="8"/>
        <v>25/26</v>
      </c>
      <c r="AE52" s="23" t="str">
        <f t="shared" si="8"/>
        <v>26/27</v>
      </c>
      <c r="AF52" s="23" t="str">
        <f t="shared" si="8"/>
        <v>27/28</v>
      </c>
      <c r="AG52" s="23" t="str">
        <f t="shared" si="8"/>
        <v>28/29</v>
      </c>
      <c r="AH52" s="23" t="str">
        <f t="shared" si="8"/>
        <v>29/30</v>
      </c>
      <c r="AI52" s="23" t="str">
        <f t="shared" si="8"/>
        <v>30/31</v>
      </c>
      <c r="AJ52" s="23" t="str">
        <f t="shared" si="8"/>
        <v>31/32</v>
      </c>
      <c r="AK52" s="23" t="str">
        <f t="shared" si="8"/>
        <v>32/33</v>
      </c>
      <c r="AL52" s="23" t="str">
        <f t="shared" si="8"/>
        <v>33/34</v>
      </c>
      <c r="AM52" s="23" t="str">
        <f t="shared" si="8"/>
        <v>34/35</v>
      </c>
      <c r="AN52" s="23" t="str">
        <f t="shared" si="8"/>
        <v>35/36</v>
      </c>
      <c r="AO52" s="23" t="str">
        <f t="shared" si="8"/>
        <v>36/37</v>
      </c>
      <c r="AP52" s="23" t="str">
        <f t="shared" si="8"/>
        <v>37/38</v>
      </c>
      <c r="AQ52" s="23" t="str">
        <f t="shared" si="8"/>
        <v>38/39</v>
      </c>
      <c r="AR52" s="23" t="str">
        <f t="shared" si="8"/>
        <v>39/40</v>
      </c>
      <c r="AS52" s="23" t="str">
        <f t="shared" si="8"/>
        <v>40/41</v>
      </c>
      <c r="AT52" s="23" t="str">
        <f t="shared" si="8"/>
        <v>41/42</v>
      </c>
      <c r="AU52" s="23" t="str">
        <f t="shared" si="8"/>
        <v>42/43</v>
      </c>
      <c r="AV52" s="23" t="str">
        <f t="shared" si="8"/>
        <v>43/44</v>
      </c>
      <c r="AW52" s="23" t="str">
        <f t="shared" si="8"/>
        <v>44/45</v>
      </c>
      <c r="AX52" s="23" t="str">
        <f t="shared" si="8"/>
        <v>45/46</v>
      </c>
      <c r="AY52" s="23" t="str">
        <f t="shared" si="8"/>
        <v>46/47</v>
      </c>
      <c r="AZ52" s="23" t="str">
        <f t="shared" si="8"/>
        <v>47/48</v>
      </c>
      <c r="BA52" s="23" t="str">
        <f t="shared" si="8"/>
        <v>48/49</v>
      </c>
      <c r="BB52" s="23" t="str">
        <f t="shared" si="8"/>
        <v>49/50</v>
      </c>
      <c r="BC52" s="23" t="str">
        <f t="shared" si="8"/>
        <v>50/51</v>
      </c>
    </row>
    <row r="53" spans="1:55">
      <c r="A53" s="20" t="s">
        <v>17</v>
      </c>
      <c r="B53" s="26">
        <f>'[3]Canada Inedible Tallow'!G62</f>
        <v>14.167999999999999</v>
      </c>
      <c r="C53" s="26">
        <f>'[3]Canada Inedible Tallow'!H62</f>
        <v>13.2</v>
      </c>
      <c r="D53" s="26">
        <f>'[3]Canada Inedible Tallow'!I62</f>
        <v>22.948</v>
      </c>
      <c r="E53" s="26">
        <f>'[3]Canada Inedible Tallow'!J62</f>
        <v>28.876999999999999</v>
      </c>
      <c r="F53" s="26">
        <f>'[3]Canada Inedible Tallow'!K62</f>
        <v>19.081</v>
      </c>
      <c r="G53" s="26">
        <f>'[3]Canada Inedible Tallow'!L62</f>
        <v>9.34</v>
      </c>
      <c r="H53" s="26">
        <f>'[3]Canada Inedible Tallow'!M62</f>
        <v>6.7210000000000001</v>
      </c>
      <c r="I53" s="26">
        <f>'[3]Canada Inedible Tallow'!N62</f>
        <v>20.962</v>
      </c>
      <c r="J53" s="26">
        <f>'[3]Canada Inedible Tallow'!O62</f>
        <v>27.686</v>
      </c>
      <c r="K53" s="26">
        <f>'[3]Canada Inedible Tallow'!P62</f>
        <v>11.137</v>
      </c>
      <c r="L53" s="26">
        <f>'[3]Canada Inedible Tallow'!Q62</f>
        <v>8.4480000000000004</v>
      </c>
      <c r="M53" s="26">
        <f>'[3]Canada Inedible Tallow'!R62</f>
        <v>10.214</v>
      </c>
      <c r="N53" s="26">
        <f>'[3]Canada Inedible Tallow'!S62</f>
        <v>16.158999999999999</v>
      </c>
      <c r="O53" s="26">
        <f>'[3]Canada Inedible Tallow'!T62</f>
        <v>15.4</v>
      </c>
      <c r="P53" s="26">
        <f>'[3]Canada Inedible Tallow'!U62</f>
        <v>4.415</v>
      </c>
      <c r="Q53" s="26">
        <f>'[3]Canada Inedible Tallow'!V62</f>
        <v>19.37</v>
      </c>
      <c r="R53" s="26">
        <f>'[3]Canada Inedible Tallow'!W62</f>
        <v>11.903</v>
      </c>
      <c r="S53" s="26">
        <f>'[3]Canada Inedible Tallow'!X62</f>
        <v>12.308</v>
      </c>
      <c r="T53" s="26">
        <f>'[3]Canada Inedible Tallow'!Y62</f>
        <v>8.157</v>
      </c>
      <c r="U53" s="26">
        <f>'[3]Canada Inedible Tallow'!Z62</f>
        <v>17.181000000000001</v>
      </c>
      <c r="V53" s="26">
        <f>'[3]Canada Inedible Tallow'!AA62</f>
        <v>15.05</v>
      </c>
      <c r="W53" s="26">
        <f>'[3]Canada Inedible Tallow'!AB62</f>
        <v>17.98</v>
      </c>
      <c r="X53" s="26">
        <f>'[3]Canada Inedible Tallow'!AC62</f>
        <v>4.0460000000000003</v>
      </c>
      <c r="Y53" s="26">
        <f>'[3]Canada Inedible Tallow'!AD62</f>
        <v>19.539000000000001</v>
      </c>
      <c r="Z53" s="26">
        <f>'[3]Canada Inedible Tallow'!AE62</f>
        <v>19.239000000000001</v>
      </c>
      <c r="AA53" s="26">
        <f>'[3]Canada Inedible Tallow'!AF62</f>
        <v>26.76</v>
      </c>
      <c r="AB53" s="26">
        <f>'[3]Canada Inedible Tallow'!AG62</f>
        <v>15.183999999999999</v>
      </c>
      <c r="AC53" s="26">
        <f>'[3]Canada Inedible Tallow'!AH62</f>
        <v>11.409000000000001</v>
      </c>
      <c r="AD53" s="26">
        <f>'[3]Canada Inedible Tallow'!AI62</f>
        <v>11.63928375804139</v>
      </c>
      <c r="AE53" s="26">
        <f>'[3]Canada Inedible Tallow'!AJ62</f>
        <v>17.151587682039402</v>
      </c>
      <c r="AF53" s="26">
        <f>'[3]Canada Inedible Tallow'!AK62</f>
        <v>15.130044022715003</v>
      </c>
      <c r="AG53" s="26">
        <f>'[3]Canada Inedible Tallow'!AL62</f>
        <v>12.517720983189601</v>
      </c>
      <c r="AH53" s="26">
        <f>'[3]Canada Inedible Tallow'!AM62</f>
        <v>11.909685891939894</v>
      </c>
      <c r="AI53" s="26">
        <f>'[3]Canada Inedible Tallow'!AN62</f>
        <v>12.790329326395376</v>
      </c>
      <c r="AJ53" s="26">
        <f>'[3]Canada Inedible Tallow'!AO62</f>
        <v>7.1485064132172971</v>
      </c>
    </row>
    <row r="54" spans="1:55">
      <c r="A54" s="20" t="s">
        <v>18</v>
      </c>
      <c r="B54" s="26">
        <f>'[3]Canada Inedible Tallow'!G63</f>
        <v>21.594000000000001</v>
      </c>
      <c r="C54" s="26">
        <f>'[3]Canada Inedible Tallow'!H63</f>
        <v>24.047999999999998</v>
      </c>
      <c r="D54" s="26">
        <f>'[3]Canada Inedible Tallow'!I63</f>
        <v>10.693</v>
      </c>
      <c r="E54" s="26">
        <f>'[3]Canada Inedible Tallow'!J63</f>
        <v>17.355</v>
      </c>
      <c r="F54" s="26">
        <f>'[3]Canada Inedible Tallow'!K63</f>
        <v>20.748999999999999</v>
      </c>
      <c r="G54" s="26">
        <f>'[3]Canada Inedible Tallow'!L63</f>
        <v>10.542999999999999</v>
      </c>
      <c r="H54" s="26">
        <f>'[3]Canada Inedible Tallow'!M63</f>
        <v>22.789000000000001</v>
      </c>
      <c r="I54" s="26">
        <f>'[3]Canada Inedible Tallow'!N63</f>
        <v>17.257999999999999</v>
      </c>
      <c r="J54" s="26">
        <f>'[3]Canada Inedible Tallow'!O63</f>
        <v>23.594000000000001</v>
      </c>
      <c r="K54" s="26">
        <f>'[3]Canada Inedible Tallow'!P63</f>
        <v>17.123000000000001</v>
      </c>
      <c r="L54" s="26">
        <f>'[3]Canada Inedible Tallow'!Q63</f>
        <v>10.385999999999999</v>
      </c>
      <c r="M54" s="26">
        <f>'[3]Canada Inedible Tallow'!R63</f>
        <v>10.554</v>
      </c>
      <c r="N54" s="26">
        <f>'[3]Canada Inedible Tallow'!S63</f>
        <v>17.664999999999999</v>
      </c>
      <c r="O54" s="26">
        <f>'[3]Canada Inedible Tallow'!T63</f>
        <v>15.497999999999999</v>
      </c>
      <c r="P54" s="26">
        <f>'[3]Canada Inedible Tallow'!U63</f>
        <v>12.827999999999999</v>
      </c>
      <c r="Q54" s="26">
        <f>'[3]Canada Inedible Tallow'!V63</f>
        <v>6.8659999999999997</v>
      </c>
      <c r="R54" s="26">
        <f>'[3]Canada Inedible Tallow'!W63</f>
        <v>16.649999999999999</v>
      </c>
      <c r="S54" s="26">
        <f>'[3]Canada Inedible Tallow'!X63</f>
        <v>7.2869999999999999</v>
      </c>
      <c r="T54" s="26">
        <f>'[3]Canada Inedible Tallow'!Y63</f>
        <v>9.32</v>
      </c>
      <c r="U54" s="26">
        <f>'[3]Canada Inedible Tallow'!Z63</f>
        <v>10.273</v>
      </c>
      <c r="V54" s="26">
        <f>'[3]Canada Inedible Tallow'!AA63</f>
        <v>15.986000000000001</v>
      </c>
      <c r="W54" s="26">
        <f>'[3]Canada Inedible Tallow'!AB63</f>
        <v>18.452999999999999</v>
      </c>
      <c r="X54" s="26">
        <f>'[3]Canada Inedible Tallow'!AC63</f>
        <v>23.585999999999999</v>
      </c>
      <c r="Y54" s="26">
        <f>'[3]Canada Inedible Tallow'!AD63</f>
        <v>20.643000000000001</v>
      </c>
      <c r="Z54" s="26">
        <f>'[3]Canada Inedible Tallow'!AE63</f>
        <v>23.452999999999999</v>
      </c>
      <c r="AA54" s="26">
        <f>'[3]Canada Inedible Tallow'!AF63</f>
        <v>22.332999999999998</v>
      </c>
      <c r="AB54" s="26">
        <f>'[3]Canada Inedible Tallow'!AG63</f>
        <v>15.388</v>
      </c>
      <c r="AC54" s="26">
        <f>'[3]Canada Inedible Tallow'!AH63</f>
        <v>17.504999999999999</v>
      </c>
      <c r="AD54" s="26">
        <f>'[3]Canada Inedible Tallow'!AI63</f>
        <v>12.547752020668254</v>
      </c>
      <c r="AE54" s="26">
        <f>'[3]Canada Inedible Tallow'!AJ63</f>
        <v>18.576039286362885</v>
      </c>
      <c r="AF54" s="26">
        <f>'[3]Canada Inedible Tallow'!AK63</f>
        <v>15.904730577260814</v>
      </c>
      <c r="AG54" s="26">
        <f>'[3]Canada Inedible Tallow'!AL63</f>
        <v>14.187771377229694</v>
      </c>
      <c r="AH54" s="26">
        <f>'[3]Canada Inedible Tallow'!AM63</f>
        <v>13.818401419162226</v>
      </c>
      <c r="AI54" s="26">
        <f>'[3]Canada Inedible Tallow'!AN63</f>
        <v>14.041580291122129</v>
      </c>
      <c r="AJ54" s="26">
        <f>'[3]Canada Inedible Tallow'!AO63</f>
        <v>7.8715052178313112</v>
      </c>
    </row>
    <row r="55" spans="1:55">
      <c r="A55" s="20" t="s">
        <v>19</v>
      </c>
      <c r="B55" s="26">
        <f>'[3]Canada Inedible Tallow'!G64</f>
        <v>12.805</v>
      </c>
      <c r="C55" s="26">
        <f>'[3]Canada Inedible Tallow'!H64</f>
        <v>24.959</v>
      </c>
      <c r="D55" s="26">
        <f>'[3]Canada Inedible Tallow'!I64</f>
        <v>24.954999999999998</v>
      </c>
      <c r="E55" s="26">
        <f>'[3]Canada Inedible Tallow'!J64</f>
        <v>13.337</v>
      </c>
      <c r="F55" s="26">
        <f>'[3]Canada Inedible Tallow'!K64</f>
        <v>23.518000000000001</v>
      </c>
      <c r="G55" s="26">
        <f>'[3]Canada Inedible Tallow'!L64</f>
        <v>27.478999999999999</v>
      </c>
      <c r="H55" s="26">
        <f>'[3]Canada Inedible Tallow'!M64</f>
        <v>0.372</v>
      </c>
      <c r="I55" s="26">
        <f>'[3]Canada Inedible Tallow'!N64</f>
        <v>13.005000000000001</v>
      </c>
      <c r="J55" s="26">
        <f>'[3]Canada Inedible Tallow'!O64</f>
        <v>12.814</v>
      </c>
      <c r="K55" s="26">
        <f>'[3]Canada Inedible Tallow'!P64</f>
        <v>22.245999999999999</v>
      </c>
      <c r="L55" s="26">
        <f>'[3]Canada Inedible Tallow'!Q64</f>
        <v>22.616</v>
      </c>
      <c r="M55" s="26">
        <f>'[3]Canada Inedible Tallow'!R64</f>
        <v>6.9740000000000002</v>
      </c>
      <c r="N55" s="26">
        <f>'[3]Canada Inedible Tallow'!S64</f>
        <v>12.879</v>
      </c>
      <c r="O55" s="26">
        <f>'[3]Canada Inedible Tallow'!T64</f>
        <v>15.526999999999999</v>
      </c>
      <c r="P55" s="26">
        <f>'[3]Canada Inedible Tallow'!U64</f>
        <v>13.88</v>
      </c>
      <c r="Q55" s="26">
        <f>'[3]Canada Inedible Tallow'!V64</f>
        <v>10.552</v>
      </c>
      <c r="R55" s="26">
        <f>'[3]Canada Inedible Tallow'!W64</f>
        <v>6.6680000000000001</v>
      </c>
      <c r="S55" s="26">
        <f>'[3]Canada Inedible Tallow'!X64</f>
        <v>5.5620000000000003</v>
      </c>
      <c r="T55" s="26">
        <f>'[3]Canada Inedible Tallow'!Y64</f>
        <v>11.702999999999999</v>
      </c>
      <c r="U55" s="26">
        <f>'[3]Canada Inedible Tallow'!Z64</f>
        <v>20.411999999999999</v>
      </c>
      <c r="V55" s="26">
        <f>'[3]Canada Inedible Tallow'!AA64</f>
        <v>7.9279999999999999</v>
      </c>
      <c r="W55" s="26">
        <f>'[3]Canada Inedible Tallow'!AB64</f>
        <v>11.988</v>
      </c>
      <c r="X55" s="26">
        <f>'[3]Canada Inedible Tallow'!AC64</f>
        <v>17.553999999999998</v>
      </c>
      <c r="Y55" s="26">
        <f>'[3]Canada Inedible Tallow'!AD64</f>
        <v>20.300999999999998</v>
      </c>
      <c r="Z55" s="26">
        <f>'[3]Canada Inedible Tallow'!AE64</f>
        <v>22.396000000000001</v>
      </c>
      <c r="AA55" s="26">
        <f>'[3]Canada Inedible Tallow'!AF64</f>
        <v>18.079000000000001</v>
      </c>
      <c r="AB55" s="26">
        <f>'[3]Canada Inedible Tallow'!AG64</f>
        <v>17.271000000000001</v>
      </c>
      <c r="AC55" s="26">
        <f>'[3]Canada Inedible Tallow'!AH64</f>
        <v>16.872</v>
      </c>
      <c r="AD55" s="26">
        <f>'[3]Canada Inedible Tallow'!AI64</f>
        <v>11.991503131731235</v>
      </c>
      <c r="AE55" s="26">
        <f>'[3]Canada Inedible Tallow'!AJ64</f>
        <v>17.635852391005944</v>
      </c>
      <c r="AF55" s="26">
        <f>'[3]Canada Inedible Tallow'!AK64</f>
        <v>15.075797263745898</v>
      </c>
      <c r="AG55" s="26">
        <f>'[3]Canada Inedible Tallow'!AL64</f>
        <v>13.996870471614571</v>
      </c>
      <c r="AH55" s="26">
        <f>'[3]Canada Inedible Tallow'!AM64</f>
        <v>13.265591940536568</v>
      </c>
      <c r="AI55" s="26">
        <f>'[3]Canada Inedible Tallow'!AN64</f>
        <v>13.467249627814589</v>
      </c>
      <c r="AJ55" s="26">
        <f>'[3]Canada Inedible Tallow'!AO64</f>
        <v>7.5539686314566632</v>
      </c>
    </row>
    <row r="56" spans="1:55">
      <c r="A56" s="20" t="s">
        <v>20</v>
      </c>
      <c r="B56" s="26">
        <f>'[3]Canada Inedible Tallow'!H53</f>
        <v>7.6790000000000003</v>
      </c>
      <c r="C56" s="26">
        <f>'[3]Canada Inedible Tallow'!I53</f>
        <v>13.535</v>
      </c>
      <c r="D56" s="26">
        <f>'[3]Canada Inedible Tallow'!J53</f>
        <v>12.3</v>
      </c>
      <c r="E56" s="26">
        <f>'[3]Canada Inedible Tallow'!K53</f>
        <v>17.047999999999998</v>
      </c>
      <c r="F56" s="26">
        <f>'[3]Canada Inedible Tallow'!L53</f>
        <v>17.885999999999999</v>
      </c>
      <c r="G56" s="26">
        <f>'[3]Canada Inedible Tallow'!M53</f>
        <v>14.336</v>
      </c>
      <c r="H56" s="26">
        <f>'[3]Canada Inedible Tallow'!N53</f>
        <v>29.173999999999999</v>
      </c>
      <c r="I56" s="26">
        <f>'[3]Canada Inedible Tallow'!O53</f>
        <v>12.452999999999999</v>
      </c>
      <c r="J56" s="26">
        <f>'[3]Canada Inedible Tallow'!P53</f>
        <v>21.905000000000001</v>
      </c>
      <c r="K56" s="26">
        <f>'[3]Canada Inedible Tallow'!Q53</f>
        <v>19.652999999999999</v>
      </c>
      <c r="L56" s="26">
        <f>'[3]Canada Inedible Tallow'!R53</f>
        <v>22.748000000000001</v>
      </c>
      <c r="M56" s="26">
        <f>'[3]Canada Inedible Tallow'!S53</f>
        <v>10.116</v>
      </c>
      <c r="N56" s="26">
        <f>'[3]Canada Inedible Tallow'!T53</f>
        <v>14.225</v>
      </c>
      <c r="O56" s="26">
        <f>'[3]Canada Inedible Tallow'!U53</f>
        <v>9.2469999999999999</v>
      </c>
      <c r="P56" s="26">
        <f>'[3]Canada Inedible Tallow'!V53</f>
        <v>12.301</v>
      </c>
      <c r="Q56" s="26">
        <f>'[3]Canada Inedible Tallow'!W53</f>
        <v>10.855</v>
      </c>
      <c r="R56" s="26">
        <f>'[3]Canada Inedible Tallow'!X53</f>
        <v>10.382</v>
      </c>
      <c r="S56" s="26">
        <f>'[3]Canada Inedible Tallow'!Y53</f>
        <v>14.379</v>
      </c>
      <c r="T56" s="26">
        <f>'[3]Canada Inedible Tallow'!Z53</f>
        <v>11.494</v>
      </c>
      <c r="U56" s="26">
        <f>'[3]Canada Inedible Tallow'!AA53</f>
        <v>10.458</v>
      </c>
      <c r="V56" s="26">
        <f>'[3]Canada Inedible Tallow'!AB53</f>
        <v>12.238</v>
      </c>
      <c r="W56" s="26">
        <f>'[3]Canada Inedible Tallow'!AC53</f>
        <v>17.687000000000001</v>
      </c>
      <c r="X56" s="26">
        <f>'[3]Canada Inedible Tallow'!AD53</f>
        <v>15.238</v>
      </c>
      <c r="Y56" s="26">
        <f>'[3]Canada Inedible Tallow'!AE53</f>
        <v>15.955</v>
      </c>
      <c r="Z56" s="26">
        <f>'[3]Canada Inedible Tallow'!AF53</f>
        <v>16.718</v>
      </c>
      <c r="AA56" s="26">
        <f>'[3]Canada Inedible Tallow'!AG53</f>
        <v>23.378</v>
      </c>
      <c r="AB56" s="26">
        <f>'[3]Canada Inedible Tallow'!AH53</f>
        <v>13.179</v>
      </c>
      <c r="AC56" s="26">
        <f>'[3]Canada Inedible Tallow'!AI53</f>
        <v>11.887</v>
      </c>
      <c r="AD56" s="26">
        <f>'[3]Canada Inedible Tallow'!AJ53</f>
        <v>16.517441928114589</v>
      </c>
      <c r="AE56" s="26">
        <f>'[3]Canada Inedible Tallow'!AK53</f>
        <v>15.044500952510157</v>
      </c>
      <c r="AF56" s="26">
        <f>'[3]Canada Inedible Tallow'!AL53</f>
        <v>14.202757901099218</v>
      </c>
      <c r="AG56" s="26">
        <f>'[3]Canada Inedible Tallow'!AM53</f>
        <v>12.433320333684652</v>
      </c>
      <c r="AH56" s="26">
        <f>'[3]Canada Inedible Tallow'!AN53</f>
        <v>13.115325588848396</v>
      </c>
      <c r="AI56" s="26">
        <f>'[3]Canada Inedible Tallow'!AO53</f>
        <v>7.3350870895807212</v>
      </c>
      <c r="AJ56" s="26">
        <f>'[3]Canada Inedible Tallow'!AP53</f>
        <v>5.3490257897642444</v>
      </c>
    </row>
    <row r="57" spans="1:55">
      <c r="A57" s="20" t="s">
        <v>21</v>
      </c>
      <c r="B57" s="26">
        <f>'[3]Canada Inedible Tallow'!H54</f>
        <v>16.966000000000001</v>
      </c>
      <c r="C57" s="26">
        <f>'[3]Canada Inedible Tallow'!I54</f>
        <v>24.12</v>
      </c>
      <c r="D57" s="26">
        <f>'[3]Canada Inedible Tallow'!J54</f>
        <v>21.38</v>
      </c>
      <c r="E57" s="26">
        <f>'[3]Canada Inedible Tallow'!K54</f>
        <v>11.214</v>
      </c>
      <c r="F57" s="26">
        <f>'[3]Canada Inedible Tallow'!L54</f>
        <v>19.032</v>
      </c>
      <c r="G57" s="26">
        <f>'[3]Canada Inedible Tallow'!M54</f>
        <v>15.087</v>
      </c>
      <c r="H57" s="26">
        <f>'[3]Canada Inedible Tallow'!N54</f>
        <v>9.1310000000000002</v>
      </c>
      <c r="I57" s="26">
        <f>'[3]Canada Inedible Tallow'!O54</f>
        <v>16.57</v>
      </c>
      <c r="J57" s="26">
        <f>'[3]Canada Inedible Tallow'!P54</f>
        <v>9.8460000000000001</v>
      </c>
      <c r="K57" s="26">
        <f>'[3]Canada Inedible Tallow'!Q54</f>
        <v>12.365</v>
      </c>
      <c r="L57" s="26">
        <f>'[3]Canada Inedible Tallow'!R54</f>
        <v>9.1679999999999993</v>
      </c>
      <c r="M57" s="26">
        <f>'[3]Canada Inedible Tallow'!S54</f>
        <v>13.776999999999999</v>
      </c>
      <c r="N57" s="26">
        <f>'[3]Canada Inedible Tallow'!T54</f>
        <v>13.019</v>
      </c>
      <c r="O57" s="26">
        <f>'[3]Canada Inedible Tallow'!U54</f>
        <v>18.777000000000001</v>
      </c>
      <c r="P57" s="26">
        <f>'[3]Canada Inedible Tallow'!V54</f>
        <v>18.884</v>
      </c>
      <c r="Q57" s="26">
        <f>'[3]Canada Inedible Tallow'!W54</f>
        <v>4.6070000000000002</v>
      </c>
      <c r="R57" s="26">
        <f>'[3]Canada Inedible Tallow'!X54</f>
        <v>4.5330000000000004</v>
      </c>
      <c r="S57" s="26">
        <f>'[3]Canada Inedible Tallow'!Y54</f>
        <v>4.4240000000000004</v>
      </c>
      <c r="T57" s="26">
        <f>'[3]Canada Inedible Tallow'!Z54</f>
        <v>20.524000000000001</v>
      </c>
      <c r="U57" s="26">
        <f>'[3]Canada Inedible Tallow'!AA54</f>
        <v>4.5250000000000004</v>
      </c>
      <c r="V57" s="26">
        <f>'[3]Canada Inedible Tallow'!AB54</f>
        <v>12.597</v>
      </c>
      <c r="W57" s="26">
        <f>'[3]Canada Inedible Tallow'!AC54</f>
        <v>12.766</v>
      </c>
      <c r="X57" s="26">
        <f>'[3]Canada Inedible Tallow'!AD54</f>
        <v>13.452</v>
      </c>
      <c r="Y57" s="26">
        <f>'[3]Canada Inedible Tallow'!AE54</f>
        <v>14.714</v>
      </c>
      <c r="Z57" s="26">
        <f>'[3]Canada Inedible Tallow'!AF54</f>
        <v>22.68</v>
      </c>
      <c r="AA57" s="26">
        <f>'[3]Canada Inedible Tallow'!AG54</f>
        <v>22.763000000000002</v>
      </c>
      <c r="AB57" s="26">
        <f>'[3]Canada Inedible Tallow'!AH54</f>
        <v>20.568000000000001</v>
      </c>
      <c r="AC57" s="26">
        <f>'[3]Canada Inedible Tallow'!AI54</f>
        <v>23.026</v>
      </c>
      <c r="AD57" s="26">
        <f>'[3]Canada Inedible Tallow'!AJ54</f>
        <v>21.126288169974437</v>
      </c>
      <c r="AE57" s="26">
        <f>'[3]Canada Inedible Tallow'!AK54</f>
        <v>20.290928227245391</v>
      </c>
      <c r="AF57" s="26">
        <f>'[3]Canada Inedible Tallow'!AL54</f>
        <v>19.132217537318496</v>
      </c>
      <c r="AG57" s="26">
        <f>'[3]Canada Inedible Tallow'!AM54</f>
        <v>18.280896002262079</v>
      </c>
      <c r="AH57" s="26">
        <f>'[3]Canada Inedible Tallow'!AN54</f>
        <v>19.060833672383701</v>
      </c>
      <c r="AI57" s="26">
        <f>'[3]Canada Inedible Tallow'!AO54</f>
        <v>10.068805399801795</v>
      </c>
      <c r="AJ57" s="26">
        <f>'[3]Canada Inedible Tallow'!AP54</f>
        <v>7.4757473570009871</v>
      </c>
    </row>
    <row r="58" spans="1:55">
      <c r="A58" s="20" t="s">
        <v>22</v>
      </c>
      <c r="B58" s="26">
        <f>'[3]Canada Inedible Tallow'!H55</f>
        <v>27.806999999999999</v>
      </c>
      <c r="C58" s="26">
        <f>'[3]Canada Inedible Tallow'!I55</f>
        <v>21.989000000000001</v>
      </c>
      <c r="D58" s="26">
        <f>'[3]Canada Inedible Tallow'!J55</f>
        <v>11.978999999999999</v>
      </c>
      <c r="E58" s="26">
        <f>'[3]Canada Inedible Tallow'!K55</f>
        <v>28.957999999999998</v>
      </c>
      <c r="F58" s="26">
        <f>'[3]Canada Inedible Tallow'!L55</f>
        <v>15.372</v>
      </c>
      <c r="G58" s="26">
        <f>'[3]Canada Inedible Tallow'!M55</f>
        <v>25.824000000000002</v>
      </c>
      <c r="H58" s="26">
        <f>'[3]Canada Inedible Tallow'!N55</f>
        <v>24.568000000000001</v>
      </c>
      <c r="I58" s="26">
        <f>'[3]Canada Inedible Tallow'!O55</f>
        <v>7.8170000000000002</v>
      </c>
      <c r="J58" s="26">
        <f>'[3]Canada Inedible Tallow'!P55</f>
        <v>18.46</v>
      </c>
      <c r="K58" s="26">
        <f>'[3]Canada Inedible Tallow'!Q55</f>
        <v>19.193999999999999</v>
      </c>
      <c r="L58" s="26">
        <f>'[3]Canada Inedible Tallow'!R55</f>
        <v>26.303000000000001</v>
      </c>
      <c r="M58" s="26">
        <f>'[3]Canada Inedible Tallow'!S55</f>
        <v>16.356999999999999</v>
      </c>
      <c r="N58" s="26">
        <f>'[3]Canada Inedible Tallow'!T55</f>
        <v>24.268999999999998</v>
      </c>
      <c r="O58" s="26">
        <f>'[3]Canada Inedible Tallow'!U55</f>
        <v>8.6329999999999991</v>
      </c>
      <c r="P58" s="26">
        <f>'[3]Canada Inedible Tallow'!V55</f>
        <v>12.786</v>
      </c>
      <c r="Q58" s="26">
        <f>'[3]Canada Inedible Tallow'!W55</f>
        <v>18.169</v>
      </c>
      <c r="R58" s="26">
        <f>'[3]Canada Inedible Tallow'!X55</f>
        <v>16.527999999999999</v>
      </c>
      <c r="S58" s="26">
        <f>'[3]Canada Inedible Tallow'!Y55</f>
        <v>12.615</v>
      </c>
      <c r="T58" s="26">
        <f>'[3]Canada Inedible Tallow'!Z55</f>
        <v>7.0350000000000001</v>
      </c>
      <c r="U58" s="26">
        <f>'[3]Canada Inedible Tallow'!AA55</f>
        <v>18.239999999999998</v>
      </c>
      <c r="V58" s="26">
        <f>'[3]Canada Inedible Tallow'!AB55</f>
        <v>17.347999999999999</v>
      </c>
      <c r="W58" s="26">
        <f>'[3]Canada Inedible Tallow'!AC55</f>
        <v>16.684999999999999</v>
      </c>
      <c r="X58" s="26">
        <f>'[3]Canada Inedible Tallow'!AD55</f>
        <v>14.584</v>
      </c>
      <c r="Y58" s="26">
        <f>'[3]Canada Inedible Tallow'!AE55</f>
        <v>20.254000000000001</v>
      </c>
      <c r="Z58" s="26">
        <f>'[3]Canada Inedible Tallow'!AF55</f>
        <v>20.771999999999998</v>
      </c>
      <c r="AA58" s="26">
        <f>'[3]Canada Inedible Tallow'!AG55</f>
        <v>24.323</v>
      </c>
      <c r="AB58" s="26">
        <f>'[3]Canada Inedible Tallow'!AH55</f>
        <v>21.257999999999999</v>
      </c>
      <c r="AC58" s="26">
        <f>'[3]Canada Inedible Tallow'!AI55</f>
        <v>11.457000000000001</v>
      </c>
      <c r="AD58" s="26">
        <f>'[3]Canada Inedible Tallow'!AJ55</f>
        <v>19.968273299538058</v>
      </c>
      <c r="AE58" s="26">
        <f>'[3]Canada Inedible Tallow'!AK55</f>
        <v>18.009737714470869</v>
      </c>
      <c r="AF58" s="26">
        <f>'[3]Canada Inedible Tallow'!AL55</f>
        <v>16.867364505330453</v>
      </c>
      <c r="AG58" s="26">
        <f>'[3]Canada Inedible Tallow'!AM55</f>
        <v>15.369976371186322</v>
      </c>
      <c r="AH58" s="26">
        <f>'[3]Canada Inedible Tallow'!AN55</f>
        <v>15.28371497366563</v>
      </c>
      <c r="AI58" s="26">
        <f>'[3]Canada Inedible Tallow'!AO55</f>
        <v>8.7941897346025382</v>
      </c>
      <c r="AJ58" s="26">
        <f>'[3]Canada Inedible Tallow'!AP55</f>
        <v>6.398839621790235</v>
      </c>
    </row>
    <row r="59" spans="1:55">
      <c r="A59" s="20" t="s">
        <v>23</v>
      </c>
      <c r="B59" s="26">
        <f>'[3]Canada Inedible Tallow'!H56</f>
        <v>22.175999999999998</v>
      </c>
      <c r="C59" s="26">
        <f>'[3]Canada Inedible Tallow'!I56</f>
        <v>11.385</v>
      </c>
      <c r="D59" s="26">
        <f>'[3]Canada Inedible Tallow'!J56</f>
        <v>24.501000000000001</v>
      </c>
      <c r="E59" s="26">
        <f>'[3]Canada Inedible Tallow'!K56</f>
        <v>22.477</v>
      </c>
      <c r="F59" s="26">
        <f>'[3]Canada Inedible Tallow'!L56</f>
        <v>28.402000000000001</v>
      </c>
      <c r="G59" s="26">
        <f>'[3]Canada Inedible Tallow'!M56</f>
        <v>15.483000000000001</v>
      </c>
      <c r="H59" s="26">
        <f>'[3]Canada Inedible Tallow'!N56</f>
        <v>24.745000000000001</v>
      </c>
      <c r="I59" s="26">
        <f>'[3]Canada Inedible Tallow'!O56</f>
        <v>19.433</v>
      </c>
      <c r="J59" s="26">
        <f>'[3]Canada Inedible Tallow'!P56</f>
        <v>26.992000000000001</v>
      </c>
      <c r="K59" s="26">
        <f>'[3]Canada Inedible Tallow'!Q56</f>
        <v>32.600999999999999</v>
      </c>
      <c r="L59" s="26">
        <f>'[3]Canada Inedible Tallow'!R56</f>
        <v>16.655999999999999</v>
      </c>
      <c r="M59" s="26">
        <f>'[3]Canada Inedible Tallow'!S56</f>
        <v>14.923</v>
      </c>
      <c r="N59" s="26">
        <f>'[3]Canada Inedible Tallow'!T56</f>
        <v>7.5170000000000003</v>
      </c>
      <c r="O59" s="26">
        <f>'[3]Canada Inedible Tallow'!U56</f>
        <v>16.297999999999998</v>
      </c>
      <c r="P59" s="26">
        <f>'[3]Canada Inedible Tallow'!V56</f>
        <v>5.8230000000000004</v>
      </c>
      <c r="Q59" s="26">
        <f>'[3]Canada Inedible Tallow'!W56</f>
        <v>9.1479999999999997</v>
      </c>
      <c r="R59" s="26">
        <f>'[3]Canada Inedible Tallow'!X56</f>
        <v>13.347</v>
      </c>
      <c r="S59" s="26">
        <f>'[3]Canada Inedible Tallow'!Y56</f>
        <v>9.3460000000000001</v>
      </c>
      <c r="T59" s="26">
        <f>'[3]Canada Inedible Tallow'!Z56</f>
        <v>15.773999999999999</v>
      </c>
      <c r="U59" s="26">
        <f>'[3]Canada Inedible Tallow'!AA56</f>
        <v>16.286999999999999</v>
      </c>
      <c r="V59" s="26">
        <f>'[3]Canada Inedible Tallow'!AB56</f>
        <v>11.425000000000001</v>
      </c>
      <c r="W59" s="26">
        <f>'[3]Canada Inedible Tallow'!AC56</f>
        <v>12.994999999999999</v>
      </c>
      <c r="X59" s="26">
        <f>'[3]Canada Inedible Tallow'!AD56</f>
        <v>17.777000000000001</v>
      </c>
      <c r="Y59" s="26">
        <f>'[3]Canada Inedible Tallow'!AE56</f>
        <v>25.933</v>
      </c>
      <c r="Z59" s="26">
        <f>'[3]Canada Inedible Tallow'!AF56</f>
        <v>22.922999999999998</v>
      </c>
      <c r="AA59" s="26">
        <f>'[3]Canada Inedible Tallow'!AG56</f>
        <v>15.22</v>
      </c>
      <c r="AB59" s="26">
        <f>'[3]Canada Inedible Tallow'!AH56</f>
        <v>8.109</v>
      </c>
      <c r="AC59" s="26">
        <f>'[3]Canada Inedible Tallow'!AI56</f>
        <v>11.365265170690856</v>
      </c>
      <c r="AD59" s="26">
        <f>'[3]Canada Inedible Tallow'!AJ56</f>
        <v>17.012915332611673</v>
      </c>
      <c r="AE59" s="26">
        <f>'[3]Canada Inedible Tallow'!AK56</f>
        <v>13.746100550687942</v>
      </c>
      <c r="AF59" s="26">
        <f>'[3]Canada Inedible Tallow'!AL56</f>
        <v>11.619350652857047</v>
      </c>
      <c r="AG59" s="26">
        <f>'[3]Canada Inedible Tallow'!AM56</f>
        <v>10.857348226195784</v>
      </c>
      <c r="AH59" s="26">
        <f>'[3]Canada Inedible Tallow'!AN56</f>
        <v>12.089072268171847</v>
      </c>
      <c r="AI59" s="26">
        <f>'[3]Canada Inedible Tallow'!AO56</f>
        <v>6.7191209517110693</v>
      </c>
      <c r="AJ59" s="26">
        <f>'[3]Canada Inedible Tallow'!AP56</f>
        <v>4.7377675791066753</v>
      </c>
    </row>
    <row r="60" spans="1:55">
      <c r="A60" s="20" t="s">
        <v>24</v>
      </c>
      <c r="B60" s="26">
        <f>'[3]Canada Inedible Tallow'!H57</f>
        <v>17.812999999999999</v>
      </c>
      <c r="C60" s="26">
        <f>'[3]Canada Inedible Tallow'!I57</f>
        <v>25.760999999999999</v>
      </c>
      <c r="D60" s="26">
        <f>'[3]Canada Inedible Tallow'!J57</f>
        <v>22.963000000000001</v>
      </c>
      <c r="E60" s="26">
        <f>'[3]Canada Inedible Tallow'!K57</f>
        <v>17.718</v>
      </c>
      <c r="F60" s="26">
        <f>'[3]Canada Inedible Tallow'!L57</f>
        <v>19.768000000000001</v>
      </c>
      <c r="G60" s="26">
        <f>'[3]Canada Inedible Tallow'!M57</f>
        <v>5.93</v>
      </c>
      <c r="H60" s="26">
        <f>'[3]Canada Inedible Tallow'!N57</f>
        <v>22.911999999999999</v>
      </c>
      <c r="I60" s="26">
        <f>'[3]Canada Inedible Tallow'!O57</f>
        <v>16.603999999999999</v>
      </c>
      <c r="J60" s="26">
        <f>'[3]Canada Inedible Tallow'!P57</f>
        <v>21.471</v>
      </c>
      <c r="K60" s="26">
        <f>'[3]Canada Inedible Tallow'!Q57</f>
        <v>15.7</v>
      </c>
      <c r="L60" s="26">
        <f>'[3]Canada Inedible Tallow'!R57</f>
        <v>15.462999999999999</v>
      </c>
      <c r="M60" s="26">
        <f>'[3]Canada Inedible Tallow'!S57</f>
        <v>17.623000000000001</v>
      </c>
      <c r="N60" s="26">
        <f>'[3]Canada Inedible Tallow'!T57</f>
        <v>15.441000000000001</v>
      </c>
      <c r="O60" s="26">
        <f>'[3]Canada Inedible Tallow'!U57</f>
        <v>4.7249999999999996</v>
      </c>
      <c r="P60" s="26">
        <f>'[3]Canada Inedible Tallow'!V57</f>
        <v>12.227</v>
      </c>
      <c r="Q60" s="26">
        <f>'[3]Canada Inedible Tallow'!W57</f>
        <v>21.774999999999999</v>
      </c>
      <c r="R60" s="26">
        <f>'[3]Canada Inedible Tallow'!X57</f>
        <v>12.407</v>
      </c>
      <c r="S60" s="26">
        <f>'[3]Canada Inedible Tallow'!Y57</f>
        <v>11.137</v>
      </c>
      <c r="T60" s="26">
        <f>'[3]Canada Inedible Tallow'!Z57</f>
        <v>6.9390000000000001</v>
      </c>
      <c r="U60" s="26">
        <f>'[3]Canada Inedible Tallow'!AA57</f>
        <v>7.8090000000000002</v>
      </c>
      <c r="V60" s="26">
        <f>'[3]Canada Inedible Tallow'!AB57</f>
        <v>12.593999999999999</v>
      </c>
      <c r="W60" s="26">
        <f>'[3]Canada Inedible Tallow'!AC57</f>
        <v>22.815000000000001</v>
      </c>
      <c r="X60" s="26">
        <f>'[3]Canada Inedible Tallow'!AD57</f>
        <v>19.664000000000001</v>
      </c>
      <c r="Y60" s="26">
        <f>'[3]Canada Inedible Tallow'!AE57</f>
        <v>14.942</v>
      </c>
      <c r="Z60" s="26">
        <f>'[3]Canada Inedible Tallow'!AF57</f>
        <v>21.425999999999998</v>
      </c>
      <c r="AA60" s="26">
        <f>'[3]Canada Inedible Tallow'!AG57</f>
        <v>13.241</v>
      </c>
      <c r="AB60" s="26">
        <f>'[3]Canada Inedible Tallow'!AH57</f>
        <v>13.159000000000001</v>
      </c>
      <c r="AC60" s="26">
        <f>'[3]Canada Inedible Tallow'!AI57</f>
        <v>10.413969659971864</v>
      </c>
      <c r="AD60" s="26">
        <f>'[3]Canada Inedible Tallow'!AJ57</f>
        <v>14.901672079140363</v>
      </c>
      <c r="AE60" s="26">
        <f>'[3]Canada Inedible Tallow'!AK57</f>
        <v>13.47192724187153</v>
      </c>
      <c r="AF60" s="26">
        <f>'[3]Canada Inedible Tallow'!AL57</f>
        <v>11.572181103840615</v>
      </c>
      <c r="AG60" s="26">
        <f>'[3]Canada Inedible Tallow'!AM57</f>
        <v>11.149811568766161</v>
      </c>
      <c r="AH60" s="26">
        <f>'[3]Canada Inedible Tallow'!AN57</f>
        <v>11.510561245116357</v>
      </c>
      <c r="AI60" s="26">
        <f>'[3]Canada Inedible Tallow'!AO57</f>
        <v>6.4394900474127459</v>
      </c>
      <c r="AJ60" s="26">
        <f>'[3]Canada Inedible Tallow'!AP57</f>
        <v>4.6614014946430222</v>
      </c>
    </row>
    <row r="61" spans="1:55">
      <c r="A61" s="20" t="s">
        <v>25</v>
      </c>
      <c r="B61" s="26">
        <f>'[3]Canada Inedible Tallow'!H58</f>
        <v>19.417000000000002</v>
      </c>
      <c r="C61" s="26">
        <f>'[3]Canada Inedible Tallow'!I58</f>
        <v>30.379000000000001</v>
      </c>
      <c r="D61" s="26">
        <f>'[3]Canada Inedible Tallow'!J58</f>
        <v>25.100999999999999</v>
      </c>
      <c r="E61" s="26">
        <f>'[3]Canada Inedible Tallow'!K58</f>
        <v>20.58</v>
      </c>
      <c r="F61" s="26">
        <f>'[3]Canada Inedible Tallow'!L58</f>
        <v>21.204999999999998</v>
      </c>
      <c r="G61" s="26">
        <f>'[3]Canada Inedible Tallow'!M58</f>
        <v>14.445</v>
      </c>
      <c r="H61" s="26">
        <f>'[3]Canada Inedible Tallow'!N58</f>
        <v>28.794</v>
      </c>
      <c r="I61" s="26">
        <f>'[3]Canada Inedible Tallow'!O58</f>
        <v>25.498000000000001</v>
      </c>
      <c r="J61" s="26">
        <f>'[3]Canada Inedible Tallow'!P58</f>
        <v>14.544</v>
      </c>
      <c r="K61" s="26">
        <f>'[3]Canada Inedible Tallow'!Q58</f>
        <v>19.314</v>
      </c>
      <c r="L61" s="26">
        <f>'[3]Canada Inedible Tallow'!R58</f>
        <v>14.345000000000001</v>
      </c>
      <c r="M61" s="26">
        <f>'[3]Canada Inedible Tallow'!S58</f>
        <v>16.138999999999999</v>
      </c>
      <c r="N61" s="26">
        <f>'[3]Canada Inedible Tallow'!T58</f>
        <v>15.977</v>
      </c>
      <c r="O61" s="26">
        <f>'[3]Canada Inedible Tallow'!U58</f>
        <v>16.190000000000001</v>
      </c>
      <c r="P61" s="26">
        <f>'[3]Canada Inedible Tallow'!V58</f>
        <v>11.976000000000001</v>
      </c>
      <c r="Q61" s="26">
        <f>'[3]Canada Inedible Tallow'!W58</f>
        <v>5.5730000000000004</v>
      </c>
      <c r="R61" s="26">
        <f>'[3]Canada Inedible Tallow'!X58</f>
        <v>14.670999999999999</v>
      </c>
      <c r="S61" s="26">
        <f>'[3]Canada Inedible Tallow'!Y58</f>
        <v>14.38</v>
      </c>
      <c r="T61" s="26">
        <f>'[3]Canada Inedible Tallow'!Z58</f>
        <v>14.234</v>
      </c>
      <c r="U61" s="26">
        <f>'[3]Canada Inedible Tallow'!AA58</f>
        <v>18.213000000000001</v>
      </c>
      <c r="V61" s="26">
        <f>'[3]Canada Inedible Tallow'!AB58</f>
        <v>13.446999999999999</v>
      </c>
      <c r="W61" s="26">
        <f>'[3]Canada Inedible Tallow'!AC58</f>
        <v>19.448</v>
      </c>
      <c r="X61" s="26">
        <f>'[3]Canada Inedible Tallow'!AD58</f>
        <v>17.074000000000002</v>
      </c>
      <c r="Y61" s="26">
        <f>'[3]Canada Inedible Tallow'!AE58</f>
        <v>18.568999999999999</v>
      </c>
      <c r="Z61" s="26">
        <f>'[3]Canada Inedible Tallow'!AF58</f>
        <v>22.523</v>
      </c>
      <c r="AA61" s="26">
        <f>'[3]Canada Inedible Tallow'!AG58</f>
        <v>19.327000000000002</v>
      </c>
      <c r="AB61" s="26">
        <f>'[3]Canada Inedible Tallow'!AH58</f>
        <v>14.884</v>
      </c>
      <c r="AC61" s="26">
        <f>'[3]Canada Inedible Tallow'!AI58</f>
        <v>11.670361938072846</v>
      </c>
      <c r="AD61" s="26">
        <f>'[3]Canada Inedible Tallow'!AJ58</f>
        <v>17.709943108164872</v>
      </c>
      <c r="AE61" s="26">
        <f>'[3]Canada Inedible Tallow'!AK58</f>
        <v>15.861356465107507</v>
      </c>
      <c r="AF61" s="26">
        <f>'[3]Canada Inedible Tallow'!AL58</f>
        <v>14.10453868067467</v>
      </c>
      <c r="AG61" s="26">
        <f>'[3]Canada Inedible Tallow'!AM58</f>
        <v>13.030054019443794</v>
      </c>
      <c r="AH61" s="26">
        <f>'[3]Canada Inedible Tallow'!AN58</f>
        <v>13.544094355361626</v>
      </c>
      <c r="AI61" s="26">
        <f>'[3]Canada Inedible Tallow'!AO58</f>
        <v>7.6371414818145391</v>
      </c>
      <c r="AJ61" s="26">
        <f>'[3]Canada Inedible Tallow'!AP58</f>
        <v>5.5251881127895883</v>
      </c>
    </row>
    <row r="62" spans="1:55">
      <c r="A62" s="20" t="s">
        <v>26</v>
      </c>
      <c r="B62" s="26">
        <f>'[3]Canada Inedible Tallow'!H59</f>
        <v>15.124000000000001</v>
      </c>
      <c r="C62" s="26">
        <f>'[3]Canada Inedible Tallow'!I59</f>
        <v>22.928999999999998</v>
      </c>
      <c r="D62" s="26">
        <f>'[3]Canada Inedible Tallow'!J59</f>
        <v>11.021000000000001</v>
      </c>
      <c r="E62" s="26">
        <f>'[3]Canada Inedible Tallow'!K59</f>
        <v>13.266</v>
      </c>
      <c r="F62" s="26">
        <f>'[3]Canada Inedible Tallow'!L59</f>
        <v>21.302</v>
      </c>
      <c r="G62" s="26">
        <f>'[3]Canada Inedible Tallow'!M59</f>
        <v>16.038</v>
      </c>
      <c r="H62" s="26">
        <f>'[3]Canada Inedible Tallow'!N59</f>
        <v>27.006</v>
      </c>
      <c r="I62" s="26">
        <f>'[3]Canada Inedible Tallow'!O59</f>
        <v>31.844000000000001</v>
      </c>
      <c r="J62" s="26">
        <f>'[3]Canada Inedible Tallow'!P59</f>
        <v>32.186</v>
      </c>
      <c r="K62" s="26">
        <f>'[3]Canada Inedible Tallow'!Q59</f>
        <v>21.792000000000002</v>
      </c>
      <c r="L62" s="26">
        <f>'[3]Canada Inedible Tallow'!R59</f>
        <v>21.045999999999999</v>
      </c>
      <c r="M62" s="26">
        <f>'[3]Canada Inedible Tallow'!S59</f>
        <v>8.827</v>
      </c>
      <c r="N62" s="26">
        <f>'[3]Canada Inedible Tallow'!T59</f>
        <v>14.097</v>
      </c>
      <c r="O62" s="26">
        <f>'[3]Canada Inedible Tallow'!U59</f>
        <v>6.931</v>
      </c>
      <c r="P62" s="26">
        <f>'[3]Canada Inedible Tallow'!V59</f>
        <v>17.689</v>
      </c>
      <c r="Q62" s="26">
        <f>'[3]Canada Inedible Tallow'!W59</f>
        <v>15.84</v>
      </c>
      <c r="R62" s="26">
        <f>'[3]Canada Inedible Tallow'!X59</f>
        <v>8.9250000000000007</v>
      </c>
      <c r="S62" s="26">
        <f>'[3]Canada Inedible Tallow'!Y59</f>
        <v>9.86</v>
      </c>
      <c r="T62" s="26">
        <f>'[3]Canada Inedible Tallow'!Z59</f>
        <v>9.423</v>
      </c>
      <c r="U62" s="26">
        <f>'[3]Canada Inedible Tallow'!AA59</f>
        <v>14.007999999999999</v>
      </c>
      <c r="V62" s="26">
        <f>'[3]Canada Inedible Tallow'!AB59</f>
        <v>11.848000000000001</v>
      </c>
      <c r="W62" s="26">
        <f>'[3]Canada Inedible Tallow'!AC59</f>
        <v>12.715999999999999</v>
      </c>
      <c r="X62" s="26">
        <f>'[3]Canada Inedible Tallow'!AD59</f>
        <v>18.308</v>
      </c>
      <c r="Y62" s="26">
        <f>'[3]Canada Inedible Tallow'!AE59</f>
        <v>19.524999999999999</v>
      </c>
      <c r="Z62" s="26">
        <f>'[3]Canada Inedible Tallow'!AF59</f>
        <v>18.611000000000001</v>
      </c>
      <c r="AA62" s="26">
        <f>'[3]Canada Inedible Tallow'!AG59</f>
        <v>10.146000000000001</v>
      </c>
      <c r="AB62" s="26">
        <f>'[3]Canada Inedible Tallow'!AH59</f>
        <v>18.776</v>
      </c>
      <c r="AC62" s="26">
        <f>'[3]Canada Inedible Tallow'!AI59</f>
        <v>10.784633807176316</v>
      </c>
      <c r="AD62" s="26">
        <f>'[3]Canada Inedible Tallow'!AJ59</f>
        <v>15.850699402610109</v>
      </c>
      <c r="AE62" s="26">
        <f>'[3]Canada Inedible Tallow'!AK59</f>
        <v>13.661033098178507</v>
      </c>
      <c r="AF62" s="26">
        <f>'[3]Canada Inedible Tallow'!AL59</f>
        <v>12.287733430608775</v>
      </c>
      <c r="AG62" s="26">
        <f>'[3]Canada Inedible Tallow'!AM59</f>
        <v>12.526248777737678</v>
      </c>
      <c r="AH62" s="26">
        <f>'[3]Canada Inedible Tallow'!AN59</f>
        <v>12.184392704806807</v>
      </c>
      <c r="AI62" s="26">
        <f>'[3]Canada Inedible Tallow'!AO59</f>
        <v>6.8410396197197363</v>
      </c>
      <c r="AJ62" s="26">
        <f>'[3]Canada Inedible Tallow'!AP59</f>
        <v>4.9503696636004602</v>
      </c>
    </row>
    <row r="63" spans="1:55">
      <c r="A63" s="20" t="s">
        <v>27</v>
      </c>
      <c r="B63" s="26">
        <f>'[3]Canada Inedible Tallow'!H60</f>
        <v>19.039000000000001</v>
      </c>
      <c r="C63" s="26">
        <f>'[3]Canada Inedible Tallow'!I60</f>
        <v>14.285</v>
      </c>
      <c r="D63" s="26">
        <f>'[3]Canada Inedible Tallow'!J60</f>
        <v>19.806999999999999</v>
      </c>
      <c r="E63" s="26">
        <f>'[3]Canada Inedible Tallow'!K60</f>
        <v>29.911999999999999</v>
      </c>
      <c r="F63" s="26">
        <f>'[3]Canada Inedible Tallow'!L60</f>
        <v>15.611000000000001</v>
      </c>
      <c r="G63" s="26">
        <f>'[3]Canada Inedible Tallow'!M60</f>
        <v>21.279</v>
      </c>
      <c r="H63" s="26">
        <f>'[3]Canada Inedible Tallow'!N60</f>
        <v>15.492000000000001</v>
      </c>
      <c r="I63" s="26">
        <f>'[3]Canada Inedible Tallow'!O60</f>
        <v>15.959</v>
      </c>
      <c r="J63" s="26">
        <f>'[3]Canada Inedible Tallow'!P60</f>
        <v>11.521000000000001</v>
      </c>
      <c r="K63" s="26">
        <f>'[3]Canada Inedible Tallow'!Q60</f>
        <v>9.8940000000000001</v>
      </c>
      <c r="L63" s="26">
        <f>'[3]Canada Inedible Tallow'!R60</f>
        <v>13.731999999999999</v>
      </c>
      <c r="M63" s="26">
        <f>'[3]Canada Inedible Tallow'!S60</f>
        <v>17.370999999999999</v>
      </c>
      <c r="N63" s="26">
        <f>'[3]Canada Inedible Tallow'!T60</f>
        <v>19.797999999999998</v>
      </c>
      <c r="O63" s="26">
        <f>'[3]Canada Inedible Tallow'!U60</f>
        <v>11.238</v>
      </c>
      <c r="P63" s="26">
        <f>'[3]Canada Inedible Tallow'!V60</f>
        <v>8.8439999999999994</v>
      </c>
      <c r="Q63" s="26">
        <f>'[3]Canada Inedible Tallow'!W60</f>
        <v>4.7439999999999998</v>
      </c>
      <c r="R63" s="26">
        <f>'[3]Canada Inedible Tallow'!X60</f>
        <v>12.518000000000001</v>
      </c>
      <c r="S63" s="26">
        <f>'[3]Canada Inedible Tallow'!Y60</f>
        <v>4.7489999999999997</v>
      </c>
      <c r="T63" s="26">
        <f>'[3]Canada Inedible Tallow'!Z60</f>
        <v>16.338000000000001</v>
      </c>
      <c r="U63" s="26">
        <f>'[3]Canada Inedible Tallow'!AA60</f>
        <v>6.76</v>
      </c>
      <c r="V63" s="26">
        <f>'[3]Canada Inedible Tallow'!AB60</f>
        <v>17.390999999999998</v>
      </c>
      <c r="W63" s="26">
        <f>'[3]Canada Inedible Tallow'!AC60</f>
        <v>15.587999999999999</v>
      </c>
      <c r="X63" s="26">
        <f>'[3]Canada Inedible Tallow'!AD60</f>
        <v>18.972999999999999</v>
      </c>
      <c r="Y63" s="26">
        <f>'[3]Canada Inedible Tallow'!AE60</f>
        <v>20.611000000000001</v>
      </c>
      <c r="Z63" s="26">
        <f>'[3]Canada Inedible Tallow'!AF60</f>
        <v>22.064</v>
      </c>
      <c r="AA63" s="26">
        <f>'[3]Canada Inedible Tallow'!AG60</f>
        <v>19.545000000000002</v>
      </c>
      <c r="AB63" s="26">
        <f>'[3]Canada Inedible Tallow'!AH60</f>
        <v>14.196</v>
      </c>
      <c r="AC63" s="26">
        <f>'[3]Canada Inedible Tallow'!AI60</f>
        <v>12.050880142360445</v>
      </c>
      <c r="AD63" s="26">
        <f>'[3]Canada Inedible Tallow'!AJ60</f>
        <v>18.014060620004589</v>
      </c>
      <c r="AE63" s="26">
        <f>'[3]Canada Inedible Tallow'!AK60</f>
        <v>15.816347113737091</v>
      </c>
      <c r="AF63" s="26">
        <f>'[3]Canada Inedible Tallow'!AL60</f>
        <v>14.134650971156397</v>
      </c>
      <c r="AG63" s="26">
        <f>'[3]Canada Inedible Tallow'!AM60</f>
        <v>13.026848500556699</v>
      </c>
      <c r="AH63" s="26">
        <f>'[3]Canada Inedible Tallow'!AN60</f>
        <v>13.668825702515129</v>
      </c>
      <c r="AI63" s="26">
        <f>'[3]Canada Inedible Tallow'!AO60</f>
        <v>7.6793896705340465</v>
      </c>
      <c r="AJ63" s="26">
        <f>'[3]Canada Inedible Tallow'!AP60</f>
        <v>5.5380053341754421</v>
      </c>
    </row>
    <row r="64" spans="1:55">
      <c r="A64" s="20" t="s">
        <v>28</v>
      </c>
      <c r="B64" s="26">
        <f>'[3]Canada Inedible Tallow'!H61</f>
        <v>15.404999999999999</v>
      </c>
      <c r="C64" s="26">
        <f>'[3]Canada Inedible Tallow'!I61</f>
        <v>31.308</v>
      </c>
      <c r="D64" s="26">
        <f>'[3]Canada Inedible Tallow'!J61</f>
        <v>18.475999999999999</v>
      </c>
      <c r="E64" s="26">
        <f>'[3]Canada Inedible Tallow'!K61</f>
        <v>27.960999999999999</v>
      </c>
      <c r="F64" s="26">
        <f>'[3]Canada Inedible Tallow'!L61</f>
        <v>39.301000000000002</v>
      </c>
      <c r="G64" s="26">
        <f>'[3]Canada Inedible Tallow'!M61</f>
        <v>15.128</v>
      </c>
      <c r="H64" s="26">
        <f>'[3]Canada Inedible Tallow'!N61</f>
        <v>56.384</v>
      </c>
      <c r="I64" s="26">
        <f>'[3]Canada Inedible Tallow'!O61</f>
        <v>20.382999999999999</v>
      </c>
      <c r="J64" s="26">
        <f>'[3]Canada Inedible Tallow'!P61</f>
        <v>30.292999999999999</v>
      </c>
      <c r="K64" s="26">
        <f>'[3]Canada Inedible Tallow'!Q61</f>
        <v>15.884</v>
      </c>
      <c r="L64" s="26">
        <f>'[3]Canada Inedible Tallow'!R61</f>
        <v>16.562000000000001</v>
      </c>
      <c r="M64" s="26">
        <f>'[3]Canada Inedible Tallow'!S61</f>
        <v>8.4440000000000008</v>
      </c>
      <c r="N64" s="26">
        <f>'[3]Canada Inedible Tallow'!T61</f>
        <v>11.122999999999999</v>
      </c>
      <c r="O64" s="26">
        <f>'[3]Canada Inedible Tallow'!U61</f>
        <v>21.58</v>
      </c>
      <c r="P64" s="26">
        <f>'[3]Canada Inedible Tallow'!V61</f>
        <v>24.562000000000001</v>
      </c>
      <c r="Q64" s="26">
        <f>'[3]Canada Inedible Tallow'!W61</f>
        <v>12.349</v>
      </c>
      <c r="R64" s="26">
        <f>'[3]Canada Inedible Tallow'!X61</f>
        <v>10.632</v>
      </c>
      <c r="S64" s="26">
        <f>'[3]Canada Inedible Tallow'!Y61</f>
        <v>18.728000000000002</v>
      </c>
      <c r="T64" s="26">
        <f>'[3]Canada Inedible Tallow'!Z61</f>
        <v>8.4819999999999993</v>
      </c>
      <c r="U64" s="26">
        <f>'[3]Canada Inedible Tallow'!AA61</f>
        <v>10.651999999999999</v>
      </c>
      <c r="V64" s="26">
        <f>'[3]Canada Inedible Tallow'!AB61</f>
        <v>12.471</v>
      </c>
      <c r="W64" s="26">
        <f>'[3]Canada Inedible Tallow'!AC61</f>
        <v>20.917999999999999</v>
      </c>
      <c r="X64" s="26">
        <f>'[3]Canada Inedible Tallow'!AD61</f>
        <v>21.312000000000001</v>
      </c>
      <c r="Y64" s="26">
        <f>'[3]Canada Inedible Tallow'!AE61</f>
        <v>21.317</v>
      </c>
      <c r="Z64" s="26">
        <f>'[3]Canada Inedible Tallow'!AF61</f>
        <v>25.045000000000002</v>
      </c>
      <c r="AA64" s="26">
        <f>'[3]Canada Inedible Tallow'!AG61</f>
        <v>15.669</v>
      </c>
      <c r="AB64" s="26">
        <f>'[3]Canada Inedible Tallow'!AH61</f>
        <v>13.096</v>
      </c>
      <c r="AC64" s="26">
        <f>'[3]Canada Inedible Tallow'!AI61</f>
        <v>12.183530910787395</v>
      </c>
      <c r="AD64" s="26">
        <f>'[3]Canada Inedible Tallow'!AJ61</f>
        <v>17.778599110319472</v>
      </c>
      <c r="AE64" s="26">
        <f>'[3]Canada Inedible Tallow'!AK61</f>
        <v>15.429952263943422</v>
      </c>
      <c r="AF64" s="26">
        <f>'[3]Canada Inedible Tallow'!AL61</f>
        <v>13.164460644104571</v>
      </c>
      <c r="AG64" s="26">
        <f>'[3]Canada Inedible Tallow'!AM61</f>
        <v>12.577583013143666</v>
      </c>
      <c r="AH64" s="26">
        <f>'[3]Canada Inedible Tallow'!AN61</f>
        <v>13.311649299143584</v>
      </c>
      <c r="AI64" s="26">
        <f>'[3]Canada Inedible Tallow'!AO61</f>
        <v>7.432687988295914</v>
      </c>
      <c r="AJ64" s="26">
        <f>'[3]Canada Inedible Tallow'!AP61</f>
        <v>5.3305452431271858</v>
      </c>
    </row>
    <row r="65" spans="1:55" ht="15.75" thickBot="1">
      <c r="A65" s="20" t="s">
        <v>29</v>
      </c>
      <c r="B65" s="26">
        <f>SUM(B53:B64)</f>
        <v>209.99300000000002</v>
      </c>
      <c r="C65" s="26">
        <f t="shared" ref="C65:AJ65" si="9">SUM(C53:C64)</f>
        <v>257.89799999999997</v>
      </c>
      <c r="D65" s="26">
        <f t="shared" si="9"/>
        <v>226.124</v>
      </c>
      <c r="E65" s="26">
        <f t="shared" si="9"/>
        <v>248.70299999999997</v>
      </c>
      <c r="F65" s="26">
        <f t="shared" si="9"/>
        <v>261.22699999999998</v>
      </c>
      <c r="G65" s="26">
        <f t="shared" si="9"/>
        <v>190.91199999999998</v>
      </c>
      <c r="H65" s="26">
        <f t="shared" si="9"/>
        <v>268.08800000000002</v>
      </c>
      <c r="I65" s="26">
        <f t="shared" si="9"/>
        <v>217.786</v>
      </c>
      <c r="J65" s="26">
        <f t="shared" si="9"/>
        <v>251.31200000000001</v>
      </c>
      <c r="K65" s="26">
        <f t="shared" si="9"/>
        <v>216.90299999999996</v>
      </c>
      <c r="L65" s="26">
        <f t="shared" si="9"/>
        <v>197.47300000000001</v>
      </c>
      <c r="M65" s="26">
        <f t="shared" si="9"/>
        <v>151.31899999999999</v>
      </c>
      <c r="N65" s="26">
        <f t="shared" si="9"/>
        <v>182.16900000000001</v>
      </c>
      <c r="O65" s="26">
        <f t="shared" si="9"/>
        <v>160.04399999999998</v>
      </c>
      <c r="P65" s="26">
        <f t="shared" si="9"/>
        <v>156.215</v>
      </c>
      <c r="Q65" s="26">
        <f t="shared" si="9"/>
        <v>139.84799999999998</v>
      </c>
      <c r="R65" s="26">
        <f t="shared" si="9"/>
        <v>139.16399999999999</v>
      </c>
      <c r="S65" s="26">
        <f t="shared" si="9"/>
        <v>124.77500000000001</v>
      </c>
      <c r="T65" s="26">
        <f t="shared" si="9"/>
        <v>139.423</v>
      </c>
      <c r="U65" s="26">
        <f t="shared" si="9"/>
        <v>154.81799999999998</v>
      </c>
      <c r="V65" s="26">
        <f t="shared" si="9"/>
        <v>160.32299999999998</v>
      </c>
      <c r="W65" s="26">
        <f t="shared" si="9"/>
        <v>200.03900000000004</v>
      </c>
      <c r="X65" s="26">
        <f t="shared" si="9"/>
        <v>201.56799999999998</v>
      </c>
      <c r="Y65" s="26">
        <f t="shared" si="9"/>
        <v>232.303</v>
      </c>
      <c r="Z65" s="26">
        <f t="shared" si="9"/>
        <v>257.84999999999997</v>
      </c>
      <c r="AA65" s="26">
        <f t="shared" si="9"/>
        <v>230.78400000000002</v>
      </c>
      <c r="AB65" s="26">
        <f t="shared" si="9"/>
        <v>185.06800000000001</v>
      </c>
      <c r="AC65" s="26">
        <f t="shared" si="9"/>
        <v>160.62464162905974</v>
      </c>
      <c r="AD65" s="26">
        <f t="shared" si="9"/>
        <v>195.05843196091902</v>
      </c>
      <c r="AE65" s="26">
        <f t="shared" si="9"/>
        <v>194.69536298716068</v>
      </c>
      <c r="AF65" s="26">
        <f t="shared" si="9"/>
        <v>173.19582729071195</v>
      </c>
      <c r="AG65" s="26">
        <f t="shared" si="9"/>
        <v>159.9544496450107</v>
      </c>
      <c r="AH65" s="26">
        <f t="shared" si="9"/>
        <v>162.76214906165177</v>
      </c>
      <c r="AI65" s="26">
        <f t="shared" si="9"/>
        <v>109.24611122880519</v>
      </c>
      <c r="AJ65" s="26">
        <f t="shared" si="9"/>
        <v>72.540870458503107</v>
      </c>
    </row>
    <row r="66" spans="1:55">
      <c r="A66" s="25"/>
      <c r="B66" s="25"/>
      <c r="C66" s="25"/>
      <c r="D66" s="25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</row>
    <row r="67" spans="1:55" ht="15.75" thickBot="1">
      <c r="A67" s="20" t="s">
        <v>32</v>
      </c>
      <c r="B67" s="20"/>
      <c r="C67" s="20"/>
      <c r="D67" s="20"/>
    </row>
    <row r="68" spans="1:55" ht="15.75" thickBot="1">
      <c r="A68" s="22"/>
      <c r="B68" s="23" t="str">
        <f>B52</f>
        <v xml:space="preserve">97/98 </v>
      </c>
      <c r="C68" s="23" t="str">
        <f>C52</f>
        <v xml:space="preserve">98/99 </v>
      </c>
      <c r="D68" s="23" t="str">
        <f>D52</f>
        <v xml:space="preserve">99/00 </v>
      </c>
      <c r="E68" s="23" t="str">
        <f>E52</f>
        <v xml:space="preserve">00/01 </v>
      </c>
      <c r="F68" s="23" t="str">
        <f t="shared" ref="F68:BC68" si="10">F52</f>
        <v xml:space="preserve">01/02 </v>
      </c>
      <c r="G68" s="23" t="str">
        <f t="shared" si="10"/>
        <v xml:space="preserve">02/03 </v>
      </c>
      <c r="H68" s="23" t="str">
        <f t="shared" si="10"/>
        <v xml:space="preserve">03/04 </v>
      </c>
      <c r="I68" s="23" t="str">
        <f t="shared" si="10"/>
        <v xml:space="preserve">04/05 </v>
      </c>
      <c r="J68" s="23" t="str">
        <f t="shared" si="10"/>
        <v xml:space="preserve">05/06 </v>
      </c>
      <c r="K68" s="23" t="str">
        <f t="shared" si="10"/>
        <v xml:space="preserve">06/07 </v>
      </c>
      <c r="L68" s="23" t="str">
        <f t="shared" si="10"/>
        <v xml:space="preserve">07/08 </v>
      </c>
      <c r="M68" s="23" t="str">
        <f t="shared" si="10"/>
        <v xml:space="preserve">08/09 </v>
      </c>
      <c r="N68" s="23" t="str">
        <f t="shared" si="10"/>
        <v xml:space="preserve">09/10 </v>
      </c>
      <c r="O68" s="23" t="str">
        <f t="shared" si="10"/>
        <v xml:space="preserve">10/11 </v>
      </c>
      <c r="P68" s="23" t="str">
        <f t="shared" si="10"/>
        <v xml:space="preserve">11/12 </v>
      </c>
      <c r="Q68" s="23" t="str">
        <f t="shared" si="10"/>
        <v xml:space="preserve">12/13 </v>
      </c>
      <c r="R68" s="23" t="str">
        <f t="shared" si="10"/>
        <v xml:space="preserve">13/14 </v>
      </c>
      <c r="S68" s="23" t="str">
        <f t="shared" si="10"/>
        <v xml:space="preserve">14/15 </v>
      </c>
      <c r="T68" s="23" t="str">
        <f t="shared" si="10"/>
        <v xml:space="preserve">15/16 </v>
      </c>
      <c r="U68" s="23" t="str">
        <f t="shared" si="10"/>
        <v xml:space="preserve">16/17 </v>
      </c>
      <c r="V68" s="23" t="str">
        <f t="shared" si="10"/>
        <v xml:space="preserve">17/18 </v>
      </c>
      <c r="W68" s="23" t="str">
        <f t="shared" si="10"/>
        <v xml:space="preserve">18/19 </v>
      </c>
      <c r="X68" s="23" t="str">
        <f t="shared" si="10"/>
        <v>19/20</v>
      </c>
      <c r="Y68" s="23" t="str">
        <f t="shared" si="10"/>
        <v>20/21</v>
      </c>
      <c r="Z68" s="23" t="str">
        <f t="shared" si="10"/>
        <v xml:space="preserve">21/22 </v>
      </c>
      <c r="AA68" s="23" t="str">
        <f t="shared" si="10"/>
        <v xml:space="preserve">22/23 </v>
      </c>
      <c r="AB68" s="23" t="str">
        <f t="shared" si="10"/>
        <v xml:space="preserve">23/24 </v>
      </c>
      <c r="AC68" s="23" t="str">
        <f t="shared" si="10"/>
        <v xml:space="preserve">24/25 </v>
      </c>
      <c r="AD68" s="23" t="str">
        <f t="shared" si="10"/>
        <v>25/26</v>
      </c>
      <c r="AE68" s="23" t="str">
        <f t="shared" si="10"/>
        <v>26/27</v>
      </c>
      <c r="AF68" s="23" t="str">
        <f t="shared" si="10"/>
        <v>27/28</v>
      </c>
      <c r="AG68" s="23" t="str">
        <f t="shared" si="10"/>
        <v>28/29</v>
      </c>
      <c r="AH68" s="23" t="str">
        <f t="shared" si="10"/>
        <v>29/30</v>
      </c>
      <c r="AI68" s="23" t="str">
        <f t="shared" si="10"/>
        <v>30/31</v>
      </c>
      <c r="AJ68" s="23" t="str">
        <f t="shared" si="10"/>
        <v>31/32</v>
      </c>
      <c r="AK68" s="23" t="str">
        <f t="shared" si="10"/>
        <v>32/33</v>
      </c>
      <c r="AL68" s="23" t="str">
        <f t="shared" si="10"/>
        <v>33/34</v>
      </c>
      <c r="AM68" s="23" t="str">
        <f t="shared" si="10"/>
        <v>34/35</v>
      </c>
      <c r="AN68" s="23" t="str">
        <f t="shared" si="10"/>
        <v>35/36</v>
      </c>
      <c r="AO68" s="23" t="str">
        <f t="shared" si="10"/>
        <v>36/37</v>
      </c>
      <c r="AP68" s="23" t="str">
        <f t="shared" si="10"/>
        <v>37/38</v>
      </c>
      <c r="AQ68" s="23" t="str">
        <f t="shared" si="10"/>
        <v>38/39</v>
      </c>
      <c r="AR68" s="23" t="str">
        <f t="shared" si="10"/>
        <v>39/40</v>
      </c>
      <c r="AS68" s="23" t="str">
        <f t="shared" si="10"/>
        <v>40/41</v>
      </c>
      <c r="AT68" s="23" t="str">
        <f t="shared" si="10"/>
        <v>41/42</v>
      </c>
      <c r="AU68" s="23" t="str">
        <f t="shared" si="10"/>
        <v>42/43</v>
      </c>
      <c r="AV68" s="23" t="str">
        <f t="shared" si="10"/>
        <v>43/44</v>
      </c>
      <c r="AW68" s="23" t="str">
        <f t="shared" si="10"/>
        <v>44/45</v>
      </c>
      <c r="AX68" s="23" t="str">
        <f t="shared" si="10"/>
        <v>45/46</v>
      </c>
      <c r="AY68" s="23" t="str">
        <f t="shared" si="10"/>
        <v>46/47</v>
      </c>
      <c r="AZ68" s="23" t="str">
        <f t="shared" si="10"/>
        <v>47/48</v>
      </c>
      <c r="BA68" s="23" t="str">
        <f t="shared" si="10"/>
        <v>48/49</v>
      </c>
      <c r="BB68" s="23" t="str">
        <f t="shared" si="10"/>
        <v>49/50</v>
      </c>
      <c r="BC68" s="23" t="str">
        <f t="shared" si="10"/>
        <v>50/51</v>
      </c>
    </row>
    <row r="69" spans="1:55">
      <c r="A69" s="20" t="s">
        <v>17</v>
      </c>
      <c r="B69" s="20"/>
      <c r="C69" s="20"/>
      <c r="D69" s="20"/>
    </row>
    <row r="70" spans="1:55">
      <c r="A70" s="20" t="s">
        <v>18</v>
      </c>
      <c r="B70" s="20"/>
      <c r="C70" s="20"/>
      <c r="D70" s="20"/>
    </row>
    <row r="71" spans="1:55">
      <c r="A71" s="20" t="s">
        <v>19</v>
      </c>
      <c r="B71" s="20"/>
      <c r="C71" s="20"/>
      <c r="D71" s="20"/>
    </row>
    <row r="72" spans="1:55">
      <c r="A72" s="20" t="s">
        <v>20</v>
      </c>
      <c r="B72" s="20"/>
      <c r="C72" s="20"/>
      <c r="D72" s="20"/>
    </row>
    <row r="73" spans="1:55">
      <c r="A73" s="20" t="s">
        <v>21</v>
      </c>
      <c r="B73" s="20"/>
      <c r="C73" s="20"/>
      <c r="D73" s="20"/>
    </row>
    <row r="74" spans="1:55">
      <c r="A74" s="20" t="s">
        <v>22</v>
      </c>
      <c r="B74" s="20"/>
      <c r="C74" s="20"/>
      <c r="D74" s="20"/>
    </row>
    <row r="75" spans="1:55">
      <c r="A75" s="20" t="s">
        <v>23</v>
      </c>
      <c r="B75" s="20"/>
      <c r="C75" s="20"/>
      <c r="D75" s="20"/>
    </row>
    <row r="76" spans="1:55">
      <c r="A76" s="20" t="s">
        <v>24</v>
      </c>
      <c r="B76" s="20"/>
      <c r="C76" s="20"/>
      <c r="D76" s="20"/>
    </row>
    <row r="77" spans="1:55">
      <c r="A77" s="20" t="s">
        <v>25</v>
      </c>
      <c r="B77" s="20"/>
      <c r="C77" s="20"/>
      <c r="D77" s="20"/>
    </row>
    <row r="78" spans="1:55">
      <c r="A78" s="20" t="s">
        <v>26</v>
      </c>
      <c r="B78" s="20"/>
      <c r="C78" s="20"/>
      <c r="D78" s="20"/>
    </row>
    <row r="79" spans="1:55">
      <c r="A79" s="20" t="s">
        <v>27</v>
      </c>
      <c r="B79" s="20"/>
      <c r="C79" s="20"/>
      <c r="D79" s="20"/>
    </row>
    <row r="80" spans="1:55">
      <c r="A80" s="20" t="s">
        <v>28</v>
      </c>
      <c r="B80" s="20"/>
      <c r="C80" s="20"/>
      <c r="D80" s="20"/>
    </row>
    <row r="81" spans="1:55" ht="15.75" thickBot="1">
      <c r="A81" s="20" t="s">
        <v>29</v>
      </c>
      <c r="B81" s="20"/>
      <c r="C81" s="20"/>
      <c r="D81" s="20"/>
    </row>
    <row r="82" spans="1:55">
      <c r="A82" s="25"/>
      <c r="B82" s="25"/>
      <c r="C82" s="25"/>
      <c r="D82" s="25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</row>
    <row r="83" spans="1:55" ht="15.75" thickBot="1">
      <c r="A83" s="20" t="s">
        <v>33</v>
      </c>
      <c r="B83" s="20"/>
      <c r="C83" s="20"/>
      <c r="D83" s="20"/>
    </row>
    <row r="84" spans="1:55" ht="15.75" thickBot="1">
      <c r="A84" s="22"/>
      <c r="B84" s="23" t="str">
        <f>B68</f>
        <v xml:space="preserve">97/98 </v>
      </c>
      <c r="C84" s="23" t="str">
        <f>C68</f>
        <v xml:space="preserve">98/99 </v>
      </c>
      <c r="D84" s="23" t="str">
        <f>D68</f>
        <v xml:space="preserve">99/00 </v>
      </c>
      <c r="E84" s="23" t="str">
        <f>E68</f>
        <v xml:space="preserve">00/01 </v>
      </c>
      <c r="F84" s="23" t="str">
        <f t="shared" ref="F84:BC84" si="11">F68</f>
        <v xml:space="preserve">01/02 </v>
      </c>
      <c r="G84" s="23" t="str">
        <f t="shared" si="11"/>
        <v xml:space="preserve">02/03 </v>
      </c>
      <c r="H84" s="23" t="str">
        <f t="shared" si="11"/>
        <v xml:space="preserve">03/04 </v>
      </c>
      <c r="I84" s="23" t="str">
        <f t="shared" si="11"/>
        <v xml:space="preserve">04/05 </v>
      </c>
      <c r="J84" s="23" t="str">
        <f t="shared" si="11"/>
        <v xml:space="preserve">05/06 </v>
      </c>
      <c r="K84" s="23" t="str">
        <f t="shared" si="11"/>
        <v xml:space="preserve">06/07 </v>
      </c>
      <c r="L84" s="23" t="str">
        <f t="shared" si="11"/>
        <v xml:space="preserve">07/08 </v>
      </c>
      <c r="M84" s="23" t="str">
        <f t="shared" si="11"/>
        <v xml:space="preserve">08/09 </v>
      </c>
      <c r="N84" s="23" t="str">
        <f t="shared" si="11"/>
        <v xml:space="preserve">09/10 </v>
      </c>
      <c r="O84" s="23" t="str">
        <f t="shared" si="11"/>
        <v xml:space="preserve">10/11 </v>
      </c>
      <c r="P84" s="23" t="str">
        <f t="shared" si="11"/>
        <v xml:space="preserve">11/12 </v>
      </c>
      <c r="Q84" s="23" t="str">
        <f t="shared" si="11"/>
        <v xml:space="preserve">12/13 </v>
      </c>
      <c r="R84" s="23" t="str">
        <f t="shared" si="11"/>
        <v xml:space="preserve">13/14 </v>
      </c>
      <c r="S84" s="23" t="str">
        <f t="shared" si="11"/>
        <v xml:space="preserve">14/15 </v>
      </c>
      <c r="T84" s="23" t="str">
        <f t="shared" si="11"/>
        <v xml:space="preserve">15/16 </v>
      </c>
      <c r="U84" s="23" t="str">
        <f t="shared" si="11"/>
        <v xml:space="preserve">16/17 </v>
      </c>
      <c r="V84" s="23" t="str">
        <f t="shared" si="11"/>
        <v xml:space="preserve">17/18 </v>
      </c>
      <c r="W84" s="23" t="str">
        <f t="shared" si="11"/>
        <v xml:space="preserve">18/19 </v>
      </c>
      <c r="X84" s="23" t="str">
        <f t="shared" si="11"/>
        <v>19/20</v>
      </c>
      <c r="Y84" s="23" t="str">
        <f t="shared" si="11"/>
        <v>20/21</v>
      </c>
      <c r="Z84" s="23" t="str">
        <f t="shared" si="11"/>
        <v xml:space="preserve">21/22 </v>
      </c>
      <c r="AA84" s="23" t="str">
        <f t="shared" si="11"/>
        <v xml:space="preserve">22/23 </v>
      </c>
      <c r="AB84" s="23" t="str">
        <f t="shared" si="11"/>
        <v xml:space="preserve">23/24 </v>
      </c>
      <c r="AC84" s="23" t="str">
        <f t="shared" si="11"/>
        <v xml:space="preserve">24/25 </v>
      </c>
      <c r="AD84" s="23" t="str">
        <f t="shared" si="11"/>
        <v>25/26</v>
      </c>
      <c r="AE84" s="23" t="str">
        <f t="shared" si="11"/>
        <v>26/27</v>
      </c>
      <c r="AF84" s="23" t="str">
        <f t="shared" si="11"/>
        <v>27/28</v>
      </c>
      <c r="AG84" s="23" t="str">
        <f t="shared" si="11"/>
        <v>28/29</v>
      </c>
      <c r="AH84" s="23" t="str">
        <f t="shared" si="11"/>
        <v>29/30</v>
      </c>
      <c r="AI84" s="23" t="str">
        <f t="shared" si="11"/>
        <v>30/31</v>
      </c>
      <c r="AJ84" s="23" t="str">
        <f t="shared" si="11"/>
        <v>31/32</v>
      </c>
      <c r="AK84" s="23" t="str">
        <f t="shared" si="11"/>
        <v>32/33</v>
      </c>
      <c r="AL84" s="23" t="str">
        <f t="shared" si="11"/>
        <v>33/34</v>
      </c>
      <c r="AM84" s="23" t="str">
        <f t="shared" si="11"/>
        <v>34/35</v>
      </c>
      <c r="AN84" s="23" t="str">
        <f t="shared" si="11"/>
        <v>35/36</v>
      </c>
      <c r="AO84" s="23" t="str">
        <f t="shared" si="11"/>
        <v>36/37</v>
      </c>
      <c r="AP84" s="23" t="str">
        <f t="shared" si="11"/>
        <v>37/38</v>
      </c>
      <c r="AQ84" s="23" t="str">
        <f t="shared" si="11"/>
        <v>38/39</v>
      </c>
      <c r="AR84" s="23" t="str">
        <f t="shared" si="11"/>
        <v>39/40</v>
      </c>
      <c r="AS84" s="23" t="str">
        <f t="shared" si="11"/>
        <v>40/41</v>
      </c>
      <c r="AT84" s="23" t="str">
        <f t="shared" si="11"/>
        <v>41/42</v>
      </c>
      <c r="AU84" s="23" t="str">
        <f t="shared" si="11"/>
        <v>42/43</v>
      </c>
      <c r="AV84" s="23" t="str">
        <f t="shared" si="11"/>
        <v>43/44</v>
      </c>
      <c r="AW84" s="23" t="str">
        <f t="shared" si="11"/>
        <v>44/45</v>
      </c>
      <c r="AX84" s="23" t="str">
        <f t="shared" si="11"/>
        <v>45/46</v>
      </c>
      <c r="AY84" s="23" t="str">
        <f t="shared" si="11"/>
        <v>46/47</v>
      </c>
      <c r="AZ84" s="23" t="str">
        <f t="shared" si="11"/>
        <v>47/48</v>
      </c>
      <c r="BA84" s="23" t="str">
        <f t="shared" si="11"/>
        <v>48/49</v>
      </c>
      <c r="BB84" s="23" t="str">
        <f t="shared" si="11"/>
        <v>49/50</v>
      </c>
      <c r="BC84" s="23" t="str">
        <f t="shared" si="11"/>
        <v>50/51</v>
      </c>
    </row>
    <row r="85" spans="1:55">
      <c r="A85" s="20" t="s">
        <v>17</v>
      </c>
      <c r="B85" s="20"/>
      <c r="C85" s="20"/>
      <c r="D85" s="20"/>
    </row>
    <row r="86" spans="1:55">
      <c r="A86" s="20" t="s">
        <v>18</v>
      </c>
      <c r="B86" s="20"/>
      <c r="C86" s="20"/>
      <c r="D86" s="20"/>
    </row>
    <row r="87" spans="1:55">
      <c r="A87" s="20" t="s">
        <v>19</v>
      </c>
      <c r="B87" s="20"/>
      <c r="C87" s="20"/>
      <c r="D87" s="20"/>
    </row>
    <row r="88" spans="1:55">
      <c r="A88" s="20" t="s">
        <v>20</v>
      </c>
      <c r="B88" s="20"/>
      <c r="C88" s="20"/>
      <c r="D88" s="20"/>
    </row>
    <row r="89" spans="1:55">
      <c r="A89" s="20" t="s">
        <v>21</v>
      </c>
      <c r="B89" s="20"/>
      <c r="C89" s="20"/>
      <c r="D89" s="20"/>
    </row>
    <row r="90" spans="1:55">
      <c r="A90" s="20" t="s">
        <v>22</v>
      </c>
      <c r="B90" s="20"/>
      <c r="C90" s="20"/>
      <c r="D90" s="20"/>
    </row>
    <row r="91" spans="1:55">
      <c r="A91" s="20" t="s">
        <v>23</v>
      </c>
      <c r="B91" s="20"/>
      <c r="C91" s="20"/>
      <c r="D91" s="20"/>
    </row>
    <row r="92" spans="1:55">
      <c r="A92" s="20" t="s">
        <v>24</v>
      </c>
      <c r="B92" s="20"/>
      <c r="C92" s="20"/>
      <c r="D92" s="20"/>
    </row>
    <row r="93" spans="1:55">
      <c r="A93" s="20" t="s">
        <v>25</v>
      </c>
      <c r="B93" s="20"/>
      <c r="C93" s="20"/>
      <c r="D93" s="20"/>
    </row>
    <row r="94" spans="1:55">
      <c r="A94" s="20" t="s">
        <v>26</v>
      </c>
      <c r="B94" s="20"/>
      <c r="C94" s="20"/>
      <c r="D94" s="20"/>
    </row>
    <row r="95" spans="1:55">
      <c r="A95" s="20" t="s">
        <v>27</v>
      </c>
      <c r="B95" s="20"/>
      <c r="C95" s="20"/>
      <c r="D95" s="20"/>
    </row>
    <row r="96" spans="1:55">
      <c r="A96" s="20" t="s">
        <v>28</v>
      </c>
      <c r="B96" s="20"/>
      <c r="C96" s="20"/>
      <c r="D96" s="20"/>
    </row>
    <row r="97" spans="1:55" ht="15.75" thickBot="1">
      <c r="A97" s="20" t="s">
        <v>29</v>
      </c>
      <c r="B97" s="20"/>
      <c r="C97" s="20"/>
      <c r="D97" s="20"/>
    </row>
    <row r="98" spans="1:55">
      <c r="A98" s="25"/>
      <c r="B98" s="25"/>
      <c r="C98" s="25"/>
      <c r="D98" s="25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</row>
    <row r="99" spans="1:55" ht="15.75" thickBot="1">
      <c r="A99" s="20" t="s">
        <v>34</v>
      </c>
      <c r="B99" s="20"/>
      <c r="C99" s="20"/>
      <c r="D99" s="20"/>
    </row>
    <row r="100" spans="1:55" ht="15.75" thickBot="1">
      <c r="A100" s="22"/>
      <c r="B100" s="23" t="str">
        <f>B84</f>
        <v xml:space="preserve">97/98 </v>
      </c>
      <c r="C100" s="23" t="str">
        <f>C84</f>
        <v xml:space="preserve">98/99 </v>
      </c>
      <c r="D100" s="23" t="str">
        <f>D84</f>
        <v xml:space="preserve">99/00 </v>
      </c>
      <c r="E100" s="23" t="str">
        <f>E84</f>
        <v xml:space="preserve">00/01 </v>
      </c>
      <c r="F100" s="23" t="str">
        <f t="shared" ref="F100:BC100" si="12">F84</f>
        <v xml:space="preserve">01/02 </v>
      </c>
      <c r="G100" s="23" t="str">
        <f t="shared" si="12"/>
        <v xml:space="preserve">02/03 </v>
      </c>
      <c r="H100" s="23" t="str">
        <f t="shared" si="12"/>
        <v xml:space="preserve">03/04 </v>
      </c>
      <c r="I100" s="23" t="str">
        <f t="shared" si="12"/>
        <v xml:space="preserve">04/05 </v>
      </c>
      <c r="J100" s="23" t="str">
        <f t="shared" si="12"/>
        <v xml:space="preserve">05/06 </v>
      </c>
      <c r="K100" s="23" t="str">
        <f t="shared" si="12"/>
        <v xml:space="preserve">06/07 </v>
      </c>
      <c r="L100" s="23" t="str">
        <f t="shared" si="12"/>
        <v xml:space="preserve">07/08 </v>
      </c>
      <c r="M100" s="23" t="str">
        <f t="shared" si="12"/>
        <v xml:space="preserve">08/09 </v>
      </c>
      <c r="N100" s="23" t="str">
        <f t="shared" si="12"/>
        <v xml:space="preserve">09/10 </v>
      </c>
      <c r="O100" s="23" t="str">
        <f t="shared" si="12"/>
        <v xml:space="preserve">10/11 </v>
      </c>
      <c r="P100" s="23" t="str">
        <f t="shared" si="12"/>
        <v xml:space="preserve">11/12 </v>
      </c>
      <c r="Q100" s="23" t="str">
        <f t="shared" si="12"/>
        <v xml:space="preserve">12/13 </v>
      </c>
      <c r="R100" s="23" t="str">
        <f t="shared" si="12"/>
        <v xml:space="preserve">13/14 </v>
      </c>
      <c r="S100" s="23" t="str">
        <f t="shared" si="12"/>
        <v xml:space="preserve">14/15 </v>
      </c>
      <c r="T100" s="23" t="str">
        <f t="shared" si="12"/>
        <v xml:space="preserve">15/16 </v>
      </c>
      <c r="U100" s="23" t="str">
        <f t="shared" si="12"/>
        <v xml:space="preserve">16/17 </v>
      </c>
      <c r="V100" s="23" t="str">
        <f t="shared" si="12"/>
        <v xml:space="preserve">17/18 </v>
      </c>
      <c r="W100" s="23" t="str">
        <f t="shared" si="12"/>
        <v xml:space="preserve">18/19 </v>
      </c>
      <c r="X100" s="23" t="str">
        <f t="shared" si="12"/>
        <v>19/20</v>
      </c>
      <c r="Y100" s="23" t="str">
        <f t="shared" si="12"/>
        <v>20/21</v>
      </c>
      <c r="Z100" s="23" t="str">
        <f t="shared" si="12"/>
        <v xml:space="preserve">21/22 </v>
      </c>
      <c r="AA100" s="23" t="str">
        <f t="shared" si="12"/>
        <v xml:space="preserve">22/23 </v>
      </c>
      <c r="AB100" s="23" t="str">
        <f t="shared" si="12"/>
        <v xml:space="preserve">23/24 </v>
      </c>
      <c r="AC100" s="23" t="str">
        <f t="shared" si="12"/>
        <v xml:space="preserve">24/25 </v>
      </c>
      <c r="AD100" s="23" t="str">
        <f t="shared" si="12"/>
        <v>25/26</v>
      </c>
      <c r="AE100" s="23" t="str">
        <f t="shared" si="12"/>
        <v>26/27</v>
      </c>
      <c r="AF100" s="23" t="str">
        <f t="shared" si="12"/>
        <v>27/28</v>
      </c>
      <c r="AG100" s="23" t="str">
        <f t="shared" si="12"/>
        <v>28/29</v>
      </c>
      <c r="AH100" s="23" t="str">
        <f t="shared" si="12"/>
        <v>29/30</v>
      </c>
      <c r="AI100" s="23" t="str">
        <f t="shared" si="12"/>
        <v>30/31</v>
      </c>
      <c r="AJ100" s="23" t="str">
        <f t="shared" si="12"/>
        <v>31/32</v>
      </c>
      <c r="AK100" s="23" t="str">
        <f t="shared" si="12"/>
        <v>32/33</v>
      </c>
      <c r="AL100" s="23" t="str">
        <f t="shared" si="12"/>
        <v>33/34</v>
      </c>
      <c r="AM100" s="23" t="str">
        <f t="shared" si="12"/>
        <v>34/35</v>
      </c>
      <c r="AN100" s="23" t="str">
        <f t="shared" si="12"/>
        <v>35/36</v>
      </c>
      <c r="AO100" s="23" t="str">
        <f t="shared" si="12"/>
        <v>36/37</v>
      </c>
      <c r="AP100" s="23" t="str">
        <f t="shared" si="12"/>
        <v>37/38</v>
      </c>
      <c r="AQ100" s="23" t="str">
        <f t="shared" si="12"/>
        <v>38/39</v>
      </c>
      <c r="AR100" s="23" t="str">
        <f t="shared" si="12"/>
        <v>39/40</v>
      </c>
      <c r="AS100" s="23" t="str">
        <f t="shared" si="12"/>
        <v>40/41</v>
      </c>
      <c r="AT100" s="23" t="str">
        <f t="shared" si="12"/>
        <v>41/42</v>
      </c>
      <c r="AU100" s="23" t="str">
        <f t="shared" si="12"/>
        <v>42/43</v>
      </c>
      <c r="AV100" s="23" t="str">
        <f t="shared" si="12"/>
        <v>43/44</v>
      </c>
      <c r="AW100" s="23" t="str">
        <f t="shared" si="12"/>
        <v>44/45</v>
      </c>
      <c r="AX100" s="23" t="str">
        <f t="shared" si="12"/>
        <v>45/46</v>
      </c>
      <c r="AY100" s="23" t="str">
        <f t="shared" si="12"/>
        <v>46/47</v>
      </c>
      <c r="AZ100" s="23" t="str">
        <f t="shared" si="12"/>
        <v>47/48</v>
      </c>
      <c r="BA100" s="23" t="str">
        <f t="shared" si="12"/>
        <v>48/49</v>
      </c>
      <c r="BB100" s="23" t="str">
        <f t="shared" si="12"/>
        <v>49/50</v>
      </c>
      <c r="BC100" s="23" t="str">
        <f t="shared" si="12"/>
        <v>50/51</v>
      </c>
    </row>
    <row r="101" spans="1:55">
      <c r="A101" s="20" t="s">
        <v>17</v>
      </c>
      <c r="B101" s="20"/>
      <c r="C101" s="20"/>
      <c r="D101" s="20"/>
    </row>
    <row r="102" spans="1:55">
      <c r="A102" s="20" t="s">
        <v>18</v>
      </c>
      <c r="B102" s="20"/>
      <c r="C102" s="20"/>
      <c r="D102" s="20"/>
    </row>
    <row r="103" spans="1:55">
      <c r="A103" s="20" t="s">
        <v>19</v>
      </c>
      <c r="B103" s="20"/>
      <c r="C103" s="20"/>
      <c r="D103" s="20"/>
    </row>
    <row r="104" spans="1:55">
      <c r="A104" s="20" t="s">
        <v>20</v>
      </c>
      <c r="B104" s="20"/>
      <c r="C104" s="20"/>
      <c r="D104" s="20"/>
    </row>
    <row r="105" spans="1:55">
      <c r="A105" s="20" t="s">
        <v>21</v>
      </c>
      <c r="B105" s="20"/>
      <c r="C105" s="20"/>
      <c r="D105" s="20"/>
    </row>
    <row r="106" spans="1:55">
      <c r="A106" s="20" t="s">
        <v>22</v>
      </c>
      <c r="B106" s="20"/>
      <c r="C106" s="20"/>
      <c r="D106" s="20"/>
    </row>
    <row r="107" spans="1:55">
      <c r="A107" s="20" t="s">
        <v>23</v>
      </c>
      <c r="B107" s="20"/>
      <c r="C107" s="20"/>
      <c r="D107" s="20"/>
    </row>
    <row r="108" spans="1:55">
      <c r="A108" s="20" t="s">
        <v>24</v>
      </c>
      <c r="B108" s="20"/>
      <c r="C108" s="20"/>
      <c r="D108" s="20"/>
    </row>
    <row r="109" spans="1:55">
      <c r="A109" s="20" t="s">
        <v>25</v>
      </c>
      <c r="B109" s="20"/>
      <c r="C109" s="20"/>
      <c r="D109" s="20"/>
    </row>
    <row r="110" spans="1:55">
      <c r="A110" s="20" t="s">
        <v>26</v>
      </c>
      <c r="B110" s="20"/>
      <c r="C110" s="20"/>
      <c r="D110" s="20"/>
    </row>
    <row r="111" spans="1:55">
      <c r="A111" s="20" t="s">
        <v>27</v>
      </c>
      <c r="B111" s="20"/>
      <c r="C111" s="20"/>
      <c r="D111" s="20"/>
    </row>
    <row r="112" spans="1:55">
      <c r="A112" s="20" t="s">
        <v>28</v>
      </c>
      <c r="B112" s="20"/>
      <c r="C112" s="20"/>
      <c r="D112" s="20"/>
    </row>
    <row r="113" spans="1:55" ht="15.75" thickBot="1">
      <c r="A113" s="20" t="s">
        <v>29</v>
      </c>
      <c r="B113" s="20"/>
      <c r="C113" s="20"/>
      <c r="D113" s="20"/>
    </row>
    <row r="114" spans="1:55">
      <c r="A114" s="25"/>
      <c r="B114" s="25"/>
      <c r="C114" s="25"/>
      <c r="D114" s="25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</row>
    <row r="115" spans="1:55" ht="15.75" thickBot="1">
      <c r="A115" s="20" t="s">
        <v>35</v>
      </c>
      <c r="B115" s="20"/>
      <c r="C115" s="20"/>
      <c r="D115" s="20"/>
    </row>
    <row r="116" spans="1:55" ht="15.75" thickBot="1">
      <c r="A116" s="22"/>
      <c r="B116" s="23" t="str">
        <f>B100</f>
        <v xml:space="preserve">97/98 </v>
      </c>
      <c r="C116" s="23" t="str">
        <f>C100</f>
        <v xml:space="preserve">98/99 </v>
      </c>
      <c r="D116" s="23" t="str">
        <f>D100</f>
        <v xml:space="preserve">99/00 </v>
      </c>
      <c r="E116" s="23" t="str">
        <f>E100</f>
        <v xml:space="preserve">00/01 </v>
      </c>
      <c r="F116" s="23" t="str">
        <f t="shared" ref="F116:BC116" si="13">F100</f>
        <v xml:space="preserve">01/02 </v>
      </c>
      <c r="G116" s="23" t="str">
        <f t="shared" si="13"/>
        <v xml:space="preserve">02/03 </v>
      </c>
      <c r="H116" s="23" t="str">
        <f t="shared" si="13"/>
        <v xml:space="preserve">03/04 </v>
      </c>
      <c r="I116" s="23" t="str">
        <f t="shared" si="13"/>
        <v xml:space="preserve">04/05 </v>
      </c>
      <c r="J116" s="23" t="str">
        <f t="shared" si="13"/>
        <v xml:space="preserve">05/06 </v>
      </c>
      <c r="K116" s="23" t="str">
        <f t="shared" si="13"/>
        <v xml:space="preserve">06/07 </v>
      </c>
      <c r="L116" s="23" t="str">
        <f t="shared" si="13"/>
        <v xml:space="preserve">07/08 </v>
      </c>
      <c r="M116" s="23" t="str">
        <f t="shared" si="13"/>
        <v xml:space="preserve">08/09 </v>
      </c>
      <c r="N116" s="23" t="str">
        <f t="shared" si="13"/>
        <v xml:space="preserve">09/10 </v>
      </c>
      <c r="O116" s="23" t="str">
        <f t="shared" si="13"/>
        <v xml:space="preserve">10/11 </v>
      </c>
      <c r="P116" s="23" t="str">
        <f t="shared" si="13"/>
        <v xml:space="preserve">11/12 </v>
      </c>
      <c r="Q116" s="23" t="str">
        <f t="shared" si="13"/>
        <v xml:space="preserve">12/13 </v>
      </c>
      <c r="R116" s="23" t="str">
        <f t="shared" si="13"/>
        <v xml:space="preserve">13/14 </v>
      </c>
      <c r="S116" s="23" t="str">
        <f t="shared" si="13"/>
        <v xml:space="preserve">14/15 </v>
      </c>
      <c r="T116" s="23" t="str">
        <f t="shared" si="13"/>
        <v xml:space="preserve">15/16 </v>
      </c>
      <c r="U116" s="23" t="str">
        <f t="shared" si="13"/>
        <v xml:space="preserve">16/17 </v>
      </c>
      <c r="V116" s="23" t="str">
        <f t="shared" si="13"/>
        <v xml:space="preserve">17/18 </v>
      </c>
      <c r="W116" s="23" t="str">
        <f t="shared" si="13"/>
        <v xml:space="preserve">18/19 </v>
      </c>
      <c r="X116" s="23" t="str">
        <f t="shared" si="13"/>
        <v>19/20</v>
      </c>
      <c r="Y116" s="23" t="str">
        <f t="shared" si="13"/>
        <v>20/21</v>
      </c>
      <c r="Z116" s="23" t="str">
        <f t="shared" si="13"/>
        <v xml:space="preserve">21/22 </v>
      </c>
      <c r="AA116" s="23" t="str">
        <f t="shared" si="13"/>
        <v xml:space="preserve">22/23 </v>
      </c>
      <c r="AB116" s="23" t="str">
        <f t="shared" si="13"/>
        <v xml:space="preserve">23/24 </v>
      </c>
      <c r="AC116" s="23" t="str">
        <f t="shared" si="13"/>
        <v xml:space="preserve">24/25 </v>
      </c>
      <c r="AD116" s="23" t="str">
        <f t="shared" si="13"/>
        <v>25/26</v>
      </c>
      <c r="AE116" s="23" t="str">
        <f t="shared" si="13"/>
        <v>26/27</v>
      </c>
      <c r="AF116" s="23" t="str">
        <f t="shared" si="13"/>
        <v>27/28</v>
      </c>
      <c r="AG116" s="23" t="str">
        <f t="shared" si="13"/>
        <v>28/29</v>
      </c>
      <c r="AH116" s="23" t="str">
        <f t="shared" si="13"/>
        <v>29/30</v>
      </c>
      <c r="AI116" s="23" t="str">
        <f t="shared" si="13"/>
        <v>30/31</v>
      </c>
      <c r="AJ116" s="23" t="str">
        <f t="shared" si="13"/>
        <v>31/32</v>
      </c>
      <c r="AK116" s="23" t="str">
        <f t="shared" si="13"/>
        <v>32/33</v>
      </c>
      <c r="AL116" s="23" t="str">
        <f t="shared" si="13"/>
        <v>33/34</v>
      </c>
      <c r="AM116" s="23" t="str">
        <f t="shared" si="13"/>
        <v>34/35</v>
      </c>
      <c r="AN116" s="23" t="str">
        <f t="shared" si="13"/>
        <v>35/36</v>
      </c>
      <c r="AO116" s="23" t="str">
        <f t="shared" si="13"/>
        <v>36/37</v>
      </c>
      <c r="AP116" s="23" t="str">
        <f t="shared" si="13"/>
        <v>37/38</v>
      </c>
      <c r="AQ116" s="23" t="str">
        <f t="shared" si="13"/>
        <v>38/39</v>
      </c>
      <c r="AR116" s="23" t="str">
        <f t="shared" si="13"/>
        <v>39/40</v>
      </c>
      <c r="AS116" s="23" t="str">
        <f t="shared" si="13"/>
        <v>40/41</v>
      </c>
      <c r="AT116" s="23" t="str">
        <f t="shared" si="13"/>
        <v>41/42</v>
      </c>
      <c r="AU116" s="23" t="str">
        <f t="shared" si="13"/>
        <v>42/43</v>
      </c>
      <c r="AV116" s="23" t="str">
        <f t="shared" si="13"/>
        <v>43/44</v>
      </c>
      <c r="AW116" s="23" t="str">
        <f t="shared" si="13"/>
        <v>44/45</v>
      </c>
      <c r="AX116" s="23" t="str">
        <f t="shared" si="13"/>
        <v>45/46</v>
      </c>
      <c r="AY116" s="23" t="str">
        <f t="shared" si="13"/>
        <v>46/47</v>
      </c>
      <c r="AZ116" s="23" t="str">
        <f t="shared" si="13"/>
        <v>47/48</v>
      </c>
      <c r="BA116" s="23" t="str">
        <f t="shared" si="13"/>
        <v>48/49</v>
      </c>
      <c r="BB116" s="23" t="str">
        <f t="shared" si="13"/>
        <v>49/50</v>
      </c>
      <c r="BC116" s="23" t="str">
        <f t="shared" si="13"/>
        <v>50/51</v>
      </c>
    </row>
    <row r="117" spans="1:55">
      <c r="A117" s="20" t="s">
        <v>17</v>
      </c>
      <c r="B117" s="20"/>
      <c r="C117" s="20"/>
      <c r="D117" s="20"/>
    </row>
    <row r="118" spans="1:55">
      <c r="A118" s="20" t="s">
        <v>18</v>
      </c>
      <c r="B118" s="20"/>
      <c r="C118" s="20"/>
      <c r="D118" s="20"/>
    </row>
    <row r="119" spans="1:55">
      <c r="A119" s="20" t="s">
        <v>19</v>
      </c>
      <c r="B119" s="20"/>
      <c r="C119" s="20"/>
      <c r="D119" s="20"/>
    </row>
    <row r="120" spans="1:55">
      <c r="A120" s="20" t="s">
        <v>20</v>
      </c>
      <c r="B120" s="20"/>
      <c r="C120" s="20"/>
      <c r="D120" s="20"/>
    </row>
    <row r="121" spans="1:55">
      <c r="A121" s="20" t="s">
        <v>21</v>
      </c>
      <c r="B121" s="20"/>
      <c r="C121" s="20"/>
      <c r="D121" s="20"/>
    </row>
    <row r="122" spans="1:55">
      <c r="A122" s="20" t="s">
        <v>22</v>
      </c>
      <c r="B122" s="20"/>
      <c r="C122" s="20"/>
      <c r="D122" s="20"/>
    </row>
    <row r="123" spans="1:55">
      <c r="A123" s="20" t="s">
        <v>23</v>
      </c>
      <c r="B123" s="20"/>
      <c r="C123" s="20"/>
      <c r="D123" s="20"/>
    </row>
    <row r="124" spans="1:55">
      <c r="A124" s="20" t="s">
        <v>24</v>
      </c>
      <c r="B124" s="20"/>
      <c r="C124" s="20"/>
      <c r="D124" s="20"/>
    </row>
    <row r="125" spans="1:55">
      <c r="A125" s="20" t="s">
        <v>25</v>
      </c>
      <c r="B125" s="20"/>
      <c r="C125" s="20"/>
      <c r="D125" s="20"/>
    </row>
    <row r="126" spans="1:55">
      <c r="A126" s="20" t="s">
        <v>26</v>
      </c>
      <c r="B126" s="20"/>
      <c r="C126" s="20"/>
      <c r="D126" s="20"/>
    </row>
    <row r="127" spans="1:55">
      <c r="A127" s="20" t="s">
        <v>27</v>
      </c>
      <c r="B127" s="20"/>
      <c r="C127" s="20"/>
      <c r="D127" s="20"/>
    </row>
    <row r="128" spans="1:55">
      <c r="A128" s="20" t="s">
        <v>28</v>
      </c>
      <c r="B128" s="20"/>
      <c r="C128" s="20"/>
      <c r="D128" s="20"/>
    </row>
    <row r="129" spans="1:55" ht="15.75" thickBot="1">
      <c r="A129" s="20" t="s">
        <v>29</v>
      </c>
      <c r="B129" s="20"/>
      <c r="C129" s="20"/>
      <c r="D129" s="20"/>
    </row>
    <row r="130" spans="1:55">
      <c r="A130" s="25"/>
      <c r="B130" s="25"/>
      <c r="C130" s="25"/>
      <c r="D130" s="25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</row>
    <row r="131" spans="1:55" ht="15.75" thickBot="1">
      <c r="A131" s="20" t="s">
        <v>36</v>
      </c>
      <c r="B131" s="20"/>
      <c r="C131" s="20"/>
      <c r="D131" s="20"/>
    </row>
    <row r="132" spans="1:55" ht="15.75" thickBot="1">
      <c r="A132" s="22"/>
      <c r="B132" s="23" t="str">
        <f>B116</f>
        <v xml:space="preserve">97/98 </v>
      </c>
      <c r="C132" s="23" t="str">
        <f>C116</f>
        <v xml:space="preserve">98/99 </v>
      </c>
      <c r="D132" s="23" t="str">
        <f>D116</f>
        <v xml:space="preserve">99/00 </v>
      </c>
      <c r="E132" s="23" t="str">
        <f>E116</f>
        <v xml:space="preserve">00/01 </v>
      </c>
      <c r="F132" s="23" t="str">
        <f t="shared" ref="F132:BC132" si="14">F116</f>
        <v xml:space="preserve">01/02 </v>
      </c>
      <c r="G132" s="23" t="str">
        <f t="shared" si="14"/>
        <v xml:space="preserve">02/03 </v>
      </c>
      <c r="H132" s="23" t="str">
        <f t="shared" si="14"/>
        <v xml:space="preserve">03/04 </v>
      </c>
      <c r="I132" s="23" t="str">
        <f t="shared" si="14"/>
        <v xml:space="preserve">04/05 </v>
      </c>
      <c r="J132" s="23" t="str">
        <f t="shared" si="14"/>
        <v xml:space="preserve">05/06 </v>
      </c>
      <c r="K132" s="23" t="str">
        <f t="shared" si="14"/>
        <v xml:space="preserve">06/07 </v>
      </c>
      <c r="L132" s="23" t="str">
        <f t="shared" si="14"/>
        <v xml:space="preserve">07/08 </v>
      </c>
      <c r="M132" s="23" t="str">
        <f t="shared" si="14"/>
        <v xml:space="preserve">08/09 </v>
      </c>
      <c r="N132" s="23" t="str">
        <f t="shared" si="14"/>
        <v xml:space="preserve">09/10 </v>
      </c>
      <c r="O132" s="23" t="str">
        <f t="shared" si="14"/>
        <v xml:space="preserve">10/11 </v>
      </c>
      <c r="P132" s="23" t="str">
        <f t="shared" si="14"/>
        <v xml:space="preserve">11/12 </v>
      </c>
      <c r="Q132" s="23" t="str">
        <f t="shared" si="14"/>
        <v xml:space="preserve">12/13 </v>
      </c>
      <c r="R132" s="23" t="str">
        <f t="shared" si="14"/>
        <v xml:space="preserve">13/14 </v>
      </c>
      <c r="S132" s="23" t="str">
        <f t="shared" si="14"/>
        <v xml:space="preserve">14/15 </v>
      </c>
      <c r="T132" s="23" t="str">
        <f t="shared" si="14"/>
        <v xml:space="preserve">15/16 </v>
      </c>
      <c r="U132" s="23" t="str">
        <f t="shared" si="14"/>
        <v xml:space="preserve">16/17 </v>
      </c>
      <c r="V132" s="23" t="str">
        <f t="shared" si="14"/>
        <v xml:space="preserve">17/18 </v>
      </c>
      <c r="W132" s="23" t="str">
        <f t="shared" si="14"/>
        <v xml:space="preserve">18/19 </v>
      </c>
      <c r="X132" s="23" t="str">
        <f t="shared" si="14"/>
        <v>19/20</v>
      </c>
      <c r="Y132" s="23" t="str">
        <f t="shared" si="14"/>
        <v>20/21</v>
      </c>
      <c r="Z132" s="23" t="str">
        <f t="shared" si="14"/>
        <v xml:space="preserve">21/22 </v>
      </c>
      <c r="AA132" s="23" t="str">
        <f t="shared" si="14"/>
        <v xml:space="preserve">22/23 </v>
      </c>
      <c r="AB132" s="23" t="str">
        <f t="shared" si="14"/>
        <v xml:space="preserve">23/24 </v>
      </c>
      <c r="AC132" s="23" t="str">
        <f t="shared" si="14"/>
        <v xml:space="preserve">24/25 </v>
      </c>
      <c r="AD132" s="23" t="str">
        <f t="shared" si="14"/>
        <v>25/26</v>
      </c>
      <c r="AE132" s="23" t="str">
        <f t="shared" si="14"/>
        <v>26/27</v>
      </c>
      <c r="AF132" s="23" t="str">
        <f t="shared" si="14"/>
        <v>27/28</v>
      </c>
      <c r="AG132" s="23" t="str">
        <f t="shared" si="14"/>
        <v>28/29</v>
      </c>
      <c r="AH132" s="23" t="str">
        <f t="shared" si="14"/>
        <v>29/30</v>
      </c>
      <c r="AI132" s="23" t="str">
        <f t="shared" si="14"/>
        <v>30/31</v>
      </c>
      <c r="AJ132" s="23" t="str">
        <f t="shared" si="14"/>
        <v>31/32</v>
      </c>
      <c r="AK132" s="23" t="str">
        <f t="shared" si="14"/>
        <v>32/33</v>
      </c>
      <c r="AL132" s="23" t="str">
        <f t="shared" si="14"/>
        <v>33/34</v>
      </c>
      <c r="AM132" s="23" t="str">
        <f t="shared" si="14"/>
        <v>34/35</v>
      </c>
      <c r="AN132" s="23" t="str">
        <f t="shared" si="14"/>
        <v>35/36</v>
      </c>
      <c r="AO132" s="23" t="str">
        <f t="shared" si="14"/>
        <v>36/37</v>
      </c>
      <c r="AP132" s="23" t="str">
        <f t="shared" si="14"/>
        <v>37/38</v>
      </c>
      <c r="AQ132" s="23" t="str">
        <f t="shared" si="14"/>
        <v>38/39</v>
      </c>
      <c r="AR132" s="23" t="str">
        <f t="shared" si="14"/>
        <v>39/40</v>
      </c>
      <c r="AS132" s="23" t="str">
        <f t="shared" si="14"/>
        <v>40/41</v>
      </c>
      <c r="AT132" s="23" t="str">
        <f t="shared" si="14"/>
        <v>41/42</v>
      </c>
      <c r="AU132" s="23" t="str">
        <f t="shared" si="14"/>
        <v>42/43</v>
      </c>
      <c r="AV132" s="23" t="str">
        <f t="shared" si="14"/>
        <v>43/44</v>
      </c>
      <c r="AW132" s="23" t="str">
        <f t="shared" si="14"/>
        <v>44/45</v>
      </c>
      <c r="AX132" s="23" t="str">
        <f t="shared" si="14"/>
        <v>45/46</v>
      </c>
      <c r="AY132" s="23" t="str">
        <f t="shared" si="14"/>
        <v>46/47</v>
      </c>
      <c r="AZ132" s="23" t="str">
        <f t="shared" si="14"/>
        <v>47/48</v>
      </c>
      <c r="BA132" s="23" t="str">
        <f t="shared" si="14"/>
        <v>48/49</v>
      </c>
      <c r="BB132" s="23" t="str">
        <f t="shared" si="14"/>
        <v>49/50</v>
      </c>
      <c r="BC132" s="23" t="str">
        <f t="shared" si="14"/>
        <v>50/51</v>
      </c>
    </row>
    <row r="133" spans="1:55">
      <c r="A133" s="20" t="s">
        <v>17</v>
      </c>
      <c r="B133" s="20"/>
      <c r="C133" s="20"/>
      <c r="D133" s="20"/>
    </row>
    <row r="134" spans="1:55">
      <c r="A134" s="20" t="s">
        <v>18</v>
      </c>
      <c r="B134" s="20"/>
      <c r="C134" s="20"/>
      <c r="D134" s="20"/>
    </row>
    <row r="135" spans="1:55">
      <c r="A135" s="20" t="s">
        <v>19</v>
      </c>
      <c r="B135" s="20"/>
      <c r="C135" s="20"/>
      <c r="D135" s="20"/>
    </row>
    <row r="136" spans="1:55">
      <c r="A136" s="20" t="s">
        <v>20</v>
      </c>
      <c r="B136" s="20"/>
      <c r="C136" s="20"/>
      <c r="D136" s="20"/>
    </row>
    <row r="137" spans="1:55">
      <c r="A137" s="20" t="s">
        <v>21</v>
      </c>
      <c r="B137" s="20"/>
      <c r="C137" s="20"/>
      <c r="D137" s="20"/>
    </row>
    <row r="138" spans="1:55">
      <c r="A138" s="20" t="s">
        <v>22</v>
      </c>
      <c r="B138" s="20"/>
      <c r="C138" s="20"/>
      <c r="D138" s="20"/>
    </row>
    <row r="139" spans="1:55">
      <c r="A139" s="20" t="s">
        <v>23</v>
      </c>
      <c r="B139" s="20"/>
      <c r="C139" s="20"/>
      <c r="D139" s="20"/>
    </row>
    <row r="140" spans="1:55">
      <c r="A140" s="20" t="s">
        <v>24</v>
      </c>
      <c r="B140" s="20"/>
      <c r="C140" s="20"/>
      <c r="D140" s="20"/>
    </row>
    <row r="141" spans="1:55">
      <c r="A141" s="20" t="s">
        <v>25</v>
      </c>
      <c r="B141" s="20"/>
      <c r="C141" s="20"/>
      <c r="D141" s="20"/>
    </row>
    <row r="142" spans="1:55">
      <c r="A142" s="20" t="s">
        <v>26</v>
      </c>
      <c r="B142" s="20"/>
      <c r="C142" s="20"/>
      <c r="D142" s="20"/>
    </row>
    <row r="143" spans="1:55">
      <c r="A143" s="20" t="s">
        <v>27</v>
      </c>
      <c r="B143" s="20"/>
      <c r="C143" s="20"/>
      <c r="D143" s="20"/>
    </row>
    <row r="144" spans="1:55">
      <c r="A144" s="20" t="s">
        <v>28</v>
      </c>
      <c r="B144" s="20"/>
      <c r="C144" s="20"/>
      <c r="D144" s="20"/>
    </row>
    <row r="145" spans="1:55" ht="15.75" thickBot="1">
      <c r="A145" s="20" t="s">
        <v>29</v>
      </c>
      <c r="B145" s="20"/>
      <c r="C145" s="20"/>
      <c r="D145" s="20"/>
    </row>
    <row r="146" spans="1:55">
      <c r="A146" s="25"/>
      <c r="B146" s="25"/>
      <c r="C146" s="25"/>
      <c r="D146" s="25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</row>
    <row r="147" spans="1:55" ht="15.75" thickBot="1">
      <c r="A147" s="20" t="s">
        <v>37</v>
      </c>
      <c r="B147" s="20"/>
      <c r="C147" s="20"/>
      <c r="D147" s="20"/>
    </row>
    <row r="148" spans="1:55" ht="15.75" thickBot="1">
      <c r="A148" s="22"/>
      <c r="B148" s="23" t="str">
        <f>B132</f>
        <v xml:space="preserve">97/98 </v>
      </c>
      <c r="C148" s="23" t="str">
        <f>C132</f>
        <v xml:space="preserve">98/99 </v>
      </c>
      <c r="D148" s="23" t="str">
        <f>D132</f>
        <v xml:space="preserve">99/00 </v>
      </c>
      <c r="E148" s="23" t="str">
        <f>E132</f>
        <v xml:space="preserve">00/01 </v>
      </c>
      <c r="F148" s="23" t="str">
        <f t="shared" ref="F148:BC148" si="15">F132</f>
        <v xml:space="preserve">01/02 </v>
      </c>
      <c r="G148" s="23" t="str">
        <f t="shared" si="15"/>
        <v xml:space="preserve">02/03 </v>
      </c>
      <c r="H148" s="23" t="str">
        <f t="shared" si="15"/>
        <v xml:space="preserve">03/04 </v>
      </c>
      <c r="I148" s="23" t="str">
        <f t="shared" si="15"/>
        <v xml:space="preserve">04/05 </v>
      </c>
      <c r="J148" s="23" t="str">
        <f t="shared" si="15"/>
        <v xml:space="preserve">05/06 </v>
      </c>
      <c r="K148" s="23" t="str">
        <f t="shared" si="15"/>
        <v xml:space="preserve">06/07 </v>
      </c>
      <c r="L148" s="23" t="str">
        <f t="shared" si="15"/>
        <v xml:space="preserve">07/08 </v>
      </c>
      <c r="M148" s="23" t="str">
        <f t="shared" si="15"/>
        <v xml:space="preserve">08/09 </v>
      </c>
      <c r="N148" s="23" t="str">
        <f t="shared" si="15"/>
        <v xml:space="preserve">09/10 </v>
      </c>
      <c r="O148" s="23" t="str">
        <f t="shared" si="15"/>
        <v xml:space="preserve">10/11 </v>
      </c>
      <c r="P148" s="23" t="str">
        <f t="shared" si="15"/>
        <v xml:space="preserve">11/12 </v>
      </c>
      <c r="Q148" s="23" t="str">
        <f t="shared" si="15"/>
        <v xml:space="preserve">12/13 </v>
      </c>
      <c r="R148" s="23" t="str">
        <f t="shared" si="15"/>
        <v xml:space="preserve">13/14 </v>
      </c>
      <c r="S148" s="23" t="str">
        <f t="shared" si="15"/>
        <v xml:space="preserve">14/15 </v>
      </c>
      <c r="T148" s="23" t="str">
        <f t="shared" si="15"/>
        <v xml:space="preserve">15/16 </v>
      </c>
      <c r="U148" s="23" t="str">
        <f t="shared" si="15"/>
        <v xml:space="preserve">16/17 </v>
      </c>
      <c r="V148" s="23" t="str">
        <f t="shared" si="15"/>
        <v xml:space="preserve">17/18 </v>
      </c>
      <c r="W148" s="23" t="str">
        <f t="shared" si="15"/>
        <v xml:space="preserve">18/19 </v>
      </c>
      <c r="X148" s="23" t="str">
        <f t="shared" si="15"/>
        <v>19/20</v>
      </c>
      <c r="Y148" s="23" t="str">
        <f t="shared" si="15"/>
        <v>20/21</v>
      </c>
      <c r="Z148" s="23" t="str">
        <f t="shared" si="15"/>
        <v xml:space="preserve">21/22 </v>
      </c>
      <c r="AA148" s="23" t="str">
        <f t="shared" si="15"/>
        <v xml:space="preserve">22/23 </v>
      </c>
      <c r="AB148" s="23" t="str">
        <f t="shared" si="15"/>
        <v xml:space="preserve">23/24 </v>
      </c>
      <c r="AC148" s="23" t="str">
        <f t="shared" si="15"/>
        <v xml:space="preserve">24/25 </v>
      </c>
      <c r="AD148" s="23" t="str">
        <f t="shared" si="15"/>
        <v>25/26</v>
      </c>
      <c r="AE148" s="23" t="str">
        <f t="shared" si="15"/>
        <v>26/27</v>
      </c>
      <c r="AF148" s="23" t="str">
        <f t="shared" si="15"/>
        <v>27/28</v>
      </c>
      <c r="AG148" s="23" t="str">
        <f t="shared" si="15"/>
        <v>28/29</v>
      </c>
      <c r="AH148" s="23" t="str">
        <f t="shared" si="15"/>
        <v>29/30</v>
      </c>
      <c r="AI148" s="23" t="str">
        <f t="shared" si="15"/>
        <v>30/31</v>
      </c>
      <c r="AJ148" s="23" t="str">
        <f t="shared" si="15"/>
        <v>31/32</v>
      </c>
      <c r="AK148" s="23" t="str">
        <f t="shared" si="15"/>
        <v>32/33</v>
      </c>
      <c r="AL148" s="23" t="str">
        <f t="shared" si="15"/>
        <v>33/34</v>
      </c>
      <c r="AM148" s="23" t="str">
        <f t="shared" si="15"/>
        <v>34/35</v>
      </c>
      <c r="AN148" s="23" t="str">
        <f t="shared" si="15"/>
        <v>35/36</v>
      </c>
      <c r="AO148" s="23" t="str">
        <f t="shared" si="15"/>
        <v>36/37</v>
      </c>
      <c r="AP148" s="23" t="str">
        <f t="shared" si="15"/>
        <v>37/38</v>
      </c>
      <c r="AQ148" s="23" t="str">
        <f t="shared" si="15"/>
        <v>38/39</v>
      </c>
      <c r="AR148" s="23" t="str">
        <f t="shared" si="15"/>
        <v>39/40</v>
      </c>
      <c r="AS148" s="23" t="str">
        <f t="shared" si="15"/>
        <v>40/41</v>
      </c>
      <c r="AT148" s="23" t="str">
        <f t="shared" si="15"/>
        <v>41/42</v>
      </c>
      <c r="AU148" s="23" t="str">
        <f t="shared" si="15"/>
        <v>42/43</v>
      </c>
      <c r="AV148" s="23" t="str">
        <f t="shared" si="15"/>
        <v>43/44</v>
      </c>
      <c r="AW148" s="23" t="str">
        <f t="shared" si="15"/>
        <v>44/45</v>
      </c>
      <c r="AX148" s="23" t="str">
        <f t="shared" si="15"/>
        <v>45/46</v>
      </c>
      <c r="AY148" s="23" t="str">
        <f t="shared" si="15"/>
        <v>46/47</v>
      </c>
      <c r="AZ148" s="23" t="str">
        <f t="shared" si="15"/>
        <v>47/48</v>
      </c>
      <c r="BA148" s="23" t="str">
        <f t="shared" si="15"/>
        <v>48/49</v>
      </c>
      <c r="BB148" s="23" t="str">
        <f t="shared" si="15"/>
        <v>49/50</v>
      </c>
      <c r="BC148" s="23" t="str">
        <f t="shared" si="15"/>
        <v>50/51</v>
      </c>
    </row>
    <row r="149" spans="1:55">
      <c r="A149" s="20" t="s">
        <v>17</v>
      </c>
      <c r="B149" s="20"/>
      <c r="C149" s="20"/>
      <c r="D149" s="20"/>
    </row>
    <row r="150" spans="1:55">
      <c r="A150" s="20" t="s">
        <v>18</v>
      </c>
      <c r="B150" s="20"/>
      <c r="C150" s="20"/>
      <c r="D150" s="20"/>
    </row>
    <row r="151" spans="1:55">
      <c r="A151" s="20" t="s">
        <v>19</v>
      </c>
      <c r="B151" s="20"/>
      <c r="C151" s="20"/>
      <c r="D151" s="20"/>
    </row>
    <row r="152" spans="1:55">
      <c r="A152" s="20" t="s">
        <v>20</v>
      </c>
      <c r="B152" s="20"/>
      <c r="C152" s="20"/>
      <c r="D152" s="20"/>
    </row>
    <row r="153" spans="1:55">
      <c r="A153" s="20" t="s">
        <v>21</v>
      </c>
      <c r="B153" s="20"/>
      <c r="C153" s="20"/>
      <c r="D153" s="20"/>
    </row>
    <row r="154" spans="1:55">
      <c r="A154" s="20" t="s">
        <v>22</v>
      </c>
      <c r="B154" s="20"/>
      <c r="C154" s="20"/>
      <c r="D154" s="20"/>
    </row>
    <row r="155" spans="1:55">
      <c r="A155" s="20" t="s">
        <v>23</v>
      </c>
      <c r="B155" s="20"/>
      <c r="C155" s="20"/>
      <c r="D155" s="20"/>
    </row>
    <row r="156" spans="1:55">
      <c r="A156" s="20" t="s">
        <v>24</v>
      </c>
      <c r="B156" s="20"/>
      <c r="C156" s="20"/>
      <c r="D156" s="20"/>
    </row>
    <row r="157" spans="1:55">
      <c r="A157" s="20" t="s">
        <v>25</v>
      </c>
      <c r="B157" s="20"/>
      <c r="C157" s="20"/>
      <c r="D157" s="20"/>
    </row>
    <row r="158" spans="1:55">
      <c r="A158" s="20" t="s">
        <v>26</v>
      </c>
      <c r="B158" s="20"/>
      <c r="C158" s="20"/>
      <c r="D158" s="20"/>
    </row>
    <row r="159" spans="1:55">
      <c r="A159" s="20" t="s">
        <v>27</v>
      </c>
      <c r="B159" s="20"/>
      <c r="C159" s="20"/>
      <c r="D159" s="20"/>
    </row>
    <row r="160" spans="1:55" ht="15.75" thickBot="1">
      <c r="A160" s="20" t="s">
        <v>28</v>
      </c>
      <c r="B160" s="20"/>
      <c r="C160" s="20"/>
      <c r="D160" s="20"/>
    </row>
    <row r="161" spans="1:55">
      <c r="A161" s="25"/>
      <c r="B161" s="25"/>
      <c r="C161" s="25"/>
      <c r="D161" s="25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</row>
    <row r="162" spans="1:55" ht="15.75" thickBot="1">
      <c r="A162" s="20" t="s">
        <v>38</v>
      </c>
      <c r="B162" s="20"/>
      <c r="C162" s="20"/>
      <c r="D162" s="20"/>
    </row>
    <row r="163" spans="1:55" ht="15.75" thickBot="1">
      <c r="A163" s="22"/>
      <c r="B163" s="23" t="str">
        <f>B148</f>
        <v xml:space="preserve">97/98 </v>
      </c>
      <c r="C163" s="23" t="str">
        <f>C148</f>
        <v xml:space="preserve">98/99 </v>
      </c>
      <c r="D163" s="23" t="str">
        <f>D148</f>
        <v xml:space="preserve">99/00 </v>
      </c>
      <c r="E163" s="23" t="str">
        <f>E148</f>
        <v xml:space="preserve">00/01 </v>
      </c>
      <c r="F163" s="23" t="str">
        <f t="shared" ref="F163:BC163" si="16">F148</f>
        <v xml:space="preserve">01/02 </v>
      </c>
      <c r="G163" s="23" t="str">
        <f t="shared" si="16"/>
        <v xml:space="preserve">02/03 </v>
      </c>
      <c r="H163" s="23" t="str">
        <f t="shared" si="16"/>
        <v xml:space="preserve">03/04 </v>
      </c>
      <c r="I163" s="23" t="str">
        <f t="shared" si="16"/>
        <v xml:space="preserve">04/05 </v>
      </c>
      <c r="J163" s="23" t="str">
        <f t="shared" si="16"/>
        <v xml:space="preserve">05/06 </v>
      </c>
      <c r="K163" s="23" t="str">
        <f t="shared" si="16"/>
        <v xml:space="preserve">06/07 </v>
      </c>
      <c r="L163" s="23" t="str">
        <f t="shared" si="16"/>
        <v xml:space="preserve">07/08 </v>
      </c>
      <c r="M163" s="23" t="str">
        <f t="shared" si="16"/>
        <v xml:space="preserve">08/09 </v>
      </c>
      <c r="N163" s="23" t="str">
        <f t="shared" si="16"/>
        <v xml:space="preserve">09/10 </v>
      </c>
      <c r="O163" s="23" t="str">
        <f t="shared" si="16"/>
        <v xml:space="preserve">10/11 </v>
      </c>
      <c r="P163" s="23" t="str">
        <f t="shared" si="16"/>
        <v xml:space="preserve">11/12 </v>
      </c>
      <c r="Q163" s="23" t="str">
        <f t="shared" si="16"/>
        <v xml:space="preserve">12/13 </v>
      </c>
      <c r="R163" s="23" t="str">
        <f t="shared" si="16"/>
        <v xml:space="preserve">13/14 </v>
      </c>
      <c r="S163" s="23" t="str">
        <f t="shared" si="16"/>
        <v xml:space="preserve">14/15 </v>
      </c>
      <c r="T163" s="23" t="str">
        <f t="shared" si="16"/>
        <v xml:space="preserve">15/16 </v>
      </c>
      <c r="U163" s="23" t="str">
        <f t="shared" si="16"/>
        <v xml:space="preserve">16/17 </v>
      </c>
      <c r="V163" s="23" t="str">
        <f t="shared" si="16"/>
        <v xml:space="preserve">17/18 </v>
      </c>
      <c r="W163" s="23" t="str">
        <f t="shared" si="16"/>
        <v xml:space="preserve">18/19 </v>
      </c>
      <c r="X163" s="23" t="str">
        <f t="shared" si="16"/>
        <v>19/20</v>
      </c>
      <c r="Y163" s="23" t="str">
        <f t="shared" si="16"/>
        <v>20/21</v>
      </c>
      <c r="Z163" s="23" t="str">
        <f t="shared" si="16"/>
        <v xml:space="preserve">21/22 </v>
      </c>
      <c r="AA163" s="23" t="str">
        <f t="shared" si="16"/>
        <v xml:space="preserve">22/23 </v>
      </c>
      <c r="AB163" s="23" t="str">
        <f t="shared" si="16"/>
        <v xml:space="preserve">23/24 </v>
      </c>
      <c r="AC163" s="23" t="str">
        <f t="shared" si="16"/>
        <v xml:space="preserve">24/25 </v>
      </c>
      <c r="AD163" s="23" t="str">
        <f t="shared" si="16"/>
        <v>25/26</v>
      </c>
      <c r="AE163" s="23" t="str">
        <f t="shared" si="16"/>
        <v>26/27</v>
      </c>
      <c r="AF163" s="23" t="str">
        <f t="shared" si="16"/>
        <v>27/28</v>
      </c>
      <c r="AG163" s="23" t="str">
        <f t="shared" si="16"/>
        <v>28/29</v>
      </c>
      <c r="AH163" s="23" t="str">
        <f t="shared" si="16"/>
        <v>29/30</v>
      </c>
      <c r="AI163" s="23" t="str">
        <f t="shared" si="16"/>
        <v>30/31</v>
      </c>
      <c r="AJ163" s="23" t="str">
        <f t="shared" si="16"/>
        <v>31/32</v>
      </c>
      <c r="AK163" s="23" t="str">
        <f t="shared" si="16"/>
        <v>32/33</v>
      </c>
      <c r="AL163" s="23" t="str">
        <f t="shared" si="16"/>
        <v>33/34</v>
      </c>
      <c r="AM163" s="23" t="str">
        <f t="shared" si="16"/>
        <v>34/35</v>
      </c>
      <c r="AN163" s="23" t="str">
        <f t="shared" si="16"/>
        <v>35/36</v>
      </c>
      <c r="AO163" s="23" t="str">
        <f t="shared" si="16"/>
        <v>36/37</v>
      </c>
      <c r="AP163" s="23" t="str">
        <f t="shared" si="16"/>
        <v>37/38</v>
      </c>
      <c r="AQ163" s="23" t="str">
        <f t="shared" si="16"/>
        <v>38/39</v>
      </c>
      <c r="AR163" s="23" t="str">
        <f t="shared" si="16"/>
        <v>39/40</v>
      </c>
      <c r="AS163" s="23" t="str">
        <f t="shared" si="16"/>
        <v>40/41</v>
      </c>
      <c r="AT163" s="23" t="str">
        <f t="shared" si="16"/>
        <v>41/42</v>
      </c>
      <c r="AU163" s="23" t="str">
        <f t="shared" si="16"/>
        <v>42/43</v>
      </c>
      <c r="AV163" s="23" t="str">
        <f t="shared" si="16"/>
        <v>43/44</v>
      </c>
      <c r="AW163" s="23" t="str">
        <f t="shared" si="16"/>
        <v>44/45</v>
      </c>
      <c r="AX163" s="23" t="str">
        <f t="shared" si="16"/>
        <v>45/46</v>
      </c>
      <c r="AY163" s="23" t="str">
        <f t="shared" si="16"/>
        <v>46/47</v>
      </c>
      <c r="AZ163" s="23" t="str">
        <f t="shared" si="16"/>
        <v>47/48</v>
      </c>
      <c r="BA163" s="23" t="str">
        <f t="shared" si="16"/>
        <v>48/49</v>
      </c>
      <c r="BB163" s="23" t="str">
        <f t="shared" si="16"/>
        <v>49/50</v>
      </c>
      <c r="BC163" s="23" t="str">
        <f t="shared" si="16"/>
        <v>50/51</v>
      </c>
    </row>
    <row r="164" spans="1:55">
      <c r="A164" s="20" t="s">
        <v>17</v>
      </c>
      <c r="B164" s="20"/>
      <c r="C164" s="20"/>
      <c r="D164" s="20"/>
    </row>
    <row r="165" spans="1:55">
      <c r="A165" s="20" t="s">
        <v>18</v>
      </c>
      <c r="B165" s="20"/>
      <c r="C165" s="20"/>
      <c r="D165" s="20"/>
    </row>
    <row r="166" spans="1:55">
      <c r="A166" s="20" t="s">
        <v>19</v>
      </c>
      <c r="B166" s="20"/>
      <c r="C166" s="20"/>
      <c r="D166" s="20"/>
    </row>
    <row r="167" spans="1:55">
      <c r="A167" s="20" t="s">
        <v>20</v>
      </c>
      <c r="B167" s="20"/>
      <c r="C167" s="20"/>
      <c r="D167" s="20"/>
    </row>
    <row r="168" spans="1:55">
      <c r="A168" s="20" t="s">
        <v>21</v>
      </c>
      <c r="B168" s="20"/>
      <c r="C168" s="20"/>
      <c r="D168" s="20"/>
    </row>
    <row r="169" spans="1:55">
      <c r="A169" s="20" t="s">
        <v>22</v>
      </c>
      <c r="B169" s="20"/>
      <c r="C169" s="20"/>
      <c r="D169" s="20"/>
    </row>
    <row r="170" spans="1:55">
      <c r="A170" s="20" t="s">
        <v>23</v>
      </c>
      <c r="B170" s="20"/>
      <c r="C170" s="20"/>
      <c r="D170" s="20"/>
    </row>
    <row r="171" spans="1:55">
      <c r="A171" s="20" t="s">
        <v>24</v>
      </c>
      <c r="B171" s="20"/>
      <c r="C171" s="20"/>
      <c r="D171" s="20"/>
    </row>
    <row r="172" spans="1:55">
      <c r="A172" s="20" t="s">
        <v>25</v>
      </c>
      <c r="B172" s="20"/>
      <c r="C172" s="20"/>
      <c r="D172" s="20"/>
    </row>
    <row r="173" spans="1:55">
      <c r="A173" s="20" t="s">
        <v>26</v>
      </c>
      <c r="B173" s="20"/>
      <c r="C173" s="20"/>
      <c r="D173" s="20"/>
    </row>
    <row r="174" spans="1:55">
      <c r="A174" s="20" t="s">
        <v>27</v>
      </c>
      <c r="B174" s="20"/>
      <c r="C174" s="20"/>
      <c r="D174" s="20"/>
    </row>
    <row r="175" spans="1:55">
      <c r="A175" s="20" t="s">
        <v>28</v>
      </c>
      <c r="B175" s="20"/>
      <c r="C175" s="20"/>
      <c r="D175" s="20"/>
    </row>
    <row r="176" spans="1:55" ht="15.75" thickBot="1">
      <c r="A176" s="20" t="s">
        <v>39</v>
      </c>
      <c r="B176" s="20"/>
      <c r="C176" s="20"/>
      <c r="D176" s="20"/>
    </row>
    <row r="177" spans="1:55">
      <c r="A177" s="25"/>
      <c r="B177" s="25"/>
      <c r="C177" s="25"/>
      <c r="D177" s="25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</row>
    <row r="178" spans="1:55" ht="15.75" thickBot="1">
      <c r="A178" s="20" t="s">
        <v>40</v>
      </c>
      <c r="B178" s="20"/>
      <c r="C178" s="20"/>
      <c r="D178" s="20"/>
    </row>
    <row r="179" spans="1:55" ht="15.75" thickBot="1">
      <c r="A179" s="22"/>
      <c r="B179" s="23" t="str">
        <f>B163</f>
        <v xml:space="preserve">97/98 </v>
      </c>
      <c r="C179" s="23" t="str">
        <f>C163</f>
        <v xml:space="preserve">98/99 </v>
      </c>
      <c r="D179" s="23" t="str">
        <f>D163</f>
        <v xml:space="preserve">99/00 </v>
      </c>
      <c r="E179" s="23" t="str">
        <f>E163</f>
        <v xml:space="preserve">00/01 </v>
      </c>
      <c r="F179" s="23" t="str">
        <f t="shared" ref="F179:BC179" si="17">F163</f>
        <v xml:space="preserve">01/02 </v>
      </c>
      <c r="G179" s="23" t="str">
        <f t="shared" si="17"/>
        <v xml:space="preserve">02/03 </v>
      </c>
      <c r="H179" s="23" t="str">
        <f t="shared" si="17"/>
        <v xml:space="preserve">03/04 </v>
      </c>
      <c r="I179" s="23" t="str">
        <f t="shared" si="17"/>
        <v xml:space="preserve">04/05 </v>
      </c>
      <c r="J179" s="23" t="str">
        <f t="shared" si="17"/>
        <v xml:space="preserve">05/06 </v>
      </c>
      <c r="K179" s="23" t="str">
        <f t="shared" si="17"/>
        <v xml:space="preserve">06/07 </v>
      </c>
      <c r="L179" s="23" t="str">
        <f t="shared" si="17"/>
        <v xml:space="preserve">07/08 </v>
      </c>
      <c r="M179" s="23" t="str">
        <f t="shared" si="17"/>
        <v xml:space="preserve">08/09 </v>
      </c>
      <c r="N179" s="23" t="str">
        <f t="shared" si="17"/>
        <v xml:space="preserve">09/10 </v>
      </c>
      <c r="O179" s="23" t="str">
        <f t="shared" si="17"/>
        <v xml:space="preserve">10/11 </v>
      </c>
      <c r="P179" s="23" t="str">
        <f t="shared" si="17"/>
        <v xml:space="preserve">11/12 </v>
      </c>
      <c r="Q179" s="23" t="str">
        <f t="shared" si="17"/>
        <v xml:space="preserve">12/13 </v>
      </c>
      <c r="R179" s="23" t="str">
        <f t="shared" si="17"/>
        <v xml:space="preserve">13/14 </v>
      </c>
      <c r="S179" s="23" t="str">
        <f t="shared" si="17"/>
        <v xml:space="preserve">14/15 </v>
      </c>
      <c r="T179" s="23" t="str">
        <f t="shared" si="17"/>
        <v xml:space="preserve">15/16 </v>
      </c>
      <c r="U179" s="23" t="str">
        <f t="shared" si="17"/>
        <v xml:space="preserve">16/17 </v>
      </c>
      <c r="V179" s="23" t="str">
        <f t="shared" si="17"/>
        <v xml:space="preserve">17/18 </v>
      </c>
      <c r="W179" s="23" t="str">
        <f t="shared" si="17"/>
        <v xml:space="preserve">18/19 </v>
      </c>
      <c r="X179" s="23" t="str">
        <f t="shared" si="17"/>
        <v>19/20</v>
      </c>
      <c r="Y179" s="23" t="str">
        <f t="shared" si="17"/>
        <v>20/21</v>
      </c>
      <c r="Z179" s="23" t="str">
        <f t="shared" si="17"/>
        <v xml:space="preserve">21/22 </v>
      </c>
      <c r="AA179" s="23" t="str">
        <f t="shared" si="17"/>
        <v xml:space="preserve">22/23 </v>
      </c>
      <c r="AB179" s="23" t="str">
        <f t="shared" si="17"/>
        <v xml:space="preserve">23/24 </v>
      </c>
      <c r="AC179" s="23" t="str">
        <f t="shared" si="17"/>
        <v xml:space="preserve">24/25 </v>
      </c>
      <c r="AD179" s="23" t="str">
        <f t="shared" si="17"/>
        <v>25/26</v>
      </c>
      <c r="AE179" s="23" t="str">
        <f t="shared" si="17"/>
        <v>26/27</v>
      </c>
      <c r="AF179" s="23" t="str">
        <f t="shared" si="17"/>
        <v>27/28</v>
      </c>
      <c r="AG179" s="23" t="str">
        <f t="shared" si="17"/>
        <v>28/29</v>
      </c>
      <c r="AH179" s="23" t="str">
        <f t="shared" si="17"/>
        <v>29/30</v>
      </c>
      <c r="AI179" s="23" t="str">
        <f t="shared" si="17"/>
        <v>30/31</v>
      </c>
      <c r="AJ179" s="23" t="str">
        <f t="shared" si="17"/>
        <v>31/32</v>
      </c>
      <c r="AK179" s="23" t="str">
        <f t="shared" si="17"/>
        <v>32/33</v>
      </c>
      <c r="AL179" s="23" t="str">
        <f t="shared" si="17"/>
        <v>33/34</v>
      </c>
      <c r="AM179" s="23" t="str">
        <f t="shared" si="17"/>
        <v>34/35</v>
      </c>
      <c r="AN179" s="23" t="str">
        <f t="shared" si="17"/>
        <v>35/36</v>
      </c>
      <c r="AO179" s="23" t="str">
        <f t="shared" si="17"/>
        <v>36/37</v>
      </c>
      <c r="AP179" s="23" t="str">
        <f t="shared" si="17"/>
        <v>37/38</v>
      </c>
      <c r="AQ179" s="23" t="str">
        <f t="shared" si="17"/>
        <v>38/39</v>
      </c>
      <c r="AR179" s="23" t="str">
        <f t="shared" si="17"/>
        <v>39/40</v>
      </c>
      <c r="AS179" s="23" t="str">
        <f t="shared" si="17"/>
        <v>40/41</v>
      </c>
      <c r="AT179" s="23" t="str">
        <f t="shared" si="17"/>
        <v>41/42</v>
      </c>
      <c r="AU179" s="23" t="str">
        <f t="shared" si="17"/>
        <v>42/43</v>
      </c>
      <c r="AV179" s="23" t="str">
        <f t="shared" si="17"/>
        <v>43/44</v>
      </c>
      <c r="AW179" s="23" t="str">
        <f t="shared" si="17"/>
        <v>44/45</v>
      </c>
      <c r="AX179" s="23" t="str">
        <f t="shared" si="17"/>
        <v>45/46</v>
      </c>
      <c r="AY179" s="23" t="str">
        <f t="shared" si="17"/>
        <v>46/47</v>
      </c>
      <c r="AZ179" s="23" t="str">
        <f t="shared" si="17"/>
        <v>47/48</v>
      </c>
      <c r="BA179" s="23" t="str">
        <f t="shared" si="17"/>
        <v>48/49</v>
      </c>
      <c r="BB179" s="23" t="str">
        <f t="shared" si="17"/>
        <v>49/50</v>
      </c>
      <c r="BC179" s="23" t="str">
        <f t="shared" si="17"/>
        <v>50/51</v>
      </c>
    </row>
    <row r="180" spans="1:55">
      <c r="A180" s="20" t="s">
        <v>17</v>
      </c>
      <c r="B180" s="20"/>
      <c r="C180" s="20"/>
      <c r="D180" s="20"/>
    </row>
    <row r="181" spans="1:55">
      <c r="A181" s="20" t="s">
        <v>18</v>
      </c>
      <c r="B181" s="20"/>
      <c r="C181" s="20"/>
      <c r="D181" s="20"/>
    </row>
    <row r="182" spans="1:55">
      <c r="A182" s="20" t="s">
        <v>19</v>
      </c>
      <c r="B182" s="20"/>
      <c r="C182" s="20"/>
      <c r="D182" s="20"/>
    </row>
    <row r="183" spans="1:55">
      <c r="A183" s="20" t="s">
        <v>20</v>
      </c>
      <c r="B183" s="20"/>
      <c r="C183" s="20"/>
      <c r="D183" s="20"/>
    </row>
    <row r="184" spans="1:55">
      <c r="A184" s="20" t="s">
        <v>21</v>
      </c>
      <c r="B184" s="20"/>
      <c r="C184" s="20"/>
      <c r="D184" s="20"/>
    </row>
    <row r="185" spans="1:55">
      <c r="A185" s="20" t="s">
        <v>22</v>
      </c>
      <c r="B185" s="20"/>
      <c r="C185" s="20"/>
      <c r="D185" s="20"/>
    </row>
    <row r="186" spans="1:55">
      <c r="A186" s="20" t="s">
        <v>23</v>
      </c>
      <c r="B186" s="20"/>
      <c r="C186" s="20"/>
      <c r="D186" s="20"/>
    </row>
    <row r="187" spans="1:55">
      <c r="A187" s="20" t="s">
        <v>24</v>
      </c>
      <c r="B187" s="20"/>
      <c r="C187" s="20"/>
      <c r="D187" s="20"/>
    </row>
    <row r="188" spans="1:55">
      <c r="A188" s="20" t="s">
        <v>25</v>
      </c>
      <c r="B188" s="20"/>
      <c r="C188" s="20"/>
      <c r="D188" s="20"/>
    </row>
    <row r="189" spans="1:55">
      <c r="A189" s="20" t="s">
        <v>26</v>
      </c>
      <c r="B189" s="20"/>
      <c r="C189" s="20"/>
      <c r="D189" s="20"/>
    </row>
    <row r="190" spans="1:55">
      <c r="A190" s="20" t="s">
        <v>27</v>
      </c>
      <c r="B190" s="20"/>
      <c r="C190" s="20"/>
      <c r="D190" s="20"/>
    </row>
    <row r="191" spans="1:55">
      <c r="A191" s="20" t="s">
        <v>28</v>
      </c>
      <c r="B191" s="20"/>
      <c r="C191" s="20"/>
      <c r="D191" s="20"/>
    </row>
    <row r="192" spans="1:55" ht="15.75" thickBot="1">
      <c r="A192" s="20" t="s">
        <v>29</v>
      </c>
      <c r="B192" s="27" t="e">
        <f>(('[3]Canada Inedible Tallow'!G$222*3)+('[3]Canada Inedible Tallow'!H$222*9))/12</f>
        <v>#REF!</v>
      </c>
      <c r="C192" s="27" t="e">
        <f>(('[3]Canada Inedible Tallow'!H$222*3)+('[3]Canada Inedible Tallow'!I$222*9))/12</f>
        <v>#REF!</v>
      </c>
      <c r="D192" s="27" t="e">
        <f>(('[3]Canada Inedible Tallow'!I$222*3)+('[3]Canada Inedible Tallow'!J$222*9))/12</f>
        <v>#REF!</v>
      </c>
      <c r="E192" s="27" t="e">
        <f>(('[3]Canada Inedible Tallow'!J$222*3)+('[3]Canada Inedible Tallow'!K$222*9))/12</f>
        <v>#REF!</v>
      </c>
      <c r="F192" s="27" t="e">
        <f>(('[3]Canada Inedible Tallow'!K$222*3)+('[3]Canada Inedible Tallow'!L$222*9))/12</f>
        <v>#REF!</v>
      </c>
      <c r="G192" s="27">
        <f>(('[3]Canada Inedible Tallow'!L$222*3)+('[3]Canada Inedible Tallow'!M$222*9))/12</f>
        <v>6.386798199248453</v>
      </c>
      <c r="H192" s="27">
        <f>(('[3]Canada Inedible Tallow'!M$222*3)+('[3]Canada Inedible Tallow'!N$222*9))/12</f>
        <v>6.5481711944618368</v>
      </c>
      <c r="I192" s="27">
        <f>(('[3]Canada Inedible Tallow'!N$222*3)+('[3]Canada Inedible Tallow'!O$222*9))/12</f>
        <v>6.3983774832743308</v>
      </c>
      <c r="J192" s="27">
        <f>(('[3]Canada Inedible Tallow'!O$222*3)+('[3]Canada Inedible Tallow'!P$222*9))/12</f>
        <v>6.4323463461767529</v>
      </c>
      <c r="K192" s="27">
        <f>(('[3]Canada Inedible Tallow'!P$222*3)+('[3]Canada Inedible Tallow'!Q$222*9))/12</f>
        <v>6.5782488883960006</v>
      </c>
      <c r="L192" s="27">
        <f>(('[3]Canada Inedible Tallow'!Q$222*3)+('[3]Canada Inedible Tallow'!R$222*9))/12</f>
        <v>7.1212901664998123</v>
      </c>
      <c r="M192" s="27">
        <f>(('[3]Canada Inedible Tallow'!R$222*3)+('[3]Canada Inedible Tallow'!S$222*9))/12</f>
        <v>7.3696235095965941</v>
      </c>
      <c r="N192" s="27">
        <f>(('[3]Canada Inedible Tallow'!S$222*3)+('[3]Canada Inedible Tallow'!T$222*9))/12</f>
        <v>7.3548145574695498</v>
      </c>
      <c r="O192" s="27">
        <f>(('[3]Canada Inedible Tallow'!T$222*3)+('[3]Canada Inedible Tallow'!U$222*9))/12</f>
        <v>7.0677497644248106</v>
      </c>
      <c r="P192" s="27">
        <f>(('[3]Canada Inedible Tallow'!U$222*3)+('[3]Canada Inedible Tallow'!V$222*9))/12</f>
        <v>7.154847298018403</v>
      </c>
      <c r="Q192" s="27">
        <f>(('[3]Canada Inedible Tallow'!V$222*3)+('[3]Canada Inedible Tallow'!W$222*9))/12</f>
        <v>7.9934743644744373</v>
      </c>
      <c r="R192" s="27">
        <f>(('[3]Canada Inedible Tallow'!W$222*3)+('[3]Canada Inedible Tallow'!X$222*9))/12</f>
        <v>8.9575754295992525</v>
      </c>
      <c r="S192" s="27">
        <f>(('[3]Canada Inedible Tallow'!X$222*3)+('[3]Canada Inedible Tallow'!Y$222*9))/12</f>
        <v>7.8072222568884877</v>
      </c>
      <c r="T192" s="27">
        <f>(('[3]Canada Inedible Tallow'!Y$222*3)+('[3]Canada Inedible Tallow'!Z$222*9))/12</f>
        <v>7.0080992204022294</v>
      </c>
      <c r="U192" s="27">
        <f>(('[3]Canada Inedible Tallow'!Z$222*3)+('[3]Canada Inedible Tallow'!AA$222*9))/12</f>
        <v>7.7570945824408684</v>
      </c>
      <c r="V192" s="27">
        <f>(('[3]Canada Inedible Tallow'!AA$222*3)+('[3]Canada Inedible Tallow'!AB$222*9))/12</f>
        <v>7.8522634148708397</v>
      </c>
      <c r="W192" s="27">
        <f>(('[3]Canada Inedible Tallow'!AB$222*3)+('[3]Canada Inedible Tallow'!AC$222*9))/12</f>
        <v>8.8138703522351012</v>
      </c>
      <c r="X192" s="27">
        <f>(('[3]Canada Inedible Tallow'!AC$222*3)+('[3]Canada Inedible Tallow'!AD$222*9))/12</f>
        <v>8.8249310539000501</v>
      </c>
      <c r="Y192" s="27">
        <f>(('[3]Canada Inedible Tallow'!AD$222*3)+('[3]Canada Inedible Tallow'!AE$222*9))/12</f>
        <v>9.0638591108087123</v>
      </c>
      <c r="Z192" s="28">
        <f>(('[3]Canada Inedible Tallow'!AE$222*3)+('[3]Canada Inedible Tallow'!AF$222*9))/12</f>
        <v>11.01417474968207</v>
      </c>
      <c r="AA192" s="28">
        <f>(('[3]Canada Inedible Tallow'!AF$222*3)+('[3]Canada Inedible Tallow'!AG$222*9))/12</f>
        <v>12.233720904403434</v>
      </c>
      <c r="AB192" s="28">
        <f>(('[3]Canada Inedible Tallow'!AG$222*3)+('[3]Canada Inedible Tallow'!AH$222*9))/12</f>
        <v>11.113771730394019</v>
      </c>
      <c r="AC192" s="28">
        <f>(('[3]Canada Inedible Tallow'!AH$222*3)+('[3]Canada Inedible Tallow'!AI$222*9))/12</f>
        <v>11.940873410446287</v>
      </c>
      <c r="AD192" s="28">
        <f>(('[3]Canada Inedible Tallow'!AI$222*3)+('[3]Canada Inedible Tallow'!AJ$222*9))/12</f>
        <v>17.379319227813614</v>
      </c>
      <c r="AE192" s="28">
        <f>(('[3]Canada Inedible Tallow'!AJ$222*3)+('[3]Canada Inedible Tallow'!AK$222*9))/12</f>
        <v>15.819372451489331</v>
      </c>
      <c r="AF192" s="28">
        <f>(('[3]Canada Inedible Tallow'!AK$222*3)+('[3]Canada Inedible Tallow'!AL$222*9))/12</f>
        <v>13.460370414822037</v>
      </c>
      <c r="AG192" s="28">
        <f>(('[3]Canada Inedible Tallow'!AL$222*3)+('[3]Canada Inedible Tallow'!AM$222*9))/12</f>
        <v>11.931901544861441</v>
      </c>
      <c r="AH192" s="28">
        <f>(('[3]Canada Inedible Tallow'!AM$222*3)+('[3]Canada Inedible Tallow'!AN$222*9))/12</f>
        <v>12.785889334674025</v>
      </c>
      <c r="AI192" s="28">
        <f>(('[3]Canada Inedible Tallow'!AN$222*3)+('[3]Canada Inedible Tallow'!AO$222*9))/12</f>
        <v>42.370907359103292</v>
      </c>
      <c r="AJ192" s="28">
        <f>(('[3]Canada Inedible Tallow'!AO$222*3)+('[3]Canada Inedible Tallow'!AP$222*9))/12</f>
        <v>46.675382995598476</v>
      </c>
      <c r="AK192" s="28">
        <f>(('[3]Canada Inedible Tallow'!AP$222*3)+('[3]Canada Inedible Tallow'!AQ$222*9))/12</f>
        <v>45.185766608049441</v>
      </c>
      <c r="AL192" s="28">
        <f>(('[3]Canada Inedible Tallow'!AQ$222*3)+('[3]Canada Inedible Tallow'!AR$222*9))/12</f>
        <v>44.687140497741318</v>
      </c>
      <c r="AM192" s="28">
        <f>(('[3]Canada Inedible Tallow'!AR$222*3)+('[3]Canada Inedible Tallow'!AS$222*9))/12</f>
        <v>26.423032490232231</v>
      </c>
      <c r="AN192" s="28">
        <f>(('[3]Canada Inedible Tallow'!AS$222*3)+('[3]Canada Inedible Tallow'!AT$222*9))/12</f>
        <v>21.250163083062887</v>
      </c>
      <c r="AO192" s="28">
        <f>(('[3]Canada Inedible Tallow'!AT$222*3)+('[3]Canada Inedible Tallow'!AU$222*9))/12</f>
        <v>22.360960853608919</v>
      </c>
      <c r="AP192" s="28">
        <f>(('[3]Canada Inedible Tallow'!AU$222*3)+('[3]Canada Inedible Tallow'!AV$222*9))/12</f>
        <v>23.872934786051832</v>
      </c>
      <c r="AQ192" s="28">
        <f>(('[3]Canada Inedible Tallow'!AV$222*3)+('[3]Canada Inedible Tallow'!AW$222*9))/12</f>
        <v>23.42524704142583</v>
      </c>
      <c r="AR192" s="28">
        <f>(('[3]Canada Inedible Tallow'!AW$222*3)+('[3]Canada Inedible Tallow'!AX$222*9))/12</f>
        <v>21.592949302591435</v>
      </c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</row>
    <row r="193" spans="1:55">
      <c r="A193" s="25"/>
      <c r="B193" s="25"/>
      <c r="C193" s="25"/>
      <c r="D193" s="25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</row>
    <row r="194" spans="1:55" ht="15.75" thickBot="1">
      <c r="A194" s="20" t="s">
        <v>41</v>
      </c>
      <c r="B194" s="20"/>
      <c r="C194" s="20"/>
      <c r="D194" s="20"/>
    </row>
    <row r="195" spans="1:55" ht="15.75" thickBot="1">
      <c r="A195" s="22"/>
      <c r="B195" s="23" t="str">
        <f>B179</f>
        <v xml:space="preserve">97/98 </v>
      </c>
      <c r="C195" s="23" t="str">
        <f>C179</f>
        <v xml:space="preserve">98/99 </v>
      </c>
      <c r="D195" s="23" t="str">
        <f>D179</f>
        <v xml:space="preserve">99/00 </v>
      </c>
      <c r="E195" s="23" t="str">
        <f>E179</f>
        <v xml:space="preserve">00/01 </v>
      </c>
      <c r="F195" s="23" t="str">
        <f t="shared" ref="F195:BC195" si="18">F179</f>
        <v xml:space="preserve">01/02 </v>
      </c>
      <c r="G195" s="23" t="str">
        <f t="shared" si="18"/>
        <v xml:space="preserve">02/03 </v>
      </c>
      <c r="H195" s="23" t="str">
        <f t="shared" si="18"/>
        <v xml:space="preserve">03/04 </v>
      </c>
      <c r="I195" s="23" t="str">
        <f t="shared" si="18"/>
        <v xml:space="preserve">04/05 </v>
      </c>
      <c r="J195" s="23" t="str">
        <f t="shared" si="18"/>
        <v xml:space="preserve">05/06 </v>
      </c>
      <c r="K195" s="23" t="str">
        <f t="shared" si="18"/>
        <v xml:space="preserve">06/07 </v>
      </c>
      <c r="L195" s="23" t="str">
        <f t="shared" si="18"/>
        <v xml:space="preserve">07/08 </v>
      </c>
      <c r="M195" s="23" t="str">
        <f t="shared" si="18"/>
        <v xml:space="preserve">08/09 </v>
      </c>
      <c r="N195" s="23" t="str">
        <f t="shared" si="18"/>
        <v xml:space="preserve">09/10 </v>
      </c>
      <c r="O195" s="23" t="str">
        <f t="shared" si="18"/>
        <v xml:space="preserve">10/11 </v>
      </c>
      <c r="P195" s="23" t="str">
        <f t="shared" si="18"/>
        <v xml:space="preserve">11/12 </v>
      </c>
      <c r="Q195" s="23" t="str">
        <f t="shared" si="18"/>
        <v xml:space="preserve">12/13 </v>
      </c>
      <c r="R195" s="23" t="str">
        <f t="shared" si="18"/>
        <v xml:space="preserve">13/14 </v>
      </c>
      <c r="S195" s="23" t="str">
        <f t="shared" si="18"/>
        <v xml:space="preserve">14/15 </v>
      </c>
      <c r="T195" s="23" t="str">
        <f t="shared" si="18"/>
        <v xml:space="preserve">15/16 </v>
      </c>
      <c r="U195" s="23" t="str">
        <f t="shared" si="18"/>
        <v xml:space="preserve">16/17 </v>
      </c>
      <c r="V195" s="23" t="str">
        <f t="shared" si="18"/>
        <v xml:space="preserve">17/18 </v>
      </c>
      <c r="W195" s="23" t="str">
        <f t="shared" si="18"/>
        <v xml:space="preserve">18/19 </v>
      </c>
      <c r="X195" s="23" t="str">
        <f t="shared" si="18"/>
        <v>19/20</v>
      </c>
      <c r="Y195" s="23" t="str">
        <f t="shared" si="18"/>
        <v>20/21</v>
      </c>
      <c r="Z195" s="23" t="str">
        <f t="shared" si="18"/>
        <v xml:space="preserve">21/22 </v>
      </c>
      <c r="AA195" s="23" t="str">
        <f t="shared" si="18"/>
        <v xml:space="preserve">22/23 </v>
      </c>
      <c r="AB195" s="23" t="str">
        <f t="shared" si="18"/>
        <v xml:space="preserve">23/24 </v>
      </c>
      <c r="AC195" s="23" t="str">
        <f t="shared" si="18"/>
        <v xml:space="preserve">24/25 </v>
      </c>
      <c r="AD195" s="23" t="str">
        <f t="shared" si="18"/>
        <v>25/26</v>
      </c>
      <c r="AE195" s="23" t="str">
        <f t="shared" si="18"/>
        <v>26/27</v>
      </c>
      <c r="AF195" s="23" t="str">
        <f t="shared" si="18"/>
        <v>27/28</v>
      </c>
      <c r="AG195" s="23" t="str">
        <f t="shared" si="18"/>
        <v>28/29</v>
      </c>
      <c r="AH195" s="23" t="str">
        <f t="shared" si="18"/>
        <v>29/30</v>
      </c>
      <c r="AI195" s="23" t="str">
        <f t="shared" si="18"/>
        <v>30/31</v>
      </c>
      <c r="AJ195" s="23" t="str">
        <f t="shared" si="18"/>
        <v>31/32</v>
      </c>
      <c r="AK195" s="23" t="str">
        <f t="shared" si="18"/>
        <v>32/33</v>
      </c>
      <c r="AL195" s="23" t="str">
        <f t="shared" si="18"/>
        <v>33/34</v>
      </c>
      <c r="AM195" s="23" t="str">
        <f t="shared" si="18"/>
        <v>34/35</v>
      </c>
      <c r="AN195" s="23" t="str">
        <f t="shared" si="18"/>
        <v>35/36</v>
      </c>
      <c r="AO195" s="23" t="str">
        <f t="shared" si="18"/>
        <v>36/37</v>
      </c>
      <c r="AP195" s="23" t="str">
        <f t="shared" si="18"/>
        <v>37/38</v>
      </c>
      <c r="AQ195" s="23" t="str">
        <f t="shared" si="18"/>
        <v>38/39</v>
      </c>
      <c r="AR195" s="23" t="str">
        <f t="shared" si="18"/>
        <v>39/40</v>
      </c>
      <c r="AS195" s="23" t="str">
        <f t="shared" si="18"/>
        <v>40/41</v>
      </c>
      <c r="AT195" s="23" t="str">
        <f t="shared" si="18"/>
        <v>41/42</v>
      </c>
      <c r="AU195" s="23" t="str">
        <f t="shared" si="18"/>
        <v>42/43</v>
      </c>
      <c r="AV195" s="23" t="str">
        <f t="shared" si="18"/>
        <v>43/44</v>
      </c>
      <c r="AW195" s="23" t="str">
        <f t="shared" si="18"/>
        <v>44/45</v>
      </c>
      <c r="AX195" s="23" t="str">
        <f t="shared" si="18"/>
        <v>45/46</v>
      </c>
      <c r="AY195" s="23" t="str">
        <f t="shared" si="18"/>
        <v>46/47</v>
      </c>
      <c r="AZ195" s="23" t="str">
        <f t="shared" si="18"/>
        <v>47/48</v>
      </c>
      <c r="BA195" s="23" t="str">
        <f t="shared" si="18"/>
        <v>48/49</v>
      </c>
      <c r="BB195" s="23" t="str">
        <f t="shared" si="18"/>
        <v>49/50</v>
      </c>
      <c r="BC195" s="23" t="str">
        <f t="shared" si="18"/>
        <v>50/51</v>
      </c>
    </row>
    <row r="196" spans="1:55">
      <c r="A196" s="20" t="s">
        <v>17</v>
      </c>
      <c r="B196" s="20"/>
      <c r="C196" s="20"/>
      <c r="D196" s="20"/>
    </row>
    <row r="197" spans="1:55">
      <c r="A197" s="20" t="s">
        <v>18</v>
      </c>
      <c r="B197" s="20"/>
      <c r="C197" s="20"/>
      <c r="D197" s="20"/>
    </row>
    <row r="198" spans="1:55">
      <c r="A198" s="20" t="s">
        <v>19</v>
      </c>
      <c r="B198" s="20"/>
      <c r="C198" s="20"/>
      <c r="D198" s="20"/>
    </row>
    <row r="199" spans="1:55">
      <c r="A199" s="20" t="s">
        <v>20</v>
      </c>
      <c r="B199" s="20"/>
      <c r="C199" s="20"/>
      <c r="D199" s="20"/>
    </row>
    <row r="200" spans="1:55">
      <c r="A200" s="20" t="s">
        <v>21</v>
      </c>
      <c r="B200" s="20"/>
      <c r="C200" s="20"/>
      <c r="D200" s="20"/>
    </row>
    <row r="201" spans="1:55">
      <c r="A201" s="20" t="s">
        <v>22</v>
      </c>
      <c r="B201" s="20"/>
      <c r="C201" s="20"/>
      <c r="D201" s="20"/>
    </row>
    <row r="202" spans="1:55">
      <c r="A202" s="20" t="s">
        <v>23</v>
      </c>
      <c r="B202" s="20"/>
      <c r="C202" s="20"/>
      <c r="D202" s="20"/>
    </row>
    <row r="203" spans="1:55">
      <c r="A203" s="20" t="s">
        <v>24</v>
      </c>
      <c r="B203" s="20"/>
      <c r="C203" s="20"/>
      <c r="D203" s="20"/>
    </row>
    <row r="204" spans="1:55">
      <c r="A204" s="20" t="s">
        <v>25</v>
      </c>
      <c r="B204" s="20"/>
      <c r="C204" s="20"/>
      <c r="D204" s="20"/>
    </row>
    <row r="205" spans="1:55">
      <c r="A205" s="20" t="s">
        <v>26</v>
      </c>
      <c r="B205" s="20"/>
      <c r="C205" s="20"/>
      <c r="D205" s="20"/>
    </row>
    <row r="206" spans="1:55">
      <c r="A206" s="20" t="s">
        <v>27</v>
      </c>
      <c r="B206" s="20"/>
      <c r="C206" s="20"/>
      <c r="D206" s="20"/>
    </row>
    <row r="207" spans="1:55">
      <c r="A207" s="20" t="s">
        <v>28</v>
      </c>
      <c r="B207" s="20"/>
      <c r="C207" s="20"/>
      <c r="D207" s="20"/>
    </row>
    <row r="208" spans="1:55" ht="15.75" thickBot="1">
      <c r="A208" s="20" t="s">
        <v>29</v>
      </c>
      <c r="B208" s="20"/>
      <c r="C208" s="20"/>
      <c r="D208" s="20"/>
      <c r="E208" s="29">
        <v>1263000</v>
      </c>
      <c r="F208" s="29">
        <v>1262000</v>
      </c>
      <c r="G208" s="29">
        <v>1298000</v>
      </c>
      <c r="H208" s="29">
        <v>1204000</v>
      </c>
      <c r="I208" s="29">
        <v>1500000</v>
      </c>
      <c r="J208" s="29">
        <v>1470000</v>
      </c>
      <c r="K208" s="29">
        <v>1329000</v>
      </c>
      <c r="L208" s="29">
        <v>1278000</v>
      </c>
      <c r="M208" s="29">
        <v>1304000</v>
      </c>
      <c r="N208" s="29">
        <v>1239000</v>
      </c>
      <c r="O208" s="29">
        <v>1276000</v>
      </c>
      <c r="P208" s="29">
        <v>1141000</v>
      </c>
      <c r="Q208" s="29">
        <v>1060000</v>
      </c>
      <c r="R208" s="29">
        <v>1056000</v>
      </c>
      <c r="S208" s="29">
        <v>1100000</v>
      </c>
      <c r="T208" s="29">
        <v>1047000</v>
      </c>
      <c r="U208" s="29">
        <v>1130000</v>
      </c>
      <c r="V208" s="29">
        <v>1201000</v>
      </c>
      <c r="W208" s="29">
        <v>1265000</v>
      </c>
      <c r="X208" s="29">
        <v>1342000</v>
      </c>
      <c r="Y208" s="29">
        <v>1314000</v>
      </c>
      <c r="Z208" s="29">
        <v>1420000</v>
      </c>
      <c r="AA208" s="29">
        <v>1375000</v>
      </c>
      <c r="AB208" s="30">
        <v>1271000</v>
      </c>
      <c r="AC208" s="30">
        <v>1276000</v>
      </c>
      <c r="AD208" s="30">
        <v>1284000</v>
      </c>
      <c r="AE208" s="30">
        <v>1290000</v>
      </c>
      <c r="AF208" s="30">
        <v>1297000</v>
      </c>
      <c r="AG208" s="30">
        <v>1304000</v>
      </c>
      <c r="AH208" s="30">
        <v>1311000</v>
      </c>
      <c r="AI208" s="30">
        <v>1318000</v>
      </c>
      <c r="AJ208" s="30">
        <v>1325000</v>
      </c>
      <c r="AK208" s="30">
        <v>1332000</v>
      </c>
      <c r="AL208" s="30">
        <v>1339000</v>
      </c>
      <c r="AM208" s="30">
        <v>1346000</v>
      </c>
      <c r="AN208" s="30">
        <v>1353000</v>
      </c>
      <c r="AO208" s="30">
        <v>1360000</v>
      </c>
      <c r="AP208" s="30">
        <v>1367000</v>
      </c>
      <c r="AQ208" s="30">
        <v>1374000</v>
      </c>
      <c r="AR208" s="30">
        <v>1381000</v>
      </c>
      <c r="AS208" s="30">
        <v>1388000</v>
      </c>
      <c r="AT208" s="30">
        <v>1388001</v>
      </c>
      <c r="AU208" s="30">
        <v>1388002</v>
      </c>
      <c r="AV208" s="30">
        <v>1388003</v>
      </c>
      <c r="AW208" s="30">
        <v>1388004</v>
      </c>
      <c r="AX208" s="30">
        <v>1388005</v>
      </c>
      <c r="AY208" s="30">
        <v>1388006</v>
      </c>
      <c r="AZ208" s="30">
        <v>1388007</v>
      </c>
      <c r="BA208" s="30">
        <v>1388008</v>
      </c>
      <c r="BB208" s="30">
        <v>1388009</v>
      </c>
      <c r="BC208" s="30">
        <v>1388010</v>
      </c>
    </row>
    <row r="209" spans="1:55">
      <c r="A209" s="25"/>
      <c r="B209" s="25"/>
      <c r="C209" s="25"/>
      <c r="D209" s="25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</row>
    <row r="210" spans="1:55" ht="15.75" thickBot="1">
      <c r="A210" s="20" t="s">
        <v>42</v>
      </c>
      <c r="B210" s="20"/>
      <c r="C210" s="20"/>
      <c r="D210" s="20"/>
    </row>
    <row r="211" spans="1:55" ht="15.75" thickBot="1">
      <c r="A211" s="22"/>
      <c r="B211" s="23" t="str">
        <f>B195</f>
        <v xml:space="preserve">97/98 </v>
      </c>
      <c r="C211" s="23" t="str">
        <f>C195</f>
        <v xml:space="preserve">98/99 </v>
      </c>
      <c r="D211" s="23" t="str">
        <f>D195</f>
        <v xml:space="preserve">99/00 </v>
      </c>
      <c r="E211" s="23" t="str">
        <f>E195</f>
        <v xml:space="preserve">00/01 </v>
      </c>
      <c r="F211" s="23" t="str">
        <f t="shared" ref="F211:Y211" si="19">F195</f>
        <v xml:space="preserve">01/02 </v>
      </c>
      <c r="G211" s="23" t="str">
        <f t="shared" si="19"/>
        <v xml:space="preserve">02/03 </v>
      </c>
      <c r="H211" s="23" t="str">
        <f t="shared" si="19"/>
        <v xml:space="preserve">03/04 </v>
      </c>
      <c r="I211" s="23" t="str">
        <f t="shared" si="19"/>
        <v xml:space="preserve">04/05 </v>
      </c>
      <c r="J211" s="23" t="str">
        <f t="shared" si="19"/>
        <v xml:space="preserve">05/06 </v>
      </c>
      <c r="K211" s="23" t="str">
        <f t="shared" si="19"/>
        <v xml:space="preserve">06/07 </v>
      </c>
      <c r="L211" s="23" t="str">
        <f t="shared" si="19"/>
        <v xml:space="preserve">07/08 </v>
      </c>
      <c r="M211" s="23" t="str">
        <f t="shared" si="19"/>
        <v xml:space="preserve">08/09 </v>
      </c>
      <c r="N211" s="23" t="str">
        <f t="shared" si="19"/>
        <v xml:space="preserve">09/10 </v>
      </c>
      <c r="O211" s="23" t="str">
        <f t="shared" si="19"/>
        <v xml:space="preserve">10/11 </v>
      </c>
      <c r="P211" s="23" t="str">
        <f t="shared" si="19"/>
        <v xml:space="preserve">11/12 </v>
      </c>
      <c r="Q211" s="23" t="str">
        <f t="shared" si="19"/>
        <v xml:space="preserve">12/13 </v>
      </c>
      <c r="R211" s="23" t="str">
        <f t="shared" si="19"/>
        <v xml:space="preserve">13/14 </v>
      </c>
      <c r="S211" s="23" t="str">
        <f t="shared" si="19"/>
        <v xml:space="preserve">14/15 </v>
      </c>
      <c r="T211" s="23" t="str">
        <f t="shared" si="19"/>
        <v xml:space="preserve">15/16 </v>
      </c>
      <c r="U211" s="23" t="str">
        <f t="shared" si="19"/>
        <v xml:space="preserve">16/17 </v>
      </c>
      <c r="V211" s="23" t="str">
        <f t="shared" si="19"/>
        <v xml:space="preserve">17/18 </v>
      </c>
      <c r="W211" s="23" t="str">
        <f t="shared" si="19"/>
        <v xml:space="preserve">18/19 </v>
      </c>
      <c r="X211" s="23" t="str">
        <f t="shared" si="19"/>
        <v>19/20</v>
      </c>
      <c r="Y211" s="23" t="str">
        <f t="shared" si="19"/>
        <v>20/21</v>
      </c>
      <c r="Z211" s="23" t="str">
        <f>Z195</f>
        <v xml:space="preserve">21/22 </v>
      </c>
      <c r="AA211" s="23" t="str">
        <f>AA195</f>
        <v xml:space="preserve">22/23 </v>
      </c>
      <c r="AB211" s="23" t="str">
        <f>AB195</f>
        <v xml:space="preserve">23/24 </v>
      </c>
      <c r="AC211" s="23" t="str">
        <f t="shared" ref="AC211:BC211" si="20">AC195</f>
        <v xml:space="preserve">24/25 </v>
      </c>
      <c r="AD211" s="23" t="str">
        <f t="shared" si="20"/>
        <v>25/26</v>
      </c>
      <c r="AE211" s="23" t="str">
        <f t="shared" si="20"/>
        <v>26/27</v>
      </c>
      <c r="AF211" s="23" t="str">
        <f t="shared" si="20"/>
        <v>27/28</v>
      </c>
      <c r="AG211" s="23" t="str">
        <f t="shared" si="20"/>
        <v>28/29</v>
      </c>
      <c r="AH211" s="23" t="str">
        <f t="shared" si="20"/>
        <v>29/30</v>
      </c>
      <c r="AI211" s="23" t="str">
        <f t="shared" si="20"/>
        <v>30/31</v>
      </c>
      <c r="AJ211" s="23" t="str">
        <f t="shared" si="20"/>
        <v>31/32</v>
      </c>
      <c r="AK211" s="23" t="str">
        <f t="shared" si="20"/>
        <v>32/33</v>
      </c>
      <c r="AL211" s="23" t="str">
        <f t="shared" si="20"/>
        <v>33/34</v>
      </c>
      <c r="AM211" s="23" t="str">
        <f t="shared" si="20"/>
        <v>34/35</v>
      </c>
      <c r="AN211" s="23" t="str">
        <f t="shared" si="20"/>
        <v>35/36</v>
      </c>
      <c r="AO211" s="23" t="str">
        <f t="shared" si="20"/>
        <v>36/37</v>
      </c>
      <c r="AP211" s="23" t="str">
        <f t="shared" si="20"/>
        <v>37/38</v>
      </c>
      <c r="AQ211" s="23" t="str">
        <f t="shared" si="20"/>
        <v>38/39</v>
      </c>
      <c r="AR211" s="23" t="str">
        <f t="shared" si="20"/>
        <v>39/40</v>
      </c>
      <c r="AS211" s="23" t="str">
        <f t="shared" si="20"/>
        <v>40/41</v>
      </c>
      <c r="AT211" s="23" t="str">
        <f t="shared" si="20"/>
        <v>41/42</v>
      </c>
      <c r="AU211" s="23" t="str">
        <f t="shared" si="20"/>
        <v>42/43</v>
      </c>
      <c r="AV211" s="23" t="str">
        <f t="shared" si="20"/>
        <v>43/44</v>
      </c>
      <c r="AW211" s="23" t="str">
        <f t="shared" si="20"/>
        <v>44/45</v>
      </c>
      <c r="AX211" s="23" t="str">
        <f t="shared" si="20"/>
        <v>45/46</v>
      </c>
      <c r="AY211" s="23" t="str">
        <f t="shared" si="20"/>
        <v>46/47</v>
      </c>
      <c r="AZ211" s="23" t="str">
        <f t="shared" si="20"/>
        <v>47/48</v>
      </c>
      <c r="BA211" s="23" t="str">
        <f t="shared" si="20"/>
        <v>48/49</v>
      </c>
      <c r="BB211" s="23" t="str">
        <f t="shared" si="20"/>
        <v>49/50</v>
      </c>
      <c r="BC211" s="23" t="str">
        <f t="shared" si="20"/>
        <v>50/51</v>
      </c>
    </row>
    <row r="212" spans="1:55">
      <c r="A212" s="20" t="s">
        <v>17</v>
      </c>
      <c r="B212" s="20"/>
      <c r="C212" s="20"/>
      <c r="D212" s="20"/>
    </row>
    <row r="213" spans="1:55">
      <c r="A213" s="20" t="s">
        <v>18</v>
      </c>
      <c r="B213" s="20"/>
      <c r="C213" s="20"/>
      <c r="D213" s="20"/>
    </row>
    <row r="214" spans="1:55">
      <c r="A214" s="20" t="s">
        <v>19</v>
      </c>
      <c r="B214" s="20"/>
      <c r="C214" s="20"/>
      <c r="D214" s="20"/>
    </row>
    <row r="215" spans="1:55">
      <c r="A215" s="20" t="s">
        <v>20</v>
      </c>
      <c r="B215" s="20"/>
      <c r="C215" s="20"/>
      <c r="D215" s="20"/>
    </row>
    <row r="216" spans="1:55">
      <c r="A216" s="20" t="s">
        <v>21</v>
      </c>
      <c r="B216" s="20"/>
      <c r="C216" s="20"/>
      <c r="D216" s="20"/>
    </row>
    <row r="217" spans="1:55">
      <c r="A217" s="20" t="s">
        <v>22</v>
      </c>
      <c r="B217" s="20"/>
      <c r="C217" s="20"/>
      <c r="D217" s="20"/>
    </row>
    <row r="218" spans="1:55">
      <c r="A218" s="20" t="s">
        <v>23</v>
      </c>
      <c r="B218" s="20"/>
      <c r="C218" s="20"/>
      <c r="D218" s="20"/>
    </row>
    <row r="219" spans="1:55">
      <c r="A219" s="20" t="s">
        <v>24</v>
      </c>
      <c r="B219" s="20"/>
      <c r="C219" s="20"/>
      <c r="D219" s="20"/>
    </row>
    <row r="220" spans="1:55">
      <c r="A220" s="20" t="s">
        <v>25</v>
      </c>
      <c r="B220" s="20"/>
      <c r="C220" s="20"/>
      <c r="D220" s="20"/>
    </row>
    <row r="221" spans="1:55">
      <c r="A221" s="20" t="s">
        <v>26</v>
      </c>
      <c r="B221" s="20"/>
      <c r="C221" s="20"/>
      <c r="D221" s="20"/>
    </row>
    <row r="222" spans="1:55">
      <c r="A222" s="20" t="s">
        <v>27</v>
      </c>
      <c r="B222" s="20"/>
      <c r="C222" s="20"/>
      <c r="D222" s="20"/>
    </row>
    <row r="223" spans="1:55">
      <c r="A223" s="20" t="s">
        <v>28</v>
      </c>
      <c r="B223" s="20"/>
      <c r="C223" s="20"/>
      <c r="D223" s="20"/>
    </row>
    <row r="224" spans="1:55" ht="15.75" thickBot="1">
      <c r="A224" s="20" t="s">
        <v>29</v>
      </c>
      <c r="B224" s="31">
        <v>0.23400000000000001</v>
      </c>
      <c r="C224" s="31">
        <v>0.23400000000000001</v>
      </c>
      <c r="D224" s="31">
        <v>0.23400000000000001</v>
      </c>
      <c r="E224" s="31">
        <v>0.23400000000000001</v>
      </c>
      <c r="F224" s="31">
        <v>0.23400000000000001</v>
      </c>
      <c r="G224" s="31">
        <v>0.23400000000000001</v>
      </c>
      <c r="H224" s="31">
        <v>0.23400000000000001</v>
      </c>
      <c r="I224" s="31">
        <v>0.23400000000000001</v>
      </c>
      <c r="J224" s="31">
        <v>0.23400000000000001</v>
      </c>
      <c r="K224" s="31">
        <v>0.23400000000000001</v>
      </c>
      <c r="L224" s="31">
        <v>0.23400000000000001</v>
      </c>
      <c r="M224" s="31">
        <v>0.23400000000000001</v>
      </c>
      <c r="N224" s="31">
        <v>0.23400000000000001</v>
      </c>
      <c r="O224" s="32">
        <f>O4/O208</f>
        <v>0.23323276466391019</v>
      </c>
      <c r="P224" s="32">
        <f t="shared" ref="P224:W224" si="21">P4/P208</f>
        <v>0.27120411047158743</v>
      </c>
      <c r="Q224" s="32">
        <f t="shared" si="21"/>
        <v>0.24124514950729092</v>
      </c>
      <c r="R224" s="32">
        <f t="shared" si="21"/>
        <v>0.23527768385112122</v>
      </c>
      <c r="S224" s="32">
        <f t="shared" si="21"/>
        <v>0.23507047248315505</v>
      </c>
      <c r="T224" s="32">
        <f t="shared" si="21"/>
        <v>0.22661655351002216</v>
      </c>
      <c r="U224" s="32">
        <f t="shared" si="21"/>
        <v>0.22341058398409119</v>
      </c>
      <c r="V224" s="32">
        <f t="shared" si="21"/>
        <v>0.22434357410132461</v>
      </c>
      <c r="W224" s="32">
        <f t="shared" si="21"/>
        <v>0.2146069716249065</v>
      </c>
      <c r="X224" s="33">
        <v>0.23400000000000001</v>
      </c>
      <c r="Y224" s="33">
        <v>0.23400000000000001</v>
      </c>
      <c r="Z224" s="33">
        <v>0.23400000000000001</v>
      </c>
      <c r="AA224" s="33">
        <v>0.23400000000000001</v>
      </c>
      <c r="AB224" s="33">
        <v>0.23400000000000001</v>
      </c>
      <c r="AC224" s="33">
        <v>0.23400000000000001</v>
      </c>
      <c r="AD224" s="33">
        <v>0.23400000000000001</v>
      </c>
      <c r="AE224" s="33">
        <v>0.23400000000000001</v>
      </c>
      <c r="AF224" s="33">
        <v>0.23400000000000001</v>
      </c>
      <c r="AG224" s="33">
        <v>0.23400000000000001</v>
      </c>
      <c r="AH224" s="33">
        <v>0.23400000000000001</v>
      </c>
      <c r="AI224" s="33">
        <v>0.23400000000000001</v>
      </c>
      <c r="AJ224" s="33">
        <v>0.23400000000000001</v>
      </c>
      <c r="AK224" s="33">
        <v>0.23400000000000001</v>
      </c>
      <c r="AL224" s="33">
        <v>0.23400000000000001</v>
      </c>
      <c r="AM224" s="33">
        <v>0.23400000000000001</v>
      </c>
      <c r="AN224" s="33">
        <v>0.23400000000000001</v>
      </c>
      <c r="AO224" s="33">
        <v>0.23400000000000001</v>
      </c>
      <c r="AP224" s="33">
        <v>0.23400000000000001</v>
      </c>
      <c r="AQ224" s="33">
        <v>0.23400000000000001</v>
      </c>
      <c r="AR224" s="33">
        <v>0.23400000000000001</v>
      </c>
      <c r="AS224" s="33">
        <v>0.23400000000000001</v>
      </c>
      <c r="AT224" s="33">
        <v>1.234</v>
      </c>
      <c r="AU224" s="33">
        <v>2.234</v>
      </c>
      <c r="AV224" s="33">
        <v>3.234</v>
      </c>
      <c r="AW224" s="33">
        <v>4.234</v>
      </c>
      <c r="AX224" s="33">
        <v>5.234</v>
      </c>
      <c r="AY224" s="33">
        <v>6.234</v>
      </c>
      <c r="AZ224" s="33">
        <v>7.234</v>
      </c>
      <c r="BA224" s="33">
        <v>8.234</v>
      </c>
      <c r="BB224" s="33">
        <v>9.234</v>
      </c>
      <c r="BC224" s="33">
        <v>10.234</v>
      </c>
    </row>
    <row r="225" spans="1:55">
      <c r="A225" s="25"/>
      <c r="B225" s="25"/>
      <c r="C225" s="25"/>
      <c r="D225" s="25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F544-5863-4712-8524-7A2F00AB6A5E}">
  <dimension ref="A1:AQ225"/>
  <sheetViews>
    <sheetView zoomScale="85" zoomScaleNormal="85" workbookViewId="0">
      <pane xSplit="1" ySplit="2" topLeftCell="S3" activePane="bottomRight" state="frozen"/>
      <selection activeCell="AL31" sqref="AL31"/>
      <selection pane="topRight" activeCell="AL31" sqref="AL31"/>
      <selection pane="bottomLeft" activeCell="AL31" sqref="AL31"/>
      <selection pane="bottomRight" activeCell="AL31" sqref="AL31"/>
    </sheetView>
  </sheetViews>
  <sheetFormatPr defaultColWidth="8.85546875" defaultRowHeight="15"/>
  <cols>
    <col min="1" max="1" width="32.42578125" customWidth="1"/>
    <col min="2" max="23" width="10.140625" style="21" bestFit="1" customWidth="1"/>
    <col min="24" max="43" width="8.85546875" style="21"/>
  </cols>
  <sheetData>
    <row r="1" spans="1:43" ht="15.75" thickBot="1">
      <c r="A1" s="6" t="s">
        <v>43</v>
      </c>
    </row>
    <row r="2" spans="1:43" ht="15.75" thickBot="1">
      <c r="A2" s="34"/>
      <c r="B2" s="23" t="s">
        <v>44</v>
      </c>
      <c r="C2" s="23" t="s">
        <v>45</v>
      </c>
      <c r="D2" s="23" t="s">
        <v>46</v>
      </c>
      <c r="E2" s="23" t="s">
        <v>47</v>
      </c>
      <c r="F2" s="23" t="s">
        <v>48</v>
      </c>
      <c r="G2" s="23" t="s">
        <v>49</v>
      </c>
      <c r="H2" s="23" t="s">
        <v>50</v>
      </c>
      <c r="I2" s="23" t="s">
        <v>51</v>
      </c>
      <c r="J2" s="23" t="s">
        <v>52</v>
      </c>
      <c r="K2" s="23" t="s">
        <v>53</v>
      </c>
      <c r="L2" s="23" t="s">
        <v>54</v>
      </c>
      <c r="M2" s="23" t="s">
        <v>55</v>
      </c>
      <c r="N2" s="23" t="s">
        <v>56</v>
      </c>
      <c r="O2" s="23" t="s">
        <v>57</v>
      </c>
      <c r="P2" s="23" t="s">
        <v>58</v>
      </c>
      <c r="Q2" s="23" t="s">
        <v>59</v>
      </c>
      <c r="R2" s="23" t="s">
        <v>60</v>
      </c>
      <c r="S2" s="23" t="s">
        <v>61</v>
      </c>
      <c r="T2" s="23" t="s">
        <v>62</v>
      </c>
      <c r="U2" s="23" t="s">
        <v>63</v>
      </c>
      <c r="V2" s="23" t="s">
        <v>64</v>
      </c>
      <c r="W2" s="23" t="s">
        <v>65</v>
      </c>
      <c r="X2" s="23" t="s">
        <v>66</v>
      </c>
      <c r="Y2" s="23" t="s">
        <v>67</v>
      </c>
      <c r="Z2" s="23" t="s">
        <v>68</v>
      </c>
      <c r="AA2" s="23" t="s">
        <v>69</v>
      </c>
      <c r="AB2" s="23" t="s">
        <v>70</v>
      </c>
      <c r="AC2" s="23" t="s">
        <v>71</v>
      </c>
      <c r="AD2" s="23" t="s">
        <v>72</v>
      </c>
      <c r="AE2" s="23" t="s">
        <v>73</v>
      </c>
      <c r="AF2" s="23" t="s">
        <v>74</v>
      </c>
      <c r="AG2" s="23" t="s">
        <v>75</v>
      </c>
      <c r="AH2" s="23" t="s">
        <v>76</v>
      </c>
      <c r="AI2" s="23" t="s">
        <v>77</v>
      </c>
      <c r="AJ2" s="23" t="s">
        <v>78</v>
      </c>
      <c r="AK2" s="23" t="s">
        <v>79</v>
      </c>
      <c r="AL2" s="23" t="s">
        <v>80</v>
      </c>
      <c r="AM2" s="23" t="s">
        <v>81</v>
      </c>
      <c r="AN2" s="23" t="s">
        <v>82</v>
      </c>
      <c r="AO2" s="23" t="s">
        <v>83</v>
      </c>
      <c r="AP2" s="23" t="s">
        <v>84</v>
      </c>
      <c r="AQ2" s="23" t="s">
        <v>85</v>
      </c>
    </row>
    <row r="3" spans="1:43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</row>
    <row r="4" spans="1:43">
      <c r="A4" s="6" t="s">
        <v>2</v>
      </c>
      <c r="B4" s="35">
        <f>B208*B224</f>
        <v>482455</v>
      </c>
      <c r="C4" s="35">
        <f t="shared" ref="C4:J4" si="0">C208*C224</f>
        <v>488565</v>
      </c>
      <c r="D4" s="35">
        <f t="shared" si="0"/>
        <v>491150</v>
      </c>
      <c r="E4" s="35">
        <f t="shared" si="0"/>
        <v>469530</v>
      </c>
      <c r="F4" s="35">
        <f t="shared" si="0"/>
        <v>496555</v>
      </c>
      <c r="G4" s="35">
        <f t="shared" si="0"/>
        <v>491150</v>
      </c>
      <c r="H4" s="35">
        <f t="shared" si="0"/>
        <v>514179.99999999994</v>
      </c>
      <c r="I4" s="35">
        <f t="shared" si="0"/>
        <v>509715</v>
      </c>
      <c r="J4" s="35">
        <f t="shared" si="0"/>
        <v>502430</v>
      </c>
      <c r="K4" s="35">
        <f>K208*K224</f>
        <v>494910</v>
      </c>
      <c r="L4" s="35">
        <v>526351.5</v>
      </c>
      <c r="M4" s="35">
        <v>523875</v>
      </c>
      <c r="N4" s="35">
        <v>506539.50000000006</v>
      </c>
      <c r="O4" s="35">
        <v>546100</v>
      </c>
      <c r="P4" s="35">
        <v>629539</v>
      </c>
      <c r="Q4" s="35">
        <v>614362.5</v>
      </c>
      <c r="R4" s="35">
        <v>497141.49999999994</v>
      </c>
      <c r="S4" s="35">
        <v>481012.5</v>
      </c>
      <c r="T4" s="9">
        <v>501650</v>
      </c>
      <c r="U4" s="9">
        <f>U224*U208</f>
        <v>571520</v>
      </c>
      <c r="V4" s="9">
        <f t="shared" ref="V4:AP4" si="1">V224*V208</f>
        <v>499375</v>
      </c>
      <c r="W4" s="9">
        <f t="shared" si="1"/>
        <v>443680</v>
      </c>
      <c r="X4" s="9">
        <f t="shared" si="1"/>
        <v>497025</v>
      </c>
      <c r="Y4" s="9">
        <f t="shared" si="1"/>
        <v>533920</v>
      </c>
      <c r="Z4" s="9">
        <f t="shared" si="1"/>
        <v>535330</v>
      </c>
      <c r="AA4" s="9">
        <f t="shared" si="1"/>
        <v>537680</v>
      </c>
      <c r="AB4" s="9">
        <f t="shared" si="1"/>
        <v>539325</v>
      </c>
      <c r="AC4" s="9">
        <f t="shared" si="1"/>
        <v>543320</v>
      </c>
      <c r="AD4" s="9">
        <f t="shared" si="1"/>
        <v>546845</v>
      </c>
      <c r="AE4" s="9">
        <f t="shared" si="1"/>
        <v>548960</v>
      </c>
      <c r="AF4" s="9">
        <f t="shared" si="1"/>
        <v>550135</v>
      </c>
      <c r="AG4" s="9">
        <f t="shared" si="1"/>
        <v>550605</v>
      </c>
      <c r="AH4" s="9">
        <f t="shared" si="1"/>
        <v>555305</v>
      </c>
      <c r="AI4" s="9">
        <f t="shared" si="1"/>
        <v>564235</v>
      </c>
      <c r="AJ4" s="9">
        <f t="shared" si="1"/>
        <v>567055</v>
      </c>
      <c r="AK4" s="9">
        <f t="shared" si="1"/>
        <v>566115</v>
      </c>
      <c r="AL4" s="9">
        <f t="shared" si="1"/>
        <v>570345</v>
      </c>
      <c r="AM4" s="9">
        <f t="shared" si="1"/>
        <v>571990</v>
      </c>
      <c r="AN4" s="9">
        <f t="shared" si="1"/>
        <v>573400</v>
      </c>
      <c r="AO4" s="9">
        <f t="shared" si="1"/>
        <v>578100</v>
      </c>
      <c r="AP4" s="9">
        <f t="shared" si="1"/>
        <v>579980</v>
      </c>
      <c r="AQ4" s="9">
        <f>AQ224*AQ208</f>
        <v>582800</v>
      </c>
    </row>
    <row r="5" spans="1:43">
      <c r="A5" s="6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spans="1:43">
      <c r="A6" s="10" t="s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</row>
    <row r="7" spans="1:43">
      <c r="A7" s="6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spans="1:43">
      <c r="A8" s="6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pans="1:43">
      <c r="A9" s="6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spans="1:43">
      <c r="A10" s="6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 spans="1:43">
      <c r="A11" s="6" t="s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3">
      <c r="A12" s="6" t="s">
        <v>10</v>
      </c>
      <c r="B12" s="7">
        <v>384099</v>
      </c>
      <c r="C12" s="7">
        <v>414962</v>
      </c>
      <c r="D12" s="7">
        <v>340901</v>
      </c>
      <c r="E12" s="7">
        <v>384758</v>
      </c>
      <c r="F12" s="7">
        <v>396129</v>
      </c>
      <c r="G12" s="7">
        <f>'[2]Australia Tallow Exports'!N$289</f>
        <v>375786</v>
      </c>
      <c r="H12" s="7">
        <f>'[2]Australia Tallow Exports'!O$289</f>
        <v>364206</v>
      </c>
      <c r="I12" s="7">
        <f>'[2]Australia Tallow Exports'!P$289</f>
        <v>361858</v>
      </c>
      <c r="J12" s="7">
        <f>'[2]Australia Tallow Exports'!Q$289</f>
        <v>372400</v>
      </c>
      <c r="K12" s="7">
        <f>'[2]Australia Tallow Exports'!R$289</f>
        <v>344354</v>
      </c>
      <c r="L12" s="7">
        <f>'[2]Australia Tallow Exports'!S$289</f>
        <v>352354</v>
      </c>
      <c r="M12" s="7">
        <f>'[2]Australia Tallow Exports'!T$289</f>
        <v>364578</v>
      </c>
      <c r="N12" s="7">
        <f>'[2]Australia Tallow Exports'!U$289</f>
        <v>360842</v>
      </c>
      <c r="O12" s="7">
        <f>'[2]Australia Tallow Exports'!V$289</f>
        <v>428746</v>
      </c>
      <c r="P12" s="7">
        <f>'[2]Australia Tallow Exports'!W$289</f>
        <v>459428</v>
      </c>
      <c r="Q12" s="7">
        <f>'[2]Australia Tallow Exports'!X$289</f>
        <v>470090</v>
      </c>
      <c r="R12" s="7">
        <f>'[2]Australia Tallow Exports'!Y$289</f>
        <v>434718</v>
      </c>
      <c r="S12" s="7">
        <f>'[2]Australia Tallow Exports'!Z$289</f>
        <v>420858</v>
      </c>
      <c r="T12" s="7">
        <f>'[2]Australia Tallow Exports'!AA$289</f>
        <v>440992</v>
      </c>
      <c r="U12" s="7">
        <f>'[2]Australia Tallow Exports'!AB$289</f>
        <v>401435</v>
      </c>
      <c r="V12" s="7">
        <f>'[2]Australia Tallow Exports'!AC$289</f>
        <v>431228</v>
      </c>
      <c r="W12" s="7">
        <f>'[2]Australia Tallow Exports'!AD$289</f>
        <v>390951</v>
      </c>
      <c r="X12" s="7">
        <f>'[2]Australia Tallow Exports'!AE$289</f>
        <v>447604</v>
      </c>
      <c r="Y12" s="9">
        <f t="shared" ref="Y12:AQ12" si="2">(SUM(S12:X12)/SUM(S4:X4))*Y4</f>
        <v>451682.39810637844</v>
      </c>
      <c r="Z12" s="9">
        <f t="shared" si="2"/>
        <v>450427.28744319733</v>
      </c>
      <c r="AA12" s="9">
        <f t="shared" si="2"/>
        <v>449105.54878241266</v>
      </c>
      <c r="AB12" s="9">
        <f t="shared" si="2"/>
        <v>463920.32606755471</v>
      </c>
      <c r="AC12" s="9">
        <f t="shared" si="2"/>
        <v>467062.46769516933</v>
      </c>
      <c r="AD12" s="9">
        <f t="shared" si="2"/>
        <v>468454.96455578139</v>
      </c>
      <c r="AE12" s="9">
        <f t="shared" si="2"/>
        <v>466564.43441995024</v>
      </c>
      <c r="AF12" s="9">
        <f t="shared" si="2"/>
        <v>467918.29306193109</v>
      </c>
      <c r="AG12" s="9">
        <f t="shared" si="2"/>
        <v>469143.82322667097</v>
      </c>
      <c r="AH12" s="9">
        <f t="shared" si="2"/>
        <v>474676.86414153205</v>
      </c>
      <c r="AI12" s="9">
        <f t="shared" si="2"/>
        <v>481813.14034300286</v>
      </c>
      <c r="AJ12" s="9">
        <f t="shared" si="2"/>
        <v>483689.53845609957</v>
      </c>
      <c r="AK12" s="9">
        <f t="shared" si="2"/>
        <v>482547.64243156236</v>
      </c>
      <c r="AL12" s="9">
        <f t="shared" si="2"/>
        <v>486384.62754945754</v>
      </c>
      <c r="AM12" s="9">
        <f t="shared" si="2"/>
        <v>487996.25371865585</v>
      </c>
      <c r="AN12" s="9">
        <f t="shared" si="2"/>
        <v>489301.84000846941</v>
      </c>
      <c r="AO12" s="9">
        <f t="shared" si="2"/>
        <v>493174.28288128815</v>
      </c>
      <c r="AP12" s="9">
        <f t="shared" si="2"/>
        <v>494699.06388893747</v>
      </c>
      <c r="AQ12" s="9">
        <f t="shared" si="2"/>
        <v>497101.87197611429</v>
      </c>
    </row>
    <row r="13" spans="1:43">
      <c r="A13" s="10" t="s">
        <v>11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</row>
    <row r="14" spans="1:43">
      <c r="A14" t="s">
        <v>12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spans="1:43">
      <c r="A15" s="6" t="s">
        <v>13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</row>
    <row r="16" spans="1:43" ht="15.75" thickBot="1">
      <c r="A16" s="6" t="s">
        <v>14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</row>
    <row r="17" spans="1:43">
      <c r="A17" s="17" t="s">
        <v>15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9">
        <f t="shared" ref="N17:V17" si="3">N12/N4</f>
        <v>0.71236695262659666</v>
      </c>
      <c r="O17" s="19">
        <f t="shared" si="3"/>
        <v>0.78510529207104929</v>
      </c>
      <c r="P17" s="19">
        <f t="shared" si="3"/>
        <v>0.72978481079011781</v>
      </c>
      <c r="Q17" s="19">
        <f t="shared" si="3"/>
        <v>0.76516714480457382</v>
      </c>
      <c r="R17" s="19">
        <f t="shared" si="3"/>
        <v>0.87443514572812786</v>
      </c>
      <c r="S17" s="19">
        <f t="shared" si="3"/>
        <v>0.87494191938878929</v>
      </c>
      <c r="T17" s="19">
        <f t="shared" si="3"/>
        <v>0.87908302601415333</v>
      </c>
      <c r="U17" s="19">
        <f t="shared" si="3"/>
        <v>0.70239886618141101</v>
      </c>
      <c r="V17" s="19">
        <f t="shared" si="3"/>
        <v>0.86353541927409261</v>
      </c>
      <c r="W17" s="19">
        <f>W12/W4</f>
        <v>0.88115533717994954</v>
      </c>
      <c r="X17" s="19">
        <f>X12/X4</f>
        <v>0.90056636990091044</v>
      </c>
      <c r="Y17" s="19">
        <f t="shared" ref="Y17:AP17" si="4">Y12/Y4</f>
        <v>0.84597392513181457</v>
      </c>
      <c r="Z17" s="19">
        <f t="shared" si="4"/>
        <v>0.84140116833205192</v>
      </c>
      <c r="AA17" s="19">
        <f t="shared" si="4"/>
        <v>0.8352654902217167</v>
      </c>
      <c r="AB17" s="19">
        <f t="shared" si="4"/>
        <v>0.86018694862569822</v>
      </c>
      <c r="AC17" s="19">
        <f t="shared" si="4"/>
        <v>0.85964526926152052</v>
      </c>
      <c r="AD17" s="19">
        <f t="shared" si="4"/>
        <v>0.85665035715016391</v>
      </c>
      <c r="AE17" s="19">
        <f t="shared" si="4"/>
        <v>0.84990606678073122</v>
      </c>
      <c r="AF17" s="19">
        <f t="shared" si="4"/>
        <v>0.85055176104398211</v>
      </c>
      <c r="AG17" s="19">
        <f t="shared" si="4"/>
        <v>0.85205151283891534</v>
      </c>
      <c r="AH17" s="19">
        <f t="shared" si="4"/>
        <v>0.85480387200103014</v>
      </c>
      <c r="AI17" s="19">
        <f t="shared" si="4"/>
        <v>0.85392281645591439</v>
      </c>
      <c r="AJ17" s="19">
        <f t="shared" si="4"/>
        <v>0.85298522798687881</v>
      </c>
      <c r="AK17" s="19">
        <f t="shared" si="4"/>
        <v>0.85238448448029525</v>
      </c>
      <c r="AL17" s="19">
        <f t="shared" si="4"/>
        <v>0.85279020163139418</v>
      </c>
      <c r="AM17" s="19">
        <f t="shared" si="4"/>
        <v>0.85315521900497537</v>
      </c>
      <c r="AN17" s="19">
        <f t="shared" si="4"/>
        <v>0.85333421696628775</v>
      </c>
      <c r="AO17" s="19">
        <f t="shared" si="4"/>
        <v>0.85309510963723945</v>
      </c>
      <c r="AP17" s="19">
        <f t="shared" si="4"/>
        <v>0.85295883287171537</v>
      </c>
      <c r="AQ17" s="19">
        <f>AQ12/AQ4</f>
        <v>0.8529544817709579</v>
      </c>
    </row>
    <row r="19" spans="1:43" ht="15.75" thickBot="1">
      <c r="A19" s="20" t="s">
        <v>16</v>
      </c>
    </row>
    <row r="20" spans="1:43" ht="15.75" thickBot="1">
      <c r="A20" s="22"/>
      <c r="B20" s="23" t="str">
        <f>B2</f>
        <v>2000</v>
      </c>
      <c r="C20" s="23" t="str">
        <f t="shared" ref="C20:AP20" si="5">C2</f>
        <v>2001</v>
      </c>
      <c r="D20" s="23" t="str">
        <f t="shared" si="5"/>
        <v>2002</v>
      </c>
      <c r="E20" s="23" t="str">
        <f t="shared" si="5"/>
        <v>2003</v>
      </c>
      <c r="F20" s="23" t="str">
        <f t="shared" si="5"/>
        <v>2004</v>
      </c>
      <c r="G20" s="23" t="str">
        <f t="shared" si="5"/>
        <v>2005</v>
      </c>
      <c r="H20" s="23" t="str">
        <f t="shared" si="5"/>
        <v>2006</v>
      </c>
      <c r="I20" s="23" t="str">
        <f t="shared" si="5"/>
        <v>2007</v>
      </c>
      <c r="J20" s="23" t="str">
        <f t="shared" si="5"/>
        <v>2008</v>
      </c>
      <c r="K20" s="23" t="str">
        <f t="shared" si="5"/>
        <v>2009</v>
      </c>
      <c r="L20" s="23" t="str">
        <f t="shared" si="5"/>
        <v>2010</v>
      </c>
      <c r="M20" s="23" t="str">
        <f t="shared" si="5"/>
        <v>2011</v>
      </c>
      <c r="N20" s="23" t="str">
        <f t="shared" si="5"/>
        <v>2012</v>
      </c>
      <c r="O20" s="23" t="str">
        <f t="shared" si="5"/>
        <v>2013</v>
      </c>
      <c r="P20" s="23" t="str">
        <f t="shared" si="5"/>
        <v>2014</v>
      </c>
      <c r="Q20" s="23" t="str">
        <f t="shared" si="5"/>
        <v>2015</v>
      </c>
      <c r="R20" s="23" t="str">
        <f t="shared" si="5"/>
        <v>2016</v>
      </c>
      <c r="S20" s="23" t="str">
        <f t="shared" si="5"/>
        <v>2017</v>
      </c>
      <c r="T20" s="23" t="str">
        <f t="shared" si="5"/>
        <v>2018</v>
      </c>
      <c r="U20" s="23" t="str">
        <f t="shared" si="5"/>
        <v>2019</v>
      </c>
      <c r="V20" s="23" t="str">
        <f t="shared" si="5"/>
        <v>2020</v>
      </c>
      <c r="W20" s="23" t="str">
        <f t="shared" si="5"/>
        <v>2021</v>
      </c>
      <c r="X20" s="23" t="str">
        <f t="shared" si="5"/>
        <v>2022</v>
      </c>
      <c r="Y20" s="23" t="str">
        <f t="shared" si="5"/>
        <v>2023</v>
      </c>
      <c r="Z20" s="23" t="str">
        <f t="shared" si="5"/>
        <v>2024</v>
      </c>
      <c r="AA20" s="23" t="str">
        <f t="shared" si="5"/>
        <v>2025</v>
      </c>
      <c r="AB20" s="23" t="str">
        <f t="shared" si="5"/>
        <v>2026</v>
      </c>
      <c r="AC20" s="23" t="str">
        <f t="shared" si="5"/>
        <v>2027</v>
      </c>
      <c r="AD20" s="23" t="str">
        <f t="shared" si="5"/>
        <v>2028</v>
      </c>
      <c r="AE20" s="23" t="str">
        <f t="shared" si="5"/>
        <v>2029</v>
      </c>
      <c r="AF20" s="23" t="str">
        <f t="shared" si="5"/>
        <v>2030</v>
      </c>
      <c r="AG20" s="23" t="str">
        <f t="shared" si="5"/>
        <v>2031</v>
      </c>
      <c r="AH20" s="23" t="str">
        <f t="shared" si="5"/>
        <v>2032</v>
      </c>
      <c r="AI20" s="23" t="str">
        <f t="shared" si="5"/>
        <v>2033</v>
      </c>
      <c r="AJ20" s="23" t="str">
        <f t="shared" si="5"/>
        <v>2034</v>
      </c>
      <c r="AK20" s="23" t="str">
        <f t="shared" si="5"/>
        <v>2035</v>
      </c>
      <c r="AL20" s="23" t="str">
        <f t="shared" si="5"/>
        <v>2036</v>
      </c>
      <c r="AM20" s="23" t="str">
        <f t="shared" si="5"/>
        <v>2037</v>
      </c>
      <c r="AN20" s="23" t="str">
        <f t="shared" si="5"/>
        <v>2038</v>
      </c>
      <c r="AO20" s="23" t="str">
        <f t="shared" si="5"/>
        <v>2039</v>
      </c>
      <c r="AP20" s="23" t="str">
        <f t="shared" si="5"/>
        <v>2040</v>
      </c>
      <c r="AQ20" s="23" t="str">
        <f>AQ2</f>
        <v>2041</v>
      </c>
    </row>
    <row r="21" spans="1:43">
      <c r="A21" s="20" t="s">
        <v>17</v>
      </c>
    </row>
    <row r="22" spans="1:43">
      <c r="A22" s="20" t="s">
        <v>18</v>
      </c>
    </row>
    <row r="23" spans="1:43">
      <c r="A23" s="20" t="s">
        <v>19</v>
      </c>
    </row>
    <row r="24" spans="1:43">
      <c r="A24" s="20" t="s">
        <v>20</v>
      </c>
    </row>
    <row r="25" spans="1:43">
      <c r="A25" s="20" t="s">
        <v>21</v>
      </c>
    </row>
    <row r="26" spans="1:43">
      <c r="A26" s="20" t="s">
        <v>22</v>
      </c>
    </row>
    <row r="27" spans="1:43">
      <c r="A27" s="20" t="s">
        <v>23</v>
      </c>
    </row>
    <row r="28" spans="1:43">
      <c r="A28" s="20" t="s">
        <v>24</v>
      </c>
    </row>
    <row r="29" spans="1:43">
      <c r="A29" s="20" t="s">
        <v>25</v>
      </c>
    </row>
    <row r="30" spans="1:43">
      <c r="A30" s="20" t="s">
        <v>26</v>
      </c>
    </row>
    <row r="31" spans="1:43">
      <c r="A31" s="20" t="s">
        <v>27</v>
      </c>
    </row>
    <row r="32" spans="1:43">
      <c r="A32" s="20" t="s">
        <v>28</v>
      </c>
    </row>
    <row r="33" spans="1:43" ht="15.75" thickBot="1">
      <c r="A33" s="20" t="s">
        <v>29</v>
      </c>
    </row>
    <row r="34" spans="1:43">
      <c r="A34" s="25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</row>
    <row r="35" spans="1:43" ht="15.75" thickBot="1">
      <c r="A35" s="20" t="s">
        <v>30</v>
      </c>
    </row>
    <row r="36" spans="1:43" ht="15.75" thickBot="1">
      <c r="A36" s="22"/>
      <c r="B36" s="23" t="str">
        <f>B20</f>
        <v>2000</v>
      </c>
      <c r="C36" s="23" t="str">
        <f t="shared" ref="C36:AP36" si="6">C20</f>
        <v>2001</v>
      </c>
      <c r="D36" s="23" t="str">
        <f t="shared" si="6"/>
        <v>2002</v>
      </c>
      <c r="E36" s="23" t="str">
        <f t="shared" si="6"/>
        <v>2003</v>
      </c>
      <c r="F36" s="23" t="str">
        <f t="shared" si="6"/>
        <v>2004</v>
      </c>
      <c r="G36" s="23" t="str">
        <f t="shared" si="6"/>
        <v>2005</v>
      </c>
      <c r="H36" s="23" t="str">
        <f t="shared" si="6"/>
        <v>2006</v>
      </c>
      <c r="I36" s="23" t="str">
        <f t="shared" si="6"/>
        <v>2007</v>
      </c>
      <c r="J36" s="23" t="str">
        <f t="shared" si="6"/>
        <v>2008</v>
      </c>
      <c r="K36" s="23" t="str">
        <f t="shared" si="6"/>
        <v>2009</v>
      </c>
      <c r="L36" s="23" t="str">
        <f t="shared" si="6"/>
        <v>2010</v>
      </c>
      <c r="M36" s="23" t="str">
        <f t="shared" si="6"/>
        <v>2011</v>
      </c>
      <c r="N36" s="23" t="str">
        <f t="shared" si="6"/>
        <v>2012</v>
      </c>
      <c r="O36" s="23" t="str">
        <f t="shared" si="6"/>
        <v>2013</v>
      </c>
      <c r="P36" s="23" t="str">
        <f t="shared" si="6"/>
        <v>2014</v>
      </c>
      <c r="Q36" s="23" t="str">
        <f t="shared" si="6"/>
        <v>2015</v>
      </c>
      <c r="R36" s="23" t="str">
        <f t="shared" si="6"/>
        <v>2016</v>
      </c>
      <c r="S36" s="23" t="str">
        <f t="shared" si="6"/>
        <v>2017</v>
      </c>
      <c r="T36" s="23" t="str">
        <f t="shared" si="6"/>
        <v>2018</v>
      </c>
      <c r="U36" s="23" t="str">
        <f t="shared" si="6"/>
        <v>2019</v>
      </c>
      <c r="V36" s="23" t="str">
        <f t="shared" si="6"/>
        <v>2020</v>
      </c>
      <c r="W36" s="23" t="str">
        <f t="shared" si="6"/>
        <v>2021</v>
      </c>
      <c r="X36" s="23" t="str">
        <f t="shared" si="6"/>
        <v>2022</v>
      </c>
      <c r="Y36" s="23" t="str">
        <f t="shared" si="6"/>
        <v>2023</v>
      </c>
      <c r="Z36" s="23" t="str">
        <f t="shared" si="6"/>
        <v>2024</v>
      </c>
      <c r="AA36" s="23" t="str">
        <f t="shared" si="6"/>
        <v>2025</v>
      </c>
      <c r="AB36" s="23" t="str">
        <f t="shared" si="6"/>
        <v>2026</v>
      </c>
      <c r="AC36" s="23" t="str">
        <f t="shared" si="6"/>
        <v>2027</v>
      </c>
      <c r="AD36" s="23" t="str">
        <f t="shared" si="6"/>
        <v>2028</v>
      </c>
      <c r="AE36" s="23" t="str">
        <f t="shared" si="6"/>
        <v>2029</v>
      </c>
      <c r="AF36" s="23" t="str">
        <f t="shared" si="6"/>
        <v>2030</v>
      </c>
      <c r="AG36" s="23" t="str">
        <f t="shared" si="6"/>
        <v>2031</v>
      </c>
      <c r="AH36" s="23" t="str">
        <f t="shared" si="6"/>
        <v>2032</v>
      </c>
      <c r="AI36" s="23" t="str">
        <f t="shared" si="6"/>
        <v>2033</v>
      </c>
      <c r="AJ36" s="23" t="str">
        <f t="shared" si="6"/>
        <v>2034</v>
      </c>
      <c r="AK36" s="23" t="str">
        <f t="shared" si="6"/>
        <v>2035</v>
      </c>
      <c r="AL36" s="23" t="str">
        <f t="shared" si="6"/>
        <v>2036</v>
      </c>
      <c r="AM36" s="23" t="str">
        <f t="shared" si="6"/>
        <v>2037</v>
      </c>
      <c r="AN36" s="23" t="str">
        <f t="shared" si="6"/>
        <v>2038</v>
      </c>
      <c r="AO36" s="23" t="str">
        <f t="shared" si="6"/>
        <v>2039</v>
      </c>
      <c r="AP36" s="23" t="str">
        <f t="shared" si="6"/>
        <v>2040</v>
      </c>
      <c r="AQ36" s="23" t="str">
        <f>AQ20</f>
        <v>2041</v>
      </c>
    </row>
    <row r="37" spans="1:43">
      <c r="A37" s="20" t="s">
        <v>17</v>
      </c>
    </row>
    <row r="38" spans="1:43">
      <c r="A38" s="20" t="s">
        <v>18</v>
      </c>
    </row>
    <row r="39" spans="1:43">
      <c r="A39" s="20" t="s">
        <v>19</v>
      </c>
    </row>
    <row r="40" spans="1:43">
      <c r="A40" s="20" t="s">
        <v>20</v>
      </c>
    </row>
    <row r="41" spans="1:43">
      <c r="A41" s="20" t="s">
        <v>21</v>
      </c>
    </row>
    <row r="42" spans="1:43">
      <c r="A42" s="20" t="s">
        <v>22</v>
      </c>
    </row>
    <row r="43" spans="1:43">
      <c r="A43" s="20" t="s">
        <v>23</v>
      </c>
    </row>
    <row r="44" spans="1:43">
      <c r="A44" s="20" t="s">
        <v>24</v>
      </c>
    </row>
    <row r="45" spans="1:43">
      <c r="A45" s="20" t="s">
        <v>25</v>
      </c>
    </row>
    <row r="46" spans="1:43">
      <c r="A46" s="20" t="s">
        <v>26</v>
      </c>
    </row>
    <row r="47" spans="1:43">
      <c r="A47" s="20" t="s">
        <v>27</v>
      </c>
    </row>
    <row r="48" spans="1:43">
      <c r="A48" s="20" t="s">
        <v>28</v>
      </c>
    </row>
    <row r="49" spans="1:43" ht="15.75" thickBot="1">
      <c r="A49" s="20" t="s">
        <v>29</v>
      </c>
    </row>
    <row r="50" spans="1:43">
      <c r="A50" s="25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</row>
    <row r="51" spans="1:43" ht="15.75" thickBot="1">
      <c r="A51" s="20" t="s">
        <v>31</v>
      </c>
    </row>
    <row r="52" spans="1:43" ht="15.75" thickBot="1">
      <c r="A52" s="22"/>
      <c r="B52" s="23" t="str">
        <f>B36</f>
        <v>2000</v>
      </c>
      <c r="C52" s="23" t="str">
        <f t="shared" ref="C52:AP52" si="7">C36</f>
        <v>2001</v>
      </c>
      <c r="D52" s="23" t="str">
        <f t="shared" si="7"/>
        <v>2002</v>
      </c>
      <c r="E52" s="23" t="str">
        <f t="shared" si="7"/>
        <v>2003</v>
      </c>
      <c r="F52" s="23" t="str">
        <f t="shared" si="7"/>
        <v>2004</v>
      </c>
      <c r="G52" s="23" t="str">
        <f t="shared" si="7"/>
        <v>2005</v>
      </c>
      <c r="H52" s="23" t="str">
        <f t="shared" si="7"/>
        <v>2006</v>
      </c>
      <c r="I52" s="23" t="str">
        <f t="shared" si="7"/>
        <v>2007</v>
      </c>
      <c r="J52" s="23" t="str">
        <f t="shared" si="7"/>
        <v>2008</v>
      </c>
      <c r="K52" s="23" t="str">
        <f t="shared" si="7"/>
        <v>2009</v>
      </c>
      <c r="L52" s="23" t="str">
        <f t="shared" si="7"/>
        <v>2010</v>
      </c>
      <c r="M52" s="23" t="str">
        <f t="shared" si="7"/>
        <v>2011</v>
      </c>
      <c r="N52" s="23" t="str">
        <f t="shared" si="7"/>
        <v>2012</v>
      </c>
      <c r="O52" s="23" t="str">
        <f t="shared" si="7"/>
        <v>2013</v>
      </c>
      <c r="P52" s="23" t="str">
        <f t="shared" si="7"/>
        <v>2014</v>
      </c>
      <c r="Q52" s="23" t="str">
        <f t="shared" si="7"/>
        <v>2015</v>
      </c>
      <c r="R52" s="23" t="str">
        <f t="shared" si="7"/>
        <v>2016</v>
      </c>
      <c r="S52" s="23" t="str">
        <f t="shared" si="7"/>
        <v>2017</v>
      </c>
      <c r="T52" s="23" t="str">
        <f t="shared" si="7"/>
        <v>2018</v>
      </c>
      <c r="U52" s="23" t="str">
        <f t="shared" si="7"/>
        <v>2019</v>
      </c>
      <c r="V52" s="23" t="str">
        <f t="shared" si="7"/>
        <v>2020</v>
      </c>
      <c r="W52" s="23" t="str">
        <f t="shared" si="7"/>
        <v>2021</v>
      </c>
      <c r="X52" s="23" t="str">
        <f t="shared" si="7"/>
        <v>2022</v>
      </c>
      <c r="Y52" s="23" t="str">
        <f t="shared" si="7"/>
        <v>2023</v>
      </c>
      <c r="Z52" s="23" t="str">
        <f t="shared" si="7"/>
        <v>2024</v>
      </c>
      <c r="AA52" s="23" t="str">
        <f t="shared" si="7"/>
        <v>2025</v>
      </c>
      <c r="AB52" s="23" t="str">
        <f t="shared" si="7"/>
        <v>2026</v>
      </c>
      <c r="AC52" s="23" t="str">
        <f t="shared" si="7"/>
        <v>2027</v>
      </c>
      <c r="AD52" s="23" t="str">
        <f t="shared" si="7"/>
        <v>2028</v>
      </c>
      <c r="AE52" s="23" t="str">
        <f t="shared" si="7"/>
        <v>2029</v>
      </c>
      <c r="AF52" s="23" t="str">
        <f t="shared" si="7"/>
        <v>2030</v>
      </c>
      <c r="AG52" s="23" t="str">
        <f t="shared" si="7"/>
        <v>2031</v>
      </c>
      <c r="AH52" s="23" t="str">
        <f t="shared" si="7"/>
        <v>2032</v>
      </c>
      <c r="AI52" s="23" t="str">
        <f t="shared" si="7"/>
        <v>2033</v>
      </c>
      <c r="AJ52" s="23" t="str">
        <f t="shared" si="7"/>
        <v>2034</v>
      </c>
      <c r="AK52" s="23" t="str">
        <f t="shared" si="7"/>
        <v>2035</v>
      </c>
      <c r="AL52" s="23" t="str">
        <f t="shared" si="7"/>
        <v>2036</v>
      </c>
      <c r="AM52" s="23" t="str">
        <f t="shared" si="7"/>
        <v>2037</v>
      </c>
      <c r="AN52" s="23" t="str">
        <f t="shared" si="7"/>
        <v>2038</v>
      </c>
      <c r="AO52" s="23" t="str">
        <f t="shared" si="7"/>
        <v>2039</v>
      </c>
      <c r="AP52" s="23" t="str">
        <f t="shared" si="7"/>
        <v>2040</v>
      </c>
      <c r="AQ52" s="23" t="str">
        <f>AQ36</f>
        <v>2041</v>
      </c>
    </row>
    <row r="53" spans="1:43">
      <c r="A53" s="20" t="s">
        <v>17</v>
      </c>
    </row>
    <row r="54" spans="1:43">
      <c r="A54" s="20" t="s">
        <v>18</v>
      </c>
    </row>
    <row r="55" spans="1:43">
      <c r="A55" s="20" t="s">
        <v>19</v>
      </c>
    </row>
    <row r="56" spans="1:43">
      <c r="A56" s="20" t="s">
        <v>20</v>
      </c>
    </row>
    <row r="57" spans="1:43">
      <c r="A57" s="20" t="s">
        <v>21</v>
      </c>
    </row>
    <row r="58" spans="1:43">
      <c r="A58" s="20" t="s">
        <v>22</v>
      </c>
    </row>
    <row r="59" spans="1:43">
      <c r="A59" s="20" t="s">
        <v>23</v>
      </c>
    </row>
    <row r="60" spans="1:43">
      <c r="A60" s="20" t="s">
        <v>24</v>
      </c>
    </row>
    <row r="61" spans="1:43">
      <c r="A61" s="20" t="s">
        <v>25</v>
      </c>
    </row>
    <row r="62" spans="1:43">
      <c r="A62" s="20" t="s">
        <v>26</v>
      </c>
    </row>
    <row r="63" spans="1:43">
      <c r="A63" s="20" t="s">
        <v>27</v>
      </c>
    </row>
    <row r="64" spans="1:43">
      <c r="A64" s="20" t="s">
        <v>28</v>
      </c>
    </row>
    <row r="65" spans="1:43" ht="15.75" thickBot="1">
      <c r="A65" s="20" t="s">
        <v>29</v>
      </c>
    </row>
    <row r="66" spans="1:43">
      <c r="A66" s="25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</row>
    <row r="67" spans="1:43" ht="15.75" thickBot="1">
      <c r="A67" s="20" t="s">
        <v>32</v>
      </c>
    </row>
    <row r="68" spans="1:43" ht="15.75" thickBot="1">
      <c r="A68" s="22"/>
      <c r="B68" s="23" t="str">
        <f>B52</f>
        <v>2000</v>
      </c>
      <c r="C68" s="23" t="str">
        <f t="shared" ref="C68:AP68" si="8">C52</f>
        <v>2001</v>
      </c>
      <c r="D68" s="23" t="str">
        <f t="shared" si="8"/>
        <v>2002</v>
      </c>
      <c r="E68" s="23" t="str">
        <f t="shared" si="8"/>
        <v>2003</v>
      </c>
      <c r="F68" s="23" t="str">
        <f t="shared" si="8"/>
        <v>2004</v>
      </c>
      <c r="G68" s="23" t="str">
        <f t="shared" si="8"/>
        <v>2005</v>
      </c>
      <c r="H68" s="23" t="str">
        <f t="shared" si="8"/>
        <v>2006</v>
      </c>
      <c r="I68" s="23" t="str">
        <f t="shared" si="8"/>
        <v>2007</v>
      </c>
      <c r="J68" s="23" t="str">
        <f t="shared" si="8"/>
        <v>2008</v>
      </c>
      <c r="K68" s="23" t="str">
        <f t="shared" si="8"/>
        <v>2009</v>
      </c>
      <c r="L68" s="23" t="str">
        <f t="shared" si="8"/>
        <v>2010</v>
      </c>
      <c r="M68" s="23" t="str">
        <f t="shared" si="8"/>
        <v>2011</v>
      </c>
      <c r="N68" s="23" t="str">
        <f t="shared" si="8"/>
        <v>2012</v>
      </c>
      <c r="O68" s="23" t="str">
        <f t="shared" si="8"/>
        <v>2013</v>
      </c>
      <c r="P68" s="23" t="str">
        <f t="shared" si="8"/>
        <v>2014</v>
      </c>
      <c r="Q68" s="23" t="str">
        <f t="shared" si="8"/>
        <v>2015</v>
      </c>
      <c r="R68" s="23" t="str">
        <f t="shared" si="8"/>
        <v>2016</v>
      </c>
      <c r="S68" s="23" t="str">
        <f t="shared" si="8"/>
        <v>2017</v>
      </c>
      <c r="T68" s="23" t="str">
        <f t="shared" si="8"/>
        <v>2018</v>
      </c>
      <c r="U68" s="23" t="str">
        <f t="shared" si="8"/>
        <v>2019</v>
      </c>
      <c r="V68" s="23" t="str">
        <f t="shared" si="8"/>
        <v>2020</v>
      </c>
      <c r="W68" s="23" t="str">
        <f t="shared" si="8"/>
        <v>2021</v>
      </c>
      <c r="X68" s="23" t="str">
        <f t="shared" si="8"/>
        <v>2022</v>
      </c>
      <c r="Y68" s="23" t="str">
        <f t="shared" si="8"/>
        <v>2023</v>
      </c>
      <c r="Z68" s="23" t="str">
        <f t="shared" si="8"/>
        <v>2024</v>
      </c>
      <c r="AA68" s="23" t="str">
        <f t="shared" si="8"/>
        <v>2025</v>
      </c>
      <c r="AB68" s="23" t="str">
        <f t="shared" si="8"/>
        <v>2026</v>
      </c>
      <c r="AC68" s="23" t="str">
        <f t="shared" si="8"/>
        <v>2027</v>
      </c>
      <c r="AD68" s="23" t="str">
        <f t="shared" si="8"/>
        <v>2028</v>
      </c>
      <c r="AE68" s="23" t="str">
        <f t="shared" si="8"/>
        <v>2029</v>
      </c>
      <c r="AF68" s="23" t="str">
        <f t="shared" si="8"/>
        <v>2030</v>
      </c>
      <c r="AG68" s="23" t="str">
        <f t="shared" si="8"/>
        <v>2031</v>
      </c>
      <c r="AH68" s="23" t="str">
        <f t="shared" si="8"/>
        <v>2032</v>
      </c>
      <c r="AI68" s="23" t="str">
        <f t="shared" si="8"/>
        <v>2033</v>
      </c>
      <c r="AJ68" s="23" t="str">
        <f t="shared" si="8"/>
        <v>2034</v>
      </c>
      <c r="AK68" s="23" t="str">
        <f t="shared" si="8"/>
        <v>2035</v>
      </c>
      <c r="AL68" s="23" t="str">
        <f t="shared" si="8"/>
        <v>2036</v>
      </c>
      <c r="AM68" s="23" t="str">
        <f t="shared" si="8"/>
        <v>2037</v>
      </c>
      <c r="AN68" s="23" t="str">
        <f t="shared" si="8"/>
        <v>2038</v>
      </c>
      <c r="AO68" s="23" t="str">
        <f t="shared" si="8"/>
        <v>2039</v>
      </c>
      <c r="AP68" s="23" t="str">
        <f t="shared" si="8"/>
        <v>2040</v>
      </c>
      <c r="AQ68" s="23" t="str">
        <f>AQ52</f>
        <v>2041</v>
      </c>
    </row>
    <row r="69" spans="1:43">
      <c r="A69" s="20" t="s">
        <v>17</v>
      </c>
    </row>
    <row r="70" spans="1:43">
      <c r="A70" s="20" t="s">
        <v>18</v>
      </c>
    </row>
    <row r="71" spans="1:43">
      <c r="A71" s="20" t="s">
        <v>19</v>
      </c>
    </row>
    <row r="72" spans="1:43">
      <c r="A72" s="20" t="s">
        <v>20</v>
      </c>
    </row>
    <row r="73" spans="1:43">
      <c r="A73" s="20" t="s">
        <v>21</v>
      </c>
    </row>
    <row r="74" spans="1:43">
      <c r="A74" s="20" t="s">
        <v>22</v>
      </c>
    </row>
    <row r="75" spans="1:43">
      <c r="A75" s="20" t="s">
        <v>23</v>
      </c>
    </row>
    <row r="76" spans="1:43">
      <c r="A76" s="20" t="s">
        <v>24</v>
      </c>
    </row>
    <row r="77" spans="1:43">
      <c r="A77" s="20" t="s">
        <v>25</v>
      </c>
    </row>
    <row r="78" spans="1:43">
      <c r="A78" s="20" t="s">
        <v>26</v>
      </c>
    </row>
    <row r="79" spans="1:43">
      <c r="A79" s="20" t="s">
        <v>27</v>
      </c>
    </row>
    <row r="80" spans="1:43">
      <c r="A80" s="20" t="s">
        <v>28</v>
      </c>
    </row>
    <row r="81" spans="1:43" ht="15.75" thickBot="1">
      <c r="A81" s="20" t="s">
        <v>29</v>
      </c>
    </row>
    <row r="82" spans="1:43">
      <c r="A82" s="25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</row>
    <row r="83" spans="1:43" ht="15.75" thickBot="1">
      <c r="A83" s="20" t="s">
        <v>33</v>
      </c>
    </row>
    <row r="84" spans="1:43" ht="15.75" thickBot="1">
      <c r="A84" s="22"/>
      <c r="B84" s="23" t="str">
        <f>B68</f>
        <v>2000</v>
      </c>
      <c r="C84" s="23" t="str">
        <f t="shared" ref="C84:AP84" si="9">C68</f>
        <v>2001</v>
      </c>
      <c r="D84" s="23" t="str">
        <f t="shared" si="9"/>
        <v>2002</v>
      </c>
      <c r="E84" s="23" t="str">
        <f t="shared" si="9"/>
        <v>2003</v>
      </c>
      <c r="F84" s="23" t="str">
        <f t="shared" si="9"/>
        <v>2004</v>
      </c>
      <c r="G84" s="23" t="str">
        <f t="shared" si="9"/>
        <v>2005</v>
      </c>
      <c r="H84" s="23" t="str">
        <f t="shared" si="9"/>
        <v>2006</v>
      </c>
      <c r="I84" s="23" t="str">
        <f t="shared" si="9"/>
        <v>2007</v>
      </c>
      <c r="J84" s="23" t="str">
        <f t="shared" si="9"/>
        <v>2008</v>
      </c>
      <c r="K84" s="23" t="str">
        <f t="shared" si="9"/>
        <v>2009</v>
      </c>
      <c r="L84" s="23" t="str">
        <f t="shared" si="9"/>
        <v>2010</v>
      </c>
      <c r="M84" s="23" t="str">
        <f t="shared" si="9"/>
        <v>2011</v>
      </c>
      <c r="N84" s="23" t="str">
        <f t="shared" si="9"/>
        <v>2012</v>
      </c>
      <c r="O84" s="23" t="str">
        <f t="shared" si="9"/>
        <v>2013</v>
      </c>
      <c r="P84" s="23" t="str">
        <f t="shared" si="9"/>
        <v>2014</v>
      </c>
      <c r="Q84" s="23" t="str">
        <f t="shared" si="9"/>
        <v>2015</v>
      </c>
      <c r="R84" s="23" t="str">
        <f t="shared" si="9"/>
        <v>2016</v>
      </c>
      <c r="S84" s="23" t="str">
        <f t="shared" si="9"/>
        <v>2017</v>
      </c>
      <c r="T84" s="23" t="str">
        <f t="shared" si="9"/>
        <v>2018</v>
      </c>
      <c r="U84" s="23" t="str">
        <f t="shared" si="9"/>
        <v>2019</v>
      </c>
      <c r="V84" s="23" t="str">
        <f t="shared" si="9"/>
        <v>2020</v>
      </c>
      <c r="W84" s="23" t="str">
        <f t="shared" si="9"/>
        <v>2021</v>
      </c>
      <c r="X84" s="23" t="str">
        <f t="shared" si="9"/>
        <v>2022</v>
      </c>
      <c r="Y84" s="23" t="str">
        <f t="shared" si="9"/>
        <v>2023</v>
      </c>
      <c r="Z84" s="23" t="str">
        <f t="shared" si="9"/>
        <v>2024</v>
      </c>
      <c r="AA84" s="23" t="str">
        <f t="shared" si="9"/>
        <v>2025</v>
      </c>
      <c r="AB84" s="23" t="str">
        <f t="shared" si="9"/>
        <v>2026</v>
      </c>
      <c r="AC84" s="23" t="str">
        <f t="shared" si="9"/>
        <v>2027</v>
      </c>
      <c r="AD84" s="23" t="str">
        <f t="shared" si="9"/>
        <v>2028</v>
      </c>
      <c r="AE84" s="23" t="str">
        <f t="shared" si="9"/>
        <v>2029</v>
      </c>
      <c r="AF84" s="23" t="str">
        <f t="shared" si="9"/>
        <v>2030</v>
      </c>
      <c r="AG84" s="23" t="str">
        <f t="shared" si="9"/>
        <v>2031</v>
      </c>
      <c r="AH84" s="23" t="str">
        <f t="shared" si="9"/>
        <v>2032</v>
      </c>
      <c r="AI84" s="23" t="str">
        <f t="shared" si="9"/>
        <v>2033</v>
      </c>
      <c r="AJ84" s="23" t="str">
        <f t="shared" si="9"/>
        <v>2034</v>
      </c>
      <c r="AK84" s="23" t="str">
        <f t="shared" si="9"/>
        <v>2035</v>
      </c>
      <c r="AL84" s="23" t="str">
        <f t="shared" si="9"/>
        <v>2036</v>
      </c>
      <c r="AM84" s="23" t="str">
        <f t="shared" si="9"/>
        <v>2037</v>
      </c>
      <c r="AN84" s="23" t="str">
        <f t="shared" si="9"/>
        <v>2038</v>
      </c>
      <c r="AO84" s="23" t="str">
        <f t="shared" si="9"/>
        <v>2039</v>
      </c>
      <c r="AP84" s="23" t="str">
        <f t="shared" si="9"/>
        <v>2040</v>
      </c>
      <c r="AQ84" s="23" t="str">
        <f>AQ68</f>
        <v>2041</v>
      </c>
    </row>
    <row r="85" spans="1:43">
      <c r="A85" s="20" t="s">
        <v>17</v>
      </c>
    </row>
    <row r="86" spans="1:43">
      <c r="A86" s="20" t="s">
        <v>18</v>
      </c>
    </row>
    <row r="87" spans="1:43">
      <c r="A87" s="20" t="s">
        <v>19</v>
      </c>
    </row>
    <row r="88" spans="1:43">
      <c r="A88" s="20" t="s">
        <v>20</v>
      </c>
    </row>
    <row r="89" spans="1:43">
      <c r="A89" s="20" t="s">
        <v>21</v>
      </c>
    </row>
    <row r="90" spans="1:43">
      <c r="A90" s="20" t="s">
        <v>22</v>
      </c>
    </row>
    <row r="91" spans="1:43">
      <c r="A91" s="20" t="s">
        <v>23</v>
      </c>
    </row>
    <row r="92" spans="1:43">
      <c r="A92" s="20" t="s">
        <v>24</v>
      </c>
    </row>
    <row r="93" spans="1:43">
      <c r="A93" s="20" t="s">
        <v>25</v>
      </c>
    </row>
    <row r="94" spans="1:43">
      <c r="A94" s="20" t="s">
        <v>26</v>
      </c>
    </row>
    <row r="95" spans="1:43">
      <c r="A95" s="20" t="s">
        <v>27</v>
      </c>
    </row>
    <row r="96" spans="1:43">
      <c r="A96" s="20" t="s">
        <v>28</v>
      </c>
    </row>
    <row r="97" spans="1:43" ht="15.75" thickBot="1">
      <c r="A97" s="20" t="s">
        <v>29</v>
      </c>
    </row>
    <row r="98" spans="1:43">
      <c r="A98" s="25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</row>
    <row r="99" spans="1:43" ht="15.75" thickBot="1">
      <c r="A99" s="20" t="s">
        <v>34</v>
      </c>
    </row>
    <row r="100" spans="1:43" ht="15.75" thickBot="1">
      <c r="A100" s="22"/>
      <c r="B100" s="23" t="str">
        <f>B84</f>
        <v>2000</v>
      </c>
      <c r="C100" s="23" t="str">
        <f t="shared" ref="C100:AP100" si="10">C84</f>
        <v>2001</v>
      </c>
      <c r="D100" s="23" t="str">
        <f t="shared" si="10"/>
        <v>2002</v>
      </c>
      <c r="E100" s="23" t="str">
        <f t="shared" si="10"/>
        <v>2003</v>
      </c>
      <c r="F100" s="23" t="str">
        <f t="shared" si="10"/>
        <v>2004</v>
      </c>
      <c r="G100" s="23" t="str">
        <f t="shared" si="10"/>
        <v>2005</v>
      </c>
      <c r="H100" s="23" t="str">
        <f t="shared" si="10"/>
        <v>2006</v>
      </c>
      <c r="I100" s="23" t="str">
        <f t="shared" si="10"/>
        <v>2007</v>
      </c>
      <c r="J100" s="23" t="str">
        <f t="shared" si="10"/>
        <v>2008</v>
      </c>
      <c r="K100" s="23" t="str">
        <f t="shared" si="10"/>
        <v>2009</v>
      </c>
      <c r="L100" s="23" t="str">
        <f t="shared" si="10"/>
        <v>2010</v>
      </c>
      <c r="M100" s="23" t="str">
        <f t="shared" si="10"/>
        <v>2011</v>
      </c>
      <c r="N100" s="23" t="str">
        <f t="shared" si="10"/>
        <v>2012</v>
      </c>
      <c r="O100" s="23" t="str">
        <f t="shared" si="10"/>
        <v>2013</v>
      </c>
      <c r="P100" s="23" t="str">
        <f t="shared" si="10"/>
        <v>2014</v>
      </c>
      <c r="Q100" s="23" t="str">
        <f t="shared" si="10"/>
        <v>2015</v>
      </c>
      <c r="R100" s="23" t="str">
        <f t="shared" si="10"/>
        <v>2016</v>
      </c>
      <c r="S100" s="23" t="str">
        <f t="shared" si="10"/>
        <v>2017</v>
      </c>
      <c r="T100" s="23" t="str">
        <f t="shared" si="10"/>
        <v>2018</v>
      </c>
      <c r="U100" s="23" t="str">
        <f t="shared" si="10"/>
        <v>2019</v>
      </c>
      <c r="V100" s="23" t="str">
        <f t="shared" si="10"/>
        <v>2020</v>
      </c>
      <c r="W100" s="23" t="str">
        <f t="shared" si="10"/>
        <v>2021</v>
      </c>
      <c r="X100" s="23" t="str">
        <f t="shared" si="10"/>
        <v>2022</v>
      </c>
      <c r="Y100" s="23" t="str">
        <f t="shared" si="10"/>
        <v>2023</v>
      </c>
      <c r="Z100" s="23" t="str">
        <f t="shared" si="10"/>
        <v>2024</v>
      </c>
      <c r="AA100" s="23" t="str">
        <f t="shared" si="10"/>
        <v>2025</v>
      </c>
      <c r="AB100" s="23" t="str">
        <f t="shared" si="10"/>
        <v>2026</v>
      </c>
      <c r="AC100" s="23" t="str">
        <f t="shared" si="10"/>
        <v>2027</v>
      </c>
      <c r="AD100" s="23" t="str">
        <f t="shared" si="10"/>
        <v>2028</v>
      </c>
      <c r="AE100" s="23" t="str">
        <f t="shared" si="10"/>
        <v>2029</v>
      </c>
      <c r="AF100" s="23" t="str">
        <f t="shared" si="10"/>
        <v>2030</v>
      </c>
      <c r="AG100" s="23" t="str">
        <f t="shared" si="10"/>
        <v>2031</v>
      </c>
      <c r="AH100" s="23" t="str">
        <f t="shared" si="10"/>
        <v>2032</v>
      </c>
      <c r="AI100" s="23" t="str">
        <f t="shared" si="10"/>
        <v>2033</v>
      </c>
      <c r="AJ100" s="23" t="str">
        <f t="shared" si="10"/>
        <v>2034</v>
      </c>
      <c r="AK100" s="23" t="str">
        <f t="shared" si="10"/>
        <v>2035</v>
      </c>
      <c r="AL100" s="23" t="str">
        <f t="shared" si="10"/>
        <v>2036</v>
      </c>
      <c r="AM100" s="23" t="str">
        <f t="shared" si="10"/>
        <v>2037</v>
      </c>
      <c r="AN100" s="23" t="str">
        <f t="shared" si="10"/>
        <v>2038</v>
      </c>
      <c r="AO100" s="23" t="str">
        <f t="shared" si="10"/>
        <v>2039</v>
      </c>
      <c r="AP100" s="23" t="str">
        <f t="shared" si="10"/>
        <v>2040</v>
      </c>
      <c r="AQ100" s="23" t="str">
        <f>AQ84</f>
        <v>2041</v>
      </c>
    </row>
    <row r="101" spans="1:43">
      <c r="A101" s="20" t="s">
        <v>17</v>
      </c>
    </row>
    <row r="102" spans="1:43">
      <c r="A102" s="20" t="s">
        <v>18</v>
      </c>
    </row>
    <row r="103" spans="1:43">
      <c r="A103" s="20" t="s">
        <v>19</v>
      </c>
    </row>
    <row r="104" spans="1:43">
      <c r="A104" s="20" t="s">
        <v>20</v>
      </c>
    </row>
    <row r="105" spans="1:43">
      <c r="A105" s="20" t="s">
        <v>21</v>
      </c>
    </row>
    <row r="106" spans="1:43">
      <c r="A106" s="20" t="s">
        <v>22</v>
      </c>
    </row>
    <row r="107" spans="1:43">
      <c r="A107" s="20" t="s">
        <v>23</v>
      </c>
    </row>
    <row r="108" spans="1:43">
      <c r="A108" s="20" t="s">
        <v>24</v>
      </c>
    </row>
    <row r="109" spans="1:43">
      <c r="A109" s="20" t="s">
        <v>25</v>
      </c>
    </row>
    <row r="110" spans="1:43">
      <c r="A110" s="20" t="s">
        <v>26</v>
      </c>
    </row>
    <row r="111" spans="1:43">
      <c r="A111" s="20" t="s">
        <v>27</v>
      </c>
    </row>
    <row r="112" spans="1:43">
      <c r="A112" s="20" t="s">
        <v>28</v>
      </c>
    </row>
    <row r="113" spans="1:43" ht="15.75" thickBot="1">
      <c r="A113" s="20" t="s">
        <v>29</v>
      </c>
    </row>
    <row r="114" spans="1:43">
      <c r="A114" s="25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</row>
    <row r="115" spans="1:43" ht="15.75" thickBot="1">
      <c r="A115" s="20" t="s">
        <v>35</v>
      </c>
    </row>
    <row r="116" spans="1:43" ht="15.75" thickBot="1">
      <c r="A116" s="22"/>
      <c r="B116" s="23" t="str">
        <f>B100</f>
        <v>2000</v>
      </c>
      <c r="C116" s="23" t="str">
        <f t="shared" ref="C116:AP116" si="11">C100</f>
        <v>2001</v>
      </c>
      <c r="D116" s="23" t="str">
        <f t="shared" si="11"/>
        <v>2002</v>
      </c>
      <c r="E116" s="23" t="str">
        <f t="shared" si="11"/>
        <v>2003</v>
      </c>
      <c r="F116" s="23" t="str">
        <f t="shared" si="11"/>
        <v>2004</v>
      </c>
      <c r="G116" s="23" t="str">
        <f t="shared" si="11"/>
        <v>2005</v>
      </c>
      <c r="H116" s="23" t="str">
        <f t="shared" si="11"/>
        <v>2006</v>
      </c>
      <c r="I116" s="23" t="str">
        <f t="shared" si="11"/>
        <v>2007</v>
      </c>
      <c r="J116" s="23" t="str">
        <f t="shared" si="11"/>
        <v>2008</v>
      </c>
      <c r="K116" s="23" t="str">
        <f t="shared" si="11"/>
        <v>2009</v>
      </c>
      <c r="L116" s="23" t="str">
        <f t="shared" si="11"/>
        <v>2010</v>
      </c>
      <c r="M116" s="23" t="str">
        <f t="shared" si="11"/>
        <v>2011</v>
      </c>
      <c r="N116" s="23" t="str">
        <f t="shared" si="11"/>
        <v>2012</v>
      </c>
      <c r="O116" s="23" t="str">
        <f t="shared" si="11"/>
        <v>2013</v>
      </c>
      <c r="P116" s="23" t="str">
        <f t="shared" si="11"/>
        <v>2014</v>
      </c>
      <c r="Q116" s="23" t="str">
        <f t="shared" si="11"/>
        <v>2015</v>
      </c>
      <c r="R116" s="23" t="str">
        <f t="shared" si="11"/>
        <v>2016</v>
      </c>
      <c r="S116" s="23" t="str">
        <f t="shared" si="11"/>
        <v>2017</v>
      </c>
      <c r="T116" s="23" t="str">
        <f t="shared" si="11"/>
        <v>2018</v>
      </c>
      <c r="U116" s="23" t="str">
        <f t="shared" si="11"/>
        <v>2019</v>
      </c>
      <c r="V116" s="23" t="str">
        <f t="shared" si="11"/>
        <v>2020</v>
      </c>
      <c r="W116" s="23" t="str">
        <f t="shared" si="11"/>
        <v>2021</v>
      </c>
      <c r="X116" s="23" t="str">
        <f t="shared" si="11"/>
        <v>2022</v>
      </c>
      <c r="Y116" s="23" t="str">
        <f t="shared" si="11"/>
        <v>2023</v>
      </c>
      <c r="Z116" s="23" t="str">
        <f t="shared" si="11"/>
        <v>2024</v>
      </c>
      <c r="AA116" s="23" t="str">
        <f t="shared" si="11"/>
        <v>2025</v>
      </c>
      <c r="AB116" s="23" t="str">
        <f t="shared" si="11"/>
        <v>2026</v>
      </c>
      <c r="AC116" s="23" t="str">
        <f t="shared" si="11"/>
        <v>2027</v>
      </c>
      <c r="AD116" s="23" t="str">
        <f t="shared" si="11"/>
        <v>2028</v>
      </c>
      <c r="AE116" s="23" t="str">
        <f t="shared" si="11"/>
        <v>2029</v>
      </c>
      <c r="AF116" s="23" t="str">
        <f t="shared" si="11"/>
        <v>2030</v>
      </c>
      <c r="AG116" s="23" t="str">
        <f t="shared" si="11"/>
        <v>2031</v>
      </c>
      <c r="AH116" s="23" t="str">
        <f t="shared" si="11"/>
        <v>2032</v>
      </c>
      <c r="AI116" s="23" t="str">
        <f t="shared" si="11"/>
        <v>2033</v>
      </c>
      <c r="AJ116" s="23" t="str">
        <f t="shared" si="11"/>
        <v>2034</v>
      </c>
      <c r="AK116" s="23" t="str">
        <f t="shared" si="11"/>
        <v>2035</v>
      </c>
      <c r="AL116" s="23" t="str">
        <f t="shared" si="11"/>
        <v>2036</v>
      </c>
      <c r="AM116" s="23" t="str">
        <f t="shared" si="11"/>
        <v>2037</v>
      </c>
      <c r="AN116" s="23" t="str">
        <f t="shared" si="11"/>
        <v>2038</v>
      </c>
      <c r="AO116" s="23" t="str">
        <f t="shared" si="11"/>
        <v>2039</v>
      </c>
      <c r="AP116" s="23" t="str">
        <f t="shared" si="11"/>
        <v>2040</v>
      </c>
      <c r="AQ116" s="23" t="str">
        <f>AQ100</f>
        <v>2041</v>
      </c>
    </row>
    <row r="117" spans="1:43">
      <c r="A117" s="20" t="s">
        <v>17</v>
      </c>
    </row>
    <row r="118" spans="1:43">
      <c r="A118" s="20" t="s">
        <v>18</v>
      </c>
    </row>
    <row r="119" spans="1:43">
      <c r="A119" s="20" t="s">
        <v>19</v>
      </c>
    </row>
    <row r="120" spans="1:43">
      <c r="A120" s="20" t="s">
        <v>20</v>
      </c>
    </row>
    <row r="121" spans="1:43">
      <c r="A121" s="20" t="s">
        <v>21</v>
      </c>
    </row>
    <row r="122" spans="1:43">
      <c r="A122" s="20" t="s">
        <v>22</v>
      </c>
    </row>
    <row r="123" spans="1:43">
      <c r="A123" s="20" t="s">
        <v>23</v>
      </c>
    </row>
    <row r="124" spans="1:43">
      <c r="A124" s="20" t="s">
        <v>24</v>
      </c>
    </row>
    <row r="125" spans="1:43">
      <c r="A125" s="20" t="s">
        <v>25</v>
      </c>
    </row>
    <row r="126" spans="1:43">
      <c r="A126" s="20" t="s">
        <v>26</v>
      </c>
    </row>
    <row r="127" spans="1:43">
      <c r="A127" s="20" t="s">
        <v>27</v>
      </c>
    </row>
    <row r="128" spans="1:43">
      <c r="A128" s="20" t="s">
        <v>28</v>
      </c>
    </row>
    <row r="129" spans="1:43" ht="15.75" thickBot="1">
      <c r="A129" s="20" t="s">
        <v>29</v>
      </c>
    </row>
    <row r="130" spans="1:43">
      <c r="A130" s="25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</row>
    <row r="131" spans="1:43" ht="15.75" thickBot="1">
      <c r="A131" s="20" t="s">
        <v>36</v>
      </c>
    </row>
    <row r="132" spans="1:43" ht="15.75" thickBot="1">
      <c r="A132" s="22"/>
      <c r="B132" s="23" t="str">
        <f>B116</f>
        <v>2000</v>
      </c>
      <c r="C132" s="23" t="str">
        <f t="shared" ref="C132:AP132" si="12">C116</f>
        <v>2001</v>
      </c>
      <c r="D132" s="23" t="str">
        <f t="shared" si="12"/>
        <v>2002</v>
      </c>
      <c r="E132" s="23" t="str">
        <f t="shared" si="12"/>
        <v>2003</v>
      </c>
      <c r="F132" s="23" t="str">
        <f t="shared" si="12"/>
        <v>2004</v>
      </c>
      <c r="G132" s="23" t="str">
        <f t="shared" si="12"/>
        <v>2005</v>
      </c>
      <c r="H132" s="23" t="str">
        <f t="shared" si="12"/>
        <v>2006</v>
      </c>
      <c r="I132" s="23" t="str">
        <f t="shared" si="12"/>
        <v>2007</v>
      </c>
      <c r="J132" s="23" t="str">
        <f t="shared" si="12"/>
        <v>2008</v>
      </c>
      <c r="K132" s="23" t="str">
        <f t="shared" si="12"/>
        <v>2009</v>
      </c>
      <c r="L132" s="23" t="str">
        <f t="shared" si="12"/>
        <v>2010</v>
      </c>
      <c r="M132" s="23" t="str">
        <f t="shared" si="12"/>
        <v>2011</v>
      </c>
      <c r="N132" s="23" t="str">
        <f t="shared" si="12"/>
        <v>2012</v>
      </c>
      <c r="O132" s="23" t="str">
        <f t="shared" si="12"/>
        <v>2013</v>
      </c>
      <c r="P132" s="23" t="str">
        <f t="shared" si="12"/>
        <v>2014</v>
      </c>
      <c r="Q132" s="23" t="str">
        <f t="shared" si="12"/>
        <v>2015</v>
      </c>
      <c r="R132" s="23" t="str">
        <f t="shared" si="12"/>
        <v>2016</v>
      </c>
      <c r="S132" s="23" t="str">
        <f t="shared" si="12"/>
        <v>2017</v>
      </c>
      <c r="T132" s="23" t="str">
        <f t="shared" si="12"/>
        <v>2018</v>
      </c>
      <c r="U132" s="23" t="str">
        <f t="shared" si="12"/>
        <v>2019</v>
      </c>
      <c r="V132" s="23" t="str">
        <f t="shared" si="12"/>
        <v>2020</v>
      </c>
      <c r="W132" s="23" t="str">
        <f t="shared" si="12"/>
        <v>2021</v>
      </c>
      <c r="X132" s="23" t="str">
        <f t="shared" si="12"/>
        <v>2022</v>
      </c>
      <c r="Y132" s="23" t="str">
        <f t="shared" si="12"/>
        <v>2023</v>
      </c>
      <c r="Z132" s="23" t="str">
        <f t="shared" si="12"/>
        <v>2024</v>
      </c>
      <c r="AA132" s="23" t="str">
        <f t="shared" si="12"/>
        <v>2025</v>
      </c>
      <c r="AB132" s="23" t="str">
        <f t="shared" si="12"/>
        <v>2026</v>
      </c>
      <c r="AC132" s="23" t="str">
        <f t="shared" si="12"/>
        <v>2027</v>
      </c>
      <c r="AD132" s="23" t="str">
        <f t="shared" si="12"/>
        <v>2028</v>
      </c>
      <c r="AE132" s="23" t="str">
        <f t="shared" si="12"/>
        <v>2029</v>
      </c>
      <c r="AF132" s="23" t="str">
        <f t="shared" si="12"/>
        <v>2030</v>
      </c>
      <c r="AG132" s="23" t="str">
        <f t="shared" si="12"/>
        <v>2031</v>
      </c>
      <c r="AH132" s="23" t="str">
        <f t="shared" si="12"/>
        <v>2032</v>
      </c>
      <c r="AI132" s="23" t="str">
        <f t="shared" si="12"/>
        <v>2033</v>
      </c>
      <c r="AJ132" s="23" t="str">
        <f t="shared" si="12"/>
        <v>2034</v>
      </c>
      <c r="AK132" s="23" t="str">
        <f t="shared" si="12"/>
        <v>2035</v>
      </c>
      <c r="AL132" s="23" t="str">
        <f t="shared" si="12"/>
        <v>2036</v>
      </c>
      <c r="AM132" s="23" t="str">
        <f t="shared" si="12"/>
        <v>2037</v>
      </c>
      <c r="AN132" s="23" t="str">
        <f t="shared" si="12"/>
        <v>2038</v>
      </c>
      <c r="AO132" s="23" t="str">
        <f t="shared" si="12"/>
        <v>2039</v>
      </c>
      <c r="AP132" s="23" t="str">
        <f t="shared" si="12"/>
        <v>2040</v>
      </c>
      <c r="AQ132" s="23" t="str">
        <f>AQ116</f>
        <v>2041</v>
      </c>
    </row>
    <row r="133" spans="1:43">
      <c r="A133" s="20" t="s">
        <v>17</v>
      </c>
    </row>
    <row r="134" spans="1:43">
      <c r="A134" s="20" t="s">
        <v>18</v>
      </c>
    </row>
    <row r="135" spans="1:43">
      <c r="A135" s="20" t="s">
        <v>19</v>
      </c>
    </row>
    <row r="136" spans="1:43">
      <c r="A136" s="20" t="s">
        <v>20</v>
      </c>
    </row>
    <row r="137" spans="1:43">
      <c r="A137" s="20" t="s">
        <v>21</v>
      </c>
    </row>
    <row r="138" spans="1:43">
      <c r="A138" s="20" t="s">
        <v>22</v>
      </c>
    </row>
    <row r="139" spans="1:43">
      <c r="A139" s="20" t="s">
        <v>23</v>
      </c>
    </row>
    <row r="140" spans="1:43">
      <c r="A140" s="20" t="s">
        <v>24</v>
      </c>
    </row>
    <row r="141" spans="1:43">
      <c r="A141" s="20" t="s">
        <v>25</v>
      </c>
    </row>
    <row r="142" spans="1:43">
      <c r="A142" s="20" t="s">
        <v>26</v>
      </c>
    </row>
    <row r="143" spans="1:43">
      <c r="A143" s="20" t="s">
        <v>27</v>
      </c>
    </row>
    <row r="144" spans="1:43">
      <c r="A144" s="20" t="s">
        <v>28</v>
      </c>
    </row>
    <row r="145" spans="1:43" ht="15.75" thickBot="1">
      <c r="A145" s="20" t="s">
        <v>29</v>
      </c>
    </row>
    <row r="146" spans="1:43">
      <c r="A146" s="25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</row>
    <row r="147" spans="1:43" ht="15.75" thickBot="1">
      <c r="A147" s="20" t="s">
        <v>37</v>
      </c>
    </row>
    <row r="148" spans="1:43" ht="15.75" thickBot="1">
      <c r="A148" s="22"/>
      <c r="B148" s="23" t="str">
        <f>B132</f>
        <v>2000</v>
      </c>
      <c r="C148" s="23" t="str">
        <f t="shared" ref="C148:AP148" si="13">C132</f>
        <v>2001</v>
      </c>
      <c r="D148" s="23" t="str">
        <f t="shared" si="13"/>
        <v>2002</v>
      </c>
      <c r="E148" s="23" t="str">
        <f t="shared" si="13"/>
        <v>2003</v>
      </c>
      <c r="F148" s="23" t="str">
        <f t="shared" si="13"/>
        <v>2004</v>
      </c>
      <c r="G148" s="23" t="str">
        <f t="shared" si="13"/>
        <v>2005</v>
      </c>
      <c r="H148" s="23" t="str">
        <f t="shared" si="13"/>
        <v>2006</v>
      </c>
      <c r="I148" s="23" t="str">
        <f t="shared" si="13"/>
        <v>2007</v>
      </c>
      <c r="J148" s="23" t="str">
        <f t="shared" si="13"/>
        <v>2008</v>
      </c>
      <c r="K148" s="23" t="str">
        <f t="shared" si="13"/>
        <v>2009</v>
      </c>
      <c r="L148" s="23" t="str">
        <f t="shared" si="13"/>
        <v>2010</v>
      </c>
      <c r="M148" s="23" t="str">
        <f t="shared" si="13"/>
        <v>2011</v>
      </c>
      <c r="N148" s="23" t="str">
        <f t="shared" si="13"/>
        <v>2012</v>
      </c>
      <c r="O148" s="23" t="str">
        <f t="shared" si="13"/>
        <v>2013</v>
      </c>
      <c r="P148" s="23" t="str">
        <f t="shared" si="13"/>
        <v>2014</v>
      </c>
      <c r="Q148" s="23" t="str">
        <f t="shared" si="13"/>
        <v>2015</v>
      </c>
      <c r="R148" s="23" t="str">
        <f t="shared" si="13"/>
        <v>2016</v>
      </c>
      <c r="S148" s="23" t="str">
        <f t="shared" si="13"/>
        <v>2017</v>
      </c>
      <c r="T148" s="23" t="str">
        <f t="shared" si="13"/>
        <v>2018</v>
      </c>
      <c r="U148" s="23" t="str">
        <f t="shared" si="13"/>
        <v>2019</v>
      </c>
      <c r="V148" s="23" t="str">
        <f t="shared" si="13"/>
        <v>2020</v>
      </c>
      <c r="W148" s="23" t="str">
        <f t="shared" si="13"/>
        <v>2021</v>
      </c>
      <c r="X148" s="23" t="str">
        <f t="shared" si="13"/>
        <v>2022</v>
      </c>
      <c r="Y148" s="23" t="str">
        <f t="shared" si="13"/>
        <v>2023</v>
      </c>
      <c r="Z148" s="23" t="str">
        <f t="shared" si="13"/>
        <v>2024</v>
      </c>
      <c r="AA148" s="23" t="str">
        <f t="shared" si="13"/>
        <v>2025</v>
      </c>
      <c r="AB148" s="23" t="str">
        <f t="shared" si="13"/>
        <v>2026</v>
      </c>
      <c r="AC148" s="23" t="str">
        <f t="shared" si="13"/>
        <v>2027</v>
      </c>
      <c r="AD148" s="23" t="str">
        <f t="shared" si="13"/>
        <v>2028</v>
      </c>
      <c r="AE148" s="23" t="str">
        <f t="shared" si="13"/>
        <v>2029</v>
      </c>
      <c r="AF148" s="23" t="str">
        <f t="shared" si="13"/>
        <v>2030</v>
      </c>
      <c r="AG148" s="23" t="str">
        <f t="shared" si="13"/>
        <v>2031</v>
      </c>
      <c r="AH148" s="23" t="str">
        <f t="shared" si="13"/>
        <v>2032</v>
      </c>
      <c r="AI148" s="23" t="str">
        <f t="shared" si="13"/>
        <v>2033</v>
      </c>
      <c r="AJ148" s="23" t="str">
        <f t="shared" si="13"/>
        <v>2034</v>
      </c>
      <c r="AK148" s="23" t="str">
        <f t="shared" si="13"/>
        <v>2035</v>
      </c>
      <c r="AL148" s="23" t="str">
        <f t="shared" si="13"/>
        <v>2036</v>
      </c>
      <c r="AM148" s="23" t="str">
        <f t="shared" si="13"/>
        <v>2037</v>
      </c>
      <c r="AN148" s="23" t="str">
        <f t="shared" si="13"/>
        <v>2038</v>
      </c>
      <c r="AO148" s="23" t="str">
        <f t="shared" si="13"/>
        <v>2039</v>
      </c>
      <c r="AP148" s="23" t="str">
        <f t="shared" si="13"/>
        <v>2040</v>
      </c>
      <c r="AQ148" s="23" t="str">
        <f>AQ132</f>
        <v>2041</v>
      </c>
    </row>
    <row r="149" spans="1:43">
      <c r="A149" s="20" t="s">
        <v>17</v>
      </c>
    </row>
    <row r="150" spans="1:43">
      <c r="A150" s="20" t="s">
        <v>18</v>
      </c>
    </row>
    <row r="151" spans="1:43">
      <c r="A151" s="20" t="s">
        <v>19</v>
      </c>
    </row>
    <row r="152" spans="1:43">
      <c r="A152" s="20" t="s">
        <v>20</v>
      </c>
    </row>
    <row r="153" spans="1:43">
      <c r="A153" s="20" t="s">
        <v>21</v>
      </c>
    </row>
    <row r="154" spans="1:43">
      <c r="A154" s="20" t="s">
        <v>22</v>
      </c>
    </row>
    <row r="155" spans="1:43">
      <c r="A155" s="20" t="s">
        <v>23</v>
      </c>
    </row>
    <row r="156" spans="1:43">
      <c r="A156" s="20" t="s">
        <v>24</v>
      </c>
    </row>
    <row r="157" spans="1:43">
      <c r="A157" s="20" t="s">
        <v>25</v>
      </c>
    </row>
    <row r="158" spans="1:43">
      <c r="A158" s="20" t="s">
        <v>26</v>
      </c>
    </row>
    <row r="159" spans="1:43">
      <c r="A159" s="20" t="s">
        <v>27</v>
      </c>
    </row>
    <row r="160" spans="1:43" ht="15.75" thickBot="1">
      <c r="A160" s="20" t="s">
        <v>28</v>
      </c>
    </row>
    <row r="161" spans="1:43">
      <c r="A161" s="25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</row>
    <row r="162" spans="1:43" ht="15.75" thickBot="1">
      <c r="A162" s="20" t="s">
        <v>38</v>
      </c>
    </row>
    <row r="163" spans="1:43" ht="15.75" thickBot="1">
      <c r="A163" s="22"/>
      <c r="B163" s="23" t="str">
        <f>B148</f>
        <v>2000</v>
      </c>
      <c r="C163" s="23" t="str">
        <f t="shared" ref="C163:AP163" si="14">C148</f>
        <v>2001</v>
      </c>
      <c r="D163" s="23" t="str">
        <f t="shared" si="14"/>
        <v>2002</v>
      </c>
      <c r="E163" s="23" t="str">
        <f t="shared" si="14"/>
        <v>2003</v>
      </c>
      <c r="F163" s="23" t="str">
        <f t="shared" si="14"/>
        <v>2004</v>
      </c>
      <c r="G163" s="23" t="str">
        <f t="shared" si="14"/>
        <v>2005</v>
      </c>
      <c r="H163" s="23" t="str">
        <f t="shared" si="14"/>
        <v>2006</v>
      </c>
      <c r="I163" s="23" t="str">
        <f t="shared" si="14"/>
        <v>2007</v>
      </c>
      <c r="J163" s="23" t="str">
        <f t="shared" si="14"/>
        <v>2008</v>
      </c>
      <c r="K163" s="23" t="str">
        <f t="shared" si="14"/>
        <v>2009</v>
      </c>
      <c r="L163" s="23" t="str">
        <f t="shared" si="14"/>
        <v>2010</v>
      </c>
      <c r="M163" s="23" t="str">
        <f t="shared" si="14"/>
        <v>2011</v>
      </c>
      <c r="N163" s="23" t="str">
        <f t="shared" si="14"/>
        <v>2012</v>
      </c>
      <c r="O163" s="23" t="str">
        <f t="shared" si="14"/>
        <v>2013</v>
      </c>
      <c r="P163" s="23" t="str">
        <f t="shared" si="14"/>
        <v>2014</v>
      </c>
      <c r="Q163" s="23" t="str">
        <f t="shared" si="14"/>
        <v>2015</v>
      </c>
      <c r="R163" s="23" t="str">
        <f t="shared" si="14"/>
        <v>2016</v>
      </c>
      <c r="S163" s="23" t="str">
        <f t="shared" si="14"/>
        <v>2017</v>
      </c>
      <c r="T163" s="23" t="str">
        <f t="shared" si="14"/>
        <v>2018</v>
      </c>
      <c r="U163" s="23" t="str">
        <f t="shared" si="14"/>
        <v>2019</v>
      </c>
      <c r="V163" s="23" t="str">
        <f t="shared" si="14"/>
        <v>2020</v>
      </c>
      <c r="W163" s="23" t="str">
        <f t="shared" si="14"/>
        <v>2021</v>
      </c>
      <c r="X163" s="23" t="str">
        <f t="shared" si="14"/>
        <v>2022</v>
      </c>
      <c r="Y163" s="23" t="str">
        <f t="shared" si="14"/>
        <v>2023</v>
      </c>
      <c r="Z163" s="23" t="str">
        <f t="shared" si="14"/>
        <v>2024</v>
      </c>
      <c r="AA163" s="23" t="str">
        <f t="shared" si="14"/>
        <v>2025</v>
      </c>
      <c r="AB163" s="23" t="str">
        <f t="shared" si="14"/>
        <v>2026</v>
      </c>
      <c r="AC163" s="23" t="str">
        <f t="shared" si="14"/>
        <v>2027</v>
      </c>
      <c r="AD163" s="23" t="str">
        <f t="shared" si="14"/>
        <v>2028</v>
      </c>
      <c r="AE163" s="23" t="str">
        <f t="shared" si="14"/>
        <v>2029</v>
      </c>
      <c r="AF163" s="23" t="str">
        <f t="shared" si="14"/>
        <v>2030</v>
      </c>
      <c r="AG163" s="23" t="str">
        <f t="shared" si="14"/>
        <v>2031</v>
      </c>
      <c r="AH163" s="23" t="str">
        <f t="shared" si="14"/>
        <v>2032</v>
      </c>
      <c r="AI163" s="23" t="str">
        <f t="shared" si="14"/>
        <v>2033</v>
      </c>
      <c r="AJ163" s="23" t="str">
        <f t="shared" si="14"/>
        <v>2034</v>
      </c>
      <c r="AK163" s="23" t="str">
        <f t="shared" si="14"/>
        <v>2035</v>
      </c>
      <c r="AL163" s="23" t="str">
        <f t="shared" si="14"/>
        <v>2036</v>
      </c>
      <c r="AM163" s="23" t="str">
        <f t="shared" si="14"/>
        <v>2037</v>
      </c>
      <c r="AN163" s="23" t="str">
        <f t="shared" si="14"/>
        <v>2038</v>
      </c>
      <c r="AO163" s="23" t="str">
        <f t="shared" si="14"/>
        <v>2039</v>
      </c>
      <c r="AP163" s="23" t="str">
        <f t="shared" si="14"/>
        <v>2040</v>
      </c>
      <c r="AQ163" s="23" t="str">
        <f>AQ148</f>
        <v>2041</v>
      </c>
    </row>
    <row r="164" spans="1:43">
      <c r="A164" s="20" t="s">
        <v>17</v>
      </c>
    </row>
    <row r="165" spans="1:43">
      <c r="A165" s="20" t="s">
        <v>18</v>
      </c>
    </row>
    <row r="166" spans="1:43">
      <c r="A166" s="20" t="s">
        <v>19</v>
      </c>
    </row>
    <row r="167" spans="1:43">
      <c r="A167" s="20" t="s">
        <v>20</v>
      </c>
    </row>
    <row r="168" spans="1:43">
      <c r="A168" s="20" t="s">
        <v>21</v>
      </c>
    </row>
    <row r="169" spans="1:43">
      <c r="A169" s="20" t="s">
        <v>22</v>
      </c>
    </row>
    <row r="170" spans="1:43">
      <c r="A170" s="20" t="s">
        <v>23</v>
      </c>
    </row>
    <row r="171" spans="1:43">
      <c r="A171" s="20" t="s">
        <v>24</v>
      </c>
    </row>
    <row r="172" spans="1:43">
      <c r="A172" s="20" t="s">
        <v>25</v>
      </c>
    </row>
    <row r="173" spans="1:43">
      <c r="A173" s="20" t="s">
        <v>26</v>
      </c>
    </row>
    <row r="174" spans="1:43">
      <c r="A174" s="20" t="s">
        <v>27</v>
      </c>
    </row>
    <row r="175" spans="1:43">
      <c r="A175" s="20" t="s">
        <v>28</v>
      </c>
    </row>
    <row r="176" spans="1:43" ht="15.75" thickBot="1">
      <c r="A176" s="20" t="s">
        <v>39</v>
      </c>
    </row>
    <row r="177" spans="1:43">
      <c r="A177" s="25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</row>
    <row r="178" spans="1:43" ht="15.75" thickBot="1">
      <c r="A178" s="20" t="s">
        <v>40</v>
      </c>
    </row>
    <row r="179" spans="1:43" ht="15.75" thickBot="1">
      <c r="A179" s="22"/>
      <c r="B179" s="23" t="str">
        <f>B163</f>
        <v>2000</v>
      </c>
      <c r="C179" s="23" t="str">
        <f t="shared" ref="C179:AP179" si="15">C163</f>
        <v>2001</v>
      </c>
      <c r="D179" s="23" t="str">
        <f t="shared" si="15"/>
        <v>2002</v>
      </c>
      <c r="E179" s="23" t="str">
        <f t="shared" si="15"/>
        <v>2003</v>
      </c>
      <c r="F179" s="23" t="str">
        <f t="shared" si="15"/>
        <v>2004</v>
      </c>
      <c r="G179" s="23" t="str">
        <f t="shared" si="15"/>
        <v>2005</v>
      </c>
      <c r="H179" s="23" t="str">
        <f t="shared" si="15"/>
        <v>2006</v>
      </c>
      <c r="I179" s="23" t="str">
        <f t="shared" si="15"/>
        <v>2007</v>
      </c>
      <c r="J179" s="23" t="str">
        <f t="shared" si="15"/>
        <v>2008</v>
      </c>
      <c r="K179" s="23" t="str">
        <f t="shared" si="15"/>
        <v>2009</v>
      </c>
      <c r="L179" s="23" t="str">
        <f t="shared" si="15"/>
        <v>2010</v>
      </c>
      <c r="M179" s="23" t="str">
        <f t="shared" si="15"/>
        <v>2011</v>
      </c>
      <c r="N179" s="23" t="str">
        <f t="shared" si="15"/>
        <v>2012</v>
      </c>
      <c r="O179" s="23" t="str">
        <f t="shared" si="15"/>
        <v>2013</v>
      </c>
      <c r="P179" s="23" t="str">
        <f t="shared" si="15"/>
        <v>2014</v>
      </c>
      <c r="Q179" s="23" t="str">
        <f t="shared" si="15"/>
        <v>2015</v>
      </c>
      <c r="R179" s="23" t="str">
        <f t="shared" si="15"/>
        <v>2016</v>
      </c>
      <c r="S179" s="23" t="str">
        <f t="shared" si="15"/>
        <v>2017</v>
      </c>
      <c r="T179" s="23" t="str">
        <f t="shared" si="15"/>
        <v>2018</v>
      </c>
      <c r="U179" s="23" t="str">
        <f t="shared" si="15"/>
        <v>2019</v>
      </c>
      <c r="V179" s="23" t="str">
        <f t="shared" si="15"/>
        <v>2020</v>
      </c>
      <c r="W179" s="23" t="str">
        <f t="shared" si="15"/>
        <v>2021</v>
      </c>
      <c r="X179" s="23" t="str">
        <f t="shared" si="15"/>
        <v>2022</v>
      </c>
      <c r="Y179" s="23" t="str">
        <f t="shared" si="15"/>
        <v>2023</v>
      </c>
      <c r="Z179" s="23" t="str">
        <f t="shared" si="15"/>
        <v>2024</v>
      </c>
      <c r="AA179" s="23" t="str">
        <f t="shared" si="15"/>
        <v>2025</v>
      </c>
      <c r="AB179" s="23" t="str">
        <f t="shared" si="15"/>
        <v>2026</v>
      </c>
      <c r="AC179" s="23" t="str">
        <f t="shared" si="15"/>
        <v>2027</v>
      </c>
      <c r="AD179" s="23" t="str">
        <f t="shared" si="15"/>
        <v>2028</v>
      </c>
      <c r="AE179" s="23" t="str">
        <f t="shared" si="15"/>
        <v>2029</v>
      </c>
      <c r="AF179" s="23" t="str">
        <f t="shared" si="15"/>
        <v>2030</v>
      </c>
      <c r="AG179" s="23" t="str">
        <f t="shared" si="15"/>
        <v>2031</v>
      </c>
      <c r="AH179" s="23" t="str">
        <f t="shared" si="15"/>
        <v>2032</v>
      </c>
      <c r="AI179" s="23" t="str">
        <f t="shared" si="15"/>
        <v>2033</v>
      </c>
      <c r="AJ179" s="23" t="str">
        <f t="shared" si="15"/>
        <v>2034</v>
      </c>
      <c r="AK179" s="23" t="str">
        <f t="shared" si="15"/>
        <v>2035</v>
      </c>
      <c r="AL179" s="23" t="str">
        <f t="shared" si="15"/>
        <v>2036</v>
      </c>
      <c r="AM179" s="23" t="str">
        <f t="shared" si="15"/>
        <v>2037</v>
      </c>
      <c r="AN179" s="23" t="str">
        <f t="shared" si="15"/>
        <v>2038</v>
      </c>
      <c r="AO179" s="23" t="str">
        <f t="shared" si="15"/>
        <v>2039</v>
      </c>
      <c r="AP179" s="23" t="str">
        <f t="shared" si="15"/>
        <v>2040</v>
      </c>
      <c r="AQ179" s="23" t="str">
        <f>AQ163</f>
        <v>2041</v>
      </c>
    </row>
    <row r="180" spans="1:43">
      <c r="A180" s="20" t="s">
        <v>17</v>
      </c>
    </row>
    <row r="181" spans="1:43">
      <c r="A181" s="20" t="s">
        <v>18</v>
      </c>
    </row>
    <row r="182" spans="1:43">
      <c r="A182" s="20" t="s">
        <v>19</v>
      </c>
    </row>
    <row r="183" spans="1:43">
      <c r="A183" s="20" t="s">
        <v>20</v>
      </c>
    </row>
    <row r="184" spans="1:43">
      <c r="A184" s="20" t="s">
        <v>21</v>
      </c>
    </row>
    <row r="185" spans="1:43">
      <c r="A185" s="20" t="s">
        <v>22</v>
      </c>
    </row>
    <row r="186" spans="1:43">
      <c r="A186" s="20" t="s">
        <v>23</v>
      </c>
    </row>
    <row r="187" spans="1:43">
      <c r="A187" s="20" t="s">
        <v>24</v>
      </c>
    </row>
    <row r="188" spans="1:43">
      <c r="A188" s="20" t="s">
        <v>25</v>
      </c>
    </row>
    <row r="189" spans="1:43">
      <c r="A189" s="20" t="s">
        <v>26</v>
      </c>
    </row>
    <row r="190" spans="1:43">
      <c r="A190" s="20" t="s">
        <v>27</v>
      </c>
    </row>
    <row r="191" spans="1:43">
      <c r="A191" s="20" t="s">
        <v>28</v>
      </c>
    </row>
    <row r="192" spans="1:43" ht="15.75" thickBot="1">
      <c r="A192" s="20" t="s">
        <v>29</v>
      </c>
      <c r="B192" s="36">
        <v>8642000</v>
      </c>
      <c r="C192" s="36">
        <v>8636000</v>
      </c>
      <c r="D192" s="36">
        <v>9050000</v>
      </c>
      <c r="E192" s="36">
        <v>8906000</v>
      </c>
      <c r="F192" s="36">
        <v>8803000</v>
      </c>
      <c r="G192" s="36">
        <v>8467000</v>
      </c>
      <c r="H192" s="36">
        <v>8854000</v>
      </c>
      <c r="I192" s="36">
        <v>8901000</v>
      </c>
      <c r="J192" s="36">
        <v>8651000</v>
      </c>
      <c r="K192" s="36">
        <v>8412000</v>
      </c>
      <c r="L192" s="36">
        <v>8272000</v>
      </c>
      <c r="M192" s="36">
        <v>7942000</v>
      </c>
      <c r="N192" s="36">
        <v>7977000</v>
      </c>
      <c r="O192" s="36">
        <v>9032000</v>
      </c>
      <c r="P192" s="36">
        <v>9914000</v>
      </c>
      <c r="Q192" s="36">
        <v>9674000</v>
      </c>
      <c r="R192" s="36">
        <v>7830000</v>
      </c>
      <c r="S192" s="36">
        <v>7572000</v>
      </c>
      <c r="T192" s="36">
        <v>8341000</v>
      </c>
      <c r="U192" s="36">
        <v>9047000</v>
      </c>
      <c r="V192" s="36">
        <v>7560000</v>
      </c>
      <c r="W192" s="36">
        <v>6850000</v>
      </c>
    </row>
    <row r="193" spans="1:43">
      <c r="A193" s="25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</row>
    <row r="194" spans="1:43" ht="15.75" thickBot="1">
      <c r="A194" s="20" t="s">
        <v>41</v>
      </c>
    </row>
    <row r="195" spans="1:43" ht="15.75" thickBot="1">
      <c r="A195" s="22"/>
      <c r="B195" s="23" t="str">
        <f>B179</f>
        <v>2000</v>
      </c>
      <c r="C195" s="23" t="str">
        <f t="shared" ref="C195:AP195" si="16">C179</f>
        <v>2001</v>
      </c>
      <c r="D195" s="23" t="str">
        <f t="shared" si="16"/>
        <v>2002</v>
      </c>
      <c r="E195" s="23" t="str">
        <f t="shared" si="16"/>
        <v>2003</v>
      </c>
      <c r="F195" s="23" t="str">
        <f t="shared" si="16"/>
        <v>2004</v>
      </c>
      <c r="G195" s="23" t="str">
        <f t="shared" si="16"/>
        <v>2005</v>
      </c>
      <c r="H195" s="23" t="str">
        <f t="shared" si="16"/>
        <v>2006</v>
      </c>
      <c r="I195" s="23" t="str">
        <f t="shared" si="16"/>
        <v>2007</v>
      </c>
      <c r="J195" s="23" t="str">
        <f t="shared" si="16"/>
        <v>2008</v>
      </c>
      <c r="K195" s="23" t="str">
        <f t="shared" si="16"/>
        <v>2009</v>
      </c>
      <c r="L195" s="23" t="str">
        <f t="shared" si="16"/>
        <v>2010</v>
      </c>
      <c r="M195" s="23" t="str">
        <f t="shared" si="16"/>
        <v>2011</v>
      </c>
      <c r="N195" s="23" t="str">
        <f t="shared" si="16"/>
        <v>2012</v>
      </c>
      <c r="O195" s="23" t="str">
        <f t="shared" si="16"/>
        <v>2013</v>
      </c>
      <c r="P195" s="23" t="str">
        <f t="shared" si="16"/>
        <v>2014</v>
      </c>
      <c r="Q195" s="23" t="str">
        <f t="shared" si="16"/>
        <v>2015</v>
      </c>
      <c r="R195" s="23" t="str">
        <f t="shared" si="16"/>
        <v>2016</v>
      </c>
      <c r="S195" s="23" t="str">
        <f t="shared" si="16"/>
        <v>2017</v>
      </c>
      <c r="T195" s="23" t="str">
        <f t="shared" si="16"/>
        <v>2018</v>
      </c>
      <c r="U195" s="23" t="str">
        <f t="shared" si="16"/>
        <v>2019</v>
      </c>
      <c r="V195" s="23" t="str">
        <f t="shared" si="16"/>
        <v>2020</v>
      </c>
      <c r="W195" s="23" t="str">
        <f t="shared" si="16"/>
        <v>2021</v>
      </c>
      <c r="X195" s="23" t="str">
        <f t="shared" si="16"/>
        <v>2022</v>
      </c>
      <c r="Y195" s="23" t="str">
        <f t="shared" si="16"/>
        <v>2023</v>
      </c>
      <c r="Z195" s="23" t="str">
        <f t="shared" si="16"/>
        <v>2024</v>
      </c>
      <c r="AA195" s="23" t="str">
        <f t="shared" si="16"/>
        <v>2025</v>
      </c>
      <c r="AB195" s="23" t="str">
        <f t="shared" si="16"/>
        <v>2026</v>
      </c>
      <c r="AC195" s="23" t="str">
        <f t="shared" si="16"/>
        <v>2027</v>
      </c>
      <c r="AD195" s="23" t="str">
        <f t="shared" si="16"/>
        <v>2028</v>
      </c>
      <c r="AE195" s="23" t="str">
        <f t="shared" si="16"/>
        <v>2029</v>
      </c>
      <c r="AF195" s="23" t="str">
        <f t="shared" si="16"/>
        <v>2030</v>
      </c>
      <c r="AG195" s="23" t="str">
        <f t="shared" si="16"/>
        <v>2031</v>
      </c>
      <c r="AH195" s="23" t="str">
        <f t="shared" si="16"/>
        <v>2032</v>
      </c>
      <c r="AI195" s="23" t="str">
        <f t="shared" si="16"/>
        <v>2033</v>
      </c>
      <c r="AJ195" s="23" t="str">
        <f t="shared" si="16"/>
        <v>2034</v>
      </c>
      <c r="AK195" s="23" t="str">
        <f t="shared" si="16"/>
        <v>2035</v>
      </c>
      <c r="AL195" s="23" t="str">
        <f t="shared" si="16"/>
        <v>2036</v>
      </c>
      <c r="AM195" s="23" t="str">
        <f t="shared" si="16"/>
        <v>2037</v>
      </c>
      <c r="AN195" s="23" t="str">
        <f t="shared" si="16"/>
        <v>2038</v>
      </c>
      <c r="AO195" s="23" t="str">
        <f t="shared" si="16"/>
        <v>2039</v>
      </c>
      <c r="AP195" s="23" t="str">
        <f t="shared" si="16"/>
        <v>2040</v>
      </c>
      <c r="AQ195" s="23" t="str">
        <f>AQ179</f>
        <v>2041</v>
      </c>
    </row>
    <row r="196" spans="1:43">
      <c r="A196" s="20" t="s">
        <v>17</v>
      </c>
    </row>
    <row r="197" spans="1:43">
      <c r="A197" s="20" t="s">
        <v>18</v>
      </c>
    </row>
    <row r="198" spans="1:43">
      <c r="A198" s="20" t="s">
        <v>19</v>
      </c>
    </row>
    <row r="199" spans="1:43">
      <c r="A199" s="20" t="s">
        <v>20</v>
      </c>
    </row>
    <row r="200" spans="1:43">
      <c r="A200" s="20" t="s">
        <v>21</v>
      </c>
    </row>
    <row r="201" spans="1:43">
      <c r="A201" s="20" t="s">
        <v>22</v>
      </c>
    </row>
    <row r="202" spans="1:43">
      <c r="A202" s="20" t="s">
        <v>23</v>
      </c>
    </row>
    <row r="203" spans="1:43">
      <c r="A203" s="20" t="s">
        <v>24</v>
      </c>
    </row>
    <row r="204" spans="1:43">
      <c r="A204" s="20" t="s">
        <v>25</v>
      </c>
    </row>
    <row r="205" spans="1:43">
      <c r="A205" s="20" t="s">
        <v>26</v>
      </c>
    </row>
    <row r="206" spans="1:43">
      <c r="A206" s="20" t="s">
        <v>27</v>
      </c>
    </row>
    <row r="207" spans="1:43">
      <c r="A207" s="20" t="s">
        <v>28</v>
      </c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</row>
    <row r="208" spans="1:43" ht="15.75" thickBot="1">
      <c r="A208" s="20" t="s">
        <v>29</v>
      </c>
      <c r="B208" s="29">
        <v>2053000</v>
      </c>
      <c r="C208" s="29">
        <v>2079000</v>
      </c>
      <c r="D208" s="29">
        <v>2090000</v>
      </c>
      <c r="E208" s="29">
        <v>1998000</v>
      </c>
      <c r="F208" s="29">
        <v>2113000</v>
      </c>
      <c r="G208" s="29">
        <v>2090000</v>
      </c>
      <c r="H208" s="29">
        <v>2188000</v>
      </c>
      <c r="I208" s="29">
        <v>2169000</v>
      </c>
      <c r="J208" s="29">
        <v>2138000</v>
      </c>
      <c r="K208" s="29">
        <v>2106000</v>
      </c>
      <c r="L208" s="29">
        <v>2129000</v>
      </c>
      <c r="M208" s="29">
        <v>2129000</v>
      </c>
      <c r="N208" s="29">
        <v>2152000</v>
      </c>
      <c r="O208" s="29">
        <v>2359000</v>
      </c>
      <c r="P208" s="29">
        <v>2595000</v>
      </c>
      <c r="Q208" s="29">
        <v>2547000</v>
      </c>
      <c r="R208" s="29">
        <v>2125000</v>
      </c>
      <c r="S208" s="29">
        <v>2149000</v>
      </c>
      <c r="T208" s="29">
        <v>2309000</v>
      </c>
      <c r="U208" s="29">
        <v>2432000</v>
      </c>
      <c r="V208" s="29">
        <v>2125000</v>
      </c>
      <c r="W208" s="29">
        <v>1888000</v>
      </c>
      <c r="X208" s="29">
        <v>2115000</v>
      </c>
      <c r="Y208" s="30">
        <v>2272000</v>
      </c>
      <c r="Z208" s="30">
        <v>2278000</v>
      </c>
      <c r="AA208" s="30">
        <v>2288000</v>
      </c>
      <c r="AB208" s="30">
        <v>2295000</v>
      </c>
      <c r="AC208" s="30">
        <v>2312000</v>
      </c>
      <c r="AD208" s="30">
        <v>2327000</v>
      </c>
      <c r="AE208" s="30">
        <v>2336000</v>
      </c>
      <c r="AF208" s="30">
        <v>2341000</v>
      </c>
      <c r="AG208" s="30">
        <v>2343000</v>
      </c>
      <c r="AH208" s="30">
        <v>2363000</v>
      </c>
      <c r="AI208" s="30">
        <v>2401000</v>
      </c>
      <c r="AJ208" s="30">
        <v>2413000</v>
      </c>
      <c r="AK208" s="30">
        <v>2409000</v>
      </c>
      <c r="AL208" s="30">
        <v>2427000</v>
      </c>
      <c r="AM208" s="30">
        <v>2434000</v>
      </c>
      <c r="AN208" s="30">
        <v>2440000</v>
      </c>
      <c r="AO208" s="30">
        <v>2460000</v>
      </c>
      <c r="AP208" s="30">
        <v>2468000</v>
      </c>
      <c r="AQ208" s="30">
        <v>2480000</v>
      </c>
    </row>
    <row r="209" spans="1:43">
      <c r="A209" s="25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</row>
    <row r="210" spans="1:43" ht="15.75" thickBot="1">
      <c r="A210" s="20" t="s">
        <v>42</v>
      </c>
    </row>
    <row r="211" spans="1:43" ht="15.75" thickBot="1">
      <c r="A211" s="22"/>
      <c r="B211" s="23" t="str">
        <f>B195</f>
        <v>2000</v>
      </c>
      <c r="C211" s="23" t="str">
        <f t="shared" ref="C211:AP211" si="17">C195</f>
        <v>2001</v>
      </c>
      <c r="D211" s="23" t="str">
        <f t="shared" si="17"/>
        <v>2002</v>
      </c>
      <c r="E211" s="23" t="str">
        <f t="shared" si="17"/>
        <v>2003</v>
      </c>
      <c r="F211" s="23" t="str">
        <f t="shared" si="17"/>
        <v>2004</v>
      </c>
      <c r="G211" s="23" t="str">
        <f t="shared" si="17"/>
        <v>2005</v>
      </c>
      <c r="H211" s="23" t="str">
        <f t="shared" si="17"/>
        <v>2006</v>
      </c>
      <c r="I211" s="23" t="str">
        <f t="shared" si="17"/>
        <v>2007</v>
      </c>
      <c r="J211" s="23" t="str">
        <f t="shared" si="17"/>
        <v>2008</v>
      </c>
      <c r="K211" s="23" t="str">
        <f t="shared" si="17"/>
        <v>2009</v>
      </c>
      <c r="L211" s="23" t="str">
        <f t="shared" si="17"/>
        <v>2010</v>
      </c>
      <c r="M211" s="23" t="str">
        <f t="shared" si="17"/>
        <v>2011</v>
      </c>
      <c r="N211" s="23" t="str">
        <f t="shared" si="17"/>
        <v>2012</v>
      </c>
      <c r="O211" s="23" t="str">
        <f t="shared" si="17"/>
        <v>2013</v>
      </c>
      <c r="P211" s="23" t="str">
        <f t="shared" si="17"/>
        <v>2014</v>
      </c>
      <c r="Q211" s="23" t="str">
        <f t="shared" si="17"/>
        <v>2015</v>
      </c>
      <c r="R211" s="23" t="str">
        <f t="shared" si="17"/>
        <v>2016</v>
      </c>
      <c r="S211" s="23" t="str">
        <f t="shared" si="17"/>
        <v>2017</v>
      </c>
      <c r="T211" s="23" t="str">
        <f t="shared" si="17"/>
        <v>2018</v>
      </c>
      <c r="U211" s="23" t="str">
        <f t="shared" si="17"/>
        <v>2019</v>
      </c>
      <c r="V211" s="23" t="str">
        <f t="shared" si="17"/>
        <v>2020</v>
      </c>
      <c r="W211" s="23" t="str">
        <f t="shared" si="17"/>
        <v>2021</v>
      </c>
      <c r="X211" s="23" t="str">
        <f t="shared" si="17"/>
        <v>2022</v>
      </c>
      <c r="Y211" s="23" t="str">
        <f t="shared" si="17"/>
        <v>2023</v>
      </c>
      <c r="Z211" s="23" t="str">
        <f t="shared" si="17"/>
        <v>2024</v>
      </c>
      <c r="AA211" s="23" t="str">
        <f t="shared" si="17"/>
        <v>2025</v>
      </c>
      <c r="AB211" s="23" t="str">
        <f t="shared" si="17"/>
        <v>2026</v>
      </c>
      <c r="AC211" s="23" t="str">
        <f t="shared" si="17"/>
        <v>2027</v>
      </c>
      <c r="AD211" s="23" t="str">
        <f t="shared" si="17"/>
        <v>2028</v>
      </c>
      <c r="AE211" s="23" t="str">
        <f t="shared" si="17"/>
        <v>2029</v>
      </c>
      <c r="AF211" s="23" t="str">
        <f t="shared" si="17"/>
        <v>2030</v>
      </c>
      <c r="AG211" s="23" t="str">
        <f t="shared" si="17"/>
        <v>2031</v>
      </c>
      <c r="AH211" s="23" t="str">
        <f t="shared" si="17"/>
        <v>2032</v>
      </c>
      <c r="AI211" s="23" t="str">
        <f t="shared" si="17"/>
        <v>2033</v>
      </c>
      <c r="AJ211" s="23" t="str">
        <f t="shared" si="17"/>
        <v>2034</v>
      </c>
      <c r="AK211" s="23" t="str">
        <f t="shared" si="17"/>
        <v>2035</v>
      </c>
      <c r="AL211" s="23" t="str">
        <f t="shared" si="17"/>
        <v>2036</v>
      </c>
      <c r="AM211" s="23" t="str">
        <f t="shared" si="17"/>
        <v>2037</v>
      </c>
      <c r="AN211" s="23" t="str">
        <f t="shared" si="17"/>
        <v>2038</v>
      </c>
      <c r="AO211" s="23" t="str">
        <f t="shared" si="17"/>
        <v>2039</v>
      </c>
      <c r="AP211" s="23" t="str">
        <f t="shared" si="17"/>
        <v>2040</v>
      </c>
      <c r="AQ211" s="23" t="str">
        <f>AQ195</f>
        <v>2041</v>
      </c>
    </row>
    <row r="212" spans="1:43">
      <c r="A212" s="20" t="s">
        <v>17</v>
      </c>
    </row>
    <row r="213" spans="1:43">
      <c r="A213" s="20" t="s">
        <v>18</v>
      </c>
    </row>
    <row r="214" spans="1:43">
      <c r="A214" s="20" t="s">
        <v>19</v>
      </c>
    </row>
    <row r="215" spans="1:43">
      <c r="A215" s="20" t="s">
        <v>20</v>
      </c>
    </row>
    <row r="216" spans="1:43">
      <c r="A216" s="20" t="s">
        <v>21</v>
      </c>
    </row>
    <row r="217" spans="1:43">
      <c r="A217" s="20" t="s">
        <v>22</v>
      </c>
    </row>
    <row r="218" spans="1:43">
      <c r="A218" s="20" t="s">
        <v>23</v>
      </c>
    </row>
    <row r="219" spans="1:43">
      <c r="A219" s="20" t="s">
        <v>24</v>
      </c>
    </row>
    <row r="220" spans="1:43">
      <c r="A220" s="20" t="s">
        <v>25</v>
      </c>
    </row>
    <row r="221" spans="1:43">
      <c r="A221" s="20" t="s">
        <v>26</v>
      </c>
    </row>
    <row r="222" spans="1:43">
      <c r="A222" s="20" t="s">
        <v>27</v>
      </c>
    </row>
    <row r="223" spans="1:43">
      <c r="A223" s="20" t="s">
        <v>28</v>
      </c>
    </row>
    <row r="224" spans="1:43" ht="15.75" thickBot="1">
      <c r="A224" s="20" t="s">
        <v>29</v>
      </c>
      <c r="B224" s="33">
        <v>0.23499999999999999</v>
      </c>
      <c r="C224" s="33">
        <v>0.23499999999999999</v>
      </c>
      <c r="D224" s="33">
        <v>0.23499999999999999</v>
      </c>
      <c r="E224" s="33">
        <v>0.23499999999999999</v>
      </c>
      <c r="F224" s="33">
        <v>0.23499999999999999</v>
      </c>
      <c r="G224" s="33">
        <v>0.23499999999999999</v>
      </c>
      <c r="H224" s="33">
        <v>0.23499999999999999</v>
      </c>
      <c r="I224" s="33">
        <v>0.23499999999999999</v>
      </c>
      <c r="J224" s="33">
        <v>0.23499999999999999</v>
      </c>
      <c r="K224" s="33">
        <v>0.23499999999999999</v>
      </c>
      <c r="L224" s="32">
        <f>L4/L208</f>
        <v>0.24722945044621888</v>
      </c>
      <c r="M224" s="32">
        <f t="shared" ref="M224:T224" si="18">M4/M208</f>
        <v>0.24606622827618602</v>
      </c>
      <c r="N224" s="32">
        <f t="shared" si="18"/>
        <v>0.23538080855018589</v>
      </c>
      <c r="O224" s="32">
        <f t="shared" si="18"/>
        <v>0.23149639677829589</v>
      </c>
      <c r="P224" s="32">
        <f t="shared" si="18"/>
        <v>0.24259691714836223</v>
      </c>
      <c r="Q224" s="32">
        <f t="shared" si="18"/>
        <v>0.24121024734982333</v>
      </c>
      <c r="R224" s="32">
        <f t="shared" si="18"/>
        <v>0.23394894117647055</v>
      </c>
      <c r="S224" s="32">
        <f t="shared" si="18"/>
        <v>0.22383085155886459</v>
      </c>
      <c r="T224" s="32">
        <f t="shared" si="18"/>
        <v>0.21725855348635773</v>
      </c>
      <c r="U224" s="31">
        <v>0.23499999999999999</v>
      </c>
      <c r="V224" s="31">
        <v>0.23499999999999999</v>
      </c>
      <c r="W224" s="31">
        <v>0.23499999999999999</v>
      </c>
      <c r="X224" s="31">
        <v>0.23499999999999999</v>
      </c>
      <c r="Y224" s="31">
        <v>0.23499999999999999</v>
      </c>
      <c r="Z224" s="31">
        <v>0.23499999999999999</v>
      </c>
      <c r="AA224" s="31">
        <v>0.23499999999999999</v>
      </c>
      <c r="AB224" s="31">
        <v>0.23499999999999999</v>
      </c>
      <c r="AC224" s="31">
        <v>0.23499999999999999</v>
      </c>
      <c r="AD224" s="31">
        <v>0.23499999999999999</v>
      </c>
      <c r="AE224" s="31">
        <v>0.23499999999999999</v>
      </c>
      <c r="AF224" s="31">
        <v>0.23499999999999999</v>
      </c>
      <c r="AG224" s="31">
        <v>0.23499999999999999</v>
      </c>
      <c r="AH224" s="31">
        <v>0.23499999999999999</v>
      </c>
      <c r="AI224" s="31">
        <v>0.23499999999999999</v>
      </c>
      <c r="AJ224" s="31">
        <v>0.23499999999999999</v>
      </c>
      <c r="AK224" s="31">
        <v>0.23499999999999999</v>
      </c>
      <c r="AL224" s="31">
        <v>0.23499999999999999</v>
      </c>
      <c r="AM224" s="31">
        <v>0.23499999999999999</v>
      </c>
      <c r="AN224" s="31">
        <v>0.23499999999999999</v>
      </c>
      <c r="AO224" s="31">
        <v>0.23499999999999999</v>
      </c>
      <c r="AP224" s="31">
        <v>0.23499999999999999</v>
      </c>
      <c r="AQ224" s="31">
        <v>0.23499999999999999</v>
      </c>
    </row>
    <row r="225" spans="1:43">
      <c r="A225" s="25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43B58-D687-483F-850C-01B860A41144}">
  <dimension ref="A1:AQ225"/>
  <sheetViews>
    <sheetView zoomScale="85" zoomScaleNormal="85" workbookViewId="0">
      <pane xSplit="1" topLeftCell="U1" activePane="topRight" state="frozen"/>
      <selection activeCell="AL31" sqref="AL31"/>
      <selection pane="topRight" activeCell="AL31" sqref="AL31"/>
    </sheetView>
  </sheetViews>
  <sheetFormatPr defaultColWidth="8.85546875" defaultRowHeight="15"/>
  <cols>
    <col min="1" max="1" width="32.42578125" customWidth="1"/>
    <col min="2" max="23" width="10.140625" style="21" bestFit="1" customWidth="1"/>
    <col min="24" max="43" width="8.85546875" style="21"/>
  </cols>
  <sheetData>
    <row r="1" spans="1:43" ht="15.75" thickBot="1">
      <c r="A1" s="6" t="s">
        <v>86</v>
      </c>
    </row>
    <row r="2" spans="1:43" ht="15.75" thickBot="1">
      <c r="A2" s="34"/>
      <c r="B2" s="23" t="s">
        <v>44</v>
      </c>
      <c r="C2" s="23" t="s">
        <v>45</v>
      </c>
      <c r="D2" s="23" t="s">
        <v>46</v>
      </c>
      <c r="E2" s="23" t="s">
        <v>47</v>
      </c>
      <c r="F2" s="23" t="s">
        <v>48</v>
      </c>
      <c r="G2" s="23" t="s">
        <v>49</v>
      </c>
      <c r="H2" s="23" t="s">
        <v>50</v>
      </c>
      <c r="I2" s="23" t="s">
        <v>51</v>
      </c>
      <c r="J2" s="23" t="s">
        <v>52</v>
      </c>
      <c r="K2" s="23" t="s">
        <v>53</v>
      </c>
      <c r="L2" s="23" t="s">
        <v>54</v>
      </c>
      <c r="M2" s="23" t="s">
        <v>55</v>
      </c>
      <c r="N2" s="23" t="s">
        <v>56</v>
      </c>
      <c r="O2" s="23" t="s">
        <v>57</v>
      </c>
      <c r="P2" s="23" t="s">
        <v>58</v>
      </c>
      <c r="Q2" s="23" t="s">
        <v>59</v>
      </c>
      <c r="R2" s="23" t="s">
        <v>60</v>
      </c>
      <c r="S2" s="23" t="s">
        <v>61</v>
      </c>
      <c r="T2" s="23" t="s">
        <v>62</v>
      </c>
      <c r="U2" s="23" t="s">
        <v>63</v>
      </c>
      <c r="V2" s="23" t="s">
        <v>64</v>
      </c>
      <c r="W2" s="23" t="s">
        <v>65</v>
      </c>
      <c r="X2" s="23" t="s">
        <v>66</v>
      </c>
      <c r="Y2" s="23" t="s">
        <v>67</v>
      </c>
      <c r="Z2" s="23" t="s">
        <v>68</v>
      </c>
      <c r="AA2" s="23" t="s">
        <v>69</v>
      </c>
      <c r="AB2" s="23" t="s">
        <v>70</v>
      </c>
      <c r="AC2" s="23" t="s">
        <v>71</v>
      </c>
      <c r="AD2" s="23" t="s">
        <v>72</v>
      </c>
      <c r="AE2" s="23" t="s">
        <v>73</v>
      </c>
      <c r="AF2" s="23" t="s">
        <v>74</v>
      </c>
      <c r="AG2" s="23" t="s">
        <v>75</v>
      </c>
      <c r="AH2" s="23" t="s">
        <v>76</v>
      </c>
      <c r="AI2" s="23" t="s">
        <v>77</v>
      </c>
      <c r="AJ2" s="23" t="s">
        <v>78</v>
      </c>
      <c r="AK2" s="23" t="s">
        <v>79</v>
      </c>
      <c r="AL2" s="23" t="s">
        <v>80</v>
      </c>
      <c r="AM2" s="23" t="s">
        <v>81</v>
      </c>
      <c r="AN2" s="23" t="s">
        <v>82</v>
      </c>
      <c r="AO2" s="23" t="s">
        <v>83</v>
      </c>
      <c r="AP2" s="23" t="s">
        <v>84</v>
      </c>
      <c r="AQ2" s="23" t="s">
        <v>85</v>
      </c>
    </row>
    <row r="3" spans="1:43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</row>
    <row r="4" spans="1:43">
      <c r="A4" s="6" t="s">
        <v>2</v>
      </c>
      <c r="B4" s="7">
        <f>B208*B224</f>
        <v>244601</v>
      </c>
      <c r="C4" s="7">
        <f t="shared" ref="C4:AP4" si="0">C208*C224</f>
        <v>242917</v>
      </c>
      <c r="D4" s="7">
        <f t="shared" si="0"/>
        <v>247548</v>
      </c>
      <c r="E4" s="7">
        <f t="shared" si="0"/>
        <v>286701</v>
      </c>
      <c r="F4" s="7">
        <f t="shared" si="0"/>
        <v>293437</v>
      </c>
      <c r="G4" s="7">
        <f t="shared" si="0"/>
        <v>278281</v>
      </c>
      <c r="H4" s="7">
        <f t="shared" si="0"/>
        <v>272808</v>
      </c>
      <c r="I4" s="7">
        <f t="shared" si="0"/>
        <v>255547</v>
      </c>
      <c r="J4" s="7">
        <f t="shared" si="0"/>
        <v>271124</v>
      </c>
      <c r="K4" s="7">
        <f t="shared" si="0"/>
        <v>262283</v>
      </c>
      <c r="L4" s="7">
        <v>253428.50000000003</v>
      </c>
      <c r="M4" s="7">
        <v>250126.5</v>
      </c>
      <c r="N4" s="7">
        <v>251269.49999999997</v>
      </c>
      <c r="O4" s="7">
        <v>272478.5</v>
      </c>
      <c r="P4" s="7">
        <v>293751</v>
      </c>
      <c r="Q4" s="7">
        <v>307276.5</v>
      </c>
      <c r="R4" s="7">
        <v>279400</v>
      </c>
      <c r="S4" s="7">
        <v>267335</v>
      </c>
      <c r="T4" s="9">
        <v>269875</v>
      </c>
      <c r="U4" s="9">
        <f t="shared" si="0"/>
        <v>276176</v>
      </c>
      <c r="V4" s="9">
        <f t="shared" si="0"/>
        <v>281649</v>
      </c>
      <c r="W4" s="9">
        <f t="shared" si="0"/>
        <v>280807</v>
      </c>
      <c r="X4" s="9">
        <f t="shared" si="0"/>
        <v>279544</v>
      </c>
      <c r="Y4" s="9">
        <f t="shared" si="0"/>
        <v>277860</v>
      </c>
      <c r="Z4" s="9">
        <f t="shared" si="0"/>
        <v>279544</v>
      </c>
      <c r="AA4" s="9">
        <f t="shared" si="0"/>
        <v>282070</v>
      </c>
      <c r="AB4" s="9">
        <f t="shared" si="0"/>
        <v>283754</v>
      </c>
      <c r="AC4" s="9">
        <f t="shared" si="0"/>
        <v>285017</v>
      </c>
      <c r="AD4" s="9">
        <f t="shared" si="0"/>
        <v>285438</v>
      </c>
      <c r="AE4" s="9">
        <f t="shared" si="0"/>
        <v>286701</v>
      </c>
      <c r="AF4" s="9">
        <f t="shared" si="0"/>
        <v>287122</v>
      </c>
      <c r="AG4" s="9">
        <f t="shared" si="0"/>
        <v>288385</v>
      </c>
      <c r="AH4" s="9">
        <f t="shared" si="0"/>
        <v>287543</v>
      </c>
      <c r="AI4" s="9">
        <f t="shared" si="0"/>
        <v>287543</v>
      </c>
      <c r="AJ4" s="9">
        <f t="shared" si="0"/>
        <v>286701</v>
      </c>
      <c r="AK4" s="9">
        <f t="shared" si="0"/>
        <v>287122</v>
      </c>
      <c r="AL4" s="9">
        <f t="shared" si="0"/>
        <v>289227</v>
      </c>
      <c r="AM4" s="9">
        <f t="shared" si="0"/>
        <v>289648</v>
      </c>
      <c r="AN4" s="9">
        <f t="shared" si="0"/>
        <v>290069</v>
      </c>
      <c r="AO4" s="9">
        <f t="shared" si="0"/>
        <v>290911</v>
      </c>
      <c r="AP4" s="9">
        <f t="shared" si="0"/>
        <v>292174</v>
      </c>
      <c r="AQ4" s="9">
        <f>AQ208*AQ224</f>
        <v>293437</v>
      </c>
    </row>
    <row r="5" spans="1:43">
      <c r="A5" s="6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spans="1:43">
      <c r="A6" s="10" t="s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</row>
    <row r="7" spans="1:43">
      <c r="A7" s="6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spans="1:43">
      <c r="A8" s="6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pans="1:43">
      <c r="A9" s="6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spans="1:43">
      <c r="A10" s="6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 spans="1:43">
      <c r="A11" s="6" t="s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3">
      <c r="A12" s="6" t="s">
        <v>10</v>
      </c>
      <c r="B12" s="7">
        <v>117421</v>
      </c>
      <c r="C12" s="7">
        <v>125045</v>
      </c>
      <c r="D12" s="7">
        <f>'[2]New Zealand Tallow Exports'!K$289</f>
        <v>115185</v>
      </c>
      <c r="E12" s="7">
        <f>'[2]New Zealand Tallow Exports'!L$289</f>
        <v>137665</v>
      </c>
      <c r="F12" s="7">
        <f>'[2]New Zealand Tallow Exports'!M$289</f>
        <v>145189</v>
      </c>
      <c r="G12" s="7">
        <f>'[2]New Zealand Tallow Exports'!N$289</f>
        <v>145309</v>
      </c>
      <c r="H12" s="7">
        <f>'[2]New Zealand Tallow Exports'!O$289</f>
        <v>165059</v>
      </c>
      <c r="I12" s="7">
        <f>'[2]New Zealand Tallow Exports'!P$289</f>
        <v>136746</v>
      </c>
      <c r="J12" s="7">
        <f>'[2]New Zealand Tallow Exports'!Q$289</f>
        <v>159791</v>
      </c>
      <c r="K12" s="7">
        <f>'[2]New Zealand Tallow Exports'!R$289</f>
        <v>136637</v>
      </c>
      <c r="L12" s="7">
        <f>'[2]New Zealand Tallow Exports'!S$289</f>
        <v>144247</v>
      </c>
      <c r="M12" s="7">
        <f>'[2]New Zealand Tallow Exports'!T$289</f>
        <v>120811</v>
      </c>
      <c r="N12" s="7">
        <f>'[2]New Zealand Tallow Exports'!U$289</f>
        <v>128593</v>
      </c>
      <c r="O12" s="7">
        <f>'[2]New Zealand Tallow Exports'!V$289</f>
        <v>122498</v>
      </c>
      <c r="P12" s="7">
        <f>'[2]New Zealand Tallow Exports'!W$289</f>
        <v>134377</v>
      </c>
      <c r="Q12" s="7">
        <f>'[2]New Zealand Tallow Exports'!X$289</f>
        <v>140607</v>
      </c>
      <c r="R12" s="7">
        <f>'[2]New Zealand Tallow Exports'!Y$289</f>
        <v>163284</v>
      </c>
      <c r="S12" s="7">
        <f>'[2]New Zealand Tallow Exports'!Z$289</f>
        <v>124766</v>
      </c>
      <c r="T12" s="7">
        <f>'[2]New Zealand Tallow Exports'!AA$289</f>
        <v>147531</v>
      </c>
      <c r="U12" s="7">
        <f>'[2]New Zealand Tallow Exports'!AB$290</f>
        <v>116716</v>
      </c>
      <c r="V12" s="7">
        <f>'[2]New Zealand Tallow Exports'!AC$290</f>
        <v>115560</v>
      </c>
      <c r="W12" s="7">
        <f>'[2]New Zealand Tallow Exports'!AD$290</f>
        <v>149906</v>
      </c>
      <c r="X12" s="7">
        <f>'[2]New Zealand Tallow Exports'!AE$290</f>
        <v>117494</v>
      </c>
      <c r="Y12" s="9">
        <f>(SUM(O12:X12)/SUM(O4:X4)*Y4)+20000</f>
        <v>151864.7984397634</v>
      </c>
      <c r="Z12" s="9">
        <f>(SUM(P12:Y12)/SUM(P4:Y4)*Z4)+15000</f>
        <v>150327.89192457663</v>
      </c>
      <c r="AA12" s="9">
        <f>(SUM(Q12:Z12)/SUM(Q4:Z4)*AA4)+10000</f>
        <v>148850.90271702461</v>
      </c>
      <c r="AB12" s="9">
        <f>(SUM(R12:AA12)/SUM(R4:AA4)*AB4)+10000</f>
        <v>151792.16745698295</v>
      </c>
      <c r="AC12" s="9">
        <f>(SUM(S12:AB12)/SUM(S4:AB4)*AC4)+10000</f>
        <v>151021.33959677673</v>
      </c>
      <c r="AD12" s="9">
        <f>(SUM(T12:AC12)/SUM(T4:AC4)*AD4)+10000</f>
        <v>153016.66726783203</v>
      </c>
      <c r="AE12" s="9">
        <f>(SUM(U12:AD12)/SUM(U4:AD4)*AE4)+5000</f>
        <v>148413.74331507907</v>
      </c>
      <c r="AF12" s="9">
        <f>(SUM(V12:AE12)/SUM(V4:AE4)*AF4)+5000</f>
        <v>151313.36549965694</v>
      </c>
      <c r="AG12" s="9">
        <f t="shared" ref="AG12:AQ12" si="1">(SUM(W12:AF12)/SUM(W4:AF4)*AG4)</f>
        <v>150318.68396741388</v>
      </c>
      <c r="AH12" s="9">
        <f t="shared" si="1"/>
        <v>149521.07818952153</v>
      </c>
      <c r="AI12" s="9">
        <f t="shared" si="1"/>
        <v>152339.19988301312</v>
      </c>
      <c r="AJ12" s="9">
        <f t="shared" si="1"/>
        <v>151425.28288563885</v>
      </c>
      <c r="AK12" s="9">
        <f t="shared" si="1"/>
        <v>151378.34527395302</v>
      </c>
      <c r="AL12" s="9">
        <f t="shared" si="1"/>
        <v>152474.41859855145</v>
      </c>
      <c r="AM12" s="9">
        <f t="shared" si="1"/>
        <v>152474.09028310253</v>
      </c>
      <c r="AN12" s="9">
        <f t="shared" si="1"/>
        <v>152596.33806556845</v>
      </c>
      <c r="AO12" s="9">
        <f t="shared" si="1"/>
        <v>152750.75153623678</v>
      </c>
      <c r="AP12" s="9">
        <f t="shared" si="1"/>
        <v>153629.32982086757</v>
      </c>
      <c r="AQ12" s="9">
        <f t="shared" si="1"/>
        <v>154258.85770030535</v>
      </c>
    </row>
    <row r="13" spans="1:43">
      <c r="A13" s="10" t="s">
        <v>11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</row>
    <row r="14" spans="1:43">
      <c r="A14" t="s">
        <v>12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spans="1:43">
      <c r="A15" s="6" t="s">
        <v>13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</row>
    <row r="16" spans="1:43" ht="15.75" thickBot="1">
      <c r="A16" s="6" t="s">
        <v>14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</row>
    <row r="17" spans="1:43">
      <c r="A17" s="17" t="s">
        <v>15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9">
        <f t="shared" ref="L17:W17" si="2">L12/L4</f>
        <v>0.56918223483152042</v>
      </c>
      <c r="M17" s="19">
        <f t="shared" si="2"/>
        <v>0.48299960220128613</v>
      </c>
      <c r="N17" s="19">
        <f t="shared" si="2"/>
        <v>0.51177321561112676</v>
      </c>
      <c r="O17" s="19">
        <f t="shared" si="2"/>
        <v>0.44956941556856778</v>
      </c>
      <c r="P17" s="19">
        <f t="shared" si="2"/>
        <v>0.457452059737669</v>
      </c>
      <c r="Q17" s="19">
        <f t="shared" si="2"/>
        <v>0.45759112720953277</v>
      </c>
      <c r="R17" s="19">
        <f t="shared" si="2"/>
        <v>0.58440944881889767</v>
      </c>
      <c r="S17" s="19">
        <f t="shared" si="2"/>
        <v>0.46670282604223168</v>
      </c>
      <c r="T17" s="19">
        <f t="shared" si="2"/>
        <v>0.54666419638721631</v>
      </c>
      <c r="U17" s="19">
        <f t="shared" si="2"/>
        <v>0.42261456462545621</v>
      </c>
      <c r="V17" s="19">
        <f t="shared" si="2"/>
        <v>0.41029792401180193</v>
      </c>
      <c r="W17" s="19">
        <f t="shared" si="2"/>
        <v>0.53383996837685666</v>
      </c>
      <c r="X17" s="19">
        <f>X12/X4</f>
        <v>0.42030592679506623</v>
      </c>
      <c r="Y17" s="19">
        <f t="shared" ref="Y17:AP17" si="3">Y12/Y4</f>
        <v>0.54655149514058665</v>
      </c>
      <c r="Z17" s="19">
        <f t="shared" si="3"/>
        <v>0.53776111068231347</v>
      </c>
      <c r="AA17" s="19">
        <f t="shared" si="3"/>
        <v>0.52770908893900315</v>
      </c>
      <c r="AB17" s="19">
        <f t="shared" si="3"/>
        <v>0.53494282884816757</v>
      </c>
      <c r="AC17" s="19">
        <f t="shared" si="3"/>
        <v>0.52986783103034807</v>
      </c>
      <c r="AD17" s="19">
        <f t="shared" si="3"/>
        <v>0.53607672162722564</v>
      </c>
      <c r="AE17" s="19">
        <f t="shared" si="3"/>
        <v>0.51766036154418393</v>
      </c>
      <c r="AF17" s="19">
        <f t="shared" si="3"/>
        <v>0.52700024902186848</v>
      </c>
      <c r="AG17" s="19">
        <f t="shared" si="3"/>
        <v>0.52124307424940231</v>
      </c>
      <c r="AH17" s="19">
        <f t="shared" si="3"/>
        <v>0.51999554219550304</v>
      </c>
      <c r="AI17" s="19">
        <f t="shared" si="3"/>
        <v>0.52979623876433479</v>
      </c>
      <c r="AJ17" s="19">
        <f t="shared" si="3"/>
        <v>0.52816447408847145</v>
      </c>
      <c r="AK17" s="19">
        <f t="shared" si="3"/>
        <v>0.52722656318203764</v>
      </c>
      <c r="AL17" s="19">
        <f t="shared" si="3"/>
        <v>0.52717906211574805</v>
      </c>
      <c r="AM17" s="19">
        <f t="shared" si="3"/>
        <v>0.52641167998088212</v>
      </c>
      <c r="AN17" s="19">
        <f t="shared" si="3"/>
        <v>0.52606910102619875</v>
      </c>
      <c r="AO17" s="19">
        <f t="shared" si="3"/>
        <v>0.52507726258627818</v>
      </c>
      <c r="AP17" s="19">
        <f t="shared" si="3"/>
        <v>0.52581451402543544</v>
      </c>
      <c r="AQ17" s="19">
        <f>AQ12/AQ4</f>
        <v>0.52569668344586862</v>
      </c>
    </row>
    <row r="19" spans="1:43" ht="15.75" thickBot="1">
      <c r="A19" s="20" t="s">
        <v>87</v>
      </c>
    </row>
    <row r="20" spans="1:43" ht="15.75" thickBot="1">
      <c r="A20" s="22"/>
      <c r="B20" s="23" t="str">
        <f>B2</f>
        <v>2000</v>
      </c>
      <c r="C20" s="23" t="str">
        <f t="shared" ref="C20:AP20" si="4">C2</f>
        <v>2001</v>
      </c>
      <c r="D20" s="23" t="str">
        <f t="shared" si="4"/>
        <v>2002</v>
      </c>
      <c r="E20" s="23" t="str">
        <f t="shared" si="4"/>
        <v>2003</v>
      </c>
      <c r="F20" s="23" t="str">
        <f t="shared" si="4"/>
        <v>2004</v>
      </c>
      <c r="G20" s="23" t="str">
        <f t="shared" si="4"/>
        <v>2005</v>
      </c>
      <c r="H20" s="23" t="str">
        <f t="shared" si="4"/>
        <v>2006</v>
      </c>
      <c r="I20" s="23" t="str">
        <f t="shared" si="4"/>
        <v>2007</v>
      </c>
      <c r="J20" s="23" t="str">
        <f t="shared" si="4"/>
        <v>2008</v>
      </c>
      <c r="K20" s="23" t="str">
        <f t="shared" si="4"/>
        <v>2009</v>
      </c>
      <c r="L20" s="23" t="str">
        <f t="shared" si="4"/>
        <v>2010</v>
      </c>
      <c r="M20" s="23" t="str">
        <f t="shared" si="4"/>
        <v>2011</v>
      </c>
      <c r="N20" s="23" t="str">
        <f t="shared" si="4"/>
        <v>2012</v>
      </c>
      <c r="O20" s="23" t="str">
        <f t="shared" si="4"/>
        <v>2013</v>
      </c>
      <c r="P20" s="23" t="str">
        <f t="shared" si="4"/>
        <v>2014</v>
      </c>
      <c r="Q20" s="23" t="str">
        <f t="shared" si="4"/>
        <v>2015</v>
      </c>
      <c r="R20" s="23" t="str">
        <f t="shared" si="4"/>
        <v>2016</v>
      </c>
      <c r="S20" s="23" t="str">
        <f t="shared" si="4"/>
        <v>2017</v>
      </c>
      <c r="T20" s="23" t="str">
        <f t="shared" si="4"/>
        <v>2018</v>
      </c>
      <c r="U20" s="23" t="str">
        <f t="shared" si="4"/>
        <v>2019</v>
      </c>
      <c r="V20" s="23" t="str">
        <f t="shared" si="4"/>
        <v>2020</v>
      </c>
      <c r="W20" s="23" t="str">
        <f t="shared" si="4"/>
        <v>2021</v>
      </c>
      <c r="X20" s="23" t="str">
        <f t="shared" si="4"/>
        <v>2022</v>
      </c>
      <c r="Y20" s="23" t="str">
        <f t="shared" si="4"/>
        <v>2023</v>
      </c>
      <c r="Z20" s="23" t="str">
        <f t="shared" si="4"/>
        <v>2024</v>
      </c>
      <c r="AA20" s="23" t="str">
        <f t="shared" si="4"/>
        <v>2025</v>
      </c>
      <c r="AB20" s="23" t="str">
        <f t="shared" si="4"/>
        <v>2026</v>
      </c>
      <c r="AC20" s="23" t="str">
        <f t="shared" si="4"/>
        <v>2027</v>
      </c>
      <c r="AD20" s="23" t="str">
        <f t="shared" si="4"/>
        <v>2028</v>
      </c>
      <c r="AE20" s="23" t="str">
        <f t="shared" si="4"/>
        <v>2029</v>
      </c>
      <c r="AF20" s="23" t="str">
        <f t="shared" si="4"/>
        <v>2030</v>
      </c>
      <c r="AG20" s="23" t="str">
        <f t="shared" si="4"/>
        <v>2031</v>
      </c>
      <c r="AH20" s="23" t="str">
        <f t="shared" si="4"/>
        <v>2032</v>
      </c>
      <c r="AI20" s="23" t="str">
        <f t="shared" si="4"/>
        <v>2033</v>
      </c>
      <c r="AJ20" s="23" t="str">
        <f t="shared" si="4"/>
        <v>2034</v>
      </c>
      <c r="AK20" s="23" t="str">
        <f t="shared" si="4"/>
        <v>2035</v>
      </c>
      <c r="AL20" s="23" t="str">
        <f t="shared" si="4"/>
        <v>2036</v>
      </c>
      <c r="AM20" s="23" t="str">
        <f t="shared" si="4"/>
        <v>2037</v>
      </c>
      <c r="AN20" s="23" t="str">
        <f t="shared" si="4"/>
        <v>2038</v>
      </c>
      <c r="AO20" s="23" t="str">
        <f t="shared" si="4"/>
        <v>2039</v>
      </c>
      <c r="AP20" s="23" t="str">
        <f t="shared" si="4"/>
        <v>2040</v>
      </c>
      <c r="AQ20" s="23" t="str">
        <f>AQ2</f>
        <v>2041</v>
      </c>
    </row>
    <row r="21" spans="1:43">
      <c r="A21" s="20" t="s">
        <v>17</v>
      </c>
    </row>
    <row r="22" spans="1:43">
      <c r="A22" s="20" t="s">
        <v>18</v>
      </c>
    </row>
    <row r="23" spans="1:43">
      <c r="A23" s="20" t="s">
        <v>19</v>
      </c>
    </row>
    <row r="24" spans="1:43">
      <c r="A24" s="20" t="s">
        <v>20</v>
      </c>
    </row>
    <row r="25" spans="1:43">
      <c r="A25" s="20" t="s">
        <v>21</v>
      </c>
    </row>
    <row r="26" spans="1:43">
      <c r="A26" s="20" t="s">
        <v>22</v>
      </c>
    </row>
    <row r="27" spans="1:43">
      <c r="A27" s="20" t="s">
        <v>23</v>
      </c>
    </row>
    <row r="28" spans="1:43">
      <c r="A28" s="20" t="s">
        <v>24</v>
      </c>
    </row>
    <row r="29" spans="1:43">
      <c r="A29" s="20" t="s">
        <v>25</v>
      </c>
    </row>
    <row r="30" spans="1:43">
      <c r="A30" s="20" t="s">
        <v>26</v>
      </c>
    </row>
    <row r="31" spans="1:43">
      <c r="A31" s="20" t="s">
        <v>27</v>
      </c>
    </row>
    <row r="32" spans="1:43">
      <c r="A32" s="20" t="s">
        <v>28</v>
      </c>
    </row>
    <row r="33" spans="1:43" ht="15.75" thickBot="1">
      <c r="A33" s="20" t="s">
        <v>29</v>
      </c>
    </row>
    <row r="34" spans="1:43">
      <c r="A34" s="25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</row>
    <row r="35" spans="1:43" ht="15.75" thickBot="1">
      <c r="A35" s="20" t="s">
        <v>88</v>
      </c>
    </row>
    <row r="36" spans="1:43" ht="15.75" thickBot="1">
      <c r="A36" s="22"/>
      <c r="B36" s="23" t="str">
        <f>B20</f>
        <v>2000</v>
      </c>
      <c r="C36" s="23" t="str">
        <f t="shared" ref="C36:AP36" si="5">C20</f>
        <v>2001</v>
      </c>
      <c r="D36" s="23" t="str">
        <f t="shared" si="5"/>
        <v>2002</v>
      </c>
      <c r="E36" s="23" t="str">
        <f t="shared" si="5"/>
        <v>2003</v>
      </c>
      <c r="F36" s="23" t="str">
        <f t="shared" si="5"/>
        <v>2004</v>
      </c>
      <c r="G36" s="23" t="str">
        <f t="shared" si="5"/>
        <v>2005</v>
      </c>
      <c r="H36" s="23" t="str">
        <f t="shared" si="5"/>
        <v>2006</v>
      </c>
      <c r="I36" s="23" t="str">
        <f t="shared" si="5"/>
        <v>2007</v>
      </c>
      <c r="J36" s="23" t="str">
        <f t="shared" si="5"/>
        <v>2008</v>
      </c>
      <c r="K36" s="23" t="str">
        <f t="shared" si="5"/>
        <v>2009</v>
      </c>
      <c r="L36" s="23" t="str">
        <f t="shared" si="5"/>
        <v>2010</v>
      </c>
      <c r="M36" s="23" t="str">
        <f t="shared" si="5"/>
        <v>2011</v>
      </c>
      <c r="N36" s="23" t="str">
        <f t="shared" si="5"/>
        <v>2012</v>
      </c>
      <c r="O36" s="23" t="str">
        <f t="shared" si="5"/>
        <v>2013</v>
      </c>
      <c r="P36" s="23" t="str">
        <f t="shared" si="5"/>
        <v>2014</v>
      </c>
      <c r="Q36" s="23" t="str">
        <f t="shared" si="5"/>
        <v>2015</v>
      </c>
      <c r="R36" s="23" t="str">
        <f t="shared" si="5"/>
        <v>2016</v>
      </c>
      <c r="S36" s="23" t="str">
        <f t="shared" si="5"/>
        <v>2017</v>
      </c>
      <c r="T36" s="23" t="str">
        <f t="shared" si="5"/>
        <v>2018</v>
      </c>
      <c r="U36" s="23" t="str">
        <f t="shared" si="5"/>
        <v>2019</v>
      </c>
      <c r="V36" s="23" t="str">
        <f t="shared" si="5"/>
        <v>2020</v>
      </c>
      <c r="W36" s="23" t="str">
        <f t="shared" si="5"/>
        <v>2021</v>
      </c>
      <c r="X36" s="23" t="str">
        <f t="shared" si="5"/>
        <v>2022</v>
      </c>
      <c r="Y36" s="23" t="str">
        <f t="shared" si="5"/>
        <v>2023</v>
      </c>
      <c r="Z36" s="23" t="str">
        <f t="shared" si="5"/>
        <v>2024</v>
      </c>
      <c r="AA36" s="23" t="str">
        <f t="shared" si="5"/>
        <v>2025</v>
      </c>
      <c r="AB36" s="23" t="str">
        <f t="shared" si="5"/>
        <v>2026</v>
      </c>
      <c r="AC36" s="23" t="str">
        <f t="shared" si="5"/>
        <v>2027</v>
      </c>
      <c r="AD36" s="23" t="str">
        <f t="shared" si="5"/>
        <v>2028</v>
      </c>
      <c r="AE36" s="23" t="str">
        <f t="shared" si="5"/>
        <v>2029</v>
      </c>
      <c r="AF36" s="23" t="str">
        <f t="shared" si="5"/>
        <v>2030</v>
      </c>
      <c r="AG36" s="23" t="str">
        <f t="shared" si="5"/>
        <v>2031</v>
      </c>
      <c r="AH36" s="23" t="str">
        <f t="shared" si="5"/>
        <v>2032</v>
      </c>
      <c r="AI36" s="23" t="str">
        <f t="shared" si="5"/>
        <v>2033</v>
      </c>
      <c r="AJ36" s="23" t="str">
        <f t="shared" si="5"/>
        <v>2034</v>
      </c>
      <c r="AK36" s="23" t="str">
        <f t="shared" si="5"/>
        <v>2035</v>
      </c>
      <c r="AL36" s="23" t="str">
        <f t="shared" si="5"/>
        <v>2036</v>
      </c>
      <c r="AM36" s="23" t="str">
        <f t="shared" si="5"/>
        <v>2037</v>
      </c>
      <c r="AN36" s="23" t="str">
        <f t="shared" si="5"/>
        <v>2038</v>
      </c>
      <c r="AO36" s="23" t="str">
        <f t="shared" si="5"/>
        <v>2039</v>
      </c>
      <c r="AP36" s="23" t="str">
        <f t="shared" si="5"/>
        <v>2040</v>
      </c>
      <c r="AQ36" s="23" t="str">
        <f>AQ20</f>
        <v>2041</v>
      </c>
    </row>
    <row r="37" spans="1:43">
      <c r="A37" s="20" t="s">
        <v>17</v>
      </c>
    </row>
    <row r="38" spans="1:43">
      <c r="A38" s="20" t="s">
        <v>18</v>
      </c>
    </row>
    <row r="39" spans="1:43">
      <c r="A39" s="20" t="s">
        <v>19</v>
      </c>
    </row>
    <row r="40" spans="1:43">
      <c r="A40" s="20" t="s">
        <v>20</v>
      </c>
    </row>
    <row r="41" spans="1:43">
      <c r="A41" s="20" t="s">
        <v>21</v>
      </c>
    </row>
    <row r="42" spans="1:43">
      <c r="A42" s="20" t="s">
        <v>22</v>
      </c>
    </row>
    <row r="43" spans="1:43">
      <c r="A43" s="20" t="s">
        <v>23</v>
      </c>
    </row>
    <row r="44" spans="1:43">
      <c r="A44" s="20" t="s">
        <v>24</v>
      </c>
    </row>
    <row r="45" spans="1:43">
      <c r="A45" s="20" t="s">
        <v>25</v>
      </c>
    </row>
    <row r="46" spans="1:43">
      <c r="A46" s="20" t="s">
        <v>26</v>
      </c>
    </row>
    <row r="47" spans="1:43">
      <c r="A47" s="20" t="s">
        <v>27</v>
      </c>
    </row>
    <row r="48" spans="1:43">
      <c r="A48" s="20" t="s">
        <v>28</v>
      </c>
    </row>
    <row r="49" spans="1:43" ht="15.75" thickBot="1">
      <c r="A49" s="20" t="s">
        <v>29</v>
      </c>
    </row>
    <row r="50" spans="1:43">
      <c r="A50" s="25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</row>
    <row r="51" spans="1:43" ht="15.75" thickBot="1">
      <c r="A51" s="20" t="s">
        <v>89</v>
      </c>
    </row>
    <row r="52" spans="1:43" ht="15.75" thickBot="1">
      <c r="A52" s="22"/>
      <c r="B52" s="23" t="str">
        <f>B36</f>
        <v>2000</v>
      </c>
      <c r="C52" s="23" t="str">
        <f t="shared" ref="C52:AP52" si="6">C36</f>
        <v>2001</v>
      </c>
      <c r="D52" s="23" t="str">
        <f t="shared" si="6"/>
        <v>2002</v>
      </c>
      <c r="E52" s="23" t="str">
        <f t="shared" si="6"/>
        <v>2003</v>
      </c>
      <c r="F52" s="23" t="str">
        <f t="shared" si="6"/>
        <v>2004</v>
      </c>
      <c r="G52" s="23" t="str">
        <f t="shared" si="6"/>
        <v>2005</v>
      </c>
      <c r="H52" s="23" t="str">
        <f t="shared" si="6"/>
        <v>2006</v>
      </c>
      <c r="I52" s="23" t="str">
        <f t="shared" si="6"/>
        <v>2007</v>
      </c>
      <c r="J52" s="23" t="str">
        <f t="shared" si="6"/>
        <v>2008</v>
      </c>
      <c r="K52" s="23" t="str">
        <f t="shared" si="6"/>
        <v>2009</v>
      </c>
      <c r="L52" s="23" t="str">
        <f t="shared" si="6"/>
        <v>2010</v>
      </c>
      <c r="M52" s="23" t="str">
        <f t="shared" si="6"/>
        <v>2011</v>
      </c>
      <c r="N52" s="23" t="str">
        <f t="shared" si="6"/>
        <v>2012</v>
      </c>
      <c r="O52" s="23" t="str">
        <f t="shared" si="6"/>
        <v>2013</v>
      </c>
      <c r="P52" s="23" t="str">
        <f t="shared" si="6"/>
        <v>2014</v>
      </c>
      <c r="Q52" s="23" t="str">
        <f t="shared" si="6"/>
        <v>2015</v>
      </c>
      <c r="R52" s="23" t="str">
        <f t="shared" si="6"/>
        <v>2016</v>
      </c>
      <c r="S52" s="23" t="str">
        <f t="shared" si="6"/>
        <v>2017</v>
      </c>
      <c r="T52" s="23" t="str">
        <f t="shared" si="6"/>
        <v>2018</v>
      </c>
      <c r="U52" s="23" t="str">
        <f t="shared" si="6"/>
        <v>2019</v>
      </c>
      <c r="V52" s="23" t="str">
        <f t="shared" si="6"/>
        <v>2020</v>
      </c>
      <c r="W52" s="23" t="str">
        <f t="shared" si="6"/>
        <v>2021</v>
      </c>
      <c r="X52" s="23" t="str">
        <f t="shared" si="6"/>
        <v>2022</v>
      </c>
      <c r="Y52" s="23" t="str">
        <f t="shared" si="6"/>
        <v>2023</v>
      </c>
      <c r="Z52" s="23" t="str">
        <f t="shared" si="6"/>
        <v>2024</v>
      </c>
      <c r="AA52" s="23" t="str">
        <f t="shared" si="6"/>
        <v>2025</v>
      </c>
      <c r="AB52" s="23" t="str">
        <f t="shared" si="6"/>
        <v>2026</v>
      </c>
      <c r="AC52" s="23" t="str">
        <f t="shared" si="6"/>
        <v>2027</v>
      </c>
      <c r="AD52" s="23" t="str">
        <f t="shared" si="6"/>
        <v>2028</v>
      </c>
      <c r="AE52" s="23" t="str">
        <f t="shared" si="6"/>
        <v>2029</v>
      </c>
      <c r="AF52" s="23" t="str">
        <f t="shared" si="6"/>
        <v>2030</v>
      </c>
      <c r="AG52" s="23" t="str">
        <f t="shared" si="6"/>
        <v>2031</v>
      </c>
      <c r="AH52" s="23" t="str">
        <f t="shared" si="6"/>
        <v>2032</v>
      </c>
      <c r="AI52" s="23" t="str">
        <f t="shared" si="6"/>
        <v>2033</v>
      </c>
      <c r="AJ52" s="23" t="str">
        <f t="shared" si="6"/>
        <v>2034</v>
      </c>
      <c r="AK52" s="23" t="str">
        <f t="shared" si="6"/>
        <v>2035</v>
      </c>
      <c r="AL52" s="23" t="str">
        <f t="shared" si="6"/>
        <v>2036</v>
      </c>
      <c r="AM52" s="23" t="str">
        <f t="shared" si="6"/>
        <v>2037</v>
      </c>
      <c r="AN52" s="23" t="str">
        <f t="shared" si="6"/>
        <v>2038</v>
      </c>
      <c r="AO52" s="23" t="str">
        <f t="shared" si="6"/>
        <v>2039</v>
      </c>
      <c r="AP52" s="23" t="str">
        <f t="shared" si="6"/>
        <v>2040</v>
      </c>
      <c r="AQ52" s="23" t="str">
        <f>AQ36</f>
        <v>2041</v>
      </c>
    </row>
    <row r="53" spans="1:43">
      <c r="A53" s="20" t="s">
        <v>17</v>
      </c>
    </row>
    <row r="54" spans="1:43">
      <c r="A54" s="20" t="s">
        <v>18</v>
      </c>
    </row>
    <row r="55" spans="1:43">
      <c r="A55" s="20" t="s">
        <v>19</v>
      </c>
    </row>
    <row r="56" spans="1:43">
      <c r="A56" s="20" t="s">
        <v>20</v>
      </c>
    </row>
    <row r="57" spans="1:43">
      <c r="A57" s="20" t="s">
        <v>21</v>
      </c>
    </row>
    <row r="58" spans="1:43">
      <c r="A58" s="20" t="s">
        <v>22</v>
      </c>
    </row>
    <row r="59" spans="1:43">
      <c r="A59" s="20" t="s">
        <v>23</v>
      </c>
    </row>
    <row r="60" spans="1:43">
      <c r="A60" s="20" t="s">
        <v>24</v>
      </c>
    </row>
    <row r="61" spans="1:43">
      <c r="A61" s="20" t="s">
        <v>25</v>
      </c>
    </row>
    <row r="62" spans="1:43">
      <c r="A62" s="20" t="s">
        <v>26</v>
      </c>
    </row>
    <row r="63" spans="1:43">
      <c r="A63" s="20" t="s">
        <v>27</v>
      </c>
    </row>
    <row r="64" spans="1:43">
      <c r="A64" s="20" t="s">
        <v>28</v>
      </c>
    </row>
    <row r="65" spans="1:43" ht="15.75" thickBot="1">
      <c r="A65" s="20" t="s">
        <v>29</v>
      </c>
    </row>
    <row r="66" spans="1:43">
      <c r="A66" s="25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</row>
    <row r="67" spans="1:43" ht="15.75" thickBot="1">
      <c r="A67" s="20" t="s">
        <v>90</v>
      </c>
    </row>
    <row r="68" spans="1:43" ht="15.75" thickBot="1">
      <c r="A68" s="22"/>
      <c r="B68" s="23" t="str">
        <f>B52</f>
        <v>2000</v>
      </c>
      <c r="C68" s="23" t="str">
        <f t="shared" ref="C68:AP68" si="7">C52</f>
        <v>2001</v>
      </c>
      <c r="D68" s="23" t="str">
        <f t="shared" si="7"/>
        <v>2002</v>
      </c>
      <c r="E68" s="23" t="str">
        <f t="shared" si="7"/>
        <v>2003</v>
      </c>
      <c r="F68" s="23" t="str">
        <f t="shared" si="7"/>
        <v>2004</v>
      </c>
      <c r="G68" s="23" t="str">
        <f t="shared" si="7"/>
        <v>2005</v>
      </c>
      <c r="H68" s="23" t="str">
        <f t="shared" si="7"/>
        <v>2006</v>
      </c>
      <c r="I68" s="23" t="str">
        <f t="shared" si="7"/>
        <v>2007</v>
      </c>
      <c r="J68" s="23" t="str">
        <f t="shared" si="7"/>
        <v>2008</v>
      </c>
      <c r="K68" s="23" t="str">
        <f t="shared" si="7"/>
        <v>2009</v>
      </c>
      <c r="L68" s="23" t="str">
        <f t="shared" si="7"/>
        <v>2010</v>
      </c>
      <c r="M68" s="23" t="str">
        <f t="shared" si="7"/>
        <v>2011</v>
      </c>
      <c r="N68" s="23" t="str">
        <f t="shared" si="7"/>
        <v>2012</v>
      </c>
      <c r="O68" s="23" t="str">
        <f t="shared" si="7"/>
        <v>2013</v>
      </c>
      <c r="P68" s="23" t="str">
        <f t="shared" si="7"/>
        <v>2014</v>
      </c>
      <c r="Q68" s="23" t="str">
        <f t="shared" si="7"/>
        <v>2015</v>
      </c>
      <c r="R68" s="23" t="str">
        <f t="shared" si="7"/>
        <v>2016</v>
      </c>
      <c r="S68" s="23" t="str">
        <f t="shared" si="7"/>
        <v>2017</v>
      </c>
      <c r="T68" s="23" t="str">
        <f t="shared" si="7"/>
        <v>2018</v>
      </c>
      <c r="U68" s="23" t="str">
        <f t="shared" si="7"/>
        <v>2019</v>
      </c>
      <c r="V68" s="23" t="str">
        <f t="shared" si="7"/>
        <v>2020</v>
      </c>
      <c r="W68" s="23" t="str">
        <f t="shared" si="7"/>
        <v>2021</v>
      </c>
      <c r="X68" s="23" t="str">
        <f t="shared" si="7"/>
        <v>2022</v>
      </c>
      <c r="Y68" s="23" t="str">
        <f t="shared" si="7"/>
        <v>2023</v>
      </c>
      <c r="Z68" s="23" t="str">
        <f t="shared" si="7"/>
        <v>2024</v>
      </c>
      <c r="AA68" s="23" t="str">
        <f t="shared" si="7"/>
        <v>2025</v>
      </c>
      <c r="AB68" s="23" t="str">
        <f t="shared" si="7"/>
        <v>2026</v>
      </c>
      <c r="AC68" s="23" t="str">
        <f t="shared" si="7"/>
        <v>2027</v>
      </c>
      <c r="AD68" s="23" t="str">
        <f t="shared" si="7"/>
        <v>2028</v>
      </c>
      <c r="AE68" s="23" t="str">
        <f t="shared" si="7"/>
        <v>2029</v>
      </c>
      <c r="AF68" s="23" t="str">
        <f t="shared" si="7"/>
        <v>2030</v>
      </c>
      <c r="AG68" s="23" t="str">
        <f t="shared" si="7"/>
        <v>2031</v>
      </c>
      <c r="AH68" s="23" t="str">
        <f t="shared" si="7"/>
        <v>2032</v>
      </c>
      <c r="AI68" s="23" t="str">
        <f t="shared" si="7"/>
        <v>2033</v>
      </c>
      <c r="AJ68" s="23" t="str">
        <f t="shared" si="7"/>
        <v>2034</v>
      </c>
      <c r="AK68" s="23" t="str">
        <f t="shared" si="7"/>
        <v>2035</v>
      </c>
      <c r="AL68" s="23" t="str">
        <f t="shared" si="7"/>
        <v>2036</v>
      </c>
      <c r="AM68" s="23" t="str">
        <f t="shared" si="7"/>
        <v>2037</v>
      </c>
      <c r="AN68" s="23" t="str">
        <f t="shared" si="7"/>
        <v>2038</v>
      </c>
      <c r="AO68" s="23" t="str">
        <f t="shared" si="7"/>
        <v>2039</v>
      </c>
      <c r="AP68" s="23" t="str">
        <f t="shared" si="7"/>
        <v>2040</v>
      </c>
      <c r="AQ68" s="23" t="str">
        <f>AQ52</f>
        <v>2041</v>
      </c>
    </row>
    <row r="69" spans="1:43">
      <c r="A69" s="20" t="s">
        <v>17</v>
      </c>
    </row>
    <row r="70" spans="1:43">
      <c r="A70" s="20" t="s">
        <v>18</v>
      </c>
    </row>
    <row r="71" spans="1:43">
      <c r="A71" s="20" t="s">
        <v>19</v>
      </c>
    </row>
    <row r="72" spans="1:43">
      <c r="A72" s="20" t="s">
        <v>20</v>
      </c>
    </row>
    <row r="73" spans="1:43">
      <c r="A73" s="20" t="s">
        <v>21</v>
      </c>
    </row>
    <row r="74" spans="1:43">
      <c r="A74" s="20" t="s">
        <v>22</v>
      </c>
    </row>
    <row r="75" spans="1:43">
      <c r="A75" s="20" t="s">
        <v>23</v>
      </c>
    </row>
    <row r="76" spans="1:43">
      <c r="A76" s="20" t="s">
        <v>24</v>
      </c>
    </row>
    <row r="77" spans="1:43">
      <c r="A77" s="20" t="s">
        <v>25</v>
      </c>
    </row>
    <row r="78" spans="1:43">
      <c r="A78" s="20" t="s">
        <v>26</v>
      </c>
    </row>
    <row r="79" spans="1:43">
      <c r="A79" s="20" t="s">
        <v>27</v>
      </c>
    </row>
    <row r="80" spans="1:43">
      <c r="A80" s="20" t="s">
        <v>28</v>
      </c>
    </row>
    <row r="81" spans="1:43" ht="15.75" thickBot="1">
      <c r="A81" s="20" t="s">
        <v>29</v>
      </c>
    </row>
    <row r="82" spans="1:43">
      <c r="A82" s="25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</row>
    <row r="83" spans="1:43" ht="15.75" thickBot="1">
      <c r="A83" s="20" t="s">
        <v>91</v>
      </c>
    </row>
    <row r="84" spans="1:43" ht="15.75" thickBot="1">
      <c r="A84" s="22"/>
      <c r="B84" s="23" t="str">
        <f>B68</f>
        <v>2000</v>
      </c>
      <c r="C84" s="23" t="str">
        <f t="shared" ref="C84:AP84" si="8">C68</f>
        <v>2001</v>
      </c>
      <c r="D84" s="23" t="str">
        <f t="shared" si="8"/>
        <v>2002</v>
      </c>
      <c r="E84" s="23" t="str">
        <f t="shared" si="8"/>
        <v>2003</v>
      </c>
      <c r="F84" s="23" t="str">
        <f t="shared" si="8"/>
        <v>2004</v>
      </c>
      <c r="G84" s="23" t="str">
        <f t="shared" si="8"/>
        <v>2005</v>
      </c>
      <c r="H84" s="23" t="str">
        <f t="shared" si="8"/>
        <v>2006</v>
      </c>
      <c r="I84" s="23" t="str">
        <f t="shared" si="8"/>
        <v>2007</v>
      </c>
      <c r="J84" s="23" t="str">
        <f t="shared" si="8"/>
        <v>2008</v>
      </c>
      <c r="K84" s="23" t="str">
        <f t="shared" si="8"/>
        <v>2009</v>
      </c>
      <c r="L84" s="23" t="str">
        <f t="shared" si="8"/>
        <v>2010</v>
      </c>
      <c r="M84" s="23" t="str">
        <f t="shared" si="8"/>
        <v>2011</v>
      </c>
      <c r="N84" s="23" t="str">
        <f t="shared" si="8"/>
        <v>2012</v>
      </c>
      <c r="O84" s="23" t="str">
        <f t="shared" si="8"/>
        <v>2013</v>
      </c>
      <c r="P84" s="23" t="str">
        <f t="shared" si="8"/>
        <v>2014</v>
      </c>
      <c r="Q84" s="23" t="str">
        <f t="shared" si="8"/>
        <v>2015</v>
      </c>
      <c r="R84" s="23" t="str">
        <f t="shared" si="8"/>
        <v>2016</v>
      </c>
      <c r="S84" s="23" t="str">
        <f t="shared" si="8"/>
        <v>2017</v>
      </c>
      <c r="T84" s="23" t="str">
        <f t="shared" si="8"/>
        <v>2018</v>
      </c>
      <c r="U84" s="23" t="str">
        <f t="shared" si="8"/>
        <v>2019</v>
      </c>
      <c r="V84" s="23" t="str">
        <f t="shared" si="8"/>
        <v>2020</v>
      </c>
      <c r="W84" s="23" t="str">
        <f t="shared" si="8"/>
        <v>2021</v>
      </c>
      <c r="X84" s="23" t="str">
        <f t="shared" si="8"/>
        <v>2022</v>
      </c>
      <c r="Y84" s="23" t="str">
        <f t="shared" si="8"/>
        <v>2023</v>
      </c>
      <c r="Z84" s="23" t="str">
        <f t="shared" si="8"/>
        <v>2024</v>
      </c>
      <c r="AA84" s="23" t="str">
        <f t="shared" si="8"/>
        <v>2025</v>
      </c>
      <c r="AB84" s="23" t="str">
        <f t="shared" si="8"/>
        <v>2026</v>
      </c>
      <c r="AC84" s="23" t="str">
        <f t="shared" si="8"/>
        <v>2027</v>
      </c>
      <c r="AD84" s="23" t="str">
        <f t="shared" si="8"/>
        <v>2028</v>
      </c>
      <c r="AE84" s="23" t="str">
        <f t="shared" si="8"/>
        <v>2029</v>
      </c>
      <c r="AF84" s="23" t="str">
        <f t="shared" si="8"/>
        <v>2030</v>
      </c>
      <c r="AG84" s="23" t="str">
        <f t="shared" si="8"/>
        <v>2031</v>
      </c>
      <c r="AH84" s="23" t="str">
        <f t="shared" si="8"/>
        <v>2032</v>
      </c>
      <c r="AI84" s="23" t="str">
        <f t="shared" si="8"/>
        <v>2033</v>
      </c>
      <c r="AJ84" s="23" t="str">
        <f t="shared" si="8"/>
        <v>2034</v>
      </c>
      <c r="AK84" s="23" t="str">
        <f t="shared" si="8"/>
        <v>2035</v>
      </c>
      <c r="AL84" s="23" t="str">
        <f t="shared" si="8"/>
        <v>2036</v>
      </c>
      <c r="AM84" s="23" t="str">
        <f t="shared" si="8"/>
        <v>2037</v>
      </c>
      <c r="AN84" s="23" t="str">
        <f t="shared" si="8"/>
        <v>2038</v>
      </c>
      <c r="AO84" s="23" t="str">
        <f t="shared" si="8"/>
        <v>2039</v>
      </c>
      <c r="AP84" s="23" t="str">
        <f t="shared" si="8"/>
        <v>2040</v>
      </c>
      <c r="AQ84" s="23" t="str">
        <f>AQ68</f>
        <v>2041</v>
      </c>
    </row>
    <row r="85" spans="1:43">
      <c r="A85" s="20" t="s">
        <v>17</v>
      </c>
    </row>
    <row r="86" spans="1:43">
      <c r="A86" s="20" t="s">
        <v>18</v>
      </c>
    </row>
    <row r="87" spans="1:43">
      <c r="A87" s="20" t="s">
        <v>19</v>
      </c>
    </row>
    <row r="88" spans="1:43">
      <c r="A88" s="20" t="s">
        <v>20</v>
      </c>
    </row>
    <row r="89" spans="1:43">
      <c r="A89" s="20" t="s">
        <v>21</v>
      </c>
    </row>
    <row r="90" spans="1:43">
      <c r="A90" s="20" t="s">
        <v>22</v>
      </c>
    </row>
    <row r="91" spans="1:43">
      <c r="A91" s="20" t="s">
        <v>23</v>
      </c>
    </row>
    <row r="92" spans="1:43">
      <c r="A92" s="20" t="s">
        <v>24</v>
      </c>
    </row>
    <row r="93" spans="1:43">
      <c r="A93" s="20" t="s">
        <v>25</v>
      </c>
    </row>
    <row r="94" spans="1:43">
      <c r="A94" s="20" t="s">
        <v>26</v>
      </c>
    </row>
    <row r="95" spans="1:43">
      <c r="A95" s="20" t="s">
        <v>27</v>
      </c>
    </row>
    <row r="96" spans="1:43">
      <c r="A96" s="20" t="s">
        <v>28</v>
      </c>
    </row>
    <row r="97" spans="1:43" ht="15.75" thickBot="1">
      <c r="A97" s="20" t="s">
        <v>29</v>
      </c>
    </row>
    <row r="98" spans="1:43">
      <c r="A98" s="25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</row>
    <row r="99" spans="1:43" ht="15.75" thickBot="1">
      <c r="A99" s="20" t="s">
        <v>92</v>
      </c>
    </row>
    <row r="100" spans="1:43" ht="15.75" thickBot="1">
      <c r="A100" s="22"/>
      <c r="B100" s="23" t="str">
        <f>B84</f>
        <v>2000</v>
      </c>
      <c r="C100" s="23" t="str">
        <f t="shared" ref="C100:AP100" si="9">C84</f>
        <v>2001</v>
      </c>
      <c r="D100" s="23" t="str">
        <f t="shared" si="9"/>
        <v>2002</v>
      </c>
      <c r="E100" s="23" t="str">
        <f t="shared" si="9"/>
        <v>2003</v>
      </c>
      <c r="F100" s="23" t="str">
        <f t="shared" si="9"/>
        <v>2004</v>
      </c>
      <c r="G100" s="23" t="str">
        <f t="shared" si="9"/>
        <v>2005</v>
      </c>
      <c r="H100" s="23" t="str">
        <f t="shared" si="9"/>
        <v>2006</v>
      </c>
      <c r="I100" s="23" t="str">
        <f t="shared" si="9"/>
        <v>2007</v>
      </c>
      <c r="J100" s="23" t="str">
        <f t="shared" si="9"/>
        <v>2008</v>
      </c>
      <c r="K100" s="23" t="str">
        <f t="shared" si="9"/>
        <v>2009</v>
      </c>
      <c r="L100" s="23" t="str">
        <f t="shared" si="9"/>
        <v>2010</v>
      </c>
      <c r="M100" s="23" t="str">
        <f t="shared" si="9"/>
        <v>2011</v>
      </c>
      <c r="N100" s="23" t="str">
        <f t="shared" si="9"/>
        <v>2012</v>
      </c>
      <c r="O100" s="23" t="str">
        <f t="shared" si="9"/>
        <v>2013</v>
      </c>
      <c r="P100" s="23" t="str">
        <f t="shared" si="9"/>
        <v>2014</v>
      </c>
      <c r="Q100" s="23" t="str">
        <f t="shared" si="9"/>
        <v>2015</v>
      </c>
      <c r="R100" s="23" t="str">
        <f t="shared" si="9"/>
        <v>2016</v>
      </c>
      <c r="S100" s="23" t="str">
        <f t="shared" si="9"/>
        <v>2017</v>
      </c>
      <c r="T100" s="23" t="str">
        <f t="shared" si="9"/>
        <v>2018</v>
      </c>
      <c r="U100" s="23" t="str">
        <f t="shared" si="9"/>
        <v>2019</v>
      </c>
      <c r="V100" s="23" t="str">
        <f t="shared" si="9"/>
        <v>2020</v>
      </c>
      <c r="W100" s="23" t="str">
        <f t="shared" si="9"/>
        <v>2021</v>
      </c>
      <c r="X100" s="23" t="str">
        <f t="shared" si="9"/>
        <v>2022</v>
      </c>
      <c r="Y100" s="23" t="str">
        <f t="shared" si="9"/>
        <v>2023</v>
      </c>
      <c r="Z100" s="23" t="str">
        <f t="shared" si="9"/>
        <v>2024</v>
      </c>
      <c r="AA100" s="23" t="str">
        <f t="shared" si="9"/>
        <v>2025</v>
      </c>
      <c r="AB100" s="23" t="str">
        <f t="shared" si="9"/>
        <v>2026</v>
      </c>
      <c r="AC100" s="23" t="str">
        <f t="shared" si="9"/>
        <v>2027</v>
      </c>
      <c r="AD100" s="23" t="str">
        <f t="shared" si="9"/>
        <v>2028</v>
      </c>
      <c r="AE100" s="23" t="str">
        <f t="shared" si="9"/>
        <v>2029</v>
      </c>
      <c r="AF100" s="23" t="str">
        <f t="shared" si="9"/>
        <v>2030</v>
      </c>
      <c r="AG100" s="23" t="str">
        <f t="shared" si="9"/>
        <v>2031</v>
      </c>
      <c r="AH100" s="23" t="str">
        <f t="shared" si="9"/>
        <v>2032</v>
      </c>
      <c r="AI100" s="23" t="str">
        <f t="shared" si="9"/>
        <v>2033</v>
      </c>
      <c r="AJ100" s="23" t="str">
        <f t="shared" si="9"/>
        <v>2034</v>
      </c>
      <c r="AK100" s="23" t="str">
        <f t="shared" si="9"/>
        <v>2035</v>
      </c>
      <c r="AL100" s="23" t="str">
        <f t="shared" si="9"/>
        <v>2036</v>
      </c>
      <c r="AM100" s="23" t="str">
        <f t="shared" si="9"/>
        <v>2037</v>
      </c>
      <c r="AN100" s="23" t="str">
        <f t="shared" si="9"/>
        <v>2038</v>
      </c>
      <c r="AO100" s="23" t="str">
        <f t="shared" si="9"/>
        <v>2039</v>
      </c>
      <c r="AP100" s="23" t="str">
        <f t="shared" si="9"/>
        <v>2040</v>
      </c>
      <c r="AQ100" s="23" t="str">
        <f>AQ84</f>
        <v>2041</v>
      </c>
    </row>
    <row r="101" spans="1:43">
      <c r="A101" s="20" t="s">
        <v>17</v>
      </c>
    </row>
    <row r="102" spans="1:43">
      <c r="A102" s="20" t="s">
        <v>18</v>
      </c>
    </row>
    <row r="103" spans="1:43">
      <c r="A103" s="20" t="s">
        <v>19</v>
      </c>
    </row>
    <row r="104" spans="1:43">
      <c r="A104" s="20" t="s">
        <v>20</v>
      </c>
    </row>
    <row r="105" spans="1:43">
      <c r="A105" s="20" t="s">
        <v>21</v>
      </c>
    </row>
    <row r="106" spans="1:43">
      <c r="A106" s="20" t="s">
        <v>22</v>
      </c>
    </row>
    <row r="107" spans="1:43">
      <c r="A107" s="20" t="s">
        <v>23</v>
      </c>
    </row>
    <row r="108" spans="1:43">
      <c r="A108" s="20" t="s">
        <v>24</v>
      </c>
    </row>
    <row r="109" spans="1:43">
      <c r="A109" s="20" t="s">
        <v>25</v>
      </c>
    </row>
    <row r="110" spans="1:43">
      <c r="A110" s="20" t="s">
        <v>26</v>
      </c>
    </row>
    <row r="111" spans="1:43">
      <c r="A111" s="20" t="s">
        <v>27</v>
      </c>
    </row>
    <row r="112" spans="1:43">
      <c r="A112" s="20" t="s">
        <v>28</v>
      </c>
    </row>
    <row r="113" spans="1:43" ht="15.75" thickBot="1">
      <c r="A113" s="20" t="s">
        <v>29</v>
      </c>
    </row>
    <row r="114" spans="1:43">
      <c r="A114" s="25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</row>
    <row r="115" spans="1:43" ht="15.75" thickBot="1">
      <c r="A115" s="20" t="s">
        <v>93</v>
      </c>
    </row>
    <row r="116" spans="1:43" ht="15.75" thickBot="1">
      <c r="A116" s="22"/>
      <c r="B116" s="23" t="str">
        <f>B100</f>
        <v>2000</v>
      </c>
      <c r="C116" s="23" t="str">
        <f t="shared" ref="C116:AP116" si="10">C100</f>
        <v>2001</v>
      </c>
      <c r="D116" s="23" t="str">
        <f t="shared" si="10"/>
        <v>2002</v>
      </c>
      <c r="E116" s="23" t="str">
        <f t="shared" si="10"/>
        <v>2003</v>
      </c>
      <c r="F116" s="23" t="str">
        <f t="shared" si="10"/>
        <v>2004</v>
      </c>
      <c r="G116" s="23" t="str">
        <f t="shared" si="10"/>
        <v>2005</v>
      </c>
      <c r="H116" s="23" t="str">
        <f t="shared" si="10"/>
        <v>2006</v>
      </c>
      <c r="I116" s="23" t="str">
        <f t="shared" si="10"/>
        <v>2007</v>
      </c>
      <c r="J116" s="23" t="str">
        <f t="shared" si="10"/>
        <v>2008</v>
      </c>
      <c r="K116" s="23" t="str">
        <f t="shared" si="10"/>
        <v>2009</v>
      </c>
      <c r="L116" s="23" t="str">
        <f t="shared" si="10"/>
        <v>2010</v>
      </c>
      <c r="M116" s="23" t="str">
        <f t="shared" si="10"/>
        <v>2011</v>
      </c>
      <c r="N116" s="23" t="str">
        <f t="shared" si="10"/>
        <v>2012</v>
      </c>
      <c r="O116" s="23" t="str">
        <f t="shared" si="10"/>
        <v>2013</v>
      </c>
      <c r="P116" s="23" t="str">
        <f t="shared" si="10"/>
        <v>2014</v>
      </c>
      <c r="Q116" s="23" t="str">
        <f t="shared" si="10"/>
        <v>2015</v>
      </c>
      <c r="R116" s="23" t="str">
        <f t="shared" si="10"/>
        <v>2016</v>
      </c>
      <c r="S116" s="23" t="str">
        <f t="shared" si="10"/>
        <v>2017</v>
      </c>
      <c r="T116" s="23" t="str">
        <f t="shared" si="10"/>
        <v>2018</v>
      </c>
      <c r="U116" s="23" t="str">
        <f t="shared" si="10"/>
        <v>2019</v>
      </c>
      <c r="V116" s="23" t="str">
        <f t="shared" si="10"/>
        <v>2020</v>
      </c>
      <c r="W116" s="23" t="str">
        <f t="shared" si="10"/>
        <v>2021</v>
      </c>
      <c r="X116" s="23" t="str">
        <f t="shared" si="10"/>
        <v>2022</v>
      </c>
      <c r="Y116" s="23" t="str">
        <f t="shared" si="10"/>
        <v>2023</v>
      </c>
      <c r="Z116" s="23" t="str">
        <f t="shared" si="10"/>
        <v>2024</v>
      </c>
      <c r="AA116" s="23" t="str">
        <f t="shared" si="10"/>
        <v>2025</v>
      </c>
      <c r="AB116" s="23" t="str">
        <f t="shared" si="10"/>
        <v>2026</v>
      </c>
      <c r="AC116" s="23" t="str">
        <f t="shared" si="10"/>
        <v>2027</v>
      </c>
      <c r="AD116" s="23" t="str">
        <f t="shared" si="10"/>
        <v>2028</v>
      </c>
      <c r="AE116" s="23" t="str">
        <f t="shared" si="10"/>
        <v>2029</v>
      </c>
      <c r="AF116" s="23" t="str">
        <f t="shared" si="10"/>
        <v>2030</v>
      </c>
      <c r="AG116" s="23" t="str">
        <f t="shared" si="10"/>
        <v>2031</v>
      </c>
      <c r="AH116" s="23" t="str">
        <f t="shared" si="10"/>
        <v>2032</v>
      </c>
      <c r="AI116" s="23" t="str">
        <f t="shared" si="10"/>
        <v>2033</v>
      </c>
      <c r="AJ116" s="23" t="str">
        <f t="shared" si="10"/>
        <v>2034</v>
      </c>
      <c r="AK116" s="23" t="str">
        <f t="shared" si="10"/>
        <v>2035</v>
      </c>
      <c r="AL116" s="23" t="str">
        <f t="shared" si="10"/>
        <v>2036</v>
      </c>
      <c r="AM116" s="23" t="str">
        <f t="shared" si="10"/>
        <v>2037</v>
      </c>
      <c r="AN116" s="23" t="str">
        <f t="shared" si="10"/>
        <v>2038</v>
      </c>
      <c r="AO116" s="23" t="str">
        <f t="shared" si="10"/>
        <v>2039</v>
      </c>
      <c r="AP116" s="23" t="str">
        <f t="shared" si="10"/>
        <v>2040</v>
      </c>
      <c r="AQ116" s="23" t="str">
        <f>AQ100</f>
        <v>2041</v>
      </c>
    </row>
    <row r="117" spans="1:43">
      <c r="A117" s="20" t="s">
        <v>17</v>
      </c>
    </row>
    <row r="118" spans="1:43">
      <c r="A118" s="20" t="s">
        <v>18</v>
      </c>
    </row>
    <row r="119" spans="1:43">
      <c r="A119" s="20" t="s">
        <v>19</v>
      </c>
    </row>
    <row r="120" spans="1:43">
      <c r="A120" s="20" t="s">
        <v>20</v>
      </c>
    </row>
    <row r="121" spans="1:43">
      <c r="A121" s="20" t="s">
        <v>21</v>
      </c>
    </row>
    <row r="122" spans="1:43">
      <c r="A122" s="20" t="s">
        <v>22</v>
      </c>
    </row>
    <row r="123" spans="1:43">
      <c r="A123" s="20" t="s">
        <v>23</v>
      </c>
    </row>
    <row r="124" spans="1:43">
      <c r="A124" s="20" t="s">
        <v>24</v>
      </c>
    </row>
    <row r="125" spans="1:43">
      <c r="A125" s="20" t="s">
        <v>25</v>
      </c>
    </row>
    <row r="126" spans="1:43">
      <c r="A126" s="20" t="s">
        <v>26</v>
      </c>
    </row>
    <row r="127" spans="1:43">
      <c r="A127" s="20" t="s">
        <v>27</v>
      </c>
    </row>
    <row r="128" spans="1:43">
      <c r="A128" s="20" t="s">
        <v>28</v>
      </c>
    </row>
    <row r="129" spans="1:43" ht="15.75" thickBot="1">
      <c r="A129" s="20" t="s">
        <v>29</v>
      </c>
    </row>
    <row r="130" spans="1:43">
      <c r="A130" s="25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</row>
    <row r="131" spans="1:43" ht="15.75" thickBot="1">
      <c r="A131" s="20" t="s">
        <v>94</v>
      </c>
    </row>
    <row r="132" spans="1:43" ht="15.75" thickBot="1">
      <c r="A132" s="22"/>
      <c r="B132" s="23" t="str">
        <f>B116</f>
        <v>2000</v>
      </c>
      <c r="C132" s="23" t="str">
        <f t="shared" ref="C132:AP132" si="11">C116</f>
        <v>2001</v>
      </c>
      <c r="D132" s="23" t="str">
        <f t="shared" si="11"/>
        <v>2002</v>
      </c>
      <c r="E132" s="23" t="str">
        <f t="shared" si="11"/>
        <v>2003</v>
      </c>
      <c r="F132" s="23" t="str">
        <f t="shared" si="11"/>
        <v>2004</v>
      </c>
      <c r="G132" s="23" t="str">
        <f t="shared" si="11"/>
        <v>2005</v>
      </c>
      <c r="H132" s="23" t="str">
        <f t="shared" si="11"/>
        <v>2006</v>
      </c>
      <c r="I132" s="23" t="str">
        <f t="shared" si="11"/>
        <v>2007</v>
      </c>
      <c r="J132" s="23" t="str">
        <f t="shared" si="11"/>
        <v>2008</v>
      </c>
      <c r="K132" s="23" t="str">
        <f t="shared" si="11"/>
        <v>2009</v>
      </c>
      <c r="L132" s="23" t="str">
        <f t="shared" si="11"/>
        <v>2010</v>
      </c>
      <c r="M132" s="23" t="str">
        <f t="shared" si="11"/>
        <v>2011</v>
      </c>
      <c r="N132" s="23" t="str">
        <f t="shared" si="11"/>
        <v>2012</v>
      </c>
      <c r="O132" s="23" t="str">
        <f t="shared" si="11"/>
        <v>2013</v>
      </c>
      <c r="P132" s="23" t="str">
        <f t="shared" si="11"/>
        <v>2014</v>
      </c>
      <c r="Q132" s="23" t="str">
        <f t="shared" si="11"/>
        <v>2015</v>
      </c>
      <c r="R132" s="23" t="str">
        <f t="shared" si="11"/>
        <v>2016</v>
      </c>
      <c r="S132" s="23" t="str">
        <f t="shared" si="11"/>
        <v>2017</v>
      </c>
      <c r="T132" s="23" t="str">
        <f t="shared" si="11"/>
        <v>2018</v>
      </c>
      <c r="U132" s="23" t="str">
        <f t="shared" si="11"/>
        <v>2019</v>
      </c>
      <c r="V132" s="23" t="str">
        <f t="shared" si="11"/>
        <v>2020</v>
      </c>
      <c r="W132" s="23" t="str">
        <f t="shared" si="11"/>
        <v>2021</v>
      </c>
      <c r="X132" s="23" t="str">
        <f t="shared" si="11"/>
        <v>2022</v>
      </c>
      <c r="Y132" s="23" t="str">
        <f t="shared" si="11"/>
        <v>2023</v>
      </c>
      <c r="Z132" s="23" t="str">
        <f t="shared" si="11"/>
        <v>2024</v>
      </c>
      <c r="AA132" s="23" t="str">
        <f t="shared" si="11"/>
        <v>2025</v>
      </c>
      <c r="AB132" s="23" t="str">
        <f t="shared" si="11"/>
        <v>2026</v>
      </c>
      <c r="AC132" s="23" t="str">
        <f t="shared" si="11"/>
        <v>2027</v>
      </c>
      <c r="AD132" s="23" t="str">
        <f t="shared" si="11"/>
        <v>2028</v>
      </c>
      <c r="AE132" s="23" t="str">
        <f t="shared" si="11"/>
        <v>2029</v>
      </c>
      <c r="AF132" s="23" t="str">
        <f t="shared" si="11"/>
        <v>2030</v>
      </c>
      <c r="AG132" s="23" t="str">
        <f t="shared" si="11"/>
        <v>2031</v>
      </c>
      <c r="AH132" s="23" t="str">
        <f t="shared" si="11"/>
        <v>2032</v>
      </c>
      <c r="AI132" s="23" t="str">
        <f t="shared" si="11"/>
        <v>2033</v>
      </c>
      <c r="AJ132" s="23" t="str">
        <f t="shared" si="11"/>
        <v>2034</v>
      </c>
      <c r="AK132" s="23" t="str">
        <f t="shared" si="11"/>
        <v>2035</v>
      </c>
      <c r="AL132" s="23" t="str">
        <f t="shared" si="11"/>
        <v>2036</v>
      </c>
      <c r="AM132" s="23" t="str">
        <f t="shared" si="11"/>
        <v>2037</v>
      </c>
      <c r="AN132" s="23" t="str">
        <f t="shared" si="11"/>
        <v>2038</v>
      </c>
      <c r="AO132" s="23" t="str">
        <f t="shared" si="11"/>
        <v>2039</v>
      </c>
      <c r="AP132" s="23" t="str">
        <f t="shared" si="11"/>
        <v>2040</v>
      </c>
      <c r="AQ132" s="23" t="str">
        <f>AQ116</f>
        <v>2041</v>
      </c>
    </row>
    <row r="133" spans="1:43">
      <c r="A133" s="20" t="s">
        <v>17</v>
      </c>
    </row>
    <row r="134" spans="1:43">
      <c r="A134" s="20" t="s">
        <v>18</v>
      </c>
    </row>
    <row r="135" spans="1:43">
      <c r="A135" s="20" t="s">
        <v>19</v>
      </c>
    </row>
    <row r="136" spans="1:43">
      <c r="A136" s="20" t="s">
        <v>20</v>
      </c>
    </row>
    <row r="137" spans="1:43">
      <c r="A137" s="20" t="s">
        <v>21</v>
      </c>
    </row>
    <row r="138" spans="1:43">
      <c r="A138" s="20" t="s">
        <v>22</v>
      </c>
    </row>
    <row r="139" spans="1:43">
      <c r="A139" s="20" t="s">
        <v>23</v>
      </c>
    </row>
    <row r="140" spans="1:43">
      <c r="A140" s="20" t="s">
        <v>24</v>
      </c>
    </row>
    <row r="141" spans="1:43">
      <c r="A141" s="20" t="s">
        <v>25</v>
      </c>
    </row>
    <row r="142" spans="1:43">
      <c r="A142" s="20" t="s">
        <v>26</v>
      </c>
    </row>
    <row r="143" spans="1:43">
      <c r="A143" s="20" t="s">
        <v>27</v>
      </c>
    </row>
    <row r="144" spans="1:43">
      <c r="A144" s="20" t="s">
        <v>28</v>
      </c>
    </row>
    <row r="145" spans="1:43" ht="15.75" thickBot="1">
      <c r="A145" s="20" t="s">
        <v>29</v>
      </c>
    </row>
    <row r="146" spans="1:43">
      <c r="A146" s="25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</row>
    <row r="147" spans="1:43" ht="15.75" thickBot="1">
      <c r="A147" s="20" t="s">
        <v>95</v>
      </c>
    </row>
    <row r="148" spans="1:43" ht="15.75" thickBot="1">
      <c r="A148" s="22"/>
      <c r="B148" s="23" t="str">
        <f>B132</f>
        <v>2000</v>
      </c>
      <c r="C148" s="23" t="str">
        <f t="shared" ref="C148:AP148" si="12">C132</f>
        <v>2001</v>
      </c>
      <c r="D148" s="23" t="str">
        <f t="shared" si="12"/>
        <v>2002</v>
      </c>
      <c r="E148" s="23" t="str">
        <f t="shared" si="12"/>
        <v>2003</v>
      </c>
      <c r="F148" s="23" t="str">
        <f t="shared" si="12"/>
        <v>2004</v>
      </c>
      <c r="G148" s="23" t="str">
        <f t="shared" si="12"/>
        <v>2005</v>
      </c>
      <c r="H148" s="23" t="str">
        <f t="shared" si="12"/>
        <v>2006</v>
      </c>
      <c r="I148" s="23" t="str">
        <f t="shared" si="12"/>
        <v>2007</v>
      </c>
      <c r="J148" s="23" t="str">
        <f t="shared" si="12"/>
        <v>2008</v>
      </c>
      <c r="K148" s="23" t="str">
        <f t="shared" si="12"/>
        <v>2009</v>
      </c>
      <c r="L148" s="23" t="str">
        <f t="shared" si="12"/>
        <v>2010</v>
      </c>
      <c r="M148" s="23" t="str">
        <f t="shared" si="12"/>
        <v>2011</v>
      </c>
      <c r="N148" s="23" t="str">
        <f t="shared" si="12"/>
        <v>2012</v>
      </c>
      <c r="O148" s="23" t="str">
        <f t="shared" si="12"/>
        <v>2013</v>
      </c>
      <c r="P148" s="23" t="str">
        <f t="shared" si="12"/>
        <v>2014</v>
      </c>
      <c r="Q148" s="23" t="str">
        <f t="shared" si="12"/>
        <v>2015</v>
      </c>
      <c r="R148" s="23" t="str">
        <f t="shared" si="12"/>
        <v>2016</v>
      </c>
      <c r="S148" s="23" t="str">
        <f t="shared" si="12"/>
        <v>2017</v>
      </c>
      <c r="T148" s="23" t="str">
        <f t="shared" si="12"/>
        <v>2018</v>
      </c>
      <c r="U148" s="23" t="str">
        <f t="shared" si="12"/>
        <v>2019</v>
      </c>
      <c r="V148" s="23" t="str">
        <f t="shared" si="12"/>
        <v>2020</v>
      </c>
      <c r="W148" s="23" t="str">
        <f t="shared" si="12"/>
        <v>2021</v>
      </c>
      <c r="X148" s="23" t="str">
        <f t="shared" si="12"/>
        <v>2022</v>
      </c>
      <c r="Y148" s="23" t="str">
        <f t="shared" si="12"/>
        <v>2023</v>
      </c>
      <c r="Z148" s="23" t="str">
        <f t="shared" si="12"/>
        <v>2024</v>
      </c>
      <c r="AA148" s="23" t="str">
        <f t="shared" si="12"/>
        <v>2025</v>
      </c>
      <c r="AB148" s="23" t="str">
        <f t="shared" si="12"/>
        <v>2026</v>
      </c>
      <c r="AC148" s="23" t="str">
        <f t="shared" si="12"/>
        <v>2027</v>
      </c>
      <c r="AD148" s="23" t="str">
        <f t="shared" si="12"/>
        <v>2028</v>
      </c>
      <c r="AE148" s="23" t="str">
        <f t="shared" si="12"/>
        <v>2029</v>
      </c>
      <c r="AF148" s="23" t="str">
        <f t="shared" si="12"/>
        <v>2030</v>
      </c>
      <c r="AG148" s="23" t="str">
        <f t="shared" si="12"/>
        <v>2031</v>
      </c>
      <c r="AH148" s="23" t="str">
        <f t="shared" si="12"/>
        <v>2032</v>
      </c>
      <c r="AI148" s="23" t="str">
        <f t="shared" si="12"/>
        <v>2033</v>
      </c>
      <c r="AJ148" s="23" t="str">
        <f t="shared" si="12"/>
        <v>2034</v>
      </c>
      <c r="AK148" s="23" t="str">
        <f t="shared" si="12"/>
        <v>2035</v>
      </c>
      <c r="AL148" s="23" t="str">
        <f t="shared" si="12"/>
        <v>2036</v>
      </c>
      <c r="AM148" s="23" t="str">
        <f t="shared" si="12"/>
        <v>2037</v>
      </c>
      <c r="AN148" s="23" t="str">
        <f t="shared" si="12"/>
        <v>2038</v>
      </c>
      <c r="AO148" s="23" t="str">
        <f t="shared" si="12"/>
        <v>2039</v>
      </c>
      <c r="AP148" s="23" t="str">
        <f t="shared" si="12"/>
        <v>2040</v>
      </c>
      <c r="AQ148" s="23" t="str">
        <f>AQ132</f>
        <v>2041</v>
      </c>
    </row>
    <row r="149" spans="1:43">
      <c r="A149" s="20" t="s">
        <v>17</v>
      </c>
    </row>
    <row r="150" spans="1:43">
      <c r="A150" s="20" t="s">
        <v>18</v>
      </c>
    </row>
    <row r="151" spans="1:43">
      <c r="A151" s="20" t="s">
        <v>19</v>
      </c>
    </row>
    <row r="152" spans="1:43">
      <c r="A152" s="20" t="s">
        <v>20</v>
      </c>
    </row>
    <row r="153" spans="1:43">
      <c r="A153" s="20" t="s">
        <v>21</v>
      </c>
    </row>
    <row r="154" spans="1:43">
      <c r="A154" s="20" t="s">
        <v>22</v>
      </c>
    </row>
    <row r="155" spans="1:43">
      <c r="A155" s="20" t="s">
        <v>23</v>
      </c>
    </row>
    <row r="156" spans="1:43">
      <c r="A156" s="20" t="s">
        <v>24</v>
      </c>
    </row>
    <row r="157" spans="1:43">
      <c r="A157" s="20" t="s">
        <v>25</v>
      </c>
    </row>
    <row r="158" spans="1:43">
      <c r="A158" s="20" t="s">
        <v>26</v>
      </c>
    </row>
    <row r="159" spans="1:43">
      <c r="A159" s="20" t="s">
        <v>27</v>
      </c>
    </row>
    <row r="160" spans="1:43" ht="15.75" thickBot="1">
      <c r="A160" s="20" t="s">
        <v>28</v>
      </c>
    </row>
    <row r="161" spans="1:43">
      <c r="A161" s="25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</row>
    <row r="162" spans="1:43" ht="15.75" thickBot="1">
      <c r="A162" s="20" t="s">
        <v>38</v>
      </c>
    </row>
    <row r="163" spans="1:43" ht="15.75" thickBot="1">
      <c r="A163" s="22"/>
      <c r="B163" s="23" t="str">
        <f>B148</f>
        <v>2000</v>
      </c>
      <c r="C163" s="23" t="str">
        <f t="shared" ref="C163:AP163" si="13">C148</f>
        <v>2001</v>
      </c>
      <c r="D163" s="23" t="str">
        <f t="shared" si="13"/>
        <v>2002</v>
      </c>
      <c r="E163" s="23" t="str">
        <f t="shared" si="13"/>
        <v>2003</v>
      </c>
      <c r="F163" s="23" t="str">
        <f t="shared" si="13"/>
        <v>2004</v>
      </c>
      <c r="G163" s="23" t="str">
        <f t="shared" si="13"/>
        <v>2005</v>
      </c>
      <c r="H163" s="23" t="str">
        <f t="shared" si="13"/>
        <v>2006</v>
      </c>
      <c r="I163" s="23" t="str">
        <f t="shared" si="13"/>
        <v>2007</v>
      </c>
      <c r="J163" s="23" t="str">
        <f t="shared" si="13"/>
        <v>2008</v>
      </c>
      <c r="K163" s="23" t="str">
        <f t="shared" si="13"/>
        <v>2009</v>
      </c>
      <c r="L163" s="23" t="str">
        <f t="shared" si="13"/>
        <v>2010</v>
      </c>
      <c r="M163" s="23" t="str">
        <f t="shared" si="13"/>
        <v>2011</v>
      </c>
      <c r="N163" s="23" t="str">
        <f t="shared" si="13"/>
        <v>2012</v>
      </c>
      <c r="O163" s="23" t="str">
        <f t="shared" si="13"/>
        <v>2013</v>
      </c>
      <c r="P163" s="23" t="str">
        <f t="shared" si="13"/>
        <v>2014</v>
      </c>
      <c r="Q163" s="23" t="str">
        <f t="shared" si="13"/>
        <v>2015</v>
      </c>
      <c r="R163" s="23" t="str">
        <f t="shared" si="13"/>
        <v>2016</v>
      </c>
      <c r="S163" s="23" t="str">
        <f t="shared" si="13"/>
        <v>2017</v>
      </c>
      <c r="T163" s="23" t="str">
        <f t="shared" si="13"/>
        <v>2018</v>
      </c>
      <c r="U163" s="23" t="str">
        <f t="shared" si="13"/>
        <v>2019</v>
      </c>
      <c r="V163" s="23" t="str">
        <f t="shared" si="13"/>
        <v>2020</v>
      </c>
      <c r="W163" s="23" t="str">
        <f t="shared" si="13"/>
        <v>2021</v>
      </c>
      <c r="X163" s="23" t="str">
        <f t="shared" si="13"/>
        <v>2022</v>
      </c>
      <c r="Y163" s="23" t="str">
        <f t="shared" si="13"/>
        <v>2023</v>
      </c>
      <c r="Z163" s="23" t="str">
        <f t="shared" si="13"/>
        <v>2024</v>
      </c>
      <c r="AA163" s="23" t="str">
        <f t="shared" si="13"/>
        <v>2025</v>
      </c>
      <c r="AB163" s="23" t="str">
        <f t="shared" si="13"/>
        <v>2026</v>
      </c>
      <c r="AC163" s="23" t="str">
        <f t="shared" si="13"/>
        <v>2027</v>
      </c>
      <c r="AD163" s="23" t="str">
        <f t="shared" si="13"/>
        <v>2028</v>
      </c>
      <c r="AE163" s="23" t="str">
        <f t="shared" si="13"/>
        <v>2029</v>
      </c>
      <c r="AF163" s="23" t="str">
        <f t="shared" si="13"/>
        <v>2030</v>
      </c>
      <c r="AG163" s="23" t="str">
        <f t="shared" si="13"/>
        <v>2031</v>
      </c>
      <c r="AH163" s="23" t="str">
        <f t="shared" si="13"/>
        <v>2032</v>
      </c>
      <c r="AI163" s="23" t="str">
        <f t="shared" si="13"/>
        <v>2033</v>
      </c>
      <c r="AJ163" s="23" t="str">
        <f t="shared" si="13"/>
        <v>2034</v>
      </c>
      <c r="AK163" s="23" t="str">
        <f t="shared" si="13"/>
        <v>2035</v>
      </c>
      <c r="AL163" s="23" t="str">
        <f t="shared" si="13"/>
        <v>2036</v>
      </c>
      <c r="AM163" s="23" t="str">
        <f t="shared" si="13"/>
        <v>2037</v>
      </c>
      <c r="AN163" s="23" t="str">
        <f t="shared" si="13"/>
        <v>2038</v>
      </c>
      <c r="AO163" s="23" t="str">
        <f t="shared" si="13"/>
        <v>2039</v>
      </c>
      <c r="AP163" s="23" t="str">
        <f t="shared" si="13"/>
        <v>2040</v>
      </c>
      <c r="AQ163" s="23" t="str">
        <f>AQ148</f>
        <v>2041</v>
      </c>
    </row>
    <row r="164" spans="1:43">
      <c r="A164" s="20" t="s">
        <v>17</v>
      </c>
    </row>
    <row r="165" spans="1:43">
      <c r="A165" s="20" t="s">
        <v>18</v>
      </c>
    </row>
    <row r="166" spans="1:43">
      <c r="A166" s="20" t="s">
        <v>19</v>
      </c>
    </row>
    <row r="167" spans="1:43">
      <c r="A167" s="20" t="s">
        <v>20</v>
      </c>
    </row>
    <row r="168" spans="1:43">
      <c r="A168" s="20" t="s">
        <v>21</v>
      </c>
    </row>
    <row r="169" spans="1:43">
      <c r="A169" s="20" t="s">
        <v>22</v>
      </c>
    </row>
    <row r="170" spans="1:43">
      <c r="A170" s="20" t="s">
        <v>23</v>
      </c>
    </row>
    <row r="171" spans="1:43">
      <c r="A171" s="20" t="s">
        <v>24</v>
      </c>
    </row>
    <row r="172" spans="1:43">
      <c r="A172" s="20" t="s">
        <v>25</v>
      </c>
    </row>
    <row r="173" spans="1:43">
      <c r="A173" s="20" t="s">
        <v>26</v>
      </c>
    </row>
    <row r="174" spans="1:43">
      <c r="A174" s="20" t="s">
        <v>27</v>
      </c>
    </row>
    <row r="175" spans="1:43">
      <c r="A175" s="20" t="s">
        <v>28</v>
      </c>
    </row>
    <row r="176" spans="1:43" ht="15.75" thickBot="1">
      <c r="A176" s="20" t="s">
        <v>39</v>
      </c>
    </row>
    <row r="177" spans="1:43">
      <c r="A177" s="25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</row>
    <row r="178" spans="1:43" ht="15.75" thickBot="1">
      <c r="A178" s="20" t="s">
        <v>40</v>
      </c>
    </row>
    <row r="179" spans="1:43" ht="15.75" thickBot="1">
      <c r="A179" s="22"/>
      <c r="B179" s="23" t="str">
        <f>B163</f>
        <v>2000</v>
      </c>
      <c r="C179" s="23" t="str">
        <f t="shared" ref="C179:AP179" si="14">C163</f>
        <v>2001</v>
      </c>
      <c r="D179" s="23" t="str">
        <f t="shared" si="14"/>
        <v>2002</v>
      </c>
      <c r="E179" s="23" t="str">
        <f t="shared" si="14"/>
        <v>2003</v>
      </c>
      <c r="F179" s="23" t="str">
        <f t="shared" si="14"/>
        <v>2004</v>
      </c>
      <c r="G179" s="23" t="str">
        <f t="shared" si="14"/>
        <v>2005</v>
      </c>
      <c r="H179" s="23" t="str">
        <f t="shared" si="14"/>
        <v>2006</v>
      </c>
      <c r="I179" s="23" t="str">
        <f t="shared" si="14"/>
        <v>2007</v>
      </c>
      <c r="J179" s="23" t="str">
        <f t="shared" si="14"/>
        <v>2008</v>
      </c>
      <c r="K179" s="23" t="str">
        <f t="shared" si="14"/>
        <v>2009</v>
      </c>
      <c r="L179" s="23" t="str">
        <f t="shared" si="14"/>
        <v>2010</v>
      </c>
      <c r="M179" s="23" t="str">
        <f t="shared" si="14"/>
        <v>2011</v>
      </c>
      <c r="N179" s="23" t="str">
        <f t="shared" si="14"/>
        <v>2012</v>
      </c>
      <c r="O179" s="23" t="str">
        <f t="shared" si="14"/>
        <v>2013</v>
      </c>
      <c r="P179" s="23" t="str">
        <f t="shared" si="14"/>
        <v>2014</v>
      </c>
      <c r="Q179" s="23" t="str">
        <f t="shared" si="14"/>
        <v>2015</v>
      </c>
      <c r="R179" s="23" t="str">
        <f t="shared" si="14"/>
        <v>2016</v>
      </c>
      <c r="S179" s="23" t="str">
        <f t="shared" si="14"/>
        <v>2017</v>
      </c>
      <c r="T179" s="23" t="str">
        <f t="shared" si="14"/>
        <v>2018</v>
      </c>
      <c r="U179" s="23" t="str">
        <f t="shared" si="14"/>
        <v>2019</v>
      </c>
      <c r="V179" s="23" t="str">
        <f t="shared" si="14"/>
        <v>2020</v>
      </c>
      <c r="W179" s="23" t="str">
        <f t="shared" si="14"/>
        <v>2021</v>
      </c>
      <c r="X179" s="23" t="str">
        <f t="shared" si="14"/>
        <v>2022</v>
      </c>
      <c r="Y179" s="23" t="str">
        <f t="shared" si="14"/>
        <v>2023</v>
      </c>
      <c r="Z179" s="23" t="str">
        <f t="shared" si="14"/>
        <v>2024</v>
      </c>
      <c r="AA179" s="23" t="str">
        <f t="shared" si="14"/>
        <v>2025</v>
      </c>
      <c r="AB179" s="23" t="str">
        <f t="shared" si="14"/>
        <v>2026</v>
      </c>
      <c r="AC179" s="23" t="str">
        <f t="shared" si="14"/>
        <v>2027</v>
      </c>
      <c r="AD179" s="23" t="str">
        <f t="shared" si="14"/>
        <v>2028</v>
      </c>
      <c r="AE179" s="23" t="str">
        <f t="shared" si="14"/>
        <v>2029</v>
      </c>
      <c r="AF179" s="23" t="str">
        <f t="shared" si="14"/>
        <v>2030</v>
      </c>
      <c r="AG179" s="23" t="str">
        <f t="shared" si="14"/>
        <v>2031</v>
      </c>
      <c r="AH179" s="23" t="str">
        <f t="shared" si="14"/>
        <v>2032</v>
      </c>
      <c r="AI179" s="23" t="str">
        <f t="shared" si="14"/>
        <v>2033</v>
      </c>
      <c r="AJ179" s="23" t="str">
        <f t="shared" si="14"/>
        <v>2034</v>
      </c>
      <c r="AK179" s="23" t="str">
        <f t="shared" si="14"/>
        <v>2035</v>
      </c>
      <c r="AL179" s="23" t="str">
        <f t="shared" si="14"/>
        <v>2036</v>
      </c>
      <c r="AM179" s="23" t="str">
        <f t="shared" si="14"/>
        <v>2037</v>
      </c>
      <c r="AN179" s="23" t="str">
        <f t="shared" si="14"/>
        <v>2038</v>
      </c>
      <c r="AO179" s="23" t="str">
        <f t="shared" si="14"/>
        <v>2039</v>
      </c>
      <c r="AP179" s="23" t="str">
        <f t="shared" si="14"/>
        <v>2040</v>
      </c>
      <c r="AQ179" s="23" t="str">
        <f>AQ163</f>
        <v>2041</v>
      </c>
    </row>
    <row r="180" spans="1:43">
      <c r="A180" s="20" t="s">
        <v>17</v>
      </c>
    </row>
    <row r="181" spans="1:43">
      <c r="A181" s="20" t="s">
        <v>18</v>
      </c>
    </row>
    <row r="182" spans="1:43">
      <c r="A182" s="20" t="s">
        <v>19</v>
      </c>
    </row>
    <row r="183" spans="1:43">
      <c r="A183" s="20" t="s">
        <v>20</v>
      </c>
    </row>
    <row r="184" spans="1:43">
      <c r="A184" s="20" t="s">
        <v>21</v>
      </c>
    </row>
    <row r="185" spans="1:43">
      <c r="A185" s="20" t="s">
        <v>22</v>
      </c>
    </row>
    <row r="186" spans="1:43">
      <c r="A186" s="20" t="s">
        <v>23</v>
      </c>
    </row>
    <row r="187" spans="1:43">
      <c r="A187" s="20" t="s">
        <v>24</v>
      </c>
    </row>
    <row r="188" spans="1:43">
      <c r="A188" s="20" t="s">
        <v>25</v>
      </c>
    </row>
    <row r="189" spans="1:43">
      <c r="A189" s="20" t="s">
        <v>26</v>
      </c>
    </row>
    <row r="190" spans="1:43">
      <c r="A190" s="20" t="s">
        <v>27</v>
      </c>
    </row>
    <row r="191" spans="1:43">
      <c r="A191" s="20" t="s">
        <v>28</v>
      </c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</row>
    <row r="192" spans="1:43" ht="15.75" thickBot="1">
      <c r="A192" s="20" t="s">
        <v>29</v>
      </c>
      <c r="B192" s="36">
        <v>3288000</v>
      </c>
      <c r="C192" s="36">
        <v>3377000</v>
      </c>
      <c r="D192" s="36">
        <v>3563000</v>
      </c>
      <c r="E192" s="36">
        <v>4117000</v>
      </c>
      <c r="F192" s="36">
        <v>4043000</v>
      </c>
      <c r="G192" s="36">
        <v>3800000</v>
      </c>
      <c r="H192" s="36">
        <v>3723000</v>
      </c>
      <c r="I192" s="36">
        <v>3567000</v>
      </c>
      <c r="J192" s="36">
        <v>3907000</v>
      </c>
      <c r="K192" s="36">
        <v>3797000</v>
      </c>
      <c r="L192" s="36">
        <v>3967000</v>
      </c>
      <c r="M192" s="36">
        <v>3913000</v>
      </c>
      <c r="N192" s="36">
        <v>3929000</v>
      </c>
      <c r="O192" s="36">
        <v>4265000</v>
      </c>
      <c r="P192" s="36">
        <v>4607000</v>
      </c>
      <c r="Q192" s="36">
        <v>4811000</v>
      </c>
      <c r="R192" s="36">
        <v>4400000</v>
      </c>
      <c r="S192" s="36">
        <v>4157000</v>
      </c>
      <c r="T192" s="36">
        <v>4367000</v>
      </c>
      <c r="U192" s="36">
        <v>4503000</v>
      </c>
      <c r="V192" s="36">
        <v>4625000</v>
      </c>
      <c r="W192" s="36">
        <v>4395000</v>
      </c>
      <c r="X192" s="37"/>
    </row>
    <row r="193" spans="1:43">
      <c r="A193" s="25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</row>
    <row r="194" spans="1:43" ht="15.75" thickBot="1">
      <c r="A194" s="20" t="s">
        <v>96</v>
      </c>
    </row>
    <row r="195" spans="1:43" ht="15.75" thickBot="1">
      <c r="A195" s="22"/>
      <c r="B195" s="23" t="str">
        <f>B179</f>
        <v>2000</v>
      </c>
      <c r="C195" s="23" t="str">
        <f t="shared" ref="C195:AP195" si="15">C179</f>
        <v>2001</v>
      </c>
      <c r="D195" s="23" t="str">
        <f t="shared" si="15"/>
        <v>2002</v>
      </c>
      <c r="E195" s="23" t="str">
        <f t="shared" si="15"/>
        <v>2003</v>
      </c>
      <c r="F195" s="23" t="str">
        <f t="shared" si="15"/>
        <v>2004</v>
      </c>
      <c r="G195" s="23" t="str">
        <f t="shared" si="15"/>
        <v>2005</v>
      </c>
      <c r="H195" s="23" t="str">
        <f t="shared" si="15"/>
        <v>2006</v>
      </c>
      <c r="I195" s="23" t="str">
        <f t="shared" si="15"/>
        <v>2007</v>
      </c>
      <c r="J195" s="23" t="str">
        <f t="shared" si="15"/>
        <v>2008</v>
      </c>
      <c r="K195" s="23" t="str">
        <f t="shared" si="15"/>
        <v>2009</v>
      </c>
      <c r="L195" s="23" t="str">
        <f t="shared" si="15"/>
        <v>2010</v>
      </c>
      <c r="M195" s="23" t="str">
        <f t="shared" si="15"/>
        <v>2011</v>
      </c>
      <c r="N195" s="23" t="str">
        <f t="shared" si="15"/>
        <v>2012</v>
      </c>
      <c r="O195" s="23" t="str">
        <f t="shared" si="15"/>
        <v>2013</v>
      </c>
      <c r="P195" s="23" t="str">
        <f t="shared" si="15"/>
        <v>2014</v>
      </c>
      <c r="Q195" s="23" t="str">
        <f t="shared" si="15"/>
        <v>2015</v>
      </c>
      <c r="R195" s="23" t="str">
        <f t="shared" si="15"/>
        <v>2016</v>
      </c>
      <c r="S195" s="23" t="str">
        <f t="shared" si="15"/>
        <v>2017</v>
      </c>
      <c r="T195" s="23" t="str">
        <f t="shared" si="15"/>
        <v>2018</v>
      </c>
      <c r="U195" s="23" t="str">
        <f t="shared" si="15"/>
        <v>2019</v>
      </c>
      <c r="V195" s="23" t="str">
        <f t="shared" si="15"/>
        <v>2020</v>
      </c>
      <c r="W195" s="23" t="str">
        <f t="shared" si="15"/>
        <v>2021</v>
      </c>
      <c r="X195" s="23" t="str">
        <f t="shared" si="15"/>
        <v>2022</v>
      </c>
      <c r="Y195" s="23" t="str">
        <f t="shared" si="15"/>
        <v>2023</v>
      </c>
      <c r="Z195" s="23" t="str">
        <f t="shared" si="15"/>
        <v>2024</v>
      </c>
      <c r="AA195" s="23" t="str">
        <f t="shared" si="15"/>
        <v>2025</v>
      </c>
      <c r="AB195" s="23" t="str">
        <f t="shared" si="15"/>
        <v>2026</v>
      </c>
      <c r="AC195" s="23" t="str">
        <f t="shared" si="15"/>
        <v>2027</v>
      </c>
      <c r="AD195" s="23" t="str">
        <f t="shared" si="15"/>
        <v>2028</v>
      </c>
      <c r="AE195" s="23" t="str">
        <f t="shared" si="15"/>
        <v>2029</v>
      </c>
      <c r="AF195" s="23" t="str">
        <f t="shared" si="15"/>
        <v>2030</v>
      </c>
      <c r="AG195" s="23" t="str">
        <f t="shared" si="15"/>
        <v>2031</v>
      </c>
      <c r="AH195" s="23" t="str">
        <f t="shared" si="15"/>
        <v>2032</v>
      </c>
      <c r="AI195" s="23" t="str">
        <f t="shared" si="15"/>
        <v>2033</v>
      </c>
      <c r="AJ195" s="23" t="str">
        <f t="shared" si="15"/>
        <v>2034</v>
      </c>
      <c r="AK195" s="23" t="str">
        <f t="shared" si="15"/>
        <v>2035</v>
      </c>
      <c r="AL195" s="23" t="str">
        <f t="shared" si="15"/>
        <v>2036</v>
      </c>
      <c r="AM195" s="23" t="str">
        <f t="shared" si="15"/>
        <v>2037</v>
      </c>
      <c r="AN195" s="23" t="str">
        <f t="shared" si="15"/>
        <v>2038</v>
      </c>
      <c r="AO195" s="23" t="str">
        <f t="shared" si="15"/>
        <v>2039</v>
      </c>
      <c r="AP195" s="23" t="str">
        <f t="shared" si="15"/>
        <v>2040</v>
      </c>
      <c r="AQ195" s="23" t="str">
        <f>AQ179</f>
        <v>2041</v>
      </c>
    </row>
    <row r="196" spans="1:43">
      <c r="A196" s="20" t="s">
        <v>17</v>
      </c>
    </row>
    <row r="197" spans="1:43">
      <c r="A197" s="20" t="s">
        <v>18</v>
      </c>
    </row>
    <row r="198" spans="1:43">
      <c r="A198" s="20" t="s">
        <v>19</v>
      </c>
    </row>
    <row r="199" spans="1:43">
      <c r="A199" s="20" t="s">
        <v>20</v>
      </c>
    </row>
    <row r="200" spans="1:43">
      <c r="A200" s="20" t="s">
        <v>21</v>
      </c>
    </row>
    <row r="201" spans="1:43">
      <c r="A201" s="20" t="s">
        <v>22</v>
      </c>
    </row>
    <row r="202" spans="1:43">
      <c r="A202" s="20" t="s">
        <v>23</v>
      </c>
    </row>
    <row r="203" spans="1:43">
      <c r="A203" s="20" t="s">
        <v>24</v>
      </c>
    </row>
    <row r="204" spans="1:43">
      <c r="A204" s="20" t="s">
        <v>25</v>
      </c>
    </row>
    <row r="205" spans="1:43">
      <c r="A205" s="20" t="s">
        <v>26</v>
      </c>
    </row>
    <row r="206" spans="1:43">
      <c r="A206" s="20" t="s">
        <v>27</v>
      </c>
    </row>
    <row r="207" spans="1:43">
      <c r="A207" s="20" t="s">
        <v>28</v>
      </c>
    </row>
    <row r="208" spans="1:43" ht="15.75" thickBot="1">
      <c r="A208" s="20" t="s">
        <v>29</v>
      </c>
      <c r="B208" s="29">
        <v>581000</v>
      </c>
      <c r="C208" s="29">
        <v>577000</v>
      </c>
      <c r="D208" s="29">
        <v>588000</v>
      </c>
      <c r="E208" s="29">
        <v>681000</v>
      </c>
      <c r="F208" s="29">
        <v>697000</v>
      </c>
      <c r="G208" s="29">
        <v>661000</v>
      </c>
      <c r="H208" s="29">
        <v>648000</v>
      </c>
      <c r="I208" s="29">
        <v>607000</v>
      </c>
      <c r="J208" s="29">
        <v>644000</v>
      </c>
      <c r="K208" s="29">
        <v>623000</v>
      </c>
      <c r="L208" s="29">
        <v>642000</v>
      </c>
      <c r="M208" s="29">
        <v>601000</v>
      </c>
      <c r="N208" s="29">
        <v>624000</v>
      </c>
      <c r="O208" s="29">
        <v>620000</v>
      </c>
      <c r="P208" s="29">
        <v>658000</v>
      </c>
      <c r="Q208" s="29">
        <v>690000</v>
      </c>
      <c r="R208" s="29">
        <v>648000</v>
      </c>
      <c r="S208" s="29">
        <v>654000</v>
      </c>
      <c r="T208" s="29">
        <v>670000</v>
      </c>
      <c r="U208" s="29">
        <v>656000</v>
      </c>
      <c r="V208" s="29">
        <v>669000</v>
      </c>
      <c r="W208" s="29">
        <v>667000</v>
      </c>
      <c r="X208" s="29">
        <v>664000</v>
      </c>
      <c r="Y208" s="29">
        <v>660000</v>
      </c>
      <c r="Z208" s="29">
        <v>664000</v>
      </c>
      <c r="AA208" s="29">
        <v>670000</v>
      </c>
      <c r="AB208" s="29">
        <v>674000</v>
      </c>
      <c r="AC208" s="29">
        <v>677000</v>
      </c>
      <c r="AD208" s="29">
        <v>678000</v>
      </c>
      <c r="AE208" s="29">
        <v>681000</v>
      </c>
      <c r="AF208" s="29">
        <v>682000</v>
      </c>
      <c r="AG208" s="29">
        <v>685000</v>
      </c>
      <c r="AH208" s="29">
        <v>683000</v>
      </c>
      <c r="AI208" s="29">
        <v>683000</v>
      </c>
      <c r="AJ208" s="29">
        <v>681000</v>
      </c>
      <c r="AK208" s="29">
        <v>682000</v>
      </c>
      <c r="AL208" s="29">
        <v>687000</v>
      </c>
      <c r="AM208" s="29">
        <v>688000</v>
      </c>
      <c r="AN208" s="29">
        <v>689000</v>
      </c>
      <c r="AO208" s="29">
        <v>691000</v>
      </c>
      <c r="AP208" s="29">
        <v>694000</v>
      </c>
      <c r="AQ208" s="29">
        <v>697000</v>
      </c>
    </row>
    <row r="209" spans="1:43">
      <c r="A209" s="25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</row>
    <row r="210" spans="1:43" ht="15.75" thickBot="1">
      <c r="A210" s="20" t="s">
        <v>42</v>
      </c>
    </row>
    <row r="211" spans="1:43" ht="15.75" thickBot="1">
      <c r="A211" s="22"/>
      <c r="B211" s="23" t="str">
        <f>B195</f>
        <v>2000</v>
      </c>
      <c r="C211" s="23" t="str">
        <f t="shared" ref="C211:AP211" si="16">C195</f>
        <v>2001</v>
      </c>
      <c r="D211" s="23" t="str">
        <f t="shared" si="16"/>
        <v>2002</v>
      </c>
      <c r="E211" s="23" t="str">
        <f t="shared" si="16"/>
        <v>2003</v>
      </c>
      <c r="F211" s="23" t="str">
        <f t="shared" si="16"/>
        <v>2004</v>
      </c>
      <c r="G211" s="23" t="str">
        <f t="shared" si="16"/>
        <v>2005</v>
      </c>
      <c r="H211" s="23" t="str">
        <f t="shared" si="16"/>
        <v>2006</v>
      </c>
      <c r="I211" s="23" t="str">
        <f t="shared" si="16"/>
        <v>2007</v>
      </c>
      <c r="J211" s="23" t="str">
        <f t="shared" si="16"/>
        <v>2008</v>
      </c>
      <c r="K211" s="23" t="str">
        <f t="shared" si="16"/>
        <v>2009</v>
      </c>
      <c r="L211" s="23" t="str">
        <f t="shared" si="16"/>
        <v>2010</v>
      </c>
      <c r="M211" s="23" t="str">
        <f t="shared" si="16"/>
        <v>2011</v>
      </c>
      <c r="N211" s="23" t="str">
        <f t="shared" si="16"/>
        <v>2012</v>
      </c>
      <c r="O211" s="23" t="str">
        <f t="shared" si="16"/>
        <v>2013</v>
      </c>
      <c r="P211" s="23" t="str">
        <f t="shared" si="16"/>
        <v>2014</v>
      </c>
      <c r="Q211" s="23" t="str">
        <f t="shared" si="16"/>
        <v>2015</v>
      </c>
      <c r="R211" s="23" t="str">
        <f t="shared" si="16"/>
        <v>2016</v>
      </c>
      <c r="S211" s="23" t="str">
        <f t="shared" si="16"/>
        <v>2017</v>
      </c>
      <c r="T211" s="23" t="str">
        <f t="shared" si="16"/>
        <v>2018</v>
      </c>
      <c r="U211" s="23" t="str">
        <f t="shared" si="16"/>
        <v>2019</v>
      </c>
      <c r="V211" s="23" t="str">
        <f t="shared" si="16"/>
        <v>2020</v>
      </c>
      <c r="W211" s="23" t="str">
        <f t="shared" si="16"/>
        <v>2021</v>
      </c>
      <c r="X211" s="23" t="str">
        <f t="shared" si="16"/>
        <v>2022</v>
      </c>
      <c r="Y211" s="23" t="str">
        <f t="shared" si="16"/>
        <v>2023</v>
      </c>
      <c r="Z211" s="23" t="str">
        <f t="shared" si="16"/>
        <v>2024</v>
      </c>
      <c r="AA211" s="23" t="str">
        <f t="shared" si="16"/>
        <v>2025</v>
      </c>
      <c r="AB211" s="23" t="str">
        <f t="shared" si="16"/>
        <v>2026</v>
      </c>
      <c r="AC211" s="23" t="str">
        <f t="shared" si="16"/>
        <v>2027</v>
      </c>
      <c r="AD211" s="23" t="str">
        <f t="shared" si="16"/>
        <v>2028</v>
      </c>
      <c r="AE211" s="23" t="str">
        <f t="shared" si="16"/>
        <v>2029</v>
      </c>
      <c r="AF211" s="23" t="str">
        <f t="shared" si="16"/>
        <v>2030</v>
      </c>
      <c r="AG211" s="23" t="str">
        <f t="shared" si="16"/>
        <v>2031</v>
      </c>
      <c r="AH211" s="23" t="str">
        <f t="shared" si="16"/>
        <v>2032</v>
      </c>
      <c r="AI211" s="23" t="str">
        <f t="shared" si="16"/>
        <v>2033</v>
      </c>
      <c r="AJ211" s="23" t="str">
        <f t="shared" si="16"/>
        <v>2034</v>
      </c>
      <c r="AK211" s="23" t="str">
        <f t="shared" si="16"/>
        <v>2035</v>
      </c>
      <c r="AL211" s="23" t="str">
        <f t="shared" si="16"/>
        <v>2036</v>
      </c>
      <c r="AM211" s="23" t="str">
        <f t="shared" si="16"/>
        <v>2037</v>
      </c>
      <c r="AN211" s="23" t="str">
        <f t="shared" si="16"/>
        <v>2038</v>
      </c>
      <c r="AO211" s="23" t="str">
        <f t="shared" si="16"/>
        <v>2039</v>
      </c>
      <c r="AP211" s="23" t="str">
        <f t="shared" si="16"/>
        <v>2040</v>
      </c>
      <c r="AQ211" s="23" t="str">
        <f>AQ195</f>
        <v>2041</v>
      </c>
    </row>
    <row r="212" spans="1:43">
      <c r="A212" s="20" t="s">
        <v>17</v>
      </c>
    </row>
    <row r="213" spans="1:43">
      <c r="A213" s="20" t="s">
        <v>18</v>
      </c>
    </row>
    <row r="214" spans="1:43">
      <c r="A214" s="20" t="s">
        <v>19</v>
      </c>
    </row>
    <row r="215" spans="1:43">
      <c r="A215" s="20" t="s">
        <v>20</v>
      </c>
    </row>
    <row r="216" spans="1:43">
      <c r="A216" s="20" t="s">
        <v>21</v>
      </c>
    </row>
    <row r="217" spans="1:43">
      <c r="A217" s="20" t="s">
        <v>22</v>
      </c>
    </row>
    <row r="218" spans="1:43">
      <c r="A218" s="20" t="s">
        <v>23</v>
      </c>
    </row>
    <row r="219" spans="1:43">
      <c r="A219" s="20" t="s">
        <v>24</v>
      </c>
    </row>
    <row r="220" spans="1:43">
      <c r="A220" s="20" t="s">
        <v>25</v>
      </c>
    </row>
    <row r="221" spans="1:43">
      <c r="A221" s="20" t="s">
        <v>26</v>
      </c>
    </row>
    <row r="222" spans="1:43">
      <c r="A222" s="20" t="s">
        <v>27</v>
      </c>
    </row>
    <row r="223" spans="1:43">
      <c r="A223" s="20" t="s">
        <v>28</v>
      </c>
    </row>
    <row r="224" spans="1:43" ht="15.75" thickBot="1">
      <c r="A224" s="20" t="s">
        <v>29</v>
      </c>
      <c r="B224" s="38">
        <v>0.42099999999999999</v>
      </c>
      <c r="C224" s="38">
        <v>0.42099999999999999</v>
      </c>
      <c r="D224" s="38">
        <v>0.42099999999999999</v>
      </c>
      <c r="E224" s="38">
        <v>0.42099999999999999</v>
      </c>
      <c r="F224" s="38">
        <v>0.42099999999999999</v>
      </c>
      <c r="G224" s="38">
        <v>0.42099999999999999</v>
      </c>
      <c r="H224" s="38">
        <v>0.42099999999999999</v>
      </c>
      <c r="I224" s="38">
        <v>0.42099999999999999</v>
      </c>
      <c r="J224" s="38">
        <v>0.42099999999999999</v>
      </c>
      <c r="K224" s="38">
        <v>0.42099999999999999</v>
      </c>
      <c r="L224" s="39">
        <f>L4/L208</f>
        <v>0.39474844236760132</v>
      </c>
      <c r="M224" s="39">
        <f t="shared" ref="M224:T224" si="17">M4/M208</f>
        <v>0.41618386023294507</v>
      </c>
      <c r="N224" s="39">
        <f t="shared" si="17"/>
        <v>0.40267548076923071</v>
      </c>
      <c r="O224" s="39">
        <f t="shared" si="17"/>
        <v>0.43948145161290325</v>
      </c>
      <c r="P224" s="39">
        <f t="shared" si="17"/>
        <v>0.44643009118541033</v>
      </c>
      <c r="Q224" s="39">
        <f t="shared" si="17"/>
        <v>0.44532826086956523</v>
      </c>
      <c r="R224" s="39">
        <f t="shared" si="17"/>
        <v>0.43117283950617286</v>
      </c>
      <c r="S224" s="39">
        <f t="shared" si="17"/>
        <v>0.4087691131498471</v>
      </c>
      <c r="T224" s="39">
        <f t="shared" si="17"/>
        <v>0.40279850746268658</v>
      </c>
      <c r="U224" s="38">
        <v>0.42099999999999999</v>
      </c>
      <c r="V224" s="38">
        <v>0.42099999999999999</v>
      </c>
      <c r="W224" s="38">
        <v>0.42099999999999999</v>
      </c>
      <c r="X224" s="38">
        <v>0.42099999999999999</v>
      </c>
      <c r="Y224" s="38">
        <v>0.42099999999999999</v>
      </c>
      <c r="Z224" s="38">
        <v>0.42099999999999999</v>
      </c>
      <c r="AA224" s="38">
        <v>0.42099999999999999</v>
      </c>
      <c r="AB224" s="38">
        <v>0.42099999999999999</v>
      </c>
      <c r="AC224" s="38">
        <v>0.42099999999999999</v>
      </c>
      <c r="AD224" s="38">
        <v>0.42099999999999999</v>
      </c>
      <c r="AE224" s="38">
        <v>0.42099999999999999</v>
      </c>
      <c r="AF224" s="38">
        <v>0.42099999999999999</v>
      </c>
      <c r="AG224" s="38">
        <v>0.42099999999999999</v>
      </c>
      <c r="AH224" s="38">
        <v>0.42099999999999999</v>
      </c>
      <c r="AI224" s="38">
        <v>0.42099999999999999</v>
      </c>
      <c r="AJ224" s="38">
        <v>0.42099999999999999</v>
      </c>
      <c r="AK224" s="38">
        <v>0.42099999999999999</v>
      </c>
      <c r="AL224" s="38">
        <v>0.42099999999999999</v>
      </c>
      <c r="AM224" s="38">
        <v>0.42099999999999999</v>
      </c>
      <c r="AN224" s="38">
        <v>0.42099999999999999</v>
      </c>
      <c r="AO224" s="38">
        <v>0.42099999999999999</v>
      </c>
      <c r="AP224" s="38">
        <v>0.42099999999999999</v>
      </c>
      <c r="AQ224" s="38">
        <v>0.42099999999999999</v>
      </c>
    </row>
    <row r="225" spans="1:43">
      <c r="A225" s="25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F4027-CC15-49D1-84A5-541E7D4C958B}">
  <sheetPr>
    <tabColor rgb="FFC00000"/>
  </sheetPr>
  <dimension ref="A1:AQ225"/>
  <sheetViews>
    <sheetView zoomScale="85" zoomScaleNormal="85" workbookViewId="0">
      <pane xSplit="1" ySplit="2" topLeftCell="T162" activePane="bottomRight" state="frozen"/>
      <selection activeCell="AL31" sqref="AL31"/>
      <selection pane="topRight" activeCell="AL31" sqref="AL31"/>
      <selection pane="bottomLeft" activeCell="AL31" sqref="AL31"/>
      <selection pane="bottomRight" activeCell="AL31" sqref="AL31"/>
    </sheetView>
  </sheetViews>
  <sheetFormatPr defaultColWidth="8.85546875" defaultRowHeight="15"/>
  <cols>
    <col min="1" max="1" width="32.42578125" customWidth="1"/>
    <col min="2" max="13" width="9.140625" style="21" customWidth="1"/>
    <col min="14" max="43" width="8.85546875" style="21"/>
  </cols>
  <sheetData>
    <row r="1" spans="1:43" ht="15.75" thickBot="1">
      <c r="A1" s="6" t="s">
        <v>97</v>
      </c>
    </row>
    <row r="2" spans="1:43" ht="15.75" thickBot="1">
      <c r="A2" s="34"/>
      <c r="B2" s="23" t="s">
        <v>44</v>
      </c>
      <c r="C2" s="23" t="s">
        <v>45</v>
      </c>
      <c r="D2" s="23" t="s">
        <v>46</v>
      </c>
      <c r="E2" s="23" t="s">
        <v>47</v>
      </c>
      <c r="F2" s="23" t="s">
        <v>48</v>
      </c>
      <c r="G2" s="23" t="s">
        <v>49</v>
      </c>
      <c r="H2" s="23" t="s">
        <v>50</v>
      </c>
      <c r="I2" s="23" t="s">
        <v>51</v>
      </c>
      <c r="J2" s="23" t="s">
        <v>52</v>
      </c>
      <c r="K2" s="23" t="s">
        <v>53</v>
      </c>
      <c r="L2" s="23" t="s">
        <v>54</v>
      </c>
      <c r="M2" s="23" t="s">
        <v>55</v>
      </c>
      <c r="N2" s="23" t="s">
        <v>56</v>
      </c>
      <c r="O2" s="23" t="s">
        <v>57</v>
      </c>
      <c r="P2" s="23" t="s">
        <v>58</v>
      </c>
      <c r="Q2" s="23" t="s">
        <v>59</v>
      </c>
      <c r="R2" s="23" t="s">
        <v>60</v>
      </c>
      <c r="S2" s="23" t="s">
        <v>61</v>
      </c>
      <c r="T2" s="23" t="s">
        <v>62</v>
      </c>
      <c r="U2" s="23" t="s">
        <v>63</v>
      </c>
      <c r="V2" s="23" t="s">
        <v>64</v>
      </c>
      <c r="W2" s="23" t="s">
        <v>65</v>
      </c>
      <c r="X2" s="23" t="s">
        <v>66</v>
      </c>
      <c r="Y2" s="23" t="s">
        <v>67</v>
      </c>
      <c r="Z2" s="23" t="s">
        <v>68</v>
      </c>
      <c r="AA2" s="23" t="s">
        <v>69</v>
      </c>
      <c r="AB2" s="23" t="s">
        <v>70</v>
      </c>
      <c r="AC2" s="23" t="s">
        <v>71</v>
      </c>
      <c r="AD2" s="23" t="s">
        <v>72</v>
      </c>
      <c r="AE2" s="23" t="s">
        <v>73</v>
      </c>
      <c r="AF2" s="23" t="s">
        <v>74</v>
      </c>
      <c r="AG2" s="23" t="s">
        <v>75</v>
      </c>
      <c r="AH2" s="23" t="s">
        <v>76</v>
      </c>
      <c r="AI2" s="23" t="s">
        <v>77</v>
      </c>
      <c r="AJ2" s="23" t="s">
        <v>78</v>
      </c>
      <c r="AK2" s="23" t="s">
        <v>79</v>
      </c>
      <c r="AL2" s="23" t="s">
        <v>80</v>
      </c>
      <c r="AM2" s="23" t="s">
        <v>81</v>
      </c>
      <c r="AN2" s="23" t="s">
        <v>82</v>
      </c>
      <c r="AO2" s="23" t="s">
        <v>83</v>
      </c>
      <c r="AP2" s="23" t="s">
        <v>84</v>
      </c>
      <c r="AQ2" s="23" t="s">
        <v>85</v>
      </c>
    </row>
    <row r="3" spans="1:43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</row>
    <row r="4" spans="1:43">
      <c r="A4" s="6" t="s">
        <v>2</v>
      </c>
      <c r="B4" s="7">
        <f>B208*B224</f>
        <v>32982</v>
      </c>
      <c r="C4" s="7">
        <f t="shared" ref="C4:K4" si="0">C208*C224</f>
        <v>33396</v>
      </c>
      <c r="D4" s="7">
        <f t="shared" si="0"/>
        <v>36156</v>
      </c>
      <c r="E4" s="7">
        <f t="shared" si="0"/>
        <v>39330</v>
      </c>
      <c r="F4" s="7">
        <f t="shared" si="0"/>
        <v>44850.000000000007</v>
      </c>
      <c r="G4" s="7">
        <f t="shared" si="0"/>
        <v>51060.000000000007</v>
      </c>
      <c r="H4" s="7">
        <f t="shared" si="0"/>
        <v>55200.000000000007</v>
      </c>
      <c r="I4" s="7">
        <f t="shared" si="0"/>
        <v>52440.000000000007</v>
      </c>
      <c r="J4" s="7">
        <f t="shared" si="0"/>
        <v>62100.000000000007</v>
      </c>
      <c r="K4" s="7">
        <f t="shared" si="0"/>
        <v>69000</v>
      </c>
      <c r="L4" s="7">
        <v>75366.18887780096</v>
      </c>
      <c r="M4" s="7">
        <v>67797.223986210651</v>
      </c>
      <c r="N4" s="7">
        <v>69543.908191962269</v>
      </c>
      <c r="O4" s="7">
        <v>69220.44815386011</v>
      </c>
      <c r="P4" s="7">
        <v>72778.508572983759</v>
      </c>
      <c r="Q4" s="7">
        <v>74557.538782545584</v>
      </c>
      <c r="R4" s="7">
        <v>73748.888687290208</v>
      </c>
      <c r="S4" s="7">
        <v>74395.808763494511</v>
      </c>
      <c r="T4" s="9">
        <v>71161.208382473007</v>
      </c>
      <c r="U4" s="9">
        <f>U224*U208</f>
        <v>77970</v>
      </c>
      <c r="V4" s="9">
        <f t="shared" ref="V4:AP4" si="1">V224*V208</f>
        <v>79626</v>
      </c>
      <c r="W4" s="9">
        <f t="shared" si="1"/>
        <v>80316</v>
      </c>
      <c r="X4" s="9">
        <f t="shared" si="1"/>
        <v>80868</v>
      </c>
      <c r="Y4" s="9">
        <f t="shared" si="1"/>
        <v>81420</v>
      </c>
      <c r="Z4" s="9">
        <f t="shared" si="1"/>
        <v>81972</v>
      </c>
      <c r="AA4" s="9">
        <f t="shared" si="1"/>
        <v>82524</v>
      </c>
      <c r="AB4" s="9">
        <f t="shared" si="1"/>
        <v>83490</v>
      </c>
      <c r="AC4" s="9">
        <f t="shared" si="1"/>
        <v>84870</v>
      </c>
      <c r="AD4" s="9">
        <f t="shared" si="1"/>
        <v>85146</v>
      </c>
      <c r="AE4" s="9">
        <f t="shared" si="1"/>
        <v>85836</v>
      </c>
      <c r="AF4" s="9">
        <f t="shared" si="1"/>
        <v>88596.000000000015</v>
      </c>
      <c r="AG4" s="9">
        <f t="shared" si="1"/>
        <v>90666.000000000015</v>
      </c>
      <c r="AH4" s="9">
        <f t="shared" si="1"/>
        <v>89976.000000000015</v>
      </c>
      <c r="AI4" s="9">
        <f t="shared" si="1"/>
        <v>89286.000000000015</v>
      </c>
      <c r="AJ4" s="9">
        <f t="shared" si="1"/>
        <v>89700.000000000015</v>
      </c>
      <c r="AK4" s="9">
        <f t="shared" si="1"/>
        <v>90390.000000000015</v>
      </c>
      <c r="AL4" s="9">
        <f t="shared" si="1"/>
        <v>91494.000000000015</v>
      </c>
      <c r="AM4" s="9">
        <f t="shared" si="1"/>
        <v>93012.000000000015</v>
      </c>
      <c r="AN4" s="9">
        <f t="shared" si="1"/>
        <v>94392.000000000015</v>
      </c>
      <c r="AO4" s="9">
        <f t="shared" si="1"/>
        <v>95496.000000000015</v>
      </c>
      <c r="AP4" s="9">
        <f t="shared" si="1"/>
        <v>96324.000000000015</v>
      </c>
      <c r="AQ4" s="9">
        <f>AQ224*AQ208</f>
        <v>97152.000000000015</v>
      </c>
    </row>
    <row r="5" spans="1:43">
      <c r="A5" s="6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</row>
    <row r="6" spans="1:43">
      <c r="A6" s="10" t="s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</row>
    <row r="7" spans="1:43">
      <c r="A7" s="6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</row>
    <row r="8" spans="1:43">
      <c r="A8" s="6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</row>
    <row r="9" spans="1:43">
      <c r="A9" s="6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</row>
    <row r="10" spans="1:43">
      <c r="A10" s="6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</row>
    <row r="11" spans="1:43">
      <c r="A11" s="6" t="s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</row>
    <row r="12" spans="1:43">
      <c r="A12" s="6" t="s">
        <v>10</v>
      </c>
      <c r="B12" s="7"/>
      <c r="C12" s="7"/>
      <c r="D12" s="7">
        <f>'[2]Paraguay Tallow Exports'!K$289</f>
        <v>694</v>
      </c>
      <c r="E12" s="7">
        <f>'[2]Paraguay Tallow Exports'!L$289</f>
        <v>0</v>
      </c>
      <c r="F12" s="7">
        <f>'[2]Paraguay Tallow Exports'!M$289</f>
        <v>607</v>
      </c>
      <c r="G12" s="7">
        <f>'[2]Paraguay Tallow Exports'!N$289</f>
        <v>3308</v>
      </c>
      <c r="H12" s="7">
        <f>'[2]Paraguay Tallow Exports'!O$289</f>
        <v>4819</v>
      </c>
      <c r="I12" s="7">
        <f>'[2]Paraguay Tallow Exports'!P$289</f>
        <v>1556</v>
      </c>
      <c r="J12" s="7">
        <f>'[2]Paraguay Tallow Exports'!Q$289</f>
        <v>6037</v>
      </c>
      <c r="K12" s="7">
        <f>'[2]Paraguay Tallow Exports'!R$289</f>
        <v>6010</v>
      </c>
      <c r="L12" s="7">
        <f>'[2]Paraguay Tallow Exports'!S$289</f>
        <v>12364</v>
      </c>
      <c r="M12" s="7">
        <f>'[2]Paraguay Tallow Exports'!T$289</f>
        <v>11300</v>
      </c>
      <c r="N12" s="7">
        <f>'[2]Paraguay Tallow Exports'!U$289</f>
        <v>14392</v>
      </c>
      <c r="O12" s="7">
        <f>'[2]Paraguay Tallow Exports'!V$289</f>
        <v>29141</v>
      </c>
      <c r="P12" s="7">
        <f>'[2]Paraguay Tallow Exports'!W$289</f>
        <v>39200</v>
      </c>
      <c r="Q12" s="7">
        <f>'[2]Paraguay Tallow Exports'!X$289</f>
        <v>41631</v>
      </c>
      <c r="R12" s="7">
        <f>'[2]Paraguay Tallow Exports'!Y$289</f>
        <v>37143</v>
      </c>
      <c r="S12" s="7">
        <f>'[2]Paraguay Tallow Exports'!Z$289</f>
        <v>43516</v>
      </c>
      <c r="T12" s="7">
        <f>'[2]Paraguay Tallow Exports'!AA$289</f>
        <v>38851</v>
      </c>
      <c r="U12" s="7">
        <f>'[2]Paraguay Tallow Exports'!AB$289</f>
        <v>42477</v>
      </c>
      <c r="V12" s="7">
        <f>'[2]Paraguay Tallow Exports'!AC$289</f>
        <v>44777</v>
      </c>
      <c r="W12" s="7">
        <f>'[2]Paraguay Tallow Exports'!AD$289</f>
        <v>55558</v>
      </c>
      <c r="X12" s="9">
        <f>(SUM(R12:W12)/SUM(R4:W4)*X4)+10000</f>
        <v>56396.816977977913</v>
      </c>
      <c r="Y12" s="9">
        <f>(SUM(S12:X12)/SUM(S4:X4)*Y4)+7500</f>
        <v>56873.412353079853</v>
      </c>
      <c r="Z12" s="9">
        <f>(SUM(T12:Y12)/SUM(T4:Y4)*Z4)+5000</f>
        <v>56290.31885693127</v>
      </c>
      <c r="AA12" s="9">
        <f>(SUM(U12:Z12)/SUM(U4:Z4)*AA4)+5000</f>
        <v>58462.731487240257</v>
      </c>
      <c r="AB12" s="9">
        <f>(SUM(V12:AA12)/SUM(V4:AA4)*AB4)+2500</f>
        <v>58824.570230653168</v>
      </c>
      <c r="AC12" s="9">
        <f>(SUM(W12:AB12)/SUM(W4:AB4)*AC4)</f>
        <v>59234.767283296111</v>
      </c>
      <c r="AD12" s="9">
        <f t="shared" ref="AD12:AQ12" si="2">(SUM(X12:AC12)/SUM(X4:AC4)*AD4)</f>
        <v>59513.092197804683</v>
      </c>
      <c r="AE12" s="9">
        <f t="shared" si="2"/>
        <v>60017.051969715751</v>
      </c>
      <c r="AF12" s="9">
        <f t="shared" si="2"/>
        <v>61956.698318395422</v>
      </c>
      <c r="AG12" s="9">
        <f t="shared" si="2"/>
        <v>63587.957514741363</v>
      </c>
      <c r="AH12" s="9">
        <f t="shared" si="2"/>
        <v>63002.516673635837</v>
      </c>
      <c r="AI12" s="9">
        <f t="shared" si="2"/>
        <v>62457.534381224759</v>
      </c>
      <c r="AJ12" s="9">
        <f t="shared" si="2"/>
        <v>62769.78190932671</v>
      </c>
      <c r="AK12" s="9">
        <f t="shared" si="2"/>
        <v>63264.45974222511</v>
      </c>
      <c r="AL12" s="9">
        <f t="shared" si="2"/>
        <v>64047.354056295444</v>
      </c>
      <c r="AM12" s="9">
        <f t="shared" si="2"/>
        <v>65120.630296381438</v>
      </c>
      <c r="AN12" s="9">
        <f t="shared" si="2"/>
        <v>66067.748669986555</v>
      </c>
      <c r="AO12" s="9">
        <f t="shared" si="2"/>
        <v>66836.0020806354</v>
      </c>
      <c r="AP12" s="9">
        <f t="shared" si="2"/>
        <v>67421.098002709245</v>
      </c>
      <c r="AQ12" s="9">
        <f t="shared" si="2"/>
        <v>68003.230242291218</v>
      </c>
    </row>
    <row r="13" spans="1:43">
      <c r="A13" s="10" t="s">
        <v>11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</row>
    <row r="14" spans="1:43">
      <c r="A14" t="s">
        <v>12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</row>
    <row r="15" spans="1:43">
      <c r="A15" s="6" t="s">
        <v>13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</row>
    <row r="16" spans="1:43" ht="15.75" thickBot="1">
      <c r="A16" s="6" t="s">
        <v>14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</row>
    <row r="17" spans="1:43">
      <c r="A17" s="17" t="s">
        <v>15</v>
      </c>
      <c r="B17" s="18"/>
      <c r="C17" s="18"/>
      <c r="D17" s="18"/>
      <c r="E17" s="19">
        <f t="shared" ref="E17:V17" si="3">E12/E4</f>
        <v>0</v>
      </c>
      <c r="F17" s="19">
        <f t="shared" si="3"/>
        <v>1.3534002229654401E-2</v>
      </c>
      <c r="G17" s="19">
        <f t="shared" si="3"/>
        <v>6.478652565609086E-2</v>
      </c>
      <c r="H17" s="19">
        <f t="shared" si="3"/>
        <v>8.7300724637681154E-2</v>
      </c>
      <c r="I17" s="19">
        <f t="shared" si="3"/>
        <v>2.9672006102212049E-2</v>
      </c>
      <c r="J17" s="19">
        <f t="shared" si="3"/>
        <v>9.7214170692431545E-2</v>
      </c>
      <c r="K17" s="19">
        <f t="shared" si="3"/>
        <v>8.7101449275362314E-2</v>
      </c>
      <c r="L17" s="19">
        <f t="shared" si="3"/>
        <v>0.16405234474635622</v>
      </c>
      <c r="M17" s="19">
        <f t="shared" si="3"/>
        <v>0.16667349097211295</v>
      </c>
      <c r="N17" s="19">
        <f t="shared" si="3"/>
        <v>0.20694839237785884</v>
      </c>
      <c r="O17" s="19">
        <f t="shared" si="3"/>
        <v>0.42098831742936266</v>
      </c>
      <c r="P17" s="19">
        <f t="shared" si="3"/>
        <v>0.53862054566135342</v>
      </c>
      <c r="Q17" s="19">
        <f t="shared" si="3"/>
        <v>0.55837411856393115</v>
      </c>
      <c r="R17" s="19">
        <f t="shared" si="3"/>
        <v>0.50364148750083038</v>
      </c>
      <c r="S17" s="19">
        <f t="shared" si="3"/>
        <v>0.58492542420417892</v>
      </c>
      <c r="T17" s="19">
        <f t="shared" si="3"/>
        <v>0.54595756428398412</v>
      </c>
      <c r="U17" s="19">
        <f t="shared" si="3"/>
        <v>0.5447864563293574</v>
      </c>
      <c r="V17" s="19">
        <f t="shared" si="3"/>
        <v>0.56234144626127147</v>
      </c>
      <c r="W17" s="19">
        <f>W12/W4</f>
        <v>0.69174261666417647</v>
      </c>
      <c r="X17" s="19">
        <f t="shared" ref="X17:AP17" si="4">X12/X4</f>
        <v>0.69739349282754504</v>
      </c>
      <c r="Y17" s="19">
        <f t="shared" si="4"/>
        <v>0.69851894317219176</v>
      </c>
      <c r="Z17" s="19">
        <f t="shared" si="4"/>
        <v>0.68670178667021997</v>
      </c>
      <c r="AA17" s="19">
        <f t="shared" si="4"/>
        <v>0.70843307991905691</v>
      </c>
      <c r="AB17" s="19">
        <f t="shared" si="4"/>
        <v>0.70457025069652857</v>
      </c>
      <c r="AC17" s="19">
        <f t="shared" si="4"/>
        <v>0.69794706354773317</v>
      </c>
      <c r="AD17" s="19">
        <f t="shared" si="4"/>
        <v>0.69895347048369483</v>
      </c>
      <c r="AE17" s="19">
        <f t="shared" si="4"/>
        <v>0.69920606703149901</v>
      </c>
      <c r="AF17" s="19">
        <f t="shared" si="4"/>
        <v>0.69931710594604057</v>
      </c>
      <c r="AG17" s="19">
        <f t="shared" si="4"/>
        <v>0.7013429236399682</v>
      </c>
      <c r="AH17" s="19">
        <f t="shared" si="4"/>
        <v>0.70021468695691991</v>
      </c>
      <c r="AI17" s="19">
        <f t="shared" si="4"/>
        <v>0.69952214659884804</v>
      </c>
      <c r="AJ17" s="19">
        <f t="shared" si="4"/>
        <v>0.69977460322549279</v>
      </c>
      <c r="AK17" s="19">
        <f t="shared" si="4"/>
        <v>0.6999055176703739</v>
      </c>
      <c r="AL17" s="19">
        <f t="shared" si="4"/>
        <v>0.70001698533560053</v>
      </c>
      <c r="AM17" s="19">
        <f t="shared" si="4"/>
        <v>0.7001314915965835</v>
      </c>
      <c r="AN17" s="19">
        <f t="shared" si="4"/>
        <v>0.69992953502401201</v>
      </c>
      <c r="AO17" s="19">
        <f t="shared" si="4"/>
        <v>0.69988273938840784</v>
      </c>
      <c r="AP17" s="19">
        <f t="shared" si="4"/>
        <v>0.69994080398145042</v>
      </c>
      <c r="AQ17" s="19">
        <f>AQ12/AQ4</f>
        <v>0.69996737321198954</v>
      </c>
    </row>
    <row r="19" spans="1:43" ht="15.75" thickBot="1">
      <c r="A19" s="20" t="s">
        <v>16</v>
      </c>
    </row>
    <row r="20" spans="1:43" ht="15.75" thickBot="1">
      <c r="A20" s="22"/>
      <c r="B20" s="23" t="str">
        <f>B2</f>
        <v>2000</v>
      </c>
      <c r="C20" s="23" t="str">
        <f t="shared" ref="C20:AP20" si="5">C2</f>
        <v>2001</v>
      </c>
      <c r="D20" s="23" t="str">
        <f t="shared" si="5"/>
        <v>2002</v>
      </c>
      <c r="E20" s="23" t="str">
        <f t="shared" si="5"/>
        <v>2003</v>
      </c>
      <c r="F20" s="23" t="str">
        <f t="shared" si="5"/>
        <v>2004</v>
      </c>
      <c r="G20" s="23" t="str">
        <f t="shared" si="5"/>
        <v>2005</v>
      </c>
      <c r="H20" s="23" t="str">
        <f t="shared" si="5"/>
        <v>2006</v>
      </c>
      <c r="I20" s="23" t="str">
        <f t="shared" si="5"/>
        <v>2007</v>
      </c>
      <c r="J20" s="23" t="str">
        <f t="shared" si="5"/>
        <v>2008</v>
      </c>
      <c r="K20" s="23" t="str">
        <f t="shared" si="5"/>
        <v>2009</v>
      </c>
      <c r="L20" s="23" t="str">
        <f t="shared" si="5"/>
        <v>2010</v>
      </c>
      <c r="M20" s="23" t="str">
        <f t="shared" si="5"/>
        <v>2011</v>
      </c>
      <c r="N20" s="23" t="str">
        <f t="shared" si="5"/>
        <v>2012</v>
      </c>
      <c r="O20" s="23" t="str">
        <f t="shared" si="5"/>
        <v>2013</v>
      </c>
      <c r="P20" s="23" t="str">
        <f t="shared" si="5"/>
        <v>2014</v>
      </c>
      <c r="Q20" s="23" t="str">
        <f t="shared" si="5"/>
        <v>2015</v>
      </c>
      <c r="R20" s="23" t="str">
        <f t="shared" si="5"/>
        <v>2016</v>
      </c>
      <c r="S20" s="23" t="str">
        <f t="shared" si="5"/>
        <v>2017</v>
      </c>
      <c r="T20" s="23" t="str">
        <f t="shared" si="5"/>
        <v>2018</v>
      </c>
      <c r="U20" s="23" t="str">
        <f t="shared" si="5"/>
        <v>2019</v>
      </c>
      <c r="V20" s="23" t="str">
        <f t="shared" si="5"/>
        <v>2020</v>
      </c>
      <c r="W20" s="23" t="str">
        <f t="shared" si="5"/>
        <v>2021</v>
      </c>
      <c r="X20" s="23" t="str">
        <f t="shared" si="5"/>
        <v>2022</v>
      </c>
      <c r="Y20" s="23" t="str">
        <f t="shared" si="5"/>
        <v>2023</v>
      </c>
      <c r="Z20" s="23" t="str">
        <f t="shared" si="5"/>
        <v>2024</v>
      </c>
      <c r="AA20" s="23" t="str">
        <f t="shared" si="5"/>
        <v>2025</v>
      </c>
      <c r="AB20" s="23" t="str">
        <f t="shared" si="5"/>
        <v>2026</v>
      </c>
      <c r="AC20" s="23" t="str">
        <f t="shared" si="5"/>
        <v>2027</v>
      </c>
      <c r="AD20" s="23" t="str">
        <f t="shared" si="5"/>
        <v>2028</v>
      </c>
      <c r="AE20" s="23" t="str">
        <f t="shared" si="5"/>
        <v>2029</v>
      </c>
      <c r="AF20" s="23" t="str">
        <f t="shared" si="5"/>
        <v>2030</v>
      </c>
      <c r="AG20" s="23" t="str">
        <f t="shared" si="5"/>
        <v>2031</v>
      </c>
      <c r="AH20" s="23" t="str">
        <f t="shared" si="5"/>
        <v>2032</v>
      </c>
      <c r="AI20" s="23" t="str">
        <f t="shared" si="5"/>
        <v>2033</v>
      </c>
      <c r="AJ20" s="23" t="str">
        <f t="shared" si="5"/>
        <v>2034</v>
      </c>
      <c r="AK20" s="23" t="str">
        <f t="shared" si="5"/>
        <v>2035</v>
      </c>
      <c r="AL20" s="23" t="str">
        <f t="shared" si="5"/>
        <v>2036</v>
      </c>
      <c r="AM20" s="23" t="str">
        <f t="shared" si="5"/>
        <v>2037</v>
      </c>
      <c r="AN20" s="23" t="str">
        <f t="shared" si="5"/>
        <v>2038</v>
      </c>
      <c r="AO20" s="23" t="str">
        <f t="shared" si="5"/>
        <v>2039</v>
      </c>
      <c r="AP20" s="23" t="str">
        <f t="shared" si="5"/>
        <v>2040</v>
      </c>
      <c r="AQ20" s="23" t="str">
        <f>AQ2</f>
        <v>2041</v>
      </c>
    </row>
    <row r="21" spans="1:43">
      <c r="A21" s="20" t="s">
        <v>17</v>
      </c>
    </row>
    <row r="22" spans="1:43">
      <c r="A22" s="20" t="s">
        <v>18</v>
      </c>
    </row>
    <row r="23" spans="1:43">
      <c r="A23" s="20" t="s">
        <v>19</v>
      </c>
    </row>
    <row r="24" spans="1:43">
      <c r="A24" s="20" t="s">
        <v>20</v>
      </c>
    </row>
    <row r="25" spans="1:43">
      <c r="A25" s="20" t="s">
        <v>21</v>
      </c>
    </row>
    <row r="26" spans="1:43">
      <c r="A26" s="20" t="s">
        <v>22</v>
      </c>
    </row>
    <row r="27" spans="1:43">
      <c r="A27" s="20" t="s">
        <v>23</v>
      </c>
    </row>
    <row r="28" spans="1:43">
      <c r="A28" s="20" t="s">
        <v>24</v>
      </c>
    </row>
    <row r="29" spans="1:43">
      <c r="A29" s="20" t="s">
        <v>25</v>
      </c>
    </row>
    <row r="30" spans="1:43">
      <c r="A30" s="20" t="s">
        <v>26</v>
      </c>
    </row>
    <row r="31" spans="1:43">
      <c r="A31" s="20" t="s">
        <v>27</v>
      </c>
    </row>
    <row r="32" spans="1:43">
      <c r="A32" s="20" t="s">
        <v>28</v>
      </c>
    </row>
    <row r="33" spans="1:43" ht="15.75" thickBot="1">
      <c r="A33" s="20" t="s">
        <v>29</v>
      </c>
    </row>
    <row r="34" spans="1:43">
      <c r="A34" s="25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</row>
    <row r="35" spans="1:43" ht="15.75" thickBot="1">
      <c r="A35" s="20" t="s">
        <v>30</v>
      </c>
    </row>
    <row r="36" spans="1:43" ht="15.75" thickBot="1">
      <c r="A36" s="22"/>
      <c r="B36" s="23" t="str">
        <f>B20</f>
        <v>2000</v>
      </c>
      <c r="C36" s="23" t="str">
        <f t="shared" ref="C36:AP36" si="6">C20</f>
        <v>2001</v>
      </c>
      <c r="D36" s="23" t="str">
        <f t="shared" si="6"/>
        <v>2002</v>
      </c>
      <c r="E36" s="23" t="str">
        <f t="shared" si="6"/>
        <v>2003</v>
      </c>
      <c r="F36" s="23" t="str">
        <f t="shared" si="6"/>
        <v>2004</v>
      </c>
      <c r="G36" s="23" t="str">
        <f t="shared" si="6"/>
        <v>2005</v>
      </c>
      <c r="H36" s="23" t="str">
        <f t="shared" si="6"/>
        <v>2006</v>
      </c>
      <c r="I36" s="23" t="str">
        <f t="shared" si="6"/>
        <v>2007</v>
      </c>
      <c r="J36" s="23" t="str">
        <f t="shared" si="6"/>
        <v>2008</v>
      </c>
      <c r="K36" s="23" t="str">
        <f t="shared" si="6"/>
        <v>2009</v>
      </c>
      <c r="L36" s="23" t="str">
        <f t="shared" si="6"/>
        <v>2010</v>
      </c>
      <c r="M36" s="23" t="str">
        <f t="shared" si="6"/>
        <v>2011</v>
      </c>
      <c r="N36" s="23" t="str">
        <f t="shared" si="6"/>
        <v>2012</v>
      </c>
      <c r="O36" s="23" t="str">
        <f t="shared" si="6"/>
        <v>2013</v>
      </c>
      <c r="P36" s="23" t="str">
        <f t="shared" si="6"/>
        <v>2014</v>
      </c>
      <c r="Q36" s="23" t="str">
        <f t="shared" si="6"/>
        <v>2015</v>
      </c>
      <c r="R36" s="23" t="str">
        <f t="shared" si="6"/>
        <v>2016</v>
      </c>
      <c r="S36" s="23" t="str">
        <f t="shared" si="6"/>
        <v>2017</v>
      </c>
      <c r="T36" s="23" t="str">
        <f t="shared" si="6"/>
        <v>2018</v>
      </c>
      <c r="U36" s="23" t="str">
        <f t="shared" si="6"/>
        <v>2019</v>
      </c>
      <c r="V36" s="23" t="str">
        <f t="shared" si="6"/>
        <v>2020</v>
      </c>
      <c r="W36" s="23" t="str">
        <f t="shared" si="6"/>
        <v>2021</v>
      </c>
      <c r="X36" s="23" t="str">
        <f t="shared" si="6"/>
        <v>2022</v>
      </c>
      <c r="Y36" s="23" t="str">
        <f t="shared" si="6"/>
        <v>2023</v>
      </c>
      <c r="Z36" s="23" t="str">
        <f t="shared" si="6"/>
        <v>2024</v>
      </c>
      <c r="AA36" s="23" t="str">
        <f t="shared" si="6"/>
        <v>2025</v>
      </c>
      <c r="AB36" s="23" t="str">
        <f t="shared" si="6"/>
        <v>2026</v>
      </c>
      <c r="AC36" s="23" t="str">
        <f t="shared" si="6"/>
        <v>2027</v>
      </c>
      <c r="AD36" s="23" t="str">
        <f t="shared" si="6"/>
        <v>2028</v>
      </c>
      <c r="AE36" s="23" t="str">
        <f t="shared" si="6"/>
        <v>2029</v>
      </c>
      <c r="AF36" s="23" t="str">
        <f t="shared" si="6"/>
        <v>2030</v>
      </c>
      <c r="AG36" s="23" t="str">
        <f t="shared" si="6"/>
        <v>2031</v>
      </c>
      <c r="AH36" s="23" t="str">
        <f t="shared" si="6"/>
        <v>2032</v>
      </c>
      <c r="AI36" s="23" t="str">
        <f t="shared" si="6"/>
        <v>2033</v>
      </c>
      <c r="AJ36" s="23" t="str">
        <f t="shared" si="6"/>
        <v>2034</v>
      </c>
      <c r="AK36" s="23" t="str">
        <f t="shared" si="6"/>
        <v>2035</v>
      </c>
      <c r="AL36" s="23" t="str">
        <f t="shared" si="6"/>
        <v>2036</v>
      </c>
      <c r="AM36" s="23" t="str">
        <f t="shared" si="6"/>
        <v>2037</v>
      </c>
      <c r="AN36" s="23" t="str">
        <f t="shared" si="6"/>
        <v>2038</v>
      </c>
      <c r="AO36" s="23" t="str">
        <f t="shared" si="6"/>
        <v>2039</v>
      </c>
      <c r="AP36" s="23" t="str">
        <f t="shared" si="6"/>
        <v>2040</v>
      </c>
      <c r="AQ36" s="23" t="str">
        <f>AQ20</f>
        <v>2041</v>
      </c>
    </row>
    <row r="37" spans="1:43">
      <c r="A37" s="20" t="s">
        <v>17</v>
      </c>
    </row>
    <row r="38" spans="1:43">
      <c r="A38" s="20" t="s">
        <v>18</v>
      </c>
    </row>
    <row r="39" spans="1:43">
      <c r="A39" s="20" t="s">
        <v>19</v>
      </c>
    </row>
    <row r="40" spans="1:43">
      <c r="A40" s="20" t="s">
        <v>20</v>
      </c>
    </row>
    <row r="41" spans="1:43">
      <c r="A41" s="20" t="s">
        <v>21</v>
      </c>
    </row>
    <row r="42" spans="1:43">
      <c r="A42" s="20" t="s">
        <v>22</v>
      </c>
    </row>
    <row r="43" spans="1:43">
      <c r="A43" s="20" t="s">
        <v>23</v>
      </c>
    </row>
    <row r="44" spans="1:43">
      <c r="A44" s="20" t="s">
        <v>24</v>
      </c>
    </row>
    <row r="45" spans="1:43">
      <c r="A45" s="20" t="s">
        <v>25</v>
      </c>
    </row>
    <row r="46" spans="1:43">
      <c r="A46" s="20" t="s">
        <v>26</v>
      </c>
    </row>
    <row r="47" spans="1:43">
      <c r="A47" s="20" t="s">
        <v>27</v>
      </c>
    </row>
    <row r="48" spans="1:43">
      <c r="A48" s="20" t="s">
        <v>28</v>
      </c>
    </row>
    <row r="49" spans="1:43" ht="15.75" thickBot="1">
      <c r="A49" s="20" t="s">
        <v>29</v>
      </c>
    </row>
    <row r="50" spans="1:43">
      <c r="A50" s="25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</row>
    <row r="51" spans="1:43" ht="15.75" thickBot="1">
      <c r="A51" s="20" t="s">
        <v>31</v>
      </c>
    </row>
    <row r="52" spans="1:43" ht="15.75" thickBot="1">
      <c r="A52" s="22"/>
      <c r="B52" s="23" t="str">
        <f>B36</f>
        <v>2000</v>
      </c>
      <c r="C52" s="23" t="str">
        <f t="shared" ref="C52:AP52" si="7">C36</f>
        <v>2001</v>
      </c>
      <c r="D52" s="23" t="str">
        <f t="shared" si="7"/>
        <v>2002</v>
      </c>
      <c r="E52" s="23" t="str">
        <f t="shared" si="7"/>
        <v>2003</v>
      </c>
      <c r="F52" s="23" t="str">
        <f t="shared" si="7"/>
        <v>2004</v>
      </c>
      <c r="G52" s="23" t="str">
        <f t="shared" si="7"/>
        <v>2005</v>
      </c>
      <c r="H52" s="23" t="str">
        <f t="shared" si="7"/>
        <v>2006</v>
      </c>
      <c r="I52" s="23" t="str">
        <f t="shared" si="7"/>
        <v>2007</v>
      </c>
      <c r="J52" s="23" t="str">
        <f t="shared" si="7"/>
        <v>2008</v>
      </c>
      <c r="K52" s="23" t="str">
        <f t="shared" si="7"/>
        <v>2009</v>
      </c>
      <c r="L52" s="23" t="str">
        <f t="shared" si="7"/>
        <v>2010</v>
      </c>
      <c r="M52" s="23" t="str">
        <f t="shared" si="7"/>
        <v>2011</v>
      </c>
      <c r="N52" s="23" t="str">
        <f t="shared" si="7"/>
        <v>2012</v>
      </c>
      <c r="O52" s="23" t="str">
        <f t="shared" si="7"/>
        <v>2013</v>
      </c>
      <c r="P52" s="23" t="str">
        <f t="shared" si="7"/>
        <v>2014</v>
      </c>
      <c r="Q52" s="23" t="str">
        <f t="shared" si="7"/>
        <v>2015</v>
      </c>
      <c r="R52" s="23" t="str">
        <f t="shared" si="7"/>
        <v>2016</v>
      </c>
      <c r="S52" s="23" t="str">
        <f t="shared" si="7"/>
        <v>2017</v>
      </c>
      <c r="T52" s="23" t="str">
        <f t="shared" si="7"/>
        <v>2018</v>
      </c>
      <c r="U52" s="23" t="str">
        <f t="shared" si="7"/>
        <v>2019</v>
      </c>
      <c r="V52" s="23" t="str">
        <f t="shared" si="7"/>
        <v>2020</v>
      </c>
      <c r="W52" s="23" t="str">
        <f t="shared" si="7"/>
        <v>2021</v>
      </c>
      <c r="X52" s="23" t="str">
        <f t="shared" si="7"/>
        <v>2022</v>
      </c>
      <c r="Y52" s="23" t="str">
        <f t="shared" si="7"/>
        <v>2023</v>
      </c>
      <c r="Z52" s="23" t="str">
        <f t="shared" si="7"/>
        <v>2024</v>
      </c>
      <c r="AA52" s="23" t="str">
        <f t="shared" si="7"/>
        <v>2025</v>
      </c>
      <c r="AB52" s="23" t="str">
        <f t="shared" si="7"/>
        <v>2026</v>
      </c>
      <c r="AC52" s="23" t="str">
        <f t="shared" si="7"/>
        <v>2027</v>
      </c>
      <c r="AD52" s="23" t="str">
        <f t="shared" si="7"/>
        <v>2028</v>
      </c>
      <c r="AE52" s="23" t="str">
        <f t="shared" si="7"/>
        <v>2029</v>
      </c>
      <c r="AF52" s="23" t="str">
        <f t="shared" si="7"/>
        <v>2030</v>
      </c>
      <c r="AG52" s="23" t="str">
        <f t="shared" si="7"/>
        <v>2031</v>
      </c>
      <c r="AH52" s="23" t="str">
        <f t="shared" si="7"/>
        <v>2032</v>
      </c>
      <c r="AI52" s="23" t="str">
        <f t="shared" si="7"/>
        <v>2033</v>
      </c>
      <c r="AJ52" s="23" t="str">
        <f t="shared" si="7"/>
        <v>2034</v>
      </c>
      <c r="AK52" s="23" t="str">
        <f t="shared" si="7"/>
        <v>2035</v>
      </c>
      <c r="AL52" s="23" t="str">
        <f t="shared" si="7"/>
        <v>2036</v>
      </c>
      <c r="AM52" s="23" t="str">
        <f t="shared" si="7"/>
        <v>2037</v>
      </c>
      <c r="AN52" s="23" t="str">
        <f t="shared" si="7"/>
        <v>2038</v>
      </c>
      <c r="AO52" s="23" t="str">
        <f t="shared" si="7"/>
        <v>2039</v>
      </c>
      <c r="AP52" s="23" t="str">
        <f t="shared" si="7"/>
        <v>2040</v>
      </c>
      <c r="AQ52" s="23" t="str">
        <f>AQ36</f>
        <v>2041</v>
      </c>
    </row>
    <row r="53" spans="1:43">
      <c r="A53" s="20" t="s">
        <v>17</v>
      </c>
    </row>
    <row r="54" spans="1:43">
      <c r="A54" s="20" t="s">
        <v>18</v>
      </c>
    </row>
    <row r="55" spans="1:43">
      <c r="A55" s="20" t="s">
        <v>19</v>
      </c>
    </row>
    <row r="56" spans="1:43">
      <c r="A56" s="20" t="s">
        <v>20</v>
      </c>
    </row>
    <row r="57" spans="1:43">
      <c r="A57" s="20" t="s">
        <v>21</v>
      </c>
    </row>
    <row r="58" spans="1:43">
      <c r="A58" s="20" t="s">
        <v>22</v>
      </c>
    </row>
    <row r="59" spans="1:43">
      <c r="A59" s="20" t="s">
        <v>23</v>
      </c>
    </row>
    <row r="60" spans="1:43">
      <c r="A60" s="20" t="s">
        <v>24</v>
      </c>
    </row>
    <row r="61" spans="1:43">
      <c r="A61" s="20" t="s">
        <v>25</v>
      </c>
    </row>
    <row r="62" spans="1:43">
      <c r="A62" s="20" t="s">
        <v>26</v>
      </c>
    </row>
    <row r="63" spans="1:43">
      <c r="A63" s="20" t="s">
        <v>27</v>
      </c>
    </row>
    <row r="64" spans="1:43">
      <c r="A64" s="20" t="s">
        <v>28</v>
      </c>
    </row>
    <row r="65" spans="1:43" ht="15.75" thickBot="1">
      <c r="A65" s="20" t="s">
        <v>29</v>
      </c>
    </row>
    <row r="66" spans="1:43">
      <c r="A66" s="25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</row>
    <row r="67" spans="1:43" ht="15.75" thickBot="1">
      <c r="A67" s="20" t="s">
        <v>32</v>
      </c>
    </row>
    <row r="68" spans="1:43" ht="15.75" thickBot="1">
      <c r="A68" s="22"/>
      <c r="B68" s="23" t="str">
        <f>B52</f>
        <v>2000</v>
      </c>
      <c r="C68" s="23" t="str">
        <f t="shared" ref="C68:AP68" si="8">C52</f>
        <v>2001</v>
      </c>
      <c r="D68" s="23" t="str">
        <f t="shared" si="8"/>
        <v>2002</v>
      </c>
      <c r="E68" s="23" t="str">
        <f t="shared" si="8"/>
        <v>2003</v>
      </c>
      <c r="F68" s="23" t="str">
        <f t="shared" si="8"/>
        <v>2004</v>
      </c>
      <c r="G68" s="23" t="str">
        <f t="shared" si="8"/>
        <v>2005</v>
      </c>
      <c r="H68" s="23" t="str">
        <f t="shared" si="8"/>
        <v>2006</v>
      </c>
      <c r="I68" s="23" t="str">
        <f t="shared" si="8"/>
        <v>2007</v>
      </c>
      <c r="J68" s="23" t="str">
        <f t="shared" si="8"/>
        <v>2008</v>
      </c>
      <c r="K68" s="23" t="str">
        <f t="shared" si="8"/>
        <v>2009</v>
      </c>
      <c r="L68" s="23" t="str">
        <f t="shared" si="8"/>
        <v>2010</v>
      </c>
      <c r="M68" s="23" t="str">
        <f t="shared" si="8"/>
        <v>2011</v>
      </c>
      <c r="N68" s="23" t="str">
        <f t="shared" si="8"/>
        <v>2012</v>
      </c>
      <c r="O68" s="23" t="str">
        <f t="shared" si="8"/>
        <v>2013</v>
      </c>
      <c r="P68" s="23" t="str">
        <f t="shared" si="8"/>
        <v>2014</v>
      </c>
      <c r="Q68" s="23" t="str">
        <f t="shared" si="8"/>
        <v>2015</v>
      </c>
      <c r="R68" s="23" t="str">
        <f t="shared" si="8"/>
        <v>2016</v>
      </c>
      <c r="S68" s="23" t="str">
        <f t="shared" si="8"/>
        <v>2017</v>
      </c>
      <c r="T68" s="23" t="str">
        <f t="shared" si="8"/>
        <v>2018</v>
      </c>
      <c r="U68" s="23" t="str">
        <f t="shared" si="8"/>
        <v>2019</v>
      </c>
      <c r="V68" s="23" t="str">
        <f t="shared" si="8"/>
        <v>2020</v>
      </c>
      <c r="W68" s="23" t="str">
        <f t="shared" si="8"/>
        <v>2021</v>
      </c>
      <c r="X68" s="23" t="str">
        <f t="shared" si="8"/>
        <v>2022</v>
      </c>
      <c r="Y68" s="23" t="str">
        <f t="shared" si="8"/>
        <v>2023</v>
      </c>
      <c r="Z68" s="23" t="str">
        <f t="shared" si="8"/>
        <v>2024</v>
      </c>
      <c r="AA68" s="23" t="str">
        <f t="shared" si="8"/>
        <v>2025</v>
      </c>
      <c r="AB68" s="23" t="str">
        <f t="shared" si="8"/>
        <v>2026</v>
      </c>
      <c r="AC68" s="23" t="str">
        <f t="shared" si="8"/>
        <v>2027</v>
      </c>
      <c r="AD68" s="23" t="str">
        <f t="shared" si="8"/>
        <v>2028</v>
      </c>
      <c r="AE68" s="23" t="str">
        <f t="shared" si="8"/>
        <v>2029</v>
      </c>
      <c r="AF68" s="23" t="str">
        <f t="shared" si="8"/>
        <v>2030</v>
      </c>
      <c r="AG68" s="23" t="str">
        <f t="shared" si="8"/>
        <v>2031</v>
      </c>
      <c r="AH68" s="23" t="str">
        <f t="shared" si="8"/>
        <v>2032</v>
      </c>
      <c r="AI68" s="23" t="str">
        <f t="shared" si="8"/>
        <v>2033</v>
      </c>
      <c r="AJ68" s="23" t="str">
        <f t="shared" si="8"/>
        <v>2034</v>
      </c>
      <c r="AK68" s="23" t="str">
        <f t="shared" si="8"/>
        <v>2035</v>
      </c>
      <c r="AL68" s="23" t="str">
        <f t="shared" si="8"/>
        <v>2036</v>
      </c>
      <c r="AM68" s="23" t="str">
        <f t="shared" si="8"/>
        <v>2037</v>
      </c>
      <c r="AN68" s="23" t="str">
        <f t="shared" si="8"/>
        <v>2038</v>
      </c>
      <c r="AO68" s="23" t="str">
        <f t="shared" si="8"/>
        <v>2039</v>
      </c>
      <c r="AP68" s="23" t="str">
        <f t="shared" si="8"/>
        <v>2040</v>
      </c>
      <c r="AQ68" s="23" t="str">
        <f>AQ52</f>
        <v>2041</v>
      </c>
    </row>
    <row r="69" spans="1:43">
      <c r="A69" s="20" t="s">
        <v>17</v>
      </c>
    </row>
    <row r="70" spans="1:43">
      <c r="A70" s="20" t="s">
        <v>18</v>
      </c>
    </row>
    <row r="71" spans="1:43">
      <c r="A71" s="20" t="s">
        <v>19</v>
      </c>
    </row>
    <row r="72" spans="1:43">
      <c r="A72" s="20" t="s">
        <v>20</v>
      </c>
    </row>
    <row r="73" spans="1:43">
      <c r="A73" s="20" t="s">
        <v>21</v>
      </c>
    </row>
    <row r="74" spans="1:43">
      <c r="A74" s="20" t="s">
        <v>22</v>
      </c>
    </row>
    <row r="75" spans="1:43">
      <c r="A75" s="20" t="s">
        <v>23</v>
      </c>
    </row>
    <row r="76" spans="1:43">
      <c r="A76" s="20" t="s">
        <v>24</v>
      </c>
    </row>
    <row r="77" spans="1:43">
      <c r="A77" s="20" t="s">
        <v>25</v>
      </c>
    </row>
    <row r="78" spans="1:43">
      <c r="A78" s="20" t="s">
        <v>26</v>
      </c>
    </row>
    <row r="79" spans="1:43">
      <c r="A79" s="20" t="s">
        <v>27</v>
      </c>
    </row>
    <row r="80" spans="1:43">
      <c r="A80" s="20" t="s">
        <v>28</v>
      </c>
    </row>
    <row r="81" spans="1:43" ht="15.75" thickBot="1">
      <c r="A81" s="20" t="s">
        <v>29</v>
      </c>
    </row>
    <row r="82" spans="1:43">
      <c r="A82" s="25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</row>
    <row r="83" spans="1:43" ht="15.75" thickBot="1">
      <c r="A83" s="20" t="s">
        <v>33</v>
      </c>
    </row>
    <row r="84" spans="1:43" ht="15.75" thickBot="1">
      <c r="A84" s="22"/>
      <c r="B84" s="23" t="str">
        <f>B68</f>
        <v>2000</v>
      </c>
      <c r="C84" s="23" t="str">
        <f t="shared" ref="C84:AP84" si="9">C68</f>
        <v>2001</v>
      </c>
      <c r="D84" s="23" t="str">
        <f t="shared" si="9"/>
        <v>2002</v>
      </c>
      <c r="E84" s="23" t="str">
        <f t="shared" si="9"/>
        <v>2003</v>
      </c>
      <c r="F84" s="23" t="str">
        <f t="shared" si="9"/>
        <v>2004</v>
      </c>
      <c r="G84" s="23" t="str">
        <f t="shared" si="9"/>
        <v>2005</v>
      </c>
      <c r="H84" s="23" t="str">
        <f t="shared" si="9"/>
        <v>2006</v>
      </c>
      <c r="I84" s="23" t="str">
        <f t="shared" si="9"/>
        <v>2007</v>
      </c>
      <c r="J84" s="23" t="str">
        <f t="shared" si="9"/>
        <v>2008</v>
      </c>
      <c r="K84" s="23" t="str">
        <f t="shared" si="9"/>
        <v>2009</v>
      </c>
      <c r="L84" s="23" t="str">
        <f t="shared" si="9"/>
        <v>2010</v>
      </c>
      <c r="M84" s="23" t="str">
        <f t="shared" si="9"/>
        <v>2011</v>
      </c>
      <c r="N84" s="23" t="str">
        <f t="shared" si="9"/>
        <v>2012</v>
      </c>
      <c r="O84" s="23" t="str">
        <f t="shared" si="9"/>
        <v>2013</v>
      </c>
      <c r="P84" s="23" t="str">
        <f t="shared" si="9"/>
        <v>2014</v>
      </c>
      <c r="Q84" s="23" t="str">
        <f t="shared" si="9"/>
        <v>2015</v>
      </c>
      <c r="R84" s="23" t="str">
        <f t="shared" si="9"/>
        <v>2016</v>
      </c>
      <c r="S84" s="23" t="str">
        <f t="shared" si="9"/>
        <v>2017</v>
      </c>
      <c r="T84" s="23" t="str">
        <f t="shared" si="9"/>
        <v>2018</v>
      </c>
      <c r="U84" s="23" t="str">
        <f t="shared" si="9"/>
        <v>2019</v>
      </c>
      <c r="V84" s="23" t="str">
        <f t="shared" si="9"/>
        <v>2020</v>
      </c>
      <c r="W84" s="23" t="str">
        <f t="shared" si="9"/>
        <v>2021</v>
      </c>
      <c r="X84" s="23" t="str">
        <f t="shared" si="9"/>
        <v>2022</v>
      </c>
      <c r="Y84" s="23" t="str">
        <f t="shared" si="9"/>
        <v>2023</v>
      </c>
      <c r="Z84" s="23" t="str">
        <f t="shared" si="9"/>
        <v>2024</v>
      </c>
      <c r="AA84" s="23" t="str">
        <f t="shared" si="9"/>
        <v>2025</v>
      </c>
      <c r="AB84" s="23" t="str">
        <f t="shared" si="9"/>
        <v>2026</v>
      </c>
      <c r="AC84" s="23" t="str">
        <f t="shared" si="9"/>
        <v>2027</v>
      </c>
      <c r="AD84" s="23" t="str">
        <f t="shared" si="9"/>
        <v>2028</v>
      </c>
      <c r="AE84" s="23" t="str">
        <f t="shared" si="9"/>
        <v>2029</v>
      </c>
      <c r="AF84" s="23" t="str">
        <f t="shared" si="9"/>
        <v>2030</v>
      </c>
      <c r="AG84" s="23" t="str">
        <f t="shared" si="9"/>
        <v>2031</v>
      </c>
      <c r="AH84" s="23" t="str">
        <f t="shared" si="9"/>
        <v>2032</v>
      </c>
      <c r="AI84" s="23" t="str">
        <f t="shared" si="9"/>
        <v>2033</v>
      </c>
      <c r="AJ84" s="23" t="str">
        <f t="shared" si="9"/>
        <v>2034</v>
      </c>
      <c r="AK84" s="23" t="str">
        <f t="shared" si="9"/>
        <v>2035</v>
      </c>
      <c r="AL84" s="23" t="str">
        <f t="shared" si="9"/>
        <v>2036</v>
      </c>
      <c r="AM84" s="23" t="str">
        <f t="shared" si="9"/>
        <v>2037</v>
      </c>
      <c r="AN84" s="23" t="str">
        <f t="shared" si="9"/>
        <v>2038</v>
      </c>
      <c r="AO84" s="23" t="str">
        <f t="shared" si="9"/>
        <v>2039</v>
      </c>
      <c r="AP84" s="23" t="str">
        <f t="shared" si="9"/>
        <v>2040</v>
      </c>
      <c r="AQ84" s="23" t="str">
        <f>AQ68</f>
        <v>2041</v>
      </c>
    </row>
    <row r="85" spans="1:43">
      <c r="A85" s="20" t="s">
        <v>17</v>
      </c>
    </row>
    <row r="86" spans="1:43">
      <c r="A86" s="20" t="s">
        <v>18</v>
      </c>
    </row>
    <row r="87" spans="1:43">
      <c r="A87" s="20" t="s">
        <v>19</v>
      </c>
    </row>
    <row r="88" spans="1:43">
      <c r="A88" s="20" t="s">
        <v>20</v>
      </c>
    </row>
    <row r="89" spans="1:43">
      <c r="A89" s="20" t="s">
        <v>21</v>
      </c>
    </row>
    <row r="90" spans="1:43">
      <c r="A90" s="20" t="s">
        <v>22</v>
      </c>
    </row>
    <row r="91" spans="1:43">
      <c r="A91" s="20" t="s">
        <v>23</v>
      </c>
    </row>
    <row r="92" spans="1:43">
      <c r="A92" s="20" t="s">
        <v>24</v>
      </c>
    </row>
    <row r="93" spans="1:43">
      <c r="A93" s="20" t="s">
        <v>25</v>
      </c>
    </row>
    <row r="94" spans="1:43">
      <c r="A94" s="20" t="s">
        <v>26</v>
      </c>
    </row>
    <row r="95" spans="1:43">
      <c r="A95" s="20" t="s">
        <v>27</v>
      </c>
    </row>
    <row r="96" spans="1:43">
      <c r="A96" s="20" t="s">
        <v>28</v>
      </c>
    </row>
    <row r="97" spans="1:43" ht="15.75" thickBot="1">
      <c r="A97" s="20" t="s">
        <v>29</v>
      </c>
    </row>
    <row r="98" spans="1:43">
      <c r="A98" s="25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</row>
    <row r="99" spans="1:43" ht="15.75" thickBot="1">
      <c r="A99" s="20" t="s">
        <v>34</v>
      </c>
    </row>
    <row r="100" spans="1:43" ht="15.75" thickBot="1">
      <c r="A100" s="22"/>
      <c r="B100" s="23" t="str">
        <f>B84</f>
        <v>2000</v>
      </c>
      <c r="C100" s="23" t="str">
        <f t="shared" ref="C100:AP100" si="10">C84</f>
        <v>2001</v>
      </c>
      <c r="D100" s="23" t="str">
        <f t="shared" si="10"/>
        <v>2002</v>
      </c>
      <c r="E100" s="23" t="str">
        <f t="shared" si="10"/>
        <v>2003</v>
      </c>
      <c r="F100" s="23" t="str">
        <f t="shared" si="10"/>
        <v>2004</v>
      </c>
      <c r="G100" s="23" t="str">
        <f t="shared" si="10"/>
        <v>2005</v>
      </c>
      <c r="H100" s="23" t="str">
        <f t="shared" si="10"/>
        <v>2006</v>
      </c>
      <c r="I100" s="23" t="str">
        <f t="shared" si="10"/>
        <v>2007</v>
      </c>
      <c r="J100" s="23" t="str">
        <f t="shared" si="10"/>
        <v>2008</v>
      </c>
      <c r="K100" s="23" t="str">
        <f t="shared" si="10"/>
        <v>2009</v>
      </c>
      <c r="L100" s="23" t="str">
        <f t="shared" si="10"/>
        <v>2010</v>
      </c>
      <c r="M100" s="23" t="str">
        <f t="shared" si="10"/>
        <v>2011</v>
      </c>
      <c r="N100" s="23" t="str">
        <f t="shared" si="10"/>
        <v>2012</v>
      </c>
      <c r="O100" s="23" t="str">
        <f t="shared" si="10"/>
        <v>2013</v>
      </c>
      <c r="P100" s="23" t="str">
        <f t="shared" si="10"/>
        <v>2014</v>
      </c>
      <c r="Q100" s="23" t="str">
        <f t="shared" si="10"/>
        <v>2015</v>
      </c>
      <c r="R100" s="23" t="str">
        <f t="shared" si="10"/>
        <v>2016</v>
      </c>
      <c r="S100" s="23" t="str">
        <f t="shared" si="10"/>
        <v>2017</v>
      </c>
      <c r="T100" s="23" t="str">
        <f t="shared" si="10"/>
        <v>2018</v>
      </c>
      <c r="U100" s="23" t="str">
        <f t="shared" si="10"/>
        <v>2019</v>
      </c>
      <c r="V100" s="23" t="str">
        <f t="shared" si="10"/>
        <v>2020</v>
      </c>
      <c r="W100" s="23" t="str">
        <f t="shared" si="10"/>
        <v>2021</v>
      </c>
      <c r="X100" s="23" t="str">
        <f t="shared" si="10"/>
        <v>2022</v>
      </c>
      <c r="Y100" s="23" t="str">
        <f t="shared" si="10"/>
        <v>2023</v>
      </c>
      <c r="Z100" s="23" t="str">
        <f t="shared" si="10"/>
        <v>2024</v>
      </c>
      <c r="AA100" s="23" t="str">
        <f t="shared" si="10"/>
        <v>2025</v>
      </c>
      <c r="AB100" s="23" t="str">
        <f t="shared" si="10"/>
        <v>2026</v>
      </c>
      <c r="AC100" s="23" t="str">
        <f t="shared" si="10"/>
        <v>2027</v>
      </c>
      <c r="AD100" s="23" t="str">
        <f t="shared" si="10"/>
        <v>2028</v>
      </c>
      <c r="AE100" s="23" t="str">
        <f t="shared" si="10"/>
        <v>2029</v>
      </c>
      <c r="AF100" s="23" t="str">
        <f t="shared" si="10"/>
        <v>2030</v>
      </c>
      <c r="AG100" s="23" t="str">
        <f t="shared" si="10"/>
        <v>2031</v>
      </c>
      <c r="AH100" s="23" t="str">
        <f t="shared" si="10"/>
        <v>2032</v>
      </c>
      <c r="AI100" s="23" t="str">
        <f t="shared" si="10"/>
        <v>2033</v>
      </c>
      <c r="AJ100" s="23" t="str">
        <f t="shared" si="10"/>
        <v>2034</v>
      </c>
      <c r="AK100" s="23" t="str">
        <f t="shared" si="10"/>
        <v>2035</v>
      </c>
      <c r="AL100" s="23" t="str">
        <f t="shared" si="10"/>
        <v>2036</v>
      </c>
      <c r="AM100" s="23" t="str">
        <f t="shared" si="10"/>
        <v>2037</v>
      </c>
      <c r="AN100" s="23" t="str">
        <f t="shared" si="10"/>
        <v>2038</v>
      </c>
      <c r="AO100" s="23" t="str">
        <f t="shared" si="10"/>
        <v>2039</v>
      </c>
      <c r="AP100" s="23" t="str">
        <f t="shared" si="10"/>
        <v>2040</v>
      </c>
      <c r="AQ100" s="23" t="str">
        <f>AQ84</f>
        <v>2041</v>
      </c>
    </row>
    <row r="101" spans="1:43">
      <c r="A101" s="20" t="s">
        <v>17</v>
      </c>
    </row>
    <row r="102" spans="1:43">
      <c r="A102" s="20" t="s">
        <v>18</v>
      </c>
    </row>
    <row r="103" spans="1:43">
      <c r="A103" s="20" t="s">
        <v>19</v>
      </c>
    </row>
    <row r="104" spans="1:43">
      <c r="A104" s="20" t="s">
        <v>20</v>
      </c>
    </row>
    <row r="105" spans="1:43">
      <c r="A105" s="20" t="s">
        <v>21</v>
      </c>
    </row>
    <row r="106" spans="1:43">
      <c r="A106" s="20" t="s">
        <v>22</v>
      </c>
    </row>
    <row r="107" spans="1:43">
      <c r="A107" s="20" t="s">
        <v>23</v>
      </c>
    </row>
    <row r="108" spans="1:43">
      <c r="A108" s="20" t="s">
        <v>24</v>
      </c>
    </row>
    <row r="109" spans="1:43">
      <c r="A109" s="20" t="s">
        <v>25</v>
      </c>
    </row>
    <row r="110" spans="1:43">
      <c r="A110" s="20" t="s">
        <v>26</v>
      </c>
    </row>
    <row r="111" spans="1:43">
      <c r="A111" s="20" t="s">
        <v>27</v>
      </c>
    </row>
    <row r="112" spans="1:43">
      <c r="A112" s="20" t="s">
        <v>28</v>
      </c>
    </row>
    <row r="113" spans="1:43" ht="15.75" thickBot="1">
      <c r="A113" s="20" t="s">
        <v>29</v>
      </c>
    </row>
    <row r="114" spans="1:43">
      <c r="A114" s="25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</row>
    <row r="115" spans="1:43" ht="15.75" thickBot="1">
      <c r="A115" s="20" t="s">
        <v>35</v>
      </c>
    </row>
    <row r="116" spans="1:43" ht="15.75" thickBot="1">
      <c r="A116" s="22"/>
      <c r="B116" s="23" t="str">
        <f>B100</f>
        <v>2000</v>
      </c>
      <c r="C116" s="23" t="str">
        <f t="shared" ref="C116:AP116" si="11">C100</f>
        <v>2001</v>
      </c>
      <c r="D116" s="23" t="str">
        <f t="shared" si="11"/>
        <v>2002</v>
      </c>
      <c r="E116" s="23" t="str">
        <f t="shared" si="11"/>
        <v>2003</v>
      </c>
      <c r="F116" s="23" t="str">
        <f t="shared" si="11"/>
        <v>2004</v>
      </c>
      <c r="G116" s="23" t="str">
        <f t="shared" si="11"/>
        <v>2005</v>
      </c>
      <c r="H116" s="23" t="str">
        <f t="shared" si="11"/>
        <v>2006</v>
      </c>
      <c r="I116" s="23" t="str">
        <f t="shared" si="11"/>
        <v>2007</v>
      </c>
      <c r="J116" s="23" t="str">
        <f t="shared" si="11"/>
        <v>2008</v>
      </c>
      <c r="K116" s="23" t="str">
        <f t="shared" si="11"/>
        <v>2009</v>
      </c>
      <c r="L116" s="23" t="str">
        <f t="shared" si="11"/>
        <v>2010</v>
      </c>
      <c r="M116" s="23" t="str">
        <f t="shared" si="11"/>
        <v>2011</v>
      </c>
      <c r="N116" s="23" t="str">
        <f t="shared" si="11"/>
        <v>2012</v>
      </c>
      <c r="O116" s="23" t="str">
        <f t="shared" si="11"/>
        <v>2013</v>
      </c>
      <c r="P116" s="23" t="str">
        <f t="shared" si="11"/>
        <v>2014</v>
      </c>
      <c r="Q116" s="23" t="str">
        <f t="shared" si="11"/>
        <v>2015</v>
      </c>
      <c r="R116" s="23" t="str">
        <f t="shared" si="11"/>
        <v>2016</v>
      </c>
      <c r="S116" s="23" t="str">
        <f t="shared" si="11"/>
        <v>2017</v>
      </c>
      <c r="T116" s="23" t="str">
        <f t="shared" si="11"/>
        <v>2018</v>
      </c>
      <c r="U116" s="23" t="str">
        <f t="shared" si="11"/>
        <v>2019</v>
      </c>
      <c r="V116" s="23" t="str">
        <f t="shared" si="11"/>
        <v>2020</v>
      </c>
      <c r="W116" s="23" t="str">
        <f t="shared" si="11"/>
        <v>2021</v>
      </c>
      <c r="X116" s="23" t="str">
        <f t="shared" si="11"/>
        <v>2022</v>
      </c>
      <c r="Y116" s="23" t="str">
        <f t="shared" si="11"/>
        <v>2023</v>
      </c>
      <c r="Z116" s="23" t="str">
        <f t="shared" si="11"/>
        <v>2024</v>
      </c>
      <c r="AA116" s="23" t="str">
        <f t="shared" si="11"/>
        <v>2025</v>
      </c>
      <c r="AB116" s="23" t="str">
        <f t="shared" si="11"/>
        <v>2026</v>
      </c>
      <c r="AC116" s="23" t="str">
        <f t="shared" si="11"/>
        <v>2027</v>
      </c>
      <c r="AD116" s="23" t="str">
        <f t="shared" si="11"/>
        <v>2028</v>
      </c>
      <c r="AE116" s="23" t="str">
        <f t="shared" si="11"/>
        <v>2029</v>
      </c>
      <c r="AF116" s="23" t="str">
        <f t="shared" si="11"/>
        <v>2030</v>
      </c>
      <c r="AG116" s="23" t="str">
        <f t="shared" si="11"/>
        <v>2031</v>
      </c>
      <c r="AH116" s="23" t="str">
        <f t="shared" si="11"/>
        <v>2032</v>
      </c>
      <c r="AI116" s="23" t="str">
        <f t="shared" si="11"/>
        <v>2033</v>
      </c>
      <c r="AJ116" s="23" t="str">
        <f t="shared" si="11"/>
        <v>2034</v>
      </c>
      <c r="AK116" s="23" t="str">
        <f t="shared" si="11"/>
        <v>2035</v>
      </c>
      <c r="AL116" s="23" t="str">
        <f t="shared" si="11"/>
        <v>2036</v>
      </c>
      <c r="AM116" s="23" t="str">
        <f t="shared" si="11"/>
        <v>2037</v>
      </c>
      <c r="AN116" s="23" t="str">
        <f t="shared" si="11"/>
        <v>2038</v>
      </c>
      <c r="AO116" s="23" t="str">
        <f t="shared" si="11"/>
        <v>2039</v>
      </c>
      <c r="AP116" s="23" t="str">
        <f t="shared" si="11"/>
        <v>2040</v>
      </c>
      <c r="AQ116" s="23" t="str">
        <f>AQ100</f>
        <v>2041</v>
      </c>
    </row>
    <row r="117" spans="1:43">
      <c r="A117" s="20" t="s">
        <v>17</v>
      </c>
    </row>
    <row r="118" spans="1:43">
      <c r="A118" s="20" t="s">
        <v>18</v>
      </c>
    </row>
    <row r="119" spans="1:43">
      <c r="A119" s="20" t="s">
        <v>19</v>
      </c>
    </row>
    <row r="120" spans="1:43">
      <c r="A120" s="20" t="s">
        <v>20</v>
      </c>
    </row>
    <row r="121" spans="1:43">
      <c r="A121" s="20" t="s">
        <v>21</v>
      </c>
    </row>
    <row r="122" spans="1:43">
      <c r="A122" s="20" t="s">
        <v>22</v>
      </c>
    </row>
    <row r="123" spans="1:43">
      <c r="A123" s="20" t="s">
        <v>23</v>
      </c>
    </row>
    <row r="124" spans="1:43">
      <c r="A124" s="20" t="s">
        <v>24</v>
      </c>
    </row>
    <row r="125" spans="1:43">
      <c r="A125" s="20" t="s">
        <v>25</v>
      </c>
    </row>
    <row r="126" spans="1:43">
      <c r="A126" s="20" t="s">
        <v>26</v>
      </c>
    </row>
    <row r="127" spans="1:43">
      <c r="A127" s="20" t="s">
        <v>27</v>
      </c>
    </row>
    <row r="128" spans="1:43">
      <c r="A128" s="20" t="s">
        <v>28</v>
      </c>
    </row>
    <row r="129" spans="1:43" ht="15.75" thickBot="1">
      <c r="A129" s="20" t="s">
        <v>29</v>
      </c>
    </row>
    <row r="130" spans="1:43">
      <c r="A130" s="25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</row>
    <row r="131" spans="1:43" ht="15.75" thickBot="1">
      <c r="A131" s="20" t="s">
        <v>36</v>
      </c>
    </row>
    <row r="132" spans="1:43" ht="15.75" thickBot="1">
      <c r="A132" s="22"/>
      <c r="B132" s="23" t="str">
        <f>B116</f>
        <v>2000</v>
      </c>
      <c r="C132" s="23" t="str">
        <f t="shared" ref="C132:AP132" si="12">C116</f>
        <v>2001</v>
      </c>
      <c r="D132" s="23" t="str">
        <f t="shared" si="12"/>
        <v>2002</v>
      </c>
      <c r="E132" s="23" t="str">
        <f t="shared" si="12"/>
        <v>2003</v>
      </c>
      <c r="F132" s="23" t="str">
        <f t="shared" si="12"/>
        <v>2004</v>
      </c>
      <c r="G132" s="23" t="str">
        <f t="shared" si="12"/>
        <v>2005</v>
      </c>
      <c r="H132" s="23" t="str">
        <f t="shared" si="12"/>
        <v>2006</v>
      </c>
      <c r="I132" s="23" t="str">
        <f t="shared" si="12"/>
        <v>2007</v>
      </c>
      <c r="J132" s="23" t="str">
        <f t="shared" si="12"/>
        <v>2008</v>
      </c>
      <c r="K132" s="23" t="str">
        <f t="shared" si="12"/>
        <v>2009</v>
      </c>
      <c r="L132" s="23" t="str">
        <f t="shared" si="12"/>
        <v>2010</v>
      </c>
      <c r="M132" s="23" t="str">
        <f t="shared" si="12"/>
        <v>2011</v>
      </c>
      <c r="N132" s="23" t="str">
        <f t="shared" si="12"/>
        <v>2012</v>
      </c>
      <c r="O132" s="23" t="str">
        <f t="shared" si="12"/>
        <v>2013</v>
      </c>
      <c r="P132" s="23" t="str">
        <f t="shared" si="12"/>
        <v>2014</v>
      </c>
      <c r="Q132" s="23" t="str">
        <f t="shared" si="12"/>
        <v>2015</v>
      </c>
      <c r="R132" s="23" t="str">
        <f t="shared" si="12"/>
        <v>2016</v>
      </c>
      <c r="S132" s="23" t="str">
        <f t="shared" si="12"/>
        <v>2017</v>
      </c>
      <c r="T132" s="23" t="str">
        <f t="shared" si="12"/>
        <v>2018</v>
      </c>
      <c r="U132" s="23" t="str">
        <f t="shared" si="12"/>
        <v>2019</v>
      </c>
      <c r="V132" s="23" t="str">
        <f t="shared" si="12"/>
        <v>2020</v>
      </c>
      <c r="W132" s="23" t="str">
        <f t="shared" si="12"/>
        <v>2021</v>
      </c>
      <c r="X132" s="23" t="str">
        <f t="shared" si="12"/>
        <v>2022</v>
      </c>
      <c r="Y132" s="23" t="str">
        <f t="shared" si="12"/>
        <v>2023</v>
      </c>
      <c r="Z132" s="23" t="str">
        <f t="shared" si="12"/>
        <v>2024</v>
      </c>
      <c r="AA132" s="23" t="str">
        <f t="shared" si="12"/>
        <v>2025</v>
      </c>
      <c r="AB132" s="23" t="str">
        <f t="shared" si="12"/>
        <v>2026</v>
      </c>
      <c r="AC132" s="23" t="str">
        <f t="shared" si="12"/>
        <v>2027</v>
      </c>
      <c r="AD132" s="23" t="str">
        <f t="shared" si="12"/>
        <v>2028</v>
      </c>
      <c r="AE132" s="23" t="str">
        <f t="shared" si="12"/>
        <v>2029</v>
      </c>
      <c r="AF132" s="23" t="str">
        <f t="shared" si="12"/>
        <v>2030</v>
      </c>
      <c r="AG132" s="23" t="str">
        <f t="shared" si="12"/>
        <v>2031</v>
      </c>
      <c r="AH132" s="23" t="str">
        <f t="shared" si="12"/>
        <v>2032</v>
      </c>
      <c r="AI132" s="23" t="str">
        <f t="shared" si="12"/>
        <v>2033</v>
      </c>
      <c r="AJ132" s="23" t="str">
        <f t="shared" si="12"/>
        <v>2034</v>
      </c>
      <c r="AK132" s="23" t="str">
        <f t="shared" si="12"/>
        <v>2035</v>
      </c>
      <c r="AL132" s="23" t="str">
        <f t="shared" si="12"/>
        <v>2036</v>
      </c>
      <c r="AM132" s="23" t="str">
        <f t="shared" si="12"/>
        <v>2037</v>
      </c>
      <c r="AN132" s="23" t="str">
        <f t="shared" si="12"/>
        <v>2038</v>
      </c>
      <c r="AO132" s="23" t="str">
        <f t="shared" si="12"/>
        <v>2039</v>
      </c>
      <c r="AP132" s="23" t="str">
        <f t="shared" si="12"/>
        <v>2040</v>
      </c>
      <c r="AQ132" s="23" t="str">
        <f>AQ116</f>
        <v>2041</v>
      </c>
    </row>
    <row r="133" spans="1:43">
      <c r="A133" s="20" t="s">
        <v>17</v>
      </c>
    </row>
    <row r="134" spans="1:43">
      <c r="A134" s="20" t="s">
        <v>18</v>
      </c>
    </row>
    <row r="135" spans="1:43">
      <c r="A135" s="20" t="s">
        <v>19</v>
      </c>
    </row>
    <row r="136" spans="1:43">
      <c r="A136" s="20" t="s">
        <v>20</v>
      </c>
    </row>
    <row r="137" spans="1:43">
      <c r="A137" s="20" t="s">
        <v>21</v>
      </c>
    </row>
    <row r="138" spans="1:43">
      <c r="A138" s="20" t="s">
        <v>22</v>
      </c>
    </row>
    <row r="139" spans="1:43">
      <c r="A139" s="20" t="s">
        <v>23</v>
      </c>
    </row>
    <row r="140" spans="1:43">
      <c r="A140" s="20" t="s">
        <v>24</v>
      </c>
    </row>
    <row r="141" spans="1:43">
      <c r="A141" s="20" t="s">
        <v>25</v>
      </c>
    </row>
    <row r="142" spans="1:43">
      <c r="A142" s="20" t="s">
        <v>26</v>
      </c>
    </row>
    <row r="143" spans="1:43">
      <c r="A143" s="20" t="s">
        <v>27</v>
      </c>
    </row>
    <row r="144" spans="1:43">
      <c r="A144" s="20" t="s">
        <v>28</v>
      </c>
    </row>
    <row r="145" spans="1:43" ht="15.75" thickBot="1">
      <c r="A145" s="20" t="s">
        <v>29</v>
      </c>
    </row>
    <row r="146" spans="1:43">
      <c r="A146" s="25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</row>
    <row r="147" spans="1:43" ht="15.75" thickBot="1">
      <c r="A147" s="20" t="s">
        <v>37</v>
      </c>
    </row>
    <row r="148" spans="1:43" ht="15.75" thickBot="1">
      <c r="A148" s="22"/>
      <c r="B148" s="23" t="str">
        <f>B132</f>
        <v>2000</v>
      </c>
      <c r="C148" s="23" t="str">
        <f t="shared" ref="C148:AP148" si="13">C132</f>
        <v>2001</v>
      </c>
      <c r="D148" s="23" t="str">
        <f t="shared" si="13"/>
        <v>2002</v>
      </c>
      <c r="E148" s="23" t="str">
        <f t="shared" si="13"/>
        <v>2003</v>
      </c>
      <c r="F148" s="23" t="str">
        <f t="shared" si="13"/>
        <v>2004</v>
      </c>
      <c r="G148" s="23" t="str">
        <f t="shared" si="13"/>
        <v>2005</v>
      </c>
      <c r="H148" s="23" t="str">
        <f t="shared" si="13"/>
        <v>2006</v>
      </c>
      <c r="I148" s="23" t="str">
        <f t="shared" si="13"/>
        <v>2007</v>
      </c>
      <c r="J148" s="23" t="str">
        <f t="shared" si="13"/>
        <v>2008</v>
      </c>
      <c r="K148" s="23" t="str">
        <f t="shared" si="13"/>
        <v>2009</v>
      </c>
      <c r="L148" s="23" t="str">
        <f t="shared" si="13"/>
        <v>2010</v>
      </c>
      <c r="M148" s="23" t="str">
        <f t="shared" si="13"/>
        <v>2011</v>
      </c>
      <c r="N148" s="23" t="str">
        <f t="shared" si="13"/>
        <v>2012</v>
      </c>
      <c r="O148" s="23" t="str">
        <f t="shared" si="13"/>
        <v>2013</v>
      </c>
      <c r="P148" s="23" t="str">
        <f t="shared" si="13"/>
        <v>2014</v>
      </c>
      <c r="Q148" s="23" t="str">
        <f t="shared" si="13"/>
        <v>2015</v>
      </c>
      <c r="R148" s="23" t="str">
        <f t="shared" si="13"/>
        <v>2016</v>
      </c>
      <c r="S148" s="23" t="str">
        <f t="shared" si="13"/>
        <v>2017</v>
      </c>
      <c r="T148" s="23" t="str">
        <f t="shared" si="13"/>
        <v>2018</v>
      </c>
      <c r="U148" s="23" t="str">
        <f t="shared" si="13"/>
        <v>2019</v>
      </c>
      <c r="V148" s="23" t="str">
        <f t="shared" si="13"/>
        <v>2020</v>
      </c>
      <c r="W148" s="23" t="str">
        <f t="shared" si="13"/>
        <v>2021</v>
      </c>
      <c r="X148" s="23" t="str">
        <f t="shared" si="13"/>
        <v>2022</v>
      </c>
      <c r="Y148" s="23" t="str">
        <f t="shared" si="13"/>
        <v>2023</v>
      </c>
      <c r="Z148" s="23" t="str">
        <f t="shared" si="13"/>
        <v>2024</v>
      </c>
      <c r="AA148" s="23" t="str">
        <f t="shared" si="13"/>
        <v>2025</v>
      </c>
      <c r="AB148" s="23" t="str">
        <f t="shared" si="13"/>
        <v>2026</v>
      </c>
      <c r="AC148" s="23" t="str">
        <f t="shared" si="13"/>
        <v>2027</v>
      </c>
      <c r="AD148" s="23" t="str">
        <f t="shared" si="13"/>
        <v>2028</v>
      </c>
      <c r="AE148" s="23" t="str">
        <f t="shared" si="13"/>
        <v>2029</v>
      </c>
      <c r="AF148" s="23" t="str">
        <f t="shared" si="13"/>
        <v>2030</v>
      </c>
      <c r="AG148" s="23" t="str">
        <f t="shared" si="13"/>
        <v>2031</v>
      </c>
      <c r="AH148" s="23" t="str">
        <f t="shared" si="13"/>
        <v>2032</v>
      </c>
      <c r="AI148" s="23" t="str">
        <f t="shared" si="13"/>
        <v>2033</v>
      </c>
      <c r="AJ148" s="23" t="str">
        <f t="shared" si="13"/>
        <v>2034</v>
      </c>
      <c r="AK148" s="23" t="str">
        <f t="shared" si="13"/>
        <v>2035</v>
      </c>
      <c r="AL148" s="23" t="str">
        <f t="shared" si="13"/>
        <v>2036</v>
      </c>
      <c r="AM148" s="23" t="str">
        <f t="shared" si="13"/>
        <v>2037</v>
      </c>
      <c r="AN148" s="23" t="str">
        <f t="shared" si="13"/>
        <v>2038</v>
      </c>
      <c r="AO148" s="23" t="str">
        <f t="shared" si="13"/>
        <v>2039</v>
      </c>
      <c r="AP148" s="23" t="str">
        <f t="shared" si="13"/>
        <v>2040</v>
      </c>
      <c r="AQ148" s="23" t="str">
        <f>AQ132</f>
        <v>2041</v>
      </c>
    </row>
    <row r="149" spans="1:43">
      <c r="A149" s="20" t="s">
        <v>17</v>
      </c>
    </row>
    <row r="150" spans="1:43">
      <c r="A150" s="20" t="s">
        <v>18</v>
      </c>
    </row>
    <row r="151" spans="1:43">
      <c r="A151" s="20" t="s">
        <v>19</v>
      </c>
    </row>
    <row r="152" spans="1:43">
      <c r="A152" s="20" t="s">
        <v>20</v>
      </c>
    </row>
    <row r="153" spans="1:43">
      <c r="A153" s="20" t="s">
        <v>21</v>
      </c>
    </row>
    <row r="154" spans="1:43">
      <c r="A154" s="20" t="s">
        <v>22</v>
      </c>
    </row>
    <row r="155" spans="1:43">
      <c r="A155" s="20" t="s">
        <v>23</v>
      </c>
    </row>
    <row r="156" spans="1:43">
      <c r="A156" s="20" t="s">
        <v>24</v>
      </c>
    </row>
    <row r="157" spans="1:43">
      <c r="A157" s="20" t="s">
        <v>25</v>
      </c>
    </row>
    <row r="158" spans="1:43">
      <c r="A158" s="20" t="s">
        <v>26</v>
      </c>
    </row>
    <row r="159" spans="1:43">
      <c r="A159" s="20" t="s">
        <v>27</v>
      </c>
    </row>
    <row r="160" spans="1:43" ht="15.75" thickBot="1">
      <c r="A160" s="20" t="s">
        <v>28</v>
      </c>
    </row>
    <row r="161" spans="1:43">
      <c r="A161" s="25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</row>
    <row r="162" spans="1:43" ht="15.75" thickBot="1">
      <c r="A162" s="20" t="s">
        <v>38</v>
      </c>
    </row>
    <row r="163" spans="1:43" ht="15.75" thickBot="1">
      <c r="A163" s="22"/>
      <c r="B163" s="23" t="str">
        <f>B148</f>
        <v>2000</v>
      </c>
      <c r="C163" s="23" t="str">
        <f t="shared" ref="C163:AP163" si="14">C148</f>
        <v>2001</v>
      </c>
      <c r="D163" s="23" t="str">
        <f t="shared" si="14"/>
        <v>2002</v>
      </c>
      <c r="E163" s="23" t="str">
        <f t="shared" si="14"/>
        <v>2003</v>
      </c>
      <c r="F163" s="23" t="str">
        <f t="shared" si="14"/>
        <v>2004</v>
      </c>
      <c r="G163" s="23" t="str">
        <f t="shared" si="14"/>
        <v>2005</v>
      </c>
      <c r="H163" s="23" t="str">
        <f t="shared" si="14"/>
        <v>2006</v>
      </c>
      <c r="I163" s="23" t="str">
        <f t="shared" si="14"/>
        <v>2007</v>
      </c>
      <c r="J163" s="23" t="str">
        <f t="shared" si="14"/>
        <v>2008</v>
      </c>
      <c r="K163" s="23" t="str">
        <f t="shared" si="14"/>
        <v>2009</v>
      </c>
      <c r="L163" s="23" t="str">
        <f t="shared" si="14"/>
        <v>2010</v>
      </c>
      <c r="M163" s="23" t="str">
        <f t="shared" si="14"/>
        <v>2011</v>
      </c>
      <c r="N163" s="23" t="str">
        <f t="shared" si="14"/>
        <v>2012</v>
      </c>
      <c r="O163" s="23" t="str">
        <f t="shared" si="14"/>
        <v>2013</v>
      </c>
      <c r="P163" s="23" t="str">
        <f t="shared" si="14"/>
        <v>2014</v>
      </c>
      <c r="Q163" s="23" t="str">
        <f t="shared" si="14"/>
        <v>2015</v>
      </c>
      <c r="R163" s="23" t="str">
        <f t="shared" si="14"/>
        <v>2016</v>
      </c>
      <c r="S163" s="23" t="str">
        <f t="shared" si="14"/>
        <v>2017</v>
      </c>
      <c r="T163" s="23" t="str">
        <f t="shared" si="14"/>
        <v>2018</v>
      </c>
      <c r="U163" s="23" t="str">
        <f t="shared" si="14"/>
        <v>2019</v>
      </c>
      <c r="V163" s="23" t="str">
        <f t="shared" si="14"/>
        <v>2020</v>
      </c>
      <c r="W163" s="23" t="str">
        <f t="shared" si="14"/>
        <v>2021</v>
      </c>
      <c r="X163" s="23" t="str">
        <f t="shared" si="14"/>
        <v>2022</v>
      </c>
      <c r="Y163" s="23" t="str">
        <f t="shared" si="14"/>
        <v>2023</v>
      </c>
      <c r="Z163" s="23" t="str">
        <f t="shared" si="14"/>
        <v>2024</v>
      </c>
      <c r="AA163" s="23" t="str">
        <f t="shared" si="14"/>
        <v>2025</v>
      </c>
      <c r="AB163" s="23" t="str">
        <f t="shared" si="14"/>
        <v>2026</v>
      </c>
      <c r="AC163" s="23" t="str">
        <f t="shared" si="14"/>
        <v>2027</v>
      </c>
      <c r="AD163" s="23" t="str">
        <f t="shared" si="14"/>
        <v>2028</v>
      </c>
      <c r="AE163" s="23" t="str">
        <f t="shared" si="14"/>
        <v>2029</v>
      </c>
      <c r="AF163" s="23" t="str">
        <f t="shared" si="14"/>
        <v>2030</v>
      </c>
      <c r="AG163" s="23" t="str">
        <f t="shared" si="14"/>
        <v>2031</v>
      </c>
      <c r="AH163" s="23" t="str">
        <f t="shared" si="14"/>
        <v>2032</v>
      </c>
      <c r="AI163" s="23" t="str">
        <f t="shared" si="14"/>
        <v>2033</v>
      </c>
      <c r="AJ163" s="23" t="str">
        <f t="shared" si="14"/>
        <v>2034</v>
      </c>
      <c r="AK163" s="23" t="str">
        <f t="shared" si="14"/>
        <v>2035</v>
      </c>
      <c r="AL163" s="23" t="str">
        <f t="shared" si="14"/>
        <v>2036</v>
      </c>
      <c r="AM163" s="23" t="str">
        <f t="shared" si="14"/>
        <v>2037</v>
      </c>
      <c r="AN163" s="23" t="str">
        <f t="shared" si="14"/>
        <v>2038</v>
      </c>
      <c r="AO163" s="23" t="str">
        <f t="shared" si="14"/>
        <v>2039</v>
      </c>
      <c r="AP163" s="23" t="str">
        <f t="shared" si="14"/>
        <v>2040</v>
      </c>
      <c r="AQ163" s="23" t="str">
        <f>AQ148</f>
        <v>2041</v>
      </c>
    </row>
    <row r="164" spans="1:43">
      <c r="A164" s="20" t="s">
        <v>17</v>
      </c>
    </row>
    <row r="165" spans="1:43">
      <c r="A165" s="20" t="s">
        <v>18</v>
      </c>
    </row>
    <row r="166" spans="1:43">
      <c r="A166" s="20" t="s">
        <v>19</v>
      </c>
    </row>
    <row r="167" spans="1:43">
      <c r="A167" s="20" t="s">
        <v>20</v>
      </c>
    </row>
    <row r="168" spans="1:43">
      <c r="A168" s="20" t="s">
        <v>21</v>
      </c>
    </row>
    <row r="169" spans="1:43">
      <c r="A169" s="20" t="s">
        <v>22</v>
      </c>
    </row>
    <row r="170" spans="1:43">
      <c r="A170" s="20" t="s">
        <v>23</v>
      </c>
    </row>
    <row r="171" spans="1:43">
      <c r="A171" s="20" t="s">
        <v>24</v>
      </c>
    </row>
    <row r="172" spans="1:43">
      <c r="A172" s="20" t="s">
        <v>25</v>
      </c>
    </row>
    <row r="173" spans="1:43">
      <c r="A173" s="20" t="s">
        <v>26</v>
      </c>
    </row>
    <row r="174" spans="1:43">
      <c r="A174" s="20" t="s">
        <v>27</v>
      </c>
    </row>
    <row r="175" spans="1:43">
      <c r="A175" s="20" t="s">
        <v>28</v>
      </c>
    </row>
    <row r="176" spans="1:43" ht="15.75" thickBot="1">
      <c r="A176" s="20" t="s">
        <v>39</v>
      </c>
    </row>
    <row r="177" spans="1:43">
      <c r="A177" s="25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</row>
    <row r="178" spans="1:43" ht="15.75" thickBot="1">
      <c r="A178" s="20" t="s">
        <v>98</v>
      </c>
    </row>
    <row r="179" spans="1:43" ht="15.75" thickBot="1">
      <c r="A179" s="22"/>
      <c r="B179" s="23" t="str">
        <f>B163</f>
        <v>2000</v>
      </c>
      <c r="C179" s="23" t="str">
        <f t="shared" ref="C179:AP179" si="15">C163</f>
        <v>2001</v>
      </c>
      <c r="D179" s="23" t="str">
        <f t="shared" si="15"/>
        <v>2002</v>
      </c>
      <c r="E179" s="23" t="str">
        <f t="shared" si="15"/>
        <v>2003</v>
      </c>
      <c r="F179" s="23" t="str">
        <f t="shared" si="15"/>
        <v>2004</v>
      </c>
      <c r="G179" s="23" t="str">
        <f t="shared" si="15"/>
        <v>2005</v>
      </c>
      <c r="H179" s="23" t="str">
        <f t="shared" si="15"/>
        <v>2006</v>
      </c>
      <c r="I179" s="23" t="str">
        <f t="shared" si="15"/>
        <v>2007</v>
      </c>
      <c r="J179" s="23" t="str">
        <f t="shared" si="15"/>
        <v>2008</v>
      </c>
      <c r="K179" s="23" t="str">
        <f t="shared" si="15"/>
        <v>2009</v>
      </c>
      <c r="L179" s="23" t="str">
        <f t="shared" si="15"/>
        <v>2010</v>
      </c>
      <c r="M179" s="23" t="str">
        <f t="shared" si="15"/>
        <v>2011</v>
      </c>
      <c r="N179" s="23" t="str">
        <f t="shared" si="15"/>
        <v>2012</v>
      </c>
      <c r="O179" s="23" t="str">
        <f t="shared" si="15"/>
        <v>2013</v>
      </c>
      <c r="P179" s="23" t="str">
        <f t="shared" si="15"/>
        <v>2014</v>
      </c>
      <c r="Q179" s="23" t="str">
        <f t="shared" si="15"/>
        <v>2015</v>
      </c>
      <c r="R179" s="23" t="str">
        <f t="shared" si="15"/>
        <v>2016</v>
      </c>
      <c r="S179" s="23" t="str">
        <f t="shared" si="15"/>
        <v>2017</v>
      </c>
      <c r="T179" s="23" t="str">
        <f t="shared" si="15"/>
        <v>2018</v>
      </c>
      <c r="U179" s="23" t="str">
        <f t="shared" si="15"/>
        <v>2019</v>
      </c>
      <c r="V179" s="23" t="str">
        <f t="shared" si="15"/>
        <v>2020</v>
      </c>
      <c r="W179" s="23" t="str">
        <f t="shared" si="15"/>
        <v>2021</v>
      </c>
      <c r="X179" s="23" t="str">
        <f t="shared" si="15"/>
        <v>2022</v>
      </c>
      <c r="Y179" s="23" t="str">
        <f t="shared" si="15"/>
        <v>2023</v>
      </c>
      <c r="Z179" s="23" t="str">
        <f t="shared" si="15"/>
        <v>2024</v>
      </c>
      <c r="AA179" s="23" t="str">
        <f t="shared" si="15"/>
        <v>2025</v>
      </c>
      <c r="AB179" s="23" t="str">
        <f t="shared" si="15"/>
        <v>2026</v>
      </c>
      <c r="AC179" s="23" t="str">
        <f t="shared" si="15"/>
        <v>2027</v>
      </c>
      <c r="AD179" s="23" t="str">
        <f t="shared" si="15"/>
        <v>2028</v>
      </c>
      <c r="AE179" s="23" t="str">
        <f t="shared" si="15"/>
        <v>2029</v>
      </c>
      <c r="AF179" s="23" t="str">
        <f t="shared" si="15"/>
        <v>2030</v>
      </c>
      <c r="AG179" s="23" t="str">
        <f t="shared" si="15"/>
        <v>2031</v>
      </c>
      <c r="AH179" s="23" t="str">
        <f t="shared" si="15"/>
        <v>2032</v>
      </c>
      <c r="AI179" s="23" t="str">
        <f t="shared" si="15"/>
        <v>2033</v>
      </c>
      <c r="AJ179" s="23" t="str">
        <f t="shared" si="15"/>
        <v>2034</v>
      </c>
      <c r="AK179" s="23" t="str">
        <f t="shared" si="15"/>
        <v>2035</v>
      </c>
      <c r="AL179" s="23" t="str">
        <f t="shared" si="15"/>
        <v>2036</v>
      </c>
      <c r="AM179" s="23" t="str">
        <f t="shared" si="15"/>
        <v>2037</v>
      </c>
      <c r="AN179" s="23" t="str">
        <f t="shared" si="15"/>
        <v>2038</v>
      </c>
      <c r="AO179" s="23" t="str">
        <f t="shared" si="15"/>
        <v>2039</v>
      </c>
      <c r="AP179" s="23" t="str">
        <f t="shared" si="15"/>
        <v>2040</v>
      </c>
      <c r="AQ179" s="23" t="str">
        <f>AQ163</f>
        <v>2041</v>
      </c>
    </row>
    <row r="180" spans="1:43">
      <c r="A180" s="20" t="s">
        <v>17</v>
      </c>
    </row>
    <row r="181" spans="1:43">
      <c r="A181" s="20" t="s">
        <v>18</v>
      </c>
    </row>
    <row r="182" spans="1:43">
      <c r="A182" s="20" t="s">
        <v>19</v>
      </c>
    </row>
    <row r="183" spans="1:43">
      <c r="A183" s="20" t="s">
        <v>20</v>
      </c>
    </row>
    <row r="184" spans="1:43">
      <c r="A184" s="20" t="s">
        <v>21</v>
      </c>
    </row>
    <row r="185" spans="1:43">
      <c r="A185" s="20" t="s">
        <v>22</v>
      </c>
    </row>
    <row r="186" spans="1:43">
      <c r="A186" s="20" t="s">
        <v>23</v>
      </c>
    </row>
    <row r="187" spans="1:43">
      <c r="A187" s="20" t="s">
        <v>24</v>
      </c>
    </row>
    <row r="188" spans="1:43">
      <c r="A188" s="20" t="s">
        <v>25</v>
      </c>
    </row>
    <row r="189" spans="1:43">
      <c r="A189" s="20" t="s">
        <v>26</v>
      </c>
    </row>
    <row r="190" spans="1:43">
      <c r="A190" s="20" t="s">
        <v>27</v>
      </c>
    </row>
    <row r="191" spans="1:43">
      <c r="A191" s="20" t="s">
        <v>28</v>
      </c>
    </row>
    <row r="192" spans="1:43" ht="15.75" thickBot="1">
      <c r="A192" s="20" t="s">
        <v>29</v>
      </c>
    </row>
    <row r="193" spans="1:43">
      <c r="A193" s="25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</row>
    <row r="194" spans="1:43" ht="15.75" thickBot="1">
      <c r="A194" s="20" t="s">
        <v>41</v>
      </c>
    </row>
    <row r="195" spans="1:43" ht="15.75" thickBot="1">
      <c r="A195" s="22"/>
      <c r="B195" s="23" t="str">
        <f>B179</f>
        <v>2000</v>
      </c>
      <c r="C195" s="23" t="str">
        <f t="shared" ref="C195:AP195" si="16">C179</f>
        <v>2001</v>
      </c>
      <c r="D195" s="23" t="str">
        <f t="shared" si="16"/>
        <v>2002</v>
      </c>
      <c r="E195" s="23" t="str">
        <f t="shared" si="16"/>
        <v>2003</v>
      </c>
      <c r="F195" s="23" t="str">
        <f t="shared" si="16"/>
        <v>2004</v>
      </c>
      <c r="G195" s="23" t="str">
        <f t="shared" si="16"/>
        <v>2005</v>
      </c>
      <c r="H195" s="23" t="str">
        <f t="shared" si="16"/>
        <v>2006</v>
      </c>
      <c r="I195" s="23" t="str">
        <f t="shared" si="16"/>
        <v>2007</v>
      </c>
      <c r="J195" s="23" t="str">
        <f t="shared" si="16"/>
        <v>2008</v>
      </c>
      <c r="K195" s="23" t="str">
        <f t="shared" si="16"/>
        <v>2009</v>
      </c>
      <c r="L195" s="23" t="str">
        <f t="shared" si="16"/>
        <v>2010</v>
      </c>
      <c r="M195" s="23" t="str">
        <f t="shared" si="16"/>
        <v>2011</v>
      </c>
      <c r="N195" s="23" t="str">
        <f t="shared" si="16"/>
        <v>2012</v>
      </c>
      <c r="O195" s="23" t="str">
        <f t="shared" si="16"/>
        <v>2013</v>
      </c>
      <c r="P195" s="23" t="str">
        <f t="shared" si="16"/>
        <v>2014</v>
      </c>
      <c r="Q195" s="23" t="str">
        <f t="shared" si="16"/>
        <v>2015</v>
      </c>
      <c r="R195" s="23" t="str">
        <f t="shared" si="16"/>
        <v>2016</v>
      </c>
      <c r="S195" s="23" t="str">
        <f t="shared" si="16"/>
        <v>2017</v>
      </c>
      <c r="T195" s="23" t="str">
        <f t="shared" si="16"/>
        <v>2018</v>
      </c>
      <c r="U195" s="23" t="str">
        <f t="shared" si="16"/>
        <v>2019</v>
      </c>
      <c r="V195" s="23" t="str">
        <f t="shared" si="16"/>
        <v>2020</v>
      </c>
      <c r="W195" s="23" t="str">
        <f t="shared" si="16"/>
        <v>2021</v>
      </c>
      <c r="X195" s="23" t="str">
        <f t="shared" si="16"/>
        <v>2022</v>
      </c>
      <c r="Y195" s="23" t="str">
        <f t="shared" si="16"/>
        <v>2023</v>
      </c>
      <c r="Z195" s="23" t="str">
        <f t="shared" si="16"/>
        <v>2024</v>
      </c>
      <c r="AA195" s="23" t="str">
        <f t="shared" si="16"/>
        <v>2025</v>
      </c>
      <c r="AB195" s="23" t="str">
        <f t="shared" si="16"/>
        <v>2026</v>
      </c>
      <c r="AC195" s="23" t="str">
        <f t="shared" si="16"/>
        <v>2027</v>
      </c>
      <c r="AD195" s="23" t="str">
        <f t="shared" si="16"/>
        <v>2028</v>
      </c>
      <c r="AE195" s="23" t="str">
        <f t="shared" si="16"/>
        <v>2029</v>
      </c>
      <c r="AF195" s="23" t="str">
        <f t="shared" si="16"/>
        <v>2030</v>
      </c>
      <c r="AG195" s="23" t="str">
        <f t="shared" si="16"/>
        <v>2031</v>
      </c>
      <c r="AH195" s="23" t="str">
        <f t="shared" si="16"/>
        <v>2032</v>
      </c>
      <c r="AI195" s="23" t="str">
        <f t="shared" si="16"/>
        <v>2033</v>
      </c>
      <c r="AJ195" s="23" t="str">
        <f t="shared" si="16"/>
        <v>2034</v>
      </c>
      <c r="AK195" s="23" t="str">
        <f t="shared" si="16"/>
        <v>2035</v>
      </c>
      <c r="AL195" s="23" t="str">
        <f t="shared" si="16"/>
        <v>2036</v>
      </c>
      <c r="AM195" s="23" t="str">
        <f t="shared" si="16"/>
        <v>2037</v>
      </c>
      <c r="AN195" s="23" t="str">
        <f t="shared" si="16"/>
        <v>2038</v>
      </c>
      <c r="AO195" s="23" t="str">
        <f t="shared" si="16"/>
        <v>2039</v>
      </c>
      <c r="AP195" s="23" t="str">
        <f t="shared" si="16"/>
        <v>2040</v>
      </c>
      <c r="AQ195" s="23" t="str">
        <f>AQ179</f>
        <v>2041</v>
      </c>
    </row>
    <row r="196" spans="1:43">
      <c r="A196" s="20" t="s">
        <v>17</v>
      </c>
    </row>
    <row r="197" spans="1:43">
      <c r="A197" s="20" t="s">
        <v>18</v>
      </c>
    </row>
    <row r="198" spans="1:43">
      <c r="A198" s="20" t="s">
        <v>19</v>
      </c>
    </row>
    <row r="199" spans="1:43">
      <c r="A199" s="20" t="s">
        <v>20</v>
      </c>
    </row>
    <row r="200" spans="1:43">
      <c r="A200" s="20" t="s">
        <v>21</v>
      </c>
    </row>
    <row r="201" spans="1:43">
      <c r="A201" s="20" t="s">
        <v>22</v>
      </c>
    </row>
    <row r="202" spans="1:43">
      <c r="A202" s="20" t="s">
        <v>23</v>
      </c>
    </row>
    <row r="203" spans="1:43">
      <c r="A203" s="20" t="s">
        <v>24</v>
      </c>
    </row>
    <row r="204" spans="1:43">
      <c r="A204" s="20" t="s">
        <v>25</v>
      </c>
    </row>
    <row r="205" spans="1:43">
      <c r="A205" s="20" t="s">
        <v>26</v>
      </c>
    </row>
    <row r="206" spans="1:43">
      <c r="A206" s="20" t="s">
        <v>27</v>
      </c>
    </row>
    <row r="207" spans="1:43">
      <c r="A207" s="20" t="s">
        <v>28</v>
      </c>
    </row>
    <row r="208" spans="1:43" ht="15.75" thickBot="1">
      <c r="A208" s="20" t="s">
        <v>29</v>
      </c>
      <c r="B208" s="29">
        <v>239000</v>
      </c>
      <c r="C208" s="29">
        <v>242000</v>
      </c>
      <c r="D208" s="29">
        <v>262000</v>
      </c>
      <c r="E208" s="29">
        <v>285000</v>
      </c>
      <c r="F208" s="29">
        <v>325000</v>
      </c>
      <c r="G208" s="29">
        <v>370000</v>
      </c>
      <c r="H208" s="29">
        <v>400000</v>
      </c>
      <c r="I208" s="29">
        <v>380000</v>
      </c>
      <c r="J208" s="29">
        <v>450000</v>
      </c>
      <c r="K208" s="29">
        <v>500000</v>
      </c>
      <c r="L208" s="29">
        <v>490000</v>
      </c>
      <c r="M208" s="29">
        <v>380000</v>
      </c>
      <c r="N208" s="29">
        <v>460000</v>
      </c>
      <c r="O208" s="29">
        <v>510000</v>
      </c>
      <c r="P208" s="29">
        <v>570000</v>
      </c>
      <c r="Q208" s="29">
        <v>590000</v>
      </c>
      <c r="R208" s="29">
        <v>610000</v>
      </c>
      <c r="S208" s="29">
        <v>600000</v>
      </c>
      <c r="T208" s="29">
        <v>575000</v>
      </c>
      <c r="U208" s="29">
        <v>565000</v>
      </c>
      <c r="V208" s="29">
        <v>577000</v>
      </c>
      <c r="W208" s="29">
        <v>582000</v>
      </c>
      <c r="X208" s="29">
        <v>586000</v>
      </c>
      <c r="Y208" s="29">
        <v>590000</v>
      </c>
      <c r="Z208" s="29">
        <v>594000</v>
      </c>
      <c r="AA208" s="29">
        <v>598000</v>
      </c>
      <c r="AB208" s="29">
        <v>605000</v>
      </c>
      <c r="AC208" s="29">
        <v>615000</v>
      </c>
      <c r="AD208" s="29">
        <v>617000</v>
      </c>
      <c r="AE208" s="29">
        <v>622000</v>
      </c>
      <c r="AF208" s="29">
        <v>642000</v>
      </c>
      <c r="AG208" s="29">
        <v>657000</v>
      </c>
      <c r="AH208" s="29">
        <v>652000</v>
      </c>
      <c r="AI208" s="29">
        <v>647000</v>
      </c>
      <c r="AJ208" s="29">
        <v>650000</v>
      </c>
      <c r="AK208" s="29">
        <v>655000</v>
      </c>
      <c r="AL208" s="29">
        <v>663000</v>
      </c>
      <c r="AM208" s="29">
        <v>674000</v>
      </c>
      <c r="AN208" s="29">
        <v>684000</v>
      </c>
      <c r="AO208" s="29">
        <v>692000</v>
      </c>
      <c r="AP208" s="29">
        <v>698000</v>
      </c>
      <c r="AQ208" s="29">
        <v>704000</v>
      </c>
    </row>
    <row r="209" spans="1:43">
      <c r="A209" s="25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</row>
    <row r="210" spans="1:43" ht="15.75" thickBot="1">
      <c r="A210" s="20" t="s">
        <v>42</v>
      </c>
    </row>
    <row r="211" spans="1:43" ht="15.75" thickBot="1">
      <c r="A211" s="22"/>
      <c r="B211" s="23" t="str">
        <f>B195</f>
        <v>2000</v>
      </c>
      <c r="C211" s="23" t="str">
        <f t="shared" ref="C211:AP211" si="17">C195</f>
        <v>2001</v>
      </c>
      <c r="D211" s="23" t="str">
        <f t="shared" si="17"/>
        <v>2002</v>
      </c>
      <c r="E211" s="23" t="str">
        <f t="shared" si="17"/>
        <v>2003</v>
      </c>
      <c r="F211" s="23" t="str">
        <f t="shared" si="17"/>
        <v>2004</v>
      </c>
      <c r="G211" s="23" t="str">
        <f t="shared" si="17"/>
        <v>2005</v>
      </c>
      <c r="H211" s="23" t="str">
        <f t="shared" si="17"/>
        <v>2006</v>
      </c>
      <c r="I211" s="23" t="str">
        <f t="shared" si="17"/>
        <v>2007</v>
      </c>
      <c r="J211" s="23" t="str">
        <f t="shared" si="17"/>
        <v>2008</v>
      </c>
      <c r="K211" s="23" t="str">
        <f t="shared" si="17"/>
        <v>2009</v>
      </c>
      <c r="L211" s="23" t="str">
        <f t="shared" si="17"/>
        <v>2010</v>
      </c>
      <c r="M211" s="23" t="str">
        <f t="shared" si="17"/>
        <v>2011</v>
      </c>
      <c r="N211" s="23" t="str">
        <f t="shared" si="17"/>
        <v>2012</v>
      </c>
      <c r="O211" s="23" t="str">
        <f t="shared" si="17"/>
        <v>2013</v>
      </c>
      <c r="P211" s="23" t="str">
        <f t="shared" si="17"/>
        <v>2014</v>
      </c>
      <c r="Q211" s="23" t="str">
        <f t="shared" si="17"/>
        <v>2015</v>
      </c>
      <c r="R211" s="23" t="str">
        <f t="shared" si="17"/>
        <v>2016</v>
      </c>
      <c r="S211" s="23" t="str">
        <f t="shared" si="17"/>
        <v>2017</v>
      </c>
      <c r="T211" s="23" t="str">
        <f t="shared" si="17"/>
        <v>2018</v>
      </c>
      <c r="U211" s="23" t="str">
        <f t="shared" si="17"/>
        <v>2019</v>
      </c>
      <c r="V211" s="23" t="str">
        <f t="shared" si="17"/>
        <v>2020</v>
      </c>
      <c r="W211" s="23" t="str">
        <f t="shared" si="17"/>
        <v>2021</v>
      </c>
      <c r="X211" s="23" t="str">
        <f t="shared" si="17"/>
        <v>2022</v>
      </c>
      <c r="Y211" s="23" t="str">
        <f t="shared" si="17"/>
        <v>2023</v>
      </c>
      <c r="Z211" s="23" t="str">
        <f t="shared" si="17"/>
        <v>2024</v>
      </c>
      <c r="AA211" s="23" t="str">
        <f t="shared" si="17"/>
        <v>2025</v>
      </c>
      <c r="AB211" s="23" t="str">
        <f t="shared" si="17"/>
        <v>2026</v>
      </c>
      <c r="AC211" s="23" t="str">
        <f t="shared" si="17"/>
        <v>2027</v>
      </c>
      <c r="AD211" s="23" t="str">
        <f t="shared" si="17"/>
        <v>2028</v>
      </c>
      <c r="AE211" s="23" t="str">
        <f t="shared" si="17"/>
        <v>2029</v>
      </c>
      <c r="AF211" s="23" t="str">
        <f t="shared" si="17"/>
        <v>2030</v>
      </c>
      <c r="AG211" s="23" t="str">
        <f t="shared" si="17"/>
        <v>2031</v>
      </c>
      <c r="AH211" s="23" t="str">
        <f t="shared" si="17"/>
        <v>2032</v>
      </c>
      <c r="AI211" s="23" t="str">
        <f t="shared" si="17"/>
        <v>2033</v>
      </c>
      <c r="AJ211" s="23" t="str">
        <f t="shared" si="17"/>
        <v>2034</v>
      </c>
      <c r="AK211" s="23" t="str">
        <f t="shared" si="17"/>
        <v>2035</v>
      </c>
      <c r="AL211" s="23" t="str">
        <f t="shared" si="17"/>
        <v>2036</v>
      </c>
      <c r="AM211" s="23" t="str">
        <f t="shared" si="17"/>
        <v>2037</v>
      </c>
      <c r="AN211" s="23" t="str">
        <f t="shared" si="17"/>
        <v>2038</v>
      </c>
      <c r="AO211" s="23" t="str">
        <f t="shared" si="17"/>
        <v>2039</v>
      </c>
      <c r="AP211" s="23" t="str">
        <f t="shared" si="17"/>
        <v>2040</v>
      </c>
      <c r="AQ211" s="23" t="str">
        <f>AQ195</f>
        <v>2041</v>
      </c>
    </row>
    <row r="212" spans="1:43">
      <c r="A212" s="20" t="s">
        <v>17</v>
      </c>
    </row>
    <row r="213" spans="1:43">
      <c r="A213" s="20" t="s">
        <v>18</v>
      </c>
    </row>
    <row r="214" spans="1:43">
      <c r="A214" s="20" t="s">
        <v>19</v>
      </c>
    </row>
    <row r="215" spans="1:43">
      <c r="A215" s="20" t="s">
        <v>20</v>
      </c>
    </row>
    <row r="216" spans="1:43">
      <c r="A216" s="20" t="s">
        <v>21</v>
      </c>
    </row>
    <row r="217" spans="1:43">
      <c r="A217" s="20" t="s">
        <v>22</v>
      </c>
    </row>
    <row r="218" spans="1:43">
      <c r="A218" s="20" t="s">
        <v>23</v>
      </c>
    </row>
    <row r="219" spans="1:43">
      <c r="A219" s="20" t="s">
        <v>24</v>
      </c>
    </row>
    <row r="220" spans="1:43">
      <c r="A220" s="20" t="s">
        <v>25</v>
      </c>
    </row>
    <row r="221" spans="1:43">
      <c r="A221" s="20" t="s">
        <v>26</v>
      </c>
    </row>
    <row r="222" spans="1:43">
      <c r="A222" s="20" t="s">
        <v>27</v>
      </c>
    </row>
    <row r="223" spans="1:43">
      <c r="A223" s="20" t="s">
        <v>28</v>
      </c>
    </row>
    <row r="224" spans="1:43" ht="15.75" thickBot="1">
      <c r="A224" s="20" t="s">
        <v>29</v>
      </c>
      <c r="B224" s="33">
        <v>0.13800000000000001</v>
      </c>
      <c r="C224" s="33">
        <v>0.13800000000000001</v>
      </c>
      <c r="D224" s="33">
        <v>0.13800000000000001</v>
      </c>
      <c r="E224" s="33">
        <v>0.13800000000000001</v>
      </c>
      <c r="F224" s="33">
        <v>0.13800000000000001</v>
      </c>
      <c r="G224" s="33">
        <v>0.13800000000000001</v>
      </c>
      <c r="H224" s="33">
        <v>0.13800000000000001</v>
      </c>
      <c r="I224" s="33">
        <v>0.13800000000000001</v>
      </c>
      <c r="J224" s="33">
        <v>0.13800000000000001</v>
      </c>
      <c r="K224" s="33">
        <v>0.13800000000000001</v>
      </c>
      <c r="L224" s="39">
        <f>L4/L208</f>
        <v>0.15380854873020605</v>
      </c>
      <c r="M224" s="39">
        <f t="shared" ref="M224:T224" si="18">M4/M208</f>
        <v>0.1784137473321333</v>
      </c>
      <c r="N224" s="39">
        <f t="shared" si="18"/>
        <v>0.15118240911296146</v>
      </c>
      <c r="O224" s="39">
        <f t="shared" si="18"/>
        <v>0.13572636892913748</v>
      </c>
      <c r="P224" s="39">
        <f t="shared" si="18"/>
        <v>0.1276815939876908</v>
      </c>
      <c r="Q224" s="39">
        <f t="shared" si="18"/>
        <v>0.12636870980092471</v>
      </c>
      <c r="R224" s="39">
        <f t="shared" si="18"/>
        <v>0.12089981752014788</v>
      </c>
      <c r="S224" s="39">
        <f t="shared" si="18"/>
        <v>0.12399301460582418</v>
      </c>
      <c r="T224" s="39">
        <f t="shared" si="18"/>
        <v>0.12375862327386609</v>
      </c>
      <c r="U224" s="38">
        <v>0.13800000000000001</v>
      </c>
      <c r="V224" s="38">
        <v>0.13800000000000001</v>
      </c>
      <c r="W224" s="38">
        <v>0.13800000000000001</v>
      </c>
      <c r="X224" s="38">
        <v>0.13800000000000001</v>
      </c>
      <c r="Y224" s="38">
        <v>0.13800000000000001</v>
      </c>
      <c r="Z224" s="38">
        <v>0.13800000000000001</v>
      </c>
      <c r="AA224" s="38">
        <v>0.13800000000000001</v>
      </c>
      <c r="AB224" s="38">
        <v>0.13800000000000001</v>
      </c>
      <c r="AC224" s="38">
        <v>0.13800000000000001</v>
      </c>
      <c r="AD224" s="38">
        <v>0.13800000000000001</v>
      </c>
      <c r="AE224" s="38">
        <v>0.13800000000000001</v>
      </c>
      <c r="AF224" s="38">
        <v>0.13800000000000001</v>
      </c>
      <c r="AG224" s="38">
        <v>0.13800000000000001</v>
      </c>
      <c r="AH224" s="38">
        <v>0.13800000000000001</v>
      </c>
      <c r="AI224" s="38">
        <v>0.13800000000000001</v>
      </c>
      <c r="AJ224" s="38">
        <v>0.13800000000000001</v>
      </c>
      <c r="AK224" s="38">
        <v>0.13800000000000001</v>
      </c>
      <c r="AL224" s="38">
        <v>0.13800000000000001</v>
      </c>
      <c r="AM224" s="38">
        <v>0.13800000000000001</v>
      </c>
      <c r="AN224" s="38">
        <v>0.13800000000000001</v>
      </c>
      <c r="AO224" s="38">
        <v>0.13800000000000001</v>
      </c>
      <c r="AP224" s="38">
        <v>0.13800000000000001</v>
      </c>
      <c r="AQ224" s="38">
        <v>0.13800000000000001</v>
      </c>
    </row>
    <row r="225" spans="1:43">
      <c r="A225" s="25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CCFA-B1B9-4C38-969F-3F9EE14CE6E9}">
  <dimension ref="A1:AZ225"/>
  <sheetViews>
    <sheetView zoomScale="85" zoomScaleNormal="85" workbookViewId="0">
      <pane xSplit="1" ySplit="2" topLeftCell="AK3" activePane="bottomRight" state="frozen"/>
      <selection activeCell="AL31" sqref="AL31"/>
      <selection pane="topRight" activeCell="AL31" sqref="AL31"/>
      <selection pane="bottomLeft" activeCell="AL31" sqref="AL31"/>
      <selection pane="bottomRight" activeCell="AL31" sqref="AL31"/>
    </sheetView>
  </sheetViews>
  <sheetFormatPr defaultColWidth="8.85546875" defaultRowHeight="15"/>
  <cols>
    <col min="1" max="1" width="30.7109375" customWidth="1"/>
    <col min="2" max="52" width="10.85546875" style="21" customWidth="1"/>
  </cols>
  <sheetData>
    <row r="1" spans="1:52" ht="15.75" thickBot="1">
      <c r="A1" s="6" t="s">
        <v>99</v>
      </c>
    </row>
    <row r="2" spans="1:52" ht="15.75" thickBot="1">
      <c r="A2" s="34"/>
      <c r="B2" s="23" t="s">
        <v>44</v>
      </c>
      <c r="C2" s="23" t="s">
        <v>45</v>
      </c>
      <c r="D2" s="23" t="s">
        <v>46</v>
      </c>
      <c r="E2" s="23" t="s">
        <v>47</v>
      </c>
      <c r="F2" s="23" t="s">
        <v>48</v>
      </c>
      <c r="G2" s="23" t="s">
        <v>49</v>
      </c>
      <c r="H2" s="23" t="s">
        <v>50</v>
      </c>
      <c r="I2" s="23" t="s">
        <v>51</v>
      </c>
      <c r="J2" s="23" t="s">
        <v>52</v>
      </c>
      <c r="K2" s="23" t="s">
        <v>53</v>
      </c>
      <c r="L2" s="23" t="s">
        <v>54</v>
      </c>
      <c r="M2" s="23" t="s">
        <v>55</v>
      </c>
      <c r="N2" s="23" t="s">
        <v>56</v>
      </c>
      <c r="O2" s="23" t="s">
        <v>57</v>
      </c>
      <c r="P2" s="23" t="s">
        <v>58</v>
      </c>
      <c r="Q2" s="23" t="s">
        <v>59</v>
      </c>
      <c r="R2" s="23" t="s">
        <v>60</v>
      </c>
      <c r="S2" s="23" t="s">
        <v>61</v>
      </c>
      <c r="T2" s="23" t="s">
        <v>62</v>
      </c>
      <c r="U2" s="23" t="s">
        <v>63</v>
      </c>
      <c r="V2" s="23" t="s">
        <v>64</v>
      </c>
      <c r="W2" s="23" t="s">
        <v>65</v>
      </c>
      <c r="X2" s="23" t="s">
        <v>66</v>
      </c>
      <c r="Y2" s="23" t="s">
        <v>67</v>
      </c>
      <c r="Z2" s="23" t="s">
        <v>68</v>
      </c>
      <c r="AA2" s="23" t="s">
        <v>69</v>
      </c>
      <c r="AB2" s="23" t="s">
        <v>70</v>
      </c>
      <c r="AC2" s="23" t="s">
        <v>71</v>
      </c>
      <c r="AD2" s="23" t="s">
        <v>72</v>
      </c>
      <c r="AE2" s="23" t="s">
        <v>73</v>
      </c>
      <c r="AF2" s="23" t="s">
        <v>74</v>
      </c>
      <c r="AG2" s="23" t="s">
        <v>75</v>
      </c>
      <c r="AH2" s="23" t="s">
        <v>76</v>
      </c>
      <c r="AI2" s="23" t="s">
        <v>77</v>
      </c>
      <c r="AJ2" s="23" t="s">
        <v>78</v>
      </c>
      <c r="AK2" s="23" t="s">
        <v>79</v>
      </c>
      <c r="AL2" s="23" t="s">
        <v>80</v>
      </c>
      <c r="AM2" s="23" t="s">
        <v>81</v>
      </c>
      <c r="AN2" s="23" t="s">
        <v>82</v>
      </c>
      <c r="AO2" s="23" t="s">
        <v>83</v>
      </c>
      <c r="AP2" s="23" t="s">
        <v>84</v>
      </c>
      <c r="AQ2" s="23" t="s">
        <v>85</v>
      </c>
      <c r="AR2" s="23" t="s">
        <v>100</v>
      </c>
      <c r="AS2" s="23" t="s">
        <v>101</v>
      </c>
      <c r="AT2" s="23" t="s">
        <v>102</v>
      </c>
      <c r="AU2" s="23" t="s">
        <v>103</v>
      </c>
      <c r="AV2" s="23" t="s">
        <v>104</v>
      </c>
      <c r="AW2" s="23" t="s">
        <v>105</v>
      </c>
      <c r="AX2" s="23" t="s">
        <v>106</v>
      </c>
      <c r="AY2" s="23" t="s">
        <v>107</v>
      </c>
      <c r="AZ2" s="23" t="s">
        <v>108</v>
      </c>
    </row>
    <row r="3" spans="1:52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>
      <c r="A4" s="6" t="s">
        <v>2</v>
      </c>
      <c r="B4" s="35">
        <f>B224*B208</f>
        <v>886720.00000000012</v>
      </c>
      <c r="C4" s="35">
        <f t="shared" ref="C4:K4" si="0">C224*C208</f>
        <v>937720.00000000012</v>
      </c>
      <c r="D4" s="35">
        <f t="shared" si="0"/>
        <v>984640.00000000012</v>
      </c>
      <c r="E4" s="35">
        <f t="shared" si="0"/>
        <v>1004360.0000000001</v>
      </c>
      <c r="F4" s="35">
        <f t="shared" si="0"/>
        <v>1084600</v>
      </c>
      <c r="G4" s="35">
        <f t="shared" si="0"/>
        <v>1168512</v>
      </c>
      <c r="H4" s="35">
        <f t="shared" si="0"/>
        <v>1227400</v>
      </c>
      <c r="I4" s="35">
        <f t="shared" si="0"/>
        <v>1265208</v>
      </c>
      <c r="J4" s="35">
        <f t="shared" si="0"/>
        <v>1227264</v>
      </c>
      <c r="K4" s="35">
        <f t="shared" si="0"/>
        <v>1215160</v>
      </c>
      <c r="L4" s="35">
        <v>1255024.9478363423</v>
      </c>
      <c r="M4" s="35">
        <v>1264728.7489794067</v>
      </c>
      <c r="N4" s="35">
        <v>1300471.0831896944</v>
      </c>
      <c r="O4" s="35">
        <v>1326509.6162569174</v>
      </c>
      <c r="P4" s="35">
        <v>1353033.3393812936</v>
      </c>
      <c r="Q4" s="35">
        <v>1240954.4361788987</v>
      </c>
      <c r="R4" s="35">
        <v>1251790.3474553206</v>
      </c>
      <c r="S4" s="35">
        <v>1234323.5053978045</v>
      </c>
      <c r="T4" s="9">
        <v>1290120.3619704256</v>
      </c>
      <c r="U4" s="9">
        <f>U224*U208</f>
        <v>1387200</v>
      </c>
      <c r="V4" s="9">
        <f t="shared" ref="V4:AP4" si="1">V224*V208</f>
        <v>1373600</v>
      </c>
      <c r="W4" s="9">
        <f t="shared" si="1"/>
        <v>1292000</v>
      </c>
      <c r="X4" s="9">
        <f t="shared" si="1"/>
        <v>1339600</v>
      </c>
      <c r="Y4" s="9">
        <f t="shared" si="1"/>
        <v>1451392</v>
      </c>
      <c r="Z4" s="9">
        <f t="shared" si="1"/>
        <v>1459552</v>
      </c>
      <c r="AA4" s="9">
        <f t="shared" si="1"/>
        <v>1470432</v>
      </c>
      <c r="AB4" s="9">
        <f t="shared" si="1"/>
        <v>1487432</v>
      </c>
      <c r="AC4" s="9">
        <f t="shared" si="1"/>
        <v>1512456</v>
      </c>
      <c r="AD4" s="9">
        <f t="shared" si="1"/>
        <v>1542512</v>
      </c>
      <c r="AE4" s="9">
        <f t="shared" si="1"/>
        <v>1567400</v>
      </c>
      <c r="AF4" s="9">
        <f t="shared" si="1"/>
        <v>1593784</v>
      </c>
      <c r="AG4" s="9">
        <f t="shared" si="1"/>
        <v>1624656.0000000002</v>
      </c>
      <c r="AH4" s="9">
        <f t="shared" si="1"/>
        <v>1677832.0000000002</v>
      </c>
      <c r="AI4" s="9">
        <f t="shared" si="1"/>
        <v>1719992.0000000002</v>
      </c>
      <c r="AJ4" s="9">
        <f t="shared" si="1"/>
        <v>1760384.0000000002</v>
      </c>
      <c r="AK4" s="9">
        <f t="shared" si="1"/>
        <v>1799824.0000000002</v>
      </c>
      <c r="AL4" s="9">
        <f t="shared" si="1"/>
        <v>1844704.0000000002</v>
      </c>
      <c r="AM4" s="9">
        <f t="shared" si="1"/>
        <v>1897064.0000000002</v>
      </c>
      <c r="AN4" s="9">
        <f t="shared" si="1"/>
        <v>1949016.0000000002</v>
      </c>
      <c r="AO4" s="9">
        <f t="shared" si="1"/>
        <v>2009264.0000000002</v>
      </c>
      <c r="AP4" s="9">
        <f t="shared" si="1"/>
        <v>2076040.0000000002</v>
      </c>
      <c r="AQ4" s="9">
        <f>AQ224*AQ208</f>
        <v>2142816</v>
      </c>
      <c r="AR4" s="9">
        <f>AR224*AR208</f>
        <v>2142816.1359999999</v>
      </c>
      <c r="AS4" s="9">
        <f t="shared" ref="AS4:AZ4" si="2">AS224*AS208</f>
        <v>2142816.2720000003</v>
      </c>
      <c r="AT4" s="9">
        <f t="shared" si="2"/>
        <v>2142816.4080000003</v>
      </c>
      <c r="AU4" s="9">
        <f t="shared" si="2"/>
        <v>2142816.5440000002</v>
      </c>
      <c r="AV4" s="9">
        <f t="shared" si="2"/>
        <v>2142816.6800000002</v>
      </c>
      <c r="AW4" s="9">
        <f t="shared" si="2"/>
        <v>2142816.8160000001</v>
      </c>
      <c r="AX4" s="9">
        <f t="shared" si="2"/>
        <v>2142816.952</v>
      </c>
      <c r="AY4" s="9">
        <f t="shared" si="2"/>
        <v>2142817.088</v>
      </c>
      <c r="AZ4" s="9">
        <f t="shared" si="2"/>
        <v>2142817.2239999999</v>
      </c>
    </row>
    <row r="5" spans="1:52">
      <c r="A5" s="6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</row>
    <row r="6" spans="1:52">
      <c r="A6" s="10" t="s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</row>
    <row r="7" spans="1:52">
      <c r="A7" s="6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</row>
    <row r="8" spans="1:52">
      <c r="A8" s="6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</row>
    <row r="9" spans="1:52">
      <c r="A9" s="6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</row>
    <row r="10" spans="1:52">
      <c r="A10" s="6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</row>
    <row r="11" spans="1:52">
      <c r="A11" s="6" t="s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2">
      <c r="A12" s="6" t="s">
        <v>10</v>
      </c>
      <c r="B12" s="7">
        <v>146</v>
      </c>
      <c r="C12" s="7">
        <v>22974</v>
      </c>
      <c r="D12" s="7">
        <f>'[2]Brazil Tallow Exports'!K$289</f>
        <v>13352</v>
      </c>
      <c r="E12" s="7">
        <f>'[2]Brazil Tallow Exports'!L$289</f>
        <v>4260</v>
      </c>
      <c r="F12" s="7">
        <f>'[2]Brazil Tallow Exports'!M$289</f>
        <v>46348</v>
      </c>
      <c r="G12" s="7">
        <f>'[2]Brazil Tallow Exports'!N$289</f>
        <v>44546</v>
      </c>
      <c r="H12" s="7">
        <f>'[2]Brazil Tallow Exports'!O$289</f>
        <v>12443</v>
      </c>
      <c r="I12" s="7">
        <f>'[2]Brazil Tallow Exports'!P$289</f>
        <v>18517</v>
      </c>
      <c r="J12" s="7">
        <f>'[2]Brazil Tallow Exports'!Q$289</f>
        <v>632</v>
      </c>
      <c r="K12" s="7">
        <f>'[2]Brazil Tallow Exports'!R$289</f>
        <v>3400</v>
      </c>
      <c r="L12" s="7">
        <f>'[2]Brazil Tallow Exports'!S$289</f>
        <v>5379</v>
      </c>
      <c r="M12" s="7">
        <f>'[2]Brazil Tallow Exports'!T$289</f>
        <v>261</v>
      </c>
      <c r="N12" s="7">
        <f>'[2]Brazil Tallow Exports'!U$289</f>
        <v>4054</v>
      </c>
      <c r="O12" s="7">
        <f>'[2]Brazil Tallow Exports'!V$289</f>
        <v>13865</v>
      </c>
      <c r="P12" s="7">
        <f>'[2]Brazil Tallow Exports'!W$289</f>
        <v>492</v>
      </c>
      <c r="Q12" s="7">
        <f>'[2]Brazil Tallow Exports'!X$289</f>
        <v>843</v>
      </c>
      <c r="R12" s="7">
        <f>'[2]Brazil Tallow Exports'!Y$289</f>
        <v>1323</v>
      </c>
      <c r="S12" s="7">
        <f>'[2]Brazil Tallow Exports'!Z$289</f>
        <v>9087</v>
      </c>
      <c r="T12" s="7">
        <f>'[2]Brazil Tallow Exports'!AA$289</f>
        <v>2050</v>
      </c>
      <c r="U12" s="7">
        <f>'[2]Brazil Tallow Exports'!AB$290</f>
        <v>10429</v>
      </c>
      <c r="V12" s="7">
        <f>'[2]Brazil Tallow Exports'!AC$290</f>
        <v>12239.842000000001</v>
      </c>
      <c r="W12" s="7">
        <f>'[2]Brazil Tallow Exports'!AD$290</f>
        <v>49500.042999999998</v>
      </c>
      <c r="X12" s="7">
        <f>'[2]Brazil Tallow Exports'!AE$290</f>
        <v>179342.05300000001</v>
      </c>
      <c r="Y12" s="7">
        <f>'[2]Brazil Tallow Exports'!AF$290</f>
        <v>540398.88800000004</v>
      </c>
      <c r="Z12" s="9">
        <f>(SUM(T12:Y12)/SUM(T4:Y4))*Z4*2.5*2.5</f>
        <v>890427.63216871943</v>
      </c>
      <c r="AA12" s="9">
        <f>(SUM(U12:Z12)/SUM(U4:Z4))*AA4*3.5</f>
        <v>1042732.8937009973</v>
      </c>
      <c r="AB12" s="9">
        <f>(SUM(V12:AA12)/SUM(V4:AA4))*AB4*2.25</f>
        <v>1083296.6796475847</v>
      </c>
      <c r="AC12" s="9">
        <f>(SUM(W12:AB12)/SUM(W4:AB4))*AC4*1.63</f>
        <v>1097934.8477987249</v>
      </c>
      <c r="AD12" s="9">
        <f>(SUM(X12:AC12)/SUM(X4:AC4))*AD4*1.3</f>
        <v>1111555.0706130634</v>
      </c>
      <c r="AE12" s="9">
        <f>(SUM(Y12:AD12)/SUM(Y4:AD4))*AE4*1.1</f>
        <v>1114101.0053375857</v>
      </c>
      <c r="AF12" s="9">
        <f>(SUM(Z12:AE12)/SUM(Z4:AE4))*AF4</f>
        <v>1117799.6363248455</v>
      </c>
      <c r="AG12" s="9">
        <f t="shared" ref="AG12:AN12" si="3">(SUM(AA12:AF12)/SUM(AA4:AF4))*AG4</f>
        <v>1163045.5543445919</v>
      </c>
      <c r="AH12" s="9">
        <f t="shared" si="3"/>
        <v>1202894.8750604626</v>
      </c>
      <c r="AI12" s="9">
        <f t="shared" si="3"/>
        <v>1230065.9383332531</v>
      </c>
      <c r="AJ12" s="9">
        <f t="shared" si="3"/>
        <v>1256004.2111373493</v>
      </c>
      <c r="AK12" s="9">
        <f t="shared" si="3"/>
        <v>1282153.2467053402</v>
      </c>
      <c r="AL12" s="9">
        <f t="shared" si="3"/>
        <v>1314574.0494379147</v>
      </c>
      <c r="AM12" s="9">
        <f t="shared" si="3"/>
        <v>1355155.005981829</v>
      </c>
      <c r="AN12" s="9">
        <f t="shared" si="3"/>
        <v>1391814.2108460027</v>
      </c>
      <c r="AO12" s="9">
        <f>(SUM(AI12:AN12)/SUM(AI4:AN4))*AO4</f>
        <v>1433970.5794160522</v>
      </c>
      <c r="AP12" s="9">
        <f>(SUM(AJ12:AO12)/SUM(AJ4:AO4))*AP4</f>
        <v>1481158.4188644537</v>
      </c>
      <c r="AQ12" s="9">
        <f t="shared" ref="AQ12:AW12" si="4">(SUM(AK12:AP12)/SUM(AK4:AP4))*AQ4</f>
        <v>1528790.4267688014</v>
      </c>
      <c r="AR12" s="9">
        <f>(SUM(AL12:AQ12)/SUM(AL4:AQ4))*AR4</f>
        <v>1529137.4692753532</v>
      </c>
      <c r="AS12" s="9">
        <f t="shared" si="4"/>
        <v>1529458.0636741528</v>
      </c>
      <c r="AT12" s="9">
        <f t="shared" si="4"/>
        <v>1529268.125444707</v>
      </c>
      <c r="AU12" s="9">
        <f t="shared" si="4"/>
        <v>1529123.295134787</v>
      </c>
      <c r="AV12" s="9">
        <f t="shared" si="4"/>
        <v>1529098.0997958267</v>
      </c>
      <c r="AW12" s="9">
        <f t="shared" si="4"/>
        <v>1529146.253029685</v>
      </c>
      <c r="AX12" s="9">
        <f t="shared" ref="AX12:AZ12" si="5">(SUM(AR12:AW12)/SUM(AR4:AW4))*AX4</f>
        <v>1529205.5574196512</v>
      </c>
      <c r="AY12" s="9">
        <f t="shared" si="5"/>
        <v>1529216.9054461999</v>
      </c>
      <c r="AZ12" s="9">
        <f t="shared" si="5"/>
        <v>1529176.712399258</v>
      </c>
    </row>
    <row r="13" spans="1:52">
      <c r="A13" s="10" t="s">
        <v>11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</row>
    <row r="14" spans="1:52">
      <c r="A14" t="s">
        <v>12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>
      <c r="A15" s="6" t="s">
        <v>13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</row>
    <row r="16" spans="1:52" ht="15.75" thickBot="1">
      <c r="A16" s="6" t="s">
        <v>14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>
      <c r="A17" s="17" t="s">
        <v>15</v>
      </c>
      <c r="B17" s="18"/>
      <c r="C17" s="18"/>
      <c r="D17" s="18"/>
      <c r="E17" s="18"/>
      <c r="F17" s="18"/>
      <c r="G17" s="18"/>
      <c r="H17" s="18"/>
      <c r="I17" s="18"/>
      <c r="J17" s="40">
        <f t="shared" ref="J17:W17" si="6">J12/J4</f>
        <v>5.1496662494785145E-4</v>
      </c>
      <c r="K17" s="40">
        <f t="shared" si="6"/>
        <v>2.7979854504756574E-3</v>
      </c>
      <c r="L17" s="40">
        <f t="shared" si="6"/>
        <v>4.2859705771374291E-3</v>
      </c>
      <c r="M17" s="40">
        <f t="shared" si="6"/>
        <v>2.0636836176185462E-4</v>
      </c>
      <c r="N17" s="40">
        <f t="shared" si="6"/>
        <v>3.1173319056481161E-3</v>
      </c>
      <c r="O17" s="40">
        <f t="shared" si="6"/>
        <v>1.0452242358501408E-2</v>
      </c>
      <c r="P17" s="40">
        <f t="shared" si="6"/>
        <v>3.6362740346441026E-4</v>
      </c>
      <c r="Q17" s="40">
        <f t="shared" si="6"/>
        <v>6.793158357979159E-4</v>
      </c>
      <c r="R17" s="40">
        <f t="shared" si="6"/>
        <v>1.0568862451203883E-3</v>
      </c>
      <c r="S17" s="40">
        <f t="shared" si="6"/>
        <v>7.3619273717641731E-3</v>
      </c>
      <c r="T17" s="40">
        <f t="shared" si="6"/>
        <v>1.5889990270899963E-3</v>
      </c>
      <c r="U17" s="40">
        <f t="shared" si="6"/>
        <v>7.5180219146482119E-3</v>
      </c>
      <c r="V17" s="40">
        <f t="shared" si="6"/>
        <v>8.9107760629004076E-3</v>
      </c>
      <c r="W17" s="40">
        <f t="shared" si="6"/>
        <v>3.8312726780185755E-2</v>
      </c>
      <c r="X17" s="40">
        <f>X12/X4</f>
        <v>0.13387731636309347</v>
      </c>
      <c r="Y17" s="40">
        <f t="shared" ref="Y17:AP17" si="7">Y12/Y4</f>
        <v>0.37233145008378166</v>
      </c>
      <c r="Z17" s="40">
        <f>Z12/Z4</f>
        <v>0.6100691391390779</v>
      </c>
      <c r="AA17" s="40">
        <f>AA12/AA4</f>
        <v>0.7091337060816123</v>
      </c>
      <c r="AB17" s="40">
        <f t="shared" si="7"/>
        <v>0.72829996910620765</v>
      </c>
      <c r="AC17" s="40">
        <f t="shared" si="7"/>
        <v>0.72592845530628658</v>
      </c>
      <c r="AD17" s="40">
        <f t="shared" si="7"/>
        <v>0.72061356450586023</v>
      </c>
      <c r="AE17" s="40">
        <f t="shared" si="7"/>
        <v>0.71079558845067359</v>
      </c>
      <c r="AF17" s="40">
        <f t="shared" si="7"/>
        <v>0.70134951557102188</v>
      </c>
      <c r="AG17" s="40">
        <f t="shared" si="7"/>
        <v>0.71587188570663063</v>
      </c>
      <c r="AH17" s="40">
        <f t="shared" si="7"/>
        <v>0.71693404051207898</v>
      </c>
      <c r="AI17" s="40">
        <f t="shared" si="7"/>
        <v>0.71515794162603841</v>
      </c>
      <c r="AJ17" s="40">
        <f t="shared" si="7"/>
        <v>0.71348308729081211</v>
      </c>
      <c r="AK17" s="40">
        <f t="shared" si="7"/>
        <v>0.71237701392210573</v>
      </c>
      <c r="AL17" s="40">
        <f t="shared" si="7"/>
        <v>0.71262058814742879</v>
      </c>
      <c r="AM17" s="40">
        <f t="shared" si="7"/>
        <v>0.71434332525514632</v>
      </c>
      <c r="AN17" s="40">
        <f t="shared" si="7"/>
        <v>0.71411122886933842</v>
      </c>
      <c r="AO17" s="40">
        <f t="shared" si="7"/>
        <v>0.71367952614293195</v>
      </c>
      <c r="AP17" s="40">
        <f t="shared" si="7"/>
        <v>0.71345369976708228</v>
      </c>
      <c r="AQ17" s="40">
        <f>AQ12/AQ4</f>
        <v>0.71344923071733712</v>
      </c>
      <c r="AR17" s="40">
        <f t="shared" ref="AR17:AZ17" si="8">AR12/AR4</f>
        <v>0.71361114170523177</v>
      </c>
      <c r="AS17" s="40">
        <f t="shared" si="8"/>
        <v>0.7137607099868768</v>
      </c>
      <c r="AT17" s="40">
        <f t="shared" si="8"/>
        <v>0.71367202516059269</v>
      </c>
      <c r="AU17" s="40">
        <f t="shared" si="8"/>
        <v>0.71360439110684171</v>
      </c>
      <c r="AV17" s="40">
        <f t="shared" si="8"/>
        <v>0.71359258776902301</v>
      </c>
      <c r="AW17" s="40">
        <f t="shared" si="8"/>
        <v>0.7136150144108655</v>
      </c>
      <c r="AX17" s="40">
        <f t="shared" si="8"/>
        <v>0.71364264502031582</v>
      </c>
      <c r="AY17" s="40">
        <f t="shared" si="8"/>
        <v>0.71364789557166342</v>
      </c>
      <c r="AZ17" s="40">
        <f t="shared" si="8"/>
        <v>0.7136290931733047</v>
      </c>
    </row>
    <row r="19" spans="1:52" ht="15.75" thickBot="1">
      <c r="A19" s="20" t="s">
        <v>16</v>
      </c>
    </row>
    <row r="20" spans="1:52" ht="15.75" thickBot="1">
      <c r="A20" s="22"/>
      <c r="B20" s="23" t="str">
        <f>B2</f>
        <v>2000</v>
      </c>
      <c r="C20" s="23" t="str">
        <f t="shared" ref="C20:AP20" si="9">C2</f>
        <v>2001</v>
      </c>
      <c r="D20" s="23" t="str">
        <f t="shared" si="9"/>
        <v>2002</v>
      </c>
      <c r="E20" s="23" t="str">
        <f t="shared" si="9"/>
        <v>2003</v>
      </c>
      <c r="F20" s="23" t="str">
        <f t="shared" si="9"/>
        <v>2004</v>
      </c>
      <c r="G20" s="23" t="str">
        <f t="shared" si="9"/>
        <v>2005</v>
      </c>
      <c r="H20" s="23" t="str">
        <f t="shared" si="9"/>
        <v>2006</v>
      </c>
      <c r="I20" s="23" t="str">
        <f t="shared" si="9"/>
        <v>2007</v>
      </c>
      <c r="J20" s="23" t="str">
        <f t="shared" si="9"/>
        <v>2008</v>
      </c>
      <c r="K20" s="23" t="str">
        <f t="shared" si="9"/>
        <v>2009</v>
      </c>
      <c r="L20" s="23" t="str">
        <f t="shared" si="9"/>
        <v>2010</v>
      </c>
      <c r="M20" s="23" t="str">
        <f t="shared" si="9"/>
        <v>2011</v>
      </c>
      <c r="N20" s="23" t="str">
        <f t="shared" si="9"/>
        <v>2012</v>
      </c>
      <c r="O20" s="23" t="str">
        <f t="shared" si="9"/>
        <v>2013</v>
      </c>
      <c r="P20" s="23" t="str">
        <f t="shared" si="9"/>
        <v>2014</v>
      </c>
      <c r="Q20" s="23" t="str">
        <f t="shared" si="9"/>
        <v>2015</v>
      </c>
      <c r="R20" s="23" t="str">
        <f t="shared" si="9"/>
        <v>2016</v>
      </c>
      <c r="S20" s="23" t="str">
        <f t="shared" si="9"/>
        <v>2017</v>
      </c>
      <c r="T20" s="23" t="str">
        <f t="shared" si="9"/>
        <v>2018</v>
      </c>
      <c r="U20" s="23" t="str">
        <f t="shared" si="9"/>
        <v>2019</v>
      </c>
      <c r="V20" s="23" t="str">
        <f t="shared" si="9"/>
        <v>2020</v>
      </c>
      <c r="W20" s="23" t="str">
        <f t="shared" si="9"/>
        <v>2021</v>
      </c>
      <c r="X20" s="23" t="str">
        <f t="shared" si="9"/>
        <v>2022</v>
      </c>
      <c r="Y20" s="23" t="str">
        <f t="shared" si="9"/>
        <v>2023</v>
      </c>
      <c r="Z20" s="23" t="str">
        <f t="shared" si="9"/>
        <v>2024</v>
      </c>
      <c r="AA20" s="23" t="str">
        <f t="shared" si="9"/>
        <v>2025</v>
      </c>
      <c r="AB20" s="23" t="str">
        <f t="shared" si="9"/>
        <v>2026</v>
      </c>
      <c r="AC20" s="23" t="str">
        <f t="shared" si="9"/>
        <v>2027</v>
      </c>
      <c r="AD20" s="23" t="str">
        <f t="shared" si="9"/>
        <v>2028</v>
      </c>
      <c r="AE20" s="23" t="str">
        <f t="shared" si="9"/>
        <v>2029</v>
      </c>
      <c r="AF20" s="23" t="str">
        <f t="shared" si="9"/>
        <v>2030</v>
      </c>
      <c r="AG20" s="23" t="str">
        <f t="shared" si="9"/>
        <v>2031</v>
      </c>
      <c r="AH20" s="23" t="str">
        <f t="shared" si="9"/>
        <v>2032</v>
      </c>
      <c r="AI20" s="23" t="str">
        <f t="shared" si="9"/>
        <v>2033</v>
      </c>
      <c r="AJ20" s="23" t="str">
        <f t="shared" si="9"/>
        <v>2034</v>
      </c>
      <c r="AK20" s="23" t="str">
        <f t="shared" si="9"/>
        <v>2035</v>
      </c>
      <c r="AL20" s="23" t="str">
        <f t="shared" si="9"/>
        <v>2036</v>
      </c>
      <c r="AM20" s="23" t="str">
        <f t="shared" si="9"/>
        <v>2037</v>
      </c>
      <c r="AN20" s="23" t="str">
        <f t="shared" si="9"/>
        <v>2038</v>
      </c>
      <c r="AO20" s="23" t="str">
        <f t="shared" si="9"/>
        <v>2039</v>
      </c>
      <c r="AP20" s="23" t="str">
        <f t="shared" si="9"/>
        <v>2040</v>
      </c>
      <c r="AQ20" s="23" t="str">
        <f>AQ2</f>
        <v>2041</v>
      </c>
      <c r="AR20" s="23" t="str">
        <f t="shared" ref="AR20:AZ20" si="10">AR2</f>
        <v>2042</v>
      </c>
      <c r="AS20" s="23" t="str">
        <f t="shared" si="10"/>
        <v>2043</v>
      </c>
      <c r="AT20" s="23" t="str">
        <f t="shared" si="10"/>
        <v>2044</v>
      </c>
      <c r="AU20" s="23" t="str">
        <f t="shared" si="10"/>
        <v>2045</v>
      </c>
      <c r="AV20" s="23" t="str">
        <f t="shared" si="10"/>
        <v>2046</v>
      </c>
      <c r="AW20" s="23" t="str">
        <f t="shared" si="10"/>
        <v>2047</v>
      </c>
      <c r="AX20" s="23" t="str">
        <f t="shared" si="10"/>
        <v>2048</v>
      </c>
      <c r="AY20" s="23" t="str">
        <f t="shared" si="10"/>
        <v>2049</v>
      </c>
      <c r="AZ20" s="23" t="str">
        <f t="shared" si="10"/>
        <v>2050</v>
      </c>
    </row>
    <row r="21" spans="1:52">
      <c r="A21" s="20" t="s">
        <v>17</v>
      </c>
    </row>
    <row r="22" spans="1:52">
      <c r="A22" s="20" t="s">
        <v>18</v>
      </c>
    </row>
    <row r="23" spans="1:52">
      <c r="A23" s="20" t="s">
        <v>19</v>
      </c>
    </row>
    <row r="24" spans="1:52">
      <c r="A24" s="20" t="s">
        <v>20</v>
      </c>
    </row>
    <row r="25" spans="1:52">
      <c r="A25" s="20" t="s">
        <v>21</v>
      </c>
    </row>
    <row r="26" spans="1:52">
      <c r="A26" s="20" t="s">
        <v>22</v>
      </c>
    </row>
    <row r="27" spans="1:52">
      <c r="A27" s="20" t="s">
        <v>23</v>
      </c>
    </row>
    <row r="28" spans="1:52">
      <c r="A28" s="20" t="s">
        <v>24</v>
      </c>
    </row>
    <row r="29" spans="1:52">
      <c r="A29" s="20" t="s">
        <v>25</v>
      </c>
    </row>
    <row r="30" spans="1:52">
      <c r="A30" s="20" t="s">
        <v>26</v>
      </c>
    </row>
    <row r="31" spans="1:52">
      <c r="A31" s="20" t="s">
        <v>27</v>
      </c>
    </row>
    <row r="32" spans="1:52">
      <c r="A32" s="20" t="s">
        <v>28</v>
      </c>
    </row>
    <row r="33" spans="1:52" ht="15.75" thickBot="1">
      <c r="A33" s="20" t="s">
        <v>29</v>
      </c>
    </row>
    <row r="34" spans="1:52">
      <c r="A34" s="25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</row>
    <row r="35" spans="1:52" ht="15.75" thickBot="1">
      <c r="A35" s="20" t="s">
        <v>30</v>
      </c>
    </row>
    <row r="36" spans="1:52" ht="15.75" thickBot="1">
      <c r="A36" s="22"/>
      <c r="B36" s="23" t="str">
        <f>B20</f>
        <v>2000</v>
      </c>
      <c r="C36" s="23" t="str">
        <f t="shared" ref="C36:AP36" si="11">C20</f>
        <v>2001</v>
      </c>
      <c r="D36" s="23" t="str">
        <f t="shared" si="11"/>
        <v>2002</v>
      </c>
      <c r="E36" s="23" t="str">
        <f t="shared" si="11"/>
        <v>2003</v>
      </c>
      <c r="F36" s="23" t="str">
        <f t="shared" si="11"/>
        <v>2004</v>
      </c>
      <c r="G36" s="23" t="str">
        <f t="shared" si="11"/>
        <v>2005</v>
      </c>
      <c r="H36" s="23" t="str">
        <f t="shared" si="11"/>
        <v>2006</v>
      </c>
      <c r="I36" s="23" t="str">
        <f t="shared" si="11"/>
        <v>2007</v>
      </c>
      <c r="J36" s="23" t="str">
        <f t="shared" si="11"/>
        <v>2008</v>
      </c>
      <c r="K36" s="23" t="str">
        <f t="shared" si="11"/>
        <v>2009</v>
      </c>
      <c r="L36" s="23" t="str">
        <f t="shared" si="11"/>
        <v>2010</v>
      </c>
      <c r="M36" s="23" t="str">
        <f t="shared" si="11"/>
        <v>2011</v>
      </c>
      <c r="N36" s="23" t="str">
        <f t="shared" si="11"/>
        <v>2012</v>
      </c>
      <c r="O36" s="23" t="str">
        <f t="shared" si="11"/>
        <v>2013</v>
      </c>
      <c r="P36" s="23" t="str">
        <f t="shared" si="11"/>
        <v>2014</v>
      </c>
      <c r="Q36" s="23" t="str">
        <f t="shared" si="11"/>
        <v>2015</v>
      </c>
      <c r="R36" s="23" t="str">
        <f t="shared" si="11"/>
        <v>2016</v>
      </c>
      <c r="S36" s="23" t="str">
        <f t="shared" si="11"/>
        <v>2017</v>
      </c>
      <c r="T36" s="23" t="str">
        <f t="shared" si="11"/>
        <v>2018</v>
      </c>
      <c r="U36" s="23" t="str">
        <f t="shared" si="11"/>
        <v>2019</v>
      </c>
      <c r="V36" s="23" t="str">
        <f t="shared" si="11"/>
        <v>2020</v>
      </c>
      <c r="W36" s="23" t="str">
        <f t="shared" si="11"/>
        <v>2021</v>
      </c>
      <c r="X36" s="23" t="str">
        <f t="shared" si="11"/>
        <v>2022</v>
      </c>
      <c r="Y36" s="23" t="str">
        <f t="shared" si="11"/>
        <v>2023</v>
      </c>
      <c r="Z36" s="23" t="str">
        <f t="shared" si="11"/>
        <v>2024</v>
      </c>
      <c r="AA36" s="23" t="str">
        <f t="shared" si="11"/>
        <v>2025</v>
      </c>
      <c r="AB36" s="23" t="str">
        <f t="shared" si="11"/>
        <v>2026</v>
      </c>
      <c r="AC36" s="23" t="str">
        <f t="shared" si="11"/>
        <v>2027</v>
      </c>
      <c r="AD36" s="23" t="str">
        <f t="shared" si="11"/>
        <v>2028</v>
      </c>
      <c r="AE36" s="23" t="str">
        <f t="shared" si="11"/>
        <v>2029</v>
      </c>
      <c r="AF36" s="23" t="str">
        <f t="shared" si="11"/>
        <v>2030</v>
      </c>
      <c r="AG36" s="23" t="str">
        <f t="shared" si="11"/>
        <v>2031</v>
      </c>
      <c r="AH36" s="23" t="str">
        <f t="shared" si="11"/>
        <v>2032</v>
      </c>
      <c r="AI36" s="23" t="str">
        <f t="shared" si="11"/>
        <v>2033</v>
      </c>
      <c r="AJ36" s="23" t="str">
        <f t="shared" si="11"/>
        <v>2034</v>
      </c>
      <c r="AK36" s="23" t="str">
        <f t="shared" si="11"/>
        <v>2035</v>
      </c>
      <c r="AL36" s="23" t="str">
        <f t="shared" si="11"/>
        <v>2036</v>
      </c>
      <c r="AM36" s="23" t="str">
        <f t="shared" si="11"/>
        <v>2037</v>
      </c>
      <c r="AN36" s="23" t="str">
        <f t="shared" si="11"/>
        <v>2038</v>
      </c>
      <c r="AO36" s="23" t="str">
        <f t="shared" si="11"/>
        <v>2039</v>
      </c>
      <c r="AP36" s="23" t="str">
        <f t="shared" si="11"/>
        <v>2040</v>
      </c>
      <c r="AQ36" s="23" t="str">
        <f>AQ20</f>
        <v>2041</v>
      </c>
      <c r="AR36" s="23" t="str">
        <f t="shared" ref="AR36:AZ36" si="12">AR20</f>
        <v>2042</v>
      </c>
      <c r="AS36" s="23" t="str">
        <f t="shared" si="12"/>
        <v>2043</v>
      </c>
      <c r="AT36" s="23" t="str">
        <f t="shared" si="12"/>
        <v>2044</v>
      </c>
      <c r="AU36" s="23" t="str">
        <f t="shared" si="12"/>
        <v>2045</v>
      </c>
      <c r="AV36" s="23" t="str">
        <f t="shared" si="12"/>
        <v>2046</v>
      </c>
      <c r="AW36" s="23" t="str">
        <f t="shared" si="12"/>
        <v>2047</v>
      </c>
      <c r="AX36" s="23" t="str">
        <f t="shared" si="12"/>
        <v>2048</v>
      </c>
      <c r="AY36" s="23" t="str">
        <f t="shared" si="12"/>
        <v>2049</v>
      </c>
      <c r="AZ36" s="23" t="str">
        <f t="shared" si="12"/>
        <v>2050</v>
      </c>
    </row>
    <row r="37" spans="1:52">
      <c r="A37" s="20" t="s">
        <v>17</v>
      </c>
    </row>
    <row r="38" spans="1:52">
      <c r="A38" s="20" t="s">
        <v>18</v>
      </c>
    </row>
    <row r="39" spans="1:52">
      <c r="A39" s="20" t="s">
        <v>19</v>
      </c>
    </row>
    <row r="40" spans="1:52">
      <c r="A40" s="20" t="s">
        <v>20</v>
      </c>
    </row>
    <row r="41" spans="1:52">
      <c r="A41" s="20" t="s">
        <v>21</v>
      </c>
    </row>
    <row r="42" spans="1:52">
      <c r="A42" s="20" t="s">
        <v>22</v>
      </c>
    </row>
    <row r="43" spans="1:52">
      <c r="A43" s="20" t="s">
        <v>23</v>
      </c>
    </row>
    <row r="44" spans="1:52">
      <c r="A44" s="20" t="s">
        <v>24</v>
      </c>
    </row>
    <row r="45" spans="1:52">
      <c r="A45" s="20" t="s">
        <v>25</v>
      </c>
    </row>
    <row r="46" spans="1:52">
      <c r="A46" s="20" t="s">
        <v>26</v>
      </c>
    </row>
    <row r="47" spans="1:52">
      <c r="A47" s="20" t="s">
        <v>27</v>
      </c>
    </row>
    <row r="48" spans="1:52">
      <c r="A48" s="20" t="s">
        <v>28</v>
      </c>
    </row>
    <row r="49" spans="1:52" ht="15.75" thickBot="1">
      <c r="A49" s="20" t="s">
        <v>29</v>
      </c>
    </row>
    <row r="50" spans="1:52">
      <c r="A50" s="25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</row>
    <row r="51" spans="1:52" ht="15.75" thickBot="1">
      <c r="A51" s="20" t="s">
        <v>31</v>
      </c>
    </row>
    <row r="52" spans="1:52" ht="15.75" thickBot="1">
      <c r="A52" s="22"/>
      <c r="B52" s="23" t="str">
        <f>B36</f>
        <v>2000</v>
      </c>
      <c r="C52" s="23" t="str">
        <f t="shared" ref="C52:AP52" si="13">C36</f>
        <v>2001</v>
      </c>
      <c r="D52" s="23" t="str">
        <f t="shared" si="13"/>
        <v>2002</v>
      </c>
      <c r="E52" s="23" t="str">
        <f t="shared" si="13"/>
        <v>2003</v>
      </c>
      <c r="F52" s="23" t="str">
        <f t="shared" si="13"/>
        <v>2004</v>
      </c>
      <c r="G52" s="23" t="str">
        <f t="shared" si="13"/>
        <v>2005</v>
      </c>
      <c r="H52" s="23" t="str">
        <f t="shared" si="13"/>
        <v>2006</v>
      </c>
      <c r="I52" s="23" t="str">
        <f t="shared" si="13"/>
        <v>2007</v>
      </c>
      <c r="J52" s="23" t="str">
        <f t="shared" si="13"/>
        <v>2008</v>
      </c>
      <c r="K52" s="23" t="str">
        <f t="shared" si="13"/>
        <v>2009</v>
      </c>
      <c r="L52" s="23" t="str">
        <f t="shared" si="13"/>
        <v>2010</v>
      </c>
      <c r="M52" s="23" t="str">
        <f t="shared" si="13"/>
        <v>2011</v>
      </c>
      <c r="N52" s="23" t="str">
        <f t="shared" si="13"/>
        <v>2012</v>
      </c>
      <c r="O52" s="23" t="str">
        <f t="shared" si="13"/>
        <v>2013</v>
      </c>
      <c r="P52" s="23" t="str">
        <f t="shared" si="13"/>
        <v>2014</v>
      </c>
      <c r="Q52" s="23" t="str">
        <f t="shared" si="13"/>
        <v>2015</v>
      </c>
      <c r="R52" s="23" t="str">
        <f t="shared" si="13"/>
        <v>2016</v>
      </c>
      <c r="S52" s="23" t="str">
        <f t="shared" si="13"/>
        <v>2017</v>
      </c>
      <c r="T52" s="23" t="str">
        <f t="shared" si="13"/>
        <v>2018</v>
      </c>
      <c r="U52" s="23" t="str">
        <f t="shared" si="13"/>
        <v>2019</v>
      </c>
      <c r="V52" s="23" t="str">
        <f t="shared" si="13"/>
        <v>2020</v>
      </c>
      <c r="W52" s="23" t="str">
        <f t="shared" si="13"/>
        <v>2021</v>
      </c>
      <c r="X52" s="23" t="str">
        <f t="shared" si="13"/>
        <v>2022</v>
      </c>
      <c r="Y52" s="23" t="str">
        <f t="shared" si="13"/>
        <v>2023</v>
      </c>
      <c r="Z52" s="23" t="str">
        <f t="shared" si="13"/>
        <v>2024</v>
      </c>
      <c r="AA52" s="23" t="str">
        <f t="shared" si="13"/>
        <v>2025</v>
      </c>
      <c r="AB52" s="23" t="str">
        <f t="shared" si="13"/>
        <v>2026</v>
      </c>
      <c r="AC52" s="23" t="str">
        <f t="shared" si="13"/>
        <v>2027</v>
      </c>
      <c r="AD52" s="23" t="str">
        <f t="shared" si="13"/>
        <v>2028</v>
      </c>
      <c r="AE52" s="23" t="str">
        <f t="shared" si="13"/>
        <v>2029</v>
      </c>
      <c r="AF52" s="23" t="str">
        <f t="shared" si="13"/>
        <v>2030</v>
      </c>
      <c r="AG52" s="23" t="str">
        <f t="shared" si="13"/>
        <v>2031</v>
      </c>
      <c r="AH52" s="23" t="str">
        <f t="shared" si="13"/>
        <v>2032</v>
      </c>
      <c r="AI52" s="23" t="str">
        <f t="shared" si="13"/>
        <v>2033</v>
      </c>
      <c r="AJ52" s="23" t="str">
        <f t="shared" si="13"/>
        <v>2034</v>
      </c>
      <c r="AK52" s="23" t="str">
        <f t="shared" si="13"/>
        <v>2035</v>
      </c>
      <c r="AL52" s="23" t="str">
        <f t="shared" si="13"/>
        <v>2036</v>
      </c>
      <c r="AM52" s="23" t="str">
        <f t="shared" si="13"/>
        <v>2037</v>
      </c>
      <c r="AN52" s="23" t="str">
        <f t="shared" si="13"/>
        <v>2038</v>
      </c>
      <c r="AO52" s="23" t="str">
        <f t="shared" si="13"/>
        <v>2039</v>
      </c>
      <c r="AP52" s="23" t="str">
        <f t="shared" si="13"/>
        <v>2040</v>
      </c>
      <c r="AQ52" s="23" t="str">
        <f>AQ36</f>
        <v>2041</v>
      </c>
      <c r="AR52" s="23" t="str">
        <f t="shared" ref="AR52:AZ52" si="14">AR36</f>
        <v>2042</v>
      </c>
      <c r="AS52" s="23" t="str">
        <f t="shared" si="14"/>
        <v>2043</v>
      </c>
      <c r="AT52" s="23" t="str">
        <f t="shared" si="14"/>
        <v>2044</v>
      </c>
      <c r="AU52" s="23" t="str">
        <f t="shared" si="14"/>
        <v>2045</v>
      </c>
      <c r="AV52" s="23" t="str">
        <f t="shared" si="14"/>
        <v>2046</v>
      </c>
      <c r="AW52" s="23" t="str">
        <f t="shared" si="14"/>
        <v>2047</v>
      </c>
      <c r="AX52" s="23" t="str">
        <f t="shared" si="14"/>
        <v>2048</v>
      </c>
      <c r="AY52" s="23" t="str">
        <f t="shared" si="14"/>
        <v>2049</v>
      </c>
      <c r="AZ52" s="23" t="str">
        <f t="shared" si="14"/>
        <v>2050</v>
      </c>
    </row>
    <row r="53" spans="1:52">
      <c r="A53" s="20" t="s">
        <v>17</v>
      </c>
    </row>
    <row r="54" spans="1:52">
      <c r="A54" s="20" t="s">
        <v>18</v>
      </c>
    </row>
    <row r="55" spans="1:52">
      <c r="A55" s="20" t="s">
        <v>19</v>
      </c>
    </row>
    <row r="56" spans="1:52">
      <c r="A56" s="20" t="s">
        <v>20</v>
      </c>
    </row>
    <row r="57" spans="1:52">
      <c r="A57" s="20" t="s">
        <v>21</v>
      </c>
    </row>
    <row r="58" spans="1:52">
      <c r="A58" s="20" t="s">
        <v>22</v>
      </c>
    </row>
    <row r="59" spans="1:52">
      <c r="A59" s="20" t="s">
        <v>23</v>
      </c>
    </row>
    <row r="60" spans="1:52">
      <c r="A60" s="20" t="s">
        <v>24</v>
      </c>
    </row>
    <row r="61" spans="1:52">
      <c r="A61" s="20" t="s">
        <v>25</v>
      </c>
    </row>
    <row r="62" spans="1:52">
      <c r="A62" s="20" t="s">
        <v>26</v>
      </c>
    </row>
    <row r="63" spans="1:52">
      <c r="A63" s="20" t="s">
        <v>27</v>
      </c>
    </row>
    <row r="64" spans="1:52">
      <c r="A64" s="20" t="s">
        <v>28</v>
      </c>
    </row>
    <row r="65" spans="1:52" ht="15.75" thickBot="1">
      <c r="A65" s="20" t="s">
        <v>29</v>
      </c>
    </row>
    <row r="66" spans="1:52">
      <c r="A66" s="25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</row>
    <row r="67" spans="1:52" ht="15.75" thickBot="1">
      <c r="A67" s="20" t="s">
        <v>32</v>
      </c>
    </row>
    <row r="68" spans="1:52" ht="15.75" thickBot="1">
      <c r="A68" s="22"/>
      <c r="B68" s="23" t="str">
        <f>B52</f>
        <v>2000</v>
      </c>
      <c r="C68" s="23" t="str">
        <f t="shared" ref="C68:AP68" si="15">C52</f>
        <v>2001</v>
      </c>
      <c r="D68" s="23" t="str">
        <f t="shared" si="15"/>
        <v>2002</v>
      </c>
      <c r="E68" s="23" t="str">
        <f t="shared" si="15"/>
        <v>2003</v>
      </c>
      <c r="F68" s="23" t="str">
        <f t="shared" si="15"/>
        <v>2004</v>
      </c>
      <c r="G68" s="23" t="str">
        <f t="shared" si="15"/>
        <v>2005</v>
      </c>
      <c r="H68" s="23" t="str">
        <f t="shared" si="15"/>
        <v>2006</v>
      </c>
      <c r="I68" s="23" t="str">
        <f t="shared" si="15"/>
        <v>2007</v>
      </c>
      <c r="J68" s="23" t="str">
        <f t="shared" si="15"/>
        <v>2008</v>
      </c>
      <c r="K68" s="23" t="str">
        <f t="shared" si="15"/>
        <v>2009</v>
      </c>
      <c r="L68" s="23" t="str">
        <f t="shared" si="15"/>
        <v>2010</v>
      </c>
      <c r="M68" s="23" t="str">
        <f t="shared" si="15"/>
        <v>2011</v>
      </c>
      <c r="N68" s="23" t="str">
        <f t="shared" si="15"/>
        <v>2012</v>
      </c>
      <c r="O68" s="23" t="str">
        <f t="shared" si="15"/>
        <v>2013</v>
      </c>
      <c r="P68" s="23" t="str">
        <f t="shared" si="15"/>
        <v>2014</v>
      </c>
      <c r="Q68" s="23" t="str">
        <f t="shared" si="15"/>
        <v>2015</v>
      </c>
      <c r="R68" s="23" t="str">
        <f t="shared" si="15"/>
        <v>2016</v>
      </c>
      <c r="S68" s="23" t="str">
        <f t="shared" si="15"/>
        <v>2017</v>
      </c>
      <c r="T68" s="23" t="str">
        <f t="shared" si="15"/>
        <v>2018</v>
      </c>
      <c r="U68" s="23" t="str">
        <f t="shared" si="15"/>
        <v>2019</v>
      </c>
      <c r="V68" s="23" t="str">
        <f t="shared" si="15"/>
        <v>2020</v>
      </c>
      <c r="W68" s="23" t="str">
        <f t="shared" si="15"/>
        <v>2021</v>
      </c>
      <c r="X68" s="23" t="str">
        <f t="shared" si="15"/>
        <v>2022</v>
      </c>
      <c r="Y68" s="23" t="str">
        <f t="shared" si="15"/>
        <v>2023</v>
      </c>
      <c r="Z68" s="23" t="str">
        <f t="shared" si="15"/>
        <v>2024</v>
      </c>
      <c r="AA68" s="23" t="str">
        <f t="shared" si="15"/>
        <v>2025</v>
      </c>
      <c r="AB68" s="23" t="str">
        <f t="shared" si="15"/>
        <v>2026</v>
      </c>
      <c r="AC68" s="23" t="str">
        <f t="shared" si="15"/>
        <v>2027</v>
      </c>
      <c r="AD68" s="23" t="str">
        <f t="shared" si="15"/>
        <v>2028</v>
      </c>
      <c r="AE68" s="23" t="str">
        <f t="shared" si="15"/>
        <v>2029</v>
      </c>
      <c r="AF68" s="23" t="str">
        <f t="shared" si="15"/>
        <v>2030</v>
      </c>
      <c r="AG68" s="23" t="str">
        <f t="shared" si="15"/>
        <v>2031</v>
      </c>
      <c r="AH68" s="23" t="str">
        <f t="shared" si="15"/>
        <v>2032</v>
      </c>
      <c r="AI68" s="23" t="str">
        <f t="shared" si="15"/>
        <v>2033</v>
      </c>
      <c r="AJ68" s="23" t="str">
        <f t="shared" si="15"/>
        <v>2034</v>
      </c>
      <c r="AK68" s="23" t="str">
        <f t="shared" si="15"/>
        <v>2035</v>
      </c>
      <c r="AL68" s="23" t="str">
        <f t="shared" si="15"/>
        <v>2036</v>
      </c>
      <c r="AM68" s="23" t="str">
        <f t="shared" si="15"/>
        <v>2037</v>
      </c>
      <c r="AN68" s="23" t="str">
        <f t="shared" si="15"/>
        <v>2038</v>
      </c>
      <c r="AO68" s="23" t="str">
        <f t="shared" si="15"/>
        <v>2039</v>
      </c>
      <c r="AP68" s="23" t="str">
        <f t="shared" si="15"/>
        <v>2040</v>
      </c>
      <c r="AQ68" s="23" t="str">
        <f>AQ52</f>
        <v>2041</v>
      </c>
      <c r="AR68" s="23" t="str">
        <f t="shared" ref="AR68:AZ68" si="16">AR52</f>
        <v>2042</v>
      </c>
      <c r="AS68" s="23" t="str">
        <f t="shared" si="16"/>
        <v>2043</v>
      </c>
      <c r="AT68" s="23" t="str">
        <f t="shared" si="16"/>
        <v>2044</v>
      </c>
      <c r="AU68" s="23" t="str">
        <f t="shared" si="16"/>
        <v>2045</v>
      </c>
      <c r="AV68" s="23" t="str">
        <f t="shared" si="16"/>
        <v>2046</v>
      </c>
      <c r="AW68" s="23" t="str">
        <f t="shared" si="16"/>
        <v>2047</v>
      </c>
      <c r="AX68" s="23" t="str">
        <f t="shared" si="16"/>
        <v>2048</v>
      </c>
      <c r="AY68" s="23" t="str">
        <f t="shared" si="16"/>
        <v>2049</v>
      </c>
      <c r="AZ68" s="23" t="str">
        <f t="shared" si="16"/>
        <v>2050</v>
      </c>
    </row>
    <row r="69" spans="1:52">
      <c r="A69" s="20" t="s">
        <v>17</v>
      </c>
    </row>
    <row r="70" spans="1:52">
      <c r="A70" s="20" t="s">
        <v>18</v>
      </c>
    </row>
    <row r="71" spans="1:52">
      <c r="A71" s="20" t="s">
        <v>19</v>
      </c>
    </row>
    <row r="72" spans="1:52">
      <c r="A72" s="20" t="s">
        <v>20</v>
      </c>
    </row>
    <row r="73" spans="1:52">
      <c r="A73" s="20" t="s">
        <v>21</v>
      </c>
    </row>
    <row r="74" spans="1:52">
      <c r="A74" s="20" t="s">
        <v>22</v>
      </c>
    </row>
    <row r="75" spans="1:52">
      <c r="A75" s="20" t="s">
        <v>23</v>
      </c>
    </row>
    <row r="76" spans="1:52">
      <c r="A76" s="20" t="s">
        <v>24</v>
      </c>
    </row>
    <row r="77" spans="1:52">
      <c r="A77" s="20" t="s">
        <v>25</v>
      </c>
    </row>
    <row r="78" spans="1:52">
      <c r="A78" s="20" t="s">
        <v>26</v>
      </c>
    </row>
    <row r="79" spans="1:52">
      <c r="A79" s="20" t="s">
        <v>27</v>
      </c>
    </row>
    <row r="80" spans="1:52">
      <c r="A80" s="20" t="s">
        <v>28</v>
      </c>
    </row>
    <row r="81" spans="1:52" ht="15.75" thickBot="1">
      <c r="A81" s="20" t="s">
        <v>29</v>
      </c>
    </row>
    <row r="82" spans="1:52">
      <c r="A82" s="25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</row>
    <row r="83" spans="1:52" ht="15.75" thickBot="1">
      <c r="A83" s="20" t="s">
        <v>33</v>
      </c>
    </row>
    <row r="84" spans="1:52" ht="15.75" thickBot="1">
      <c r="A84" s="22"/>
      <c r="B84" s="23" t="str">
        <f>B68</f>
        <v>2000</v>
      </c>
      <c r="C84" s="23" t="str">
        <f t="shared" ref="C84:AP84" si="17">C68</f>
        <v>2001</v>
      </c>
      <c r="D84" s="23" t="str">
        <f t="shared" si="17"/>
        <v>2002</v>
      </c>
      <c r="E84" s="23" t="str">
        <f t="shared" si="17"/>
        <v>2003</v>
      </c>
      <c r="F84" s="23" t="str">
        <f t="shared" si="17"/>
        <v>2004</v>
      </c>
      <c r="G84" s="23" t="str">
        <f t="shared" si="17"/>
        <v>2005</v>
      </c>
      <c r="H84" s="23" t="str">
        <f t="shared" si="17"/>
        <v>2006</v>
      </c>
      <c r="I84" s="23" t="str">
        <f t="shared" si="17"/>
        <v>2007</v>
      </c>
      <c r="J84" s="23" t="str">
        <f t="shared" si="17"/>
        <v>2008</v>
      </c>
      <c r="K84" s="23" t="str">
        <f t="shared" si="17"/>
        <v>2009</v>
      </c>
      <c r="L84" s="23" t="str">
        <f t="shared" si="17"/>
        <v>2010</v>
      </c>
      <c r="M84" s="23" t="str">
        <f t="shared" si="17"/>
        <v>2011</v>
      </c>
      <c r="N84" s="23" t="str">
        <f t="shared" si="17"/>
        <v>2012</v>
      </c>
      <c r="O84" s="23" t="str">
        <f t="shared" si="17"/>
        <v>2013</v>
      </c>
      <c r="P84" s="23" t="str">
        <f t="shared" si="17"/>
        <v>2014</v>
      </c>
      <c r="Q84" s="23" t="str">
        <f t="shared" si="17"/>
        <v>2015</v>
      </c>
      <c r="R84" s="23" t="str">
        <f t="shared" si="17"/>
        <v>2016</v>
      </c>
      <c r="S84" s="23" t="str">
        <f t="shared" si="17"/>
        <v>2017</v>
      </c>
      <c r="T84" s="23" t="str">
        <f t="shared" si="17"/>
        <v>2018</v>
      </c>
      <c r="U84" s="23" t="str">
        <f t="shared" si="17"/>
        <v>2019</v>
      </c>
      <c r="V84" s="23" t="str">
        <f t="shared" si="17"/>
        <v>2020</v>
      </c>
      <c r="W84" s="23" t="str">
        <f t="shared" si="17"/>
        <v>2021</v>
      </c>
      <c r="X84" s="23" t="str">
        <f t="shared" si="17"/>
        <v>2022</v>
      </c>
      <c r="Y84" s="23" t="str">
        <f t="shared" si="17"/>
        <v>2023</v>
      </c>
      <c r="Z84" s="23" t="str">
        <f t="shared" si="17"/>
        <v>2024</v>
      </c>
      <c r="AA84" s="23" t="str">
        <f t="shared" si="17"/>
        <v>2025</v>
      </c>
      <c r="AB84" s="23" t="str">
        <f t="shared" si="17"/>
        <v>2026</v>
      </c>
      <c r="AC84" s="23" t="str">
        <f t="shared" si="17"/>
        <v>2027</v>
      </c>
      <c r="AD84" s="23" t="str">
        <f t="shared" si="17"/>
        <v>2028</v>
      </c>
      <c r="AE84" s="23" t="str">
        <f t="shared" si="17"/>
        <v>2029</v>
      </c>
      <c r="AF84" s="23" t="str">
        <f t="shared" si="17"/>
        <v>2030</v>
      </c>
      <c r="AG84" s="23" t="str">
        <f t="shared" si="17"/>
        <v>2031</v>
      </c>
      <c r="AH84" s="23" t="str">
        <f t="shared" si="17"/>
        <v>2032</v>
      </c>
      <c r="AI84" s="23" t="str">
        <f t="shared" si="17"/>
        <v>2033</v>
      </c>
      <c r="AJ84" s="23" t="str">
        <f t="shared" si="17"/>
        <v>2034</v>
      </c>
      <c r="AK84" s="23" t="str">
        <f t="shared" si="17"/>
        <v>2035</v>
      </c>
      <c r="AL84" s="23" t="str">
        <f t="shared" si="17"/>
        <v>2036</v>
      </c>
      <c r="AM84" s="23" t="str">
        <f t="shared" si="17"/>
        <v>2037</v>
      </c>
      <c r="AN84" s="23" t="str">
        <f t="shared" si="17"/>
        <v>2038</v>
      </c>
      <c r="AO84" s="23" t="str">
        <f t="shared" si="17"/>
        <v>2039</v>
      </c>
      <c r="AP84" s="23" t="str">
        <f t="shared" si="17"/>
        <v>2040</v>
      </c>
      <c r="AQ84" s="23" t="str">
        <f>AQ68</f>
        <v>2041</v>
      </c>
      <c r="AR84" s="23" t="str">
        <f t="shared" ref="AR84:AZ84" si="18">AR68</f>
        <v>2042</v>
      </c>
      <c r="AS84" s="23" t="str">
        <f t="shared" si="18"/>
        <v>2043</v>
      </c>
      <c r="AT84" s="23" t="str">
        <f t="shared" si="18"/>
        <v>2044</v>
      </c>
      <c r="AU84" s="23" t="str">
        <f t="shared" si="18"/>
        <v>2045</v>
      </c>
      <c r="AV84" s="23" t="str">
        <f t="shared" si="18"/>
        <v>2046</v>
      </c>
      <c r="AW84" s="23" t="str">
        <f t="shared" si="18"/>
        <v>2047</v>
      </c>
      <c r="AX84" s="23" t="str">
        <f t="shared" si="18"/>
        <v>2048</v>
      </c>
      <c r="AY84" s="23" t="str">
        <f t="shared" si="18"/>
        <v>2049</v>
      </c>
      <c r="AZ84" s="23" t="str">
        <f t="shared" si="18"/>
        <v>2050</v>
      </c>
    </row>
    <row r="85" spans="1:52">
      <c r="A85" s="20" t="s">
        <v>17</v>
      </c>
    </row>
    <row r="86" spans="1:52">
      <c r="A86" s="20" t="s">
        <v>18</v>
      </c>
    </row>
    <row r="87" spans="1:52">
      <c r="A87" s="20" t="s">
        <v>19</v>
      </c>
    </row>
    <row r="88" spans="1:52">
      <c r="A88" s="20" t="s">
        <v>20</v>
      </c>
    </row>
    <row r="89" spans="1:52">
      <c r="A89" s="20" t="s">
        <v>21</v>
      </c>
    </row>
    <row r="90" spans="1:52">
      <c r="A90" s="20" t="s">
        <v>22</v>
      </c>
    </row>
    <row r="91" spans="1:52">
      <c r="A91" s="20" t="s">
        <v>23</v>
      </c>
    </row>
    <row r="92" spans="1:52">
      <c r="A92" s="20" t="s">
        <v>24</v>
      </c>
    </row>
    <row r="93" spans="1:52">
      <c r="A93" s="20" t="s">
        <v>25</v>
      </c>
    </row>
    <row r="94" spans="1:52">
      <c r="A94" s="20" t="s">
        <v>26</v>
      </c>
    </row>
    <row r="95" spans="1:52">
      <c r="A95" s="20" t="s">
        <v>27</v>
      </c>
    </row>
    <row r="96" spans="1:52">
      <c r="A96" s="20" t="s">
        <v>28</v>
      </c>
    </row>
    <row r="97" spans="1:52" ht="15.75" thickBot="1">
      <c r="A97" s="20" t="s">
        <v>29</v>
      </c>
    </row>
    <row r="98" spans="1:52">
      <c r="A98" s="25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</row>
    <row r="99" spans="1:52" ht="15.75" thickBot="1">
      <c r="A99" s="20" t="s">
        <v>34</v>
      </c>
    </row>
    <row r="100" spans="1:52" ht="15.75" thickBot="1">
      <c r="A100" s="22"/>
      <c r="B100" s="23" t="str">
        <f>B84</f>
        <v>2000</v>
      </c>
      <c r="C100" s="23" t="str">
        <f t="shared" ref="C100:AP100" si="19">C84</f>
        <v>2001</v>
      </c>
      <c r="D100" s="23" t="str">
        <f t="shared" si="19"/>
        <v>2002</v>
      </c>
      <c r="E100" s="23" t="str">
        <f t="shared" si="19"/>
        <v>2003</v>
      </c>
      <c r="F100" s="23" t="str">
        <f t="shared" si="19"/>
        <v>2004</v>
      </c>
      <c r="G100" s="23" t="str">
        <f t="shared" si="19"/>
        <v>2005</v>
      </c>
      <c r="H100" s="23" t="str">
        <f t="shared" si="19"/>
        <v>2006</v>
      </c>
      <c r="I100" s="23" t="str">
        <f t="shared" si="19"/>
        <v>2007</v>
      </c>
      <c r="J100" s="23" t="str">
        <f t="shared" si="19"/>
        <v>2008</v>
      </c>
      <c r="K100" s="23" t="str">
        <f t="shared" si="19"/>
        <v>2009</v>
      </c>
      <c r="L100" s="23" t="str">
        <f t="shared" si="19"/>
        <v>2010</v>
      </c>
      <c r="M100" s="23" t="str">
        <f t="shared" si="19"/>
        <v>2011</v>
      </c>
      <c r="N100" s="23" t="str">
        <f t="shared" si="19"/>
        <v>2012</v>
      </c>
      <c r="O100" s="23" t="str">
        <f t="shared" si="19"/>
        <v>2013</v>
      </c>
      <c r="P100" s="23" t="str">
        <f t="shared" si="19"/>
        <v>2014</v>
      </c>
      <c r="Q100" s="23" t="str">
        <f t="shared" si="19"/>
        <v>2015</v>
      </c>
      <c r="R100" s="23" t="str">
        <f t="shared" si="19"/>
        <v>2016</v>
      </c>
      <c r="S100" s="23" t="str">
        <f t="shared" si="19"/>
        <v>2017</v>
      </c>
      <c r="T100" s="23" t="str">
        <f t="shared" si="19"/>
        <v>2018</v>
      </c>
      <c r="U100" s="23" t="str">
        <f t="shared" si="19"/>
        <v>2019</v>
      </c>
      <c r="V100" s="23" t="str">
        <f t="shared" si="19"/>
        <v>2020</v>
      </c>
      <c r="W100" s="23" t="str">
        <f t="shared" si="19"/>
        <v>2021</v>
      </c>
      <c r="X100" s="23" t="str">
        <f t="shared" si="19"/>
        <v>2022</v>
      </c>
      <c r="Y100" s="23" t="str">
        <f t="shared" si="19"/>
        <v>2023</v>
      </c>
      <c r="Z100" s="23" t="str">
        <f t="shared" si="19"/>
        <v>2024</v>
      </c>
      <c r="AA100" s="23" t="str">
        <f t="shared" si="19"/>
        <v>2025</v>
      </c>
      <c r="AB100" s="23" t="str">
        <f t="shared" si="19"/>
        <v>2026</v>
      </c>
      <c r="AC100" s="23" t="str">
        <f t="shared" si="19"/>
        <v>2027</v>
      </c>
      <c r="AD100" s="23" t="str">
        <f t="shared" si="19"/>
        <v>2028</v>
      </c>
      <c r="AE100" s="23" t="str">
        <f t="shared" si="19"/>
        <v>2029</v>
      </c>
      <c r="AF100" s="23" t="str">
        <f t="shared" si="19"/>
        <v>2030</v>
      </c>
      <c r="AG100" s="23" t="str">
        <f t="shared" si="19"/>
        <v>2031</v>
      </c>
      <c r="AH100" s="23" t="str">
        <f t="shared" si="19"/>
        <v>2032</v>
      </c>
      <c r="AI100" s="23" t="str">
        <f t="shared" si="19"/>
        <v>2033</v>
      </c>
      <c r="AJ100" s="23" t="str">
        <f t="shared" si="19"/>
        <v>2034</v>
      </c>
      <c r="AK100" s="23" t="str">
        <f t="shared" si="19"/>
        <v>2035</v>
      </c>
      <c r="AL100" s="23" t="str">
        <f t="shared" si="19"/>
        <v>2036</v>
      </c>
      <c r="AM100" s="23" t="str">
        <f t="shared" si="19"/>
        <v>2037</v>
      </c>
      <c r="AN100" s="23" t="str">
        <f t="shared" si="19"/>
        <v>2038</v>
      </c>
      <c r="AO100" s="23" t="str">
        <f t="shared" si="19"/>
        <v>2039</v>
      </c>
      <c r="AP100" s="23" t="str">
        <f t="shared" si="19"/>
        <v>2040</v>
      </c>
      <c r="AQ100" s="23" t="str">
        <f>AQ84</f>
        <v>2041</v>
      </c>
      <c r="AR100" s="23" t="str">
        <f t="shared" ref="AR100:AZ100" si="20">AR84</f>
        <v>2042</v>
      </c>
      <c r="AS100" s="23" t="str">
        <f t="shared" si="20"/>
        <v>2043</v>
      </c>
      <c r="AT100" s="23" t="str">
        <f t="shared" si="20"/>
        <v>2044</v>
      </c>
      <c r="AU100" s="23" t="str">
        <f t="shared" si="20"/>
        <v>2045</v>
      </c>
      <c r="AV100" s="23" t="str">
        <f t="shared" si="20"/>
        <v>2046</v>
      </c>
      <c r="AW100" s="23" t="str">
        <f t="shared" si="20"/>
        <v>2047</v>
      </c>
      <c r="AX100" s="23" t="str">
        <f t="shared" si="20"/>
        <v>2048</v>
      </c>
      <c r="AY100" s="23" t="str">
        <f t="shared" si="20"/>
        <v>2049</v>
      </c>
      <c r="AZ100" s="23" t="str">
        <f t="shared" si="20"/>
        <v>2050</v>
      </c>
    </row>
    <row r="101" spans="1:52">
      <c r="A101" s="20" t="s">
        <v>17</v>
      </c>
    </row>
    <row r="102" spans="1:52">
      <c r="A102" s="20" t="s">
        <v>18</v>
      </c>
    </row>
    <row r="103" spans="1:52">
      <c r="A103" s="20" t="s">
        <v>19</v>
      </c>
    </row>
    <row r="104" spans="1:52">
      <c r="A104" s="20" t="s">
        <v>20</v>
      </c>
    </row>
    <row r="105" spans="1:52">
      <c r="A105" s="20" t="s">
        <v>21</v>
      </c>
    </row>
    <row r="106" spans="1:52">
      <c r="A106" s="20" t="s">
        <v>22</v>
      </c>
    </row>
    <row r="107" spans="1:52">
      <c r="A107" s="20" t="s">
        <v>23</v>
      </c>
    </row>
    <row r="108" spans="1:52">
      <c r="A108" s="20" t="s">
        <v>24</v>
      </c>
    </row>
    <row r="109" spans="1:52">
      <c r="A109" s="20" t="s">
        <v>25</v>
      </c>
    </row>
    <row r="110" spans="1:52">
      <c r="A110" s="20" t="s">
        <v>26</v>
      </c>
    </row>
    <row r="111" spans="1:52">
      <c r="A111" s="20" t="s">
        <v>27</v>
      </c>
    </row>
    <row r="112" spans="1:52">
      <c r="A112" s="20" t="s">
        <v>28</v>
      </c>
    </row>
    <row r="113" spans="1:52" ht="15.75" thickBot="1">
      <c r="A113" s="20" t="s">
        <v>29</v>
      </c>
    </row>
    <row r="114" spans="1:52">
      <c r="A114" s="25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</row>
    <row r="115" spans="1:52" ht="15.75" thickBot="1">
      <c r="A115" s="20" t="s">
        <v>35</v>
      </c>
    </row>
    <row r="116" spans="1:52" ht="15.75" thickBot="1">
      <c r="A116" s="22"/>
      <c r="B116" s="23" t="str">
        <f>B100</f>
        <v>2000</v>
      </c>
      <c r="C116" s="23" t="str">
        <f t="shared" ref="C116:AP116" si="21">C100</f>
        <v>2001</v>
      </c>
      <c r="D116" s="23" t="str">
        <f t="shared" si="21"/>
        <v>2002</v>
      </c>
      <c r="E116" s="23" t="str">
        <f t="shared" si="21"/>
        <v>2003</v>
      </c>
      <c r="F116" s="23" t="str">
        <f t="shared" si="21"/>
        <v>2004</v>
      </c>
      <c r="G116" s="23" t="str">
        <f t="shared" si="21"/>
        <v>2005</v>
      </c>
      <c r="H116" s="23" t="str">
        <f t="shared" si="21"/>
        <v>2006</v>
      </c>
      <c r="I116" s="23" t="str">
        <f t="shared" si="21"/>
        <v>2007</v>
      </c>
      <c r="J116" s="23" t="str">
        <f t="shared" si="21"/>
        <v>2008</v>
      </c>
      <c r="K116" s="23" t="str">
        <f t="shared" si="21"/>
        <v>2009</v>
      </c>
      <c r="L116" s="23" t="str">
        <f t="shared" si="21"/>
        <v>2010</v>
      </c>
      <c r="M116" s="23" t="str">
        <f t="shared" si="21"/>
        <v>2011</v>
      </c>
      <c r="N116" s="23" t="str">
        <f t="shared" si="21"/>
        <v>2012</v>
      </c>
      <c r="O116" s="23" t="str">
        <f t="shared" si="21"/>
        <v>2013</v>
      </c>
      <c r="P116" s="23" t="str">
        <f t="shared" si="21"/>
        <v>2014</v>
      </c>
      <c r="Q116" s="23" t="str">
        <f t="shared" si="21"/>
        <v>2015</v>
      </c>
      <c r="R116" s="23" t="str">
        <f t="shared" si="21"/>
        <v>2016</v>
      </c>
      <c r="S116" s="23" t="str">
        <f t="shared" si="21"/>
        <v>2017</v>
      </c>
      <c r="T116" s="23" t="str">
        <f t="shared" si="21"/>
        <v>2018</v>
      </c>
      <c r="U116" s="23" t="str">
        <f t="shared" si="21"/>
        <v>2019</v>
      </c>
      <c r="V116" s="23" t="str">
        <f t="shared" si="21"/>
        <v>2020</v>
      </c>
      <c r="W116" s="23" t="str">
        <f t="shared" si="21"/>
        <v>2021</v>
      </c>
      <c r="X116" s="23" t="str">
        <f t="shared" si="21"/>
        <v>2022</v>
      </c>
      <c r="Y116" s="23" t="str">
        <f t="shared" si="21"/>
        <v>2023</v>
      </c>
      <c r="Z116" s="23" t="str">
        <f t="shared" si="21"/>
        <v>2024</v>
      </c>
      <c r="AA116" s="23" t="str">
        <f t="shared" si="21"/>
        <v>2025</v>
      </c>
      <c r="AB116" s="23" t="str">
        <f t="shared" si="21"/>
        <v>2026</v>
      </c>
      <c r="AC116" s="23" t="str">
        <f t="shared" si="21"/>
        <v>2027</v>
      </c>
      <c r="AD116" s="23" t="str">
        <f t="shared" si="21"/>
        <v>2028</v>
      </c>
      <c r="AE116" s="23" t="str">
        <f t="shared" si="21"/>
        <v>2029</v>
      </c>
      <c r="AF116" s="23" t="str">
        <f t="shared" si="21"/>
        <v>2030</v>
      </c>
      <c r="AG116" s="23" t="str">
        <f t="shared" si="21"/>
        <v>2031</v>
      </c>
      <c r="AH116" s="23" t="str">
        <f t="shared" si="21"/>
        <v>2032</v>
      </c>
      <c r="AI116" s="23" t="str">
        <f t="shared" si="21"/>
        <v>2033</v>
      </c>
      <c r="AJ116" s="23" t="str">
        <f t="shared" si="21"/>
        <v>2034</v>
      </c>
      <c r="AK116" s="23" t="str">
        <f t="shared" si="21"/>
        <v>2035</v>
      </c>
      <c r="AL116" s="23" t="str">
        <f t="shared" si="21"/>
        <v>2036</v>
      </c>
      <c r="AM116" s="23" t="str">
        <f t="shared" si="21"/>
        <v>2037</v>
      </c>
      <c r="AN116" s="23" t="str">
        <f t="shared" si="21"/>
        <v>2038</v>
      </c>
      <c r="AO116" s="23" t="str">
        <f t="shared" si="21"/>
        <v>2039</v>
      </c>
      <c r="AP116" s="23" t="str">
        <f t="shared" si="21"/>
        <v>2040</v>
      </c>
      <c r="AQ116" s="23" t="str">
        <f>AQ100</f>
        <v>2041</v>
      </c>
      <c r="AR116" s="23" t="str">
        <f t="shared" ref="AR116:AZ116" si="22">AR100</f>
        <v>2042</v>
      </c>
      <c r="AS116" s="23" t="str">
        <f t="shared" si="22"/>
        <v>2043</v>
      </c>
      <c r="AT116" s="23" t="str">
        <f t="shared" si="22"/>
        <v>2044</v>
      </c>
      <c r="AU116" s="23" t="str">
        <f t="shared" si="22"/>
        <v>2045</v>
      </c>
      <c r="AV116" s="23" t="str">
        <f t="shared" si="22"/>
        <v>2046</v>
      </c>
      <c r="AW116" s="23" t="str">
        <f t="shared" si="22"/>
        <v>2047</v>
      </c>
      <c r="AX116" s="23" t="str">
        <f t="shared" si="22"/>
        <v>2048</v>
      </c>
      <c r="AY116" s="23" t="str">
        <f t="shared" si="22"/>
        <v>2049</v>
      </c>
      <c r="AZ116" s="23" t="str">
        <f t="shared" si="22"/>
        <v>2050</v>
      </c>
    </row>
    <row r="117" spans="1:52">
      <c r="A117" s="20" t="s">
        <v>17</v>
      </c>
    </row>
    <row r="118" spans="1:52">
      <c r="A118" s="20" t="s">
        <v>18</v>
      </c>
    </row>
    <row r="119" spans="1:52">
      <c r="A119" s="20" t="s">
        <v>19</v>
      </c>
    </row>
    <row r="120" spans="1:52">
      <c r="A120" s="20" t="s">
        <v>20</v>
      </c>
    </row>
    <row r="121" spans="1:52">
      <c r="A121" s="20" t="s">
        <v>21</v>
      </c>
    </row>
    <row r="122" spans="1:52">
      <c r="A122" s="20" t="s">
        <v>22</v>
      </c>
    </row>
    <row r="123" spans="1:52">
      <c r="A123" s="20" t="s">
        <v>23</v>
      </c>
    </row>
    <row r="124" spans="1:52">
      <c r="A124" s="20" t="s">
        <v>24</v>
      </c>
    </row>
    <row r="125" spans="1:52">
      <c r="A125" s="20" t="s">
        <v>25</v>
      </c>
    </row>
    <row r="126" spans="1:52">
      <c r="A126" s="20" t="s">
        <v>26</v>
      </c>
    </row>
    <row r="127" spans="1:52">
      <c r="A127" s="20" t="s">
        <v>27</v>
      </c>
    </row>
    <row r="128" spans="1:52">
      <c r="A128" s="20" t="s">
        <v>28</v>
      </c>
    </row>
    <row r="129" spans="1:52" ht="15.75" thickBot="1">
      <c r="A129" s="20" t="s">
        <v>29</v>
      </c>
    </row>
    <row r="130" spans="1:52">
      <c r="A130" s="25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</row>
    <row r="131" spans="1:52" ht="15.75" thickBot="1">
      <c r="A131" s="20" t="s">
        <v>36</v>
      </c>
    </row>
    <row r="132" spans="1:52" ht="15.75" thickBot="1">
      <c r="A132" s="22"/>
      <c r="B132" s="23" t="str">
        <f>B116</f>
        <v>2000</v>
      </c>
      <c r="C132" s="23" t="str">
        <f t="shared" ref="C132:AP132" si="23">C116</f>
        <v>2001</v>
      </c>
      <c r="D132" s="23" t="str">
        <f t="shared" si="23"/>
        <v>2002</v>
      </c>
      <c r="E132" s="23" t="str">
        <f t="shared" si="23"/>
        <v>2003</v>
      </c>
      <c r="F132" s="23" t="str">
        <f t="shared" si="23"/>
        <v>2004</v>
      </c>
      <c r="G132" s="23" t="str">
        <f t="shared" si="23"/>
        <v>2005</v>
      </c>
      <c r="H132" s="23" t="str">
        <f t="shared" si="23"/>
        <v>2006</v>
      </c>
      <c r="I132" s="23" t="str">
        <f t="shared" si="23"/>
        <v>2007</v>
      </c>
      <c r="J132" s="23" t="str">
        <f t="shared" si="23"/>
        <v>2008</v>
      </c>
      <c r="K132" s="23" t="str">
        <f t="shared" si="23"/>
        <v>2009</v>
      </c>
      <c r="L132" s="23" t="str">
        <f t="shared" si="23"/>
        <v>2010</v>
      </c>
      <c r="M132" s="23" t="str">
        <f t="shared" si="23"/>
        <v>2011</v>
      </c>
      <c r="N132" s="23" t="str">
        <f t="shared" si="23"/>
        <v>2012</v>
      </c>
      <c r="O132" s="23" t="str">
        <f t="shared" si="23"/>
        <v>2013</v>
      </c>
      <c r="P132" s="23" t="str">
        <f t="shared" si="23"/>
        <v>2014</v>
      </c>
      <c r="Q132" s="23" t="str">
        <f t="shared" si="23"/>
        <v>2015</v>
      </c>
      <c r="R132" s="23" t="str">
        <f t="shared" si="23"/>
        <v>2016</v>
      </c>
      <c r="S132" s="23" t="str">
        <f t="shared" si="23"/>
        <v>2017</v>
      </c>
      <c r="T132" s="23" t="str">
        <f t="shared" si="23"/>
        <v>2018</v>
      </c>
      <c r="U132" s="23" t="str">
        <f t="shared" si="23"/>
        <v>2019</v>
      </c>
      <c r="V132" s="23" t="str">
        <f t="shared" si="23"/>
        <v>2020</v>
      </c>
      <c r="W132" s="23" t="str">
        <f t="shared" si="23"/>
        <v>2021</v>
      </c>
      <c r="X132" s="23" t="str">
        <f t="shared" si="23"/>
        <v>2022</v>
      </c>
      <c r="Y132" s="23" t="str">
        <f t="shared" si="23"/>
        <v>2023</v>
      </c>
      <c r="Z132" s="23" t="str">
        <f t="shared" si="23"/>
        <v>2024</v>
      </c>
      <c r="AA132" s="23" t="str">
        <f t="shared" si="23"/>
        <v>2025</v>
      </c>
      <c r="AB132" s="23" t="str">
        <f t="shared" si="23"/>
        <v>2026</v>
      </c>
      <c r="AC132" s="23" t="str">
        <f t="shared" si="23"/>
        <v>2027</v>
      </c>
      <c r="AD132" s="23" t="str">
        <f t="shared" si="23"/>
        <v>2028</v>
      </c>
      <c r="AE132" s="23" t="str">
        <f t="shared" si="23"/>
        <v>2029</v>
      </c>
      <c r="AF132" s="23" t="str">
        <f t="shared" si="23"/>
        <v>2030</v>
      </c>
      <c r="AG132" s="23" t="str">
        <f t="shared" si="23"/>
        <v>2031</v>
      </c>
      <c r="AH132" s="23" t="str">
        <f t="shared" si="23"/>
        <v>2032</v>
      </c>
      <c r="AI132" s="23" t="str">
        <f t="shared" si="23"/>
        <v>2033</v>
      </c>
      <c r="AJ132" s="23" t="str">
        <f t="shared" si="23"/>
        <v>2034</v>
      </c>
      <c r="AK132" s="23" t="str">
        <f t="shared" si="23"/>
        <v>2035</v>
      </c>
      <c r="AL132" s="23" t="str">
        <f t="shared" si="23"/>
        <v>2036</v>
      </c>
      <c r="AM132" s="23" t="str">
        <f t="shared" si="23"/>
        <v>2037</v>
      </c>
      <c r="AN132" s="23" t="str">
        <f t="shared" si="23"/>
        <v>2038</v>
      </c>
      <c r="AO132" s="23" t="str">
        <f t="shared" si="23"/>
        <v>2039</v>
      </c>
      <c r="AP132" s="23" t="str">
        <f t="shared" si="23"/>
        <v>2040</v>
      </c>
      <c r="AQ132" s="23" t="str">
        <f>AQ116</f>
        <v>2041</v>
      </c>
      <c r="AR132" s="23" t="str">
        <f t="shared" ref="AR132:AZ132" si="24">AR116</f>
        <v>2042</v>
      </c>
      <c r="AS132" s="23" t="str">
        <f t="shared" si="24"/>
        <v>2043</v>
      </c>
      <c r="AT132" s="23" t="str">
        <f t="shared" si="24"/>
        <v>2044</v>
      </c>
      <c r="AU132" s="23" t="str">
        <f t="shared" si="24"/>
        <v>2045</v>
      </c>
      <c r="AV132" s="23" t="str">
        <f t="shared" si="24"/>
        <v>2046</v>
      </c>
      <c r="AW132" s="23" t="str">
        <f t="shared" si="24"/>
        <v>2047</v>
      </c>
      <c r="AX132" s="23" t="str">
        <f t="shared" si="24"/>
        <v>2048</v>
      </c>
      <c r="AY132" s="23" t="str">
        <f t="shared" si="24"/>
        <v>2049</v>
      </c>
      <c r="AZ132" s="23" t="str">
        <f t="shared" si="24"/>
        <v>2050</v>
      </c>
    </row>
    <row r="133" spans="1:52">
      <c r="A133" s="20" t="s">
        <v>17</v>
      </c>
    </row>
    <row r="134" spans="1:52">
      <c r="A134" s="20" t="s">
        <v>18</v>
      </c>
    </row>
    <row r="135" spans="1:52">
      <c r="A135" s="20" t="s">
        <v>19</v>
      </c>
    </row>
    <row r="136" spans="1:52">
      <c r="A136" s="20" t="s">
        <v>20</v>
      </c>
    </row>
    <row r="137" spans="1:52">
      <c r="A137" s="20" t="s">
        <v>21</v>
      </c>
    </row>
    <row r="138" spans="1:52">
      <c r="A138" s="20" t="s">
        <v>22</v>
      </c>
    </row>
    <row r="139" spans="1:52">
      <c r="A139" s="20" t="s">
        <v>23</v>
      </c>
    </row>
    <row r="140" spans="1:52">
      <c r="A140" s="20" t="s">
        <v>24</v>
      </c>
    </row>
    <row r="141" spans="1:52">
      <c r="A141" s="20" t="s">
        <v>25</v>
      </c>
    </row>
    <row r="142" spans="1:52">
      <c r="A142" s="20" t="s">
        <v>26</v>
      </c>
    </row>
    <row r="143" spans="1:52">
      <c r="A143" s="20" t="s">
        <v>27</v>
      </c>
    </row>
    <row r="144" spans="1:52">
      <c r="A144" s="20" t="s">
        <v>28</v>
      </c>
    </row>
    <row r="145" spans="1:52" ht="15.75" thickBot="1">
      <c r="A145" s="20" t="s">
        <v>29</v>
      </c>
    </row>
    <row r="146" spans="1:52">
      <c r="A146" s="25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</row>
    <row r="147" spans="1:52" ht="15.75" thickBot="1">
      <c r="A147" s="20" t="s">
        <v>37</v>
      </c>
    </row>
    <row r="148" spans="1:52" ht="15.75" thickBot="1">
      <c r="A148" s="22"/>
      <c r="B148" s="23" t="str">
        <f>B132</f>
        <v>2000</v>
      </c>
      <c r="C148" s="23" t="str">
        <f t="shared" ref="C148:AP148" si="25">C132</f>
        <v>2001</v>
      </c>
      <c r="D148" s="23" t="str">
        <f t="shared" si="25"/>
        <v>2002</v>
      </c>
      <c r="E148" s="23" t="str">
        <f t="shared" si="25"/>
        <v>2003</v>
      </c>
      <c r="F148" s="23" t="str">
        <f t="shared" si="25"/>
        <v>2004</v>
      </c>
      <c r="G148" s="23" t="str">
        <f t="shared" si="25"/>
        <v>2005</v>
      </c>
      <c r="H148" s="23" t="str">
        <f t="shared" si="25"/>
        <v>2006</v>
      </c>
      <c r="I148" s="23" t="str">
        <f t="shared" si="25"/>
        <v>2007</v>
      </c>
      <c r="J148" s="23" t="str">
        <f t="shared" si="25"/>
        <v>2008</v>
      </c>
      <c r="K148" s="23" t="str">
        <f t="shared" si="25"/>
        <v>2009</v>
      </c>
      <c r="L148" s="23" t="str">
        <f t="shared" si="25"/>
        <v>2010</v>
      </c>
      <c r="M148" s="23" t="str">
        <f t="shared" si="25"/>
        <v>2011</v>
      </c>
      <c r="N148" s="23" t="str">
        <f t="shared" si="25"/>
        <v>2012</v>
      </c>
      <c r="O148" s="23" t="str">
        <f t="shared" si="25"/>
        <v>2013</v>
      </c>
      <c r="P148" s="23" t="str">
        <f t="shared" si="25"/>
        <v>2014</v>
      </c>
      <c r="Q148" s="23" t="str">
        <f t="shared" si="25"/>
        <v>2015</v>
      </c>
      <c r="R148" s="23" t="str">
        <f t="shared" si="25"/>
        <v>2016</v>
      </c>
      <c r="S148" s="23" t="str">
        <f t="shared" si="25"/>
        <v>2017</v>
      </c>
      <c r="T148" s="23" t="str">
        <f t="shared" si="25"/>
        <v>2018</v>
      </c>
      <c r="U148" s="23" t="str">
        <f t="shared" si="25"/>
        <v>2019</v>
      </c>
      <c r="V148" s="23" t="str">
        <f t="shared" si="25"/>
        <v>2020</v>
      </c>
      <c r="W148" s="23" t="str">
        <f t="shared" si="25"/>
        <v>2021</v>
      </c>
      <c r="X148" s="23" t="str">
        <f t="shared" si="25"/>
        <v>2022</v>
      </c>
      <c r="Y148" s="23" t="str">
        <f t="shared" si="25"/>
        <v>2023</v>
      </c>
      <c r="Z148" s="23" t="str">
        <f t="shared" si="25"/>
        <v>2024</v>
      </c>
      <c r="AA148" s="23" t="str">
        <f t="shared" si="25"/>
        <v>2025</v>
      </c>
      <c r="AB148" s="23" t="str">
        <f t="shared" si="25"/>
        <v>2026</v>
      </c>
      <c r="AC148" s="23" t="str">
        <f t="shared" si="25"/>
        <v>2027</v>
      </c>
      <c r="AD148" s="23" t="str">
        <f t="shared" si="25"/>
        <v>2028</v>
      </c>
      <c r="AE148" s="23" t="str">
        <f t="shared" si="25"/>
        <v>2029</v>
      </c>
      <c r="AF148" s="23" t="str">
        <f t="shared" si="25"/>
        <v>2030</v>
      </c>
      <c r="AG148" s="23" t="str">
        <f t="shared" si="25"/>
        <v>2031</v>
      </c>
      <c r="AH148" s="23" t="str">
        <f t="shared" si="25"/>
        <v>2032</v>
      </c>
      <c r="AI148" s="23" t="str">
        <f t="shared" si="25"/>
        <v>2033</v>
      </c>
      <c r="AJ148" s="23" t="str">
        <f t="shared" si="25"/>
        <v>2034</v>
      </c>
      <c r="AK148" s="23" t="str">
        <f t="shared" si="25"/>
        <v>2035</v>
      </c>
      <c r="AL148" s="23" t="str">
        <f t="shared" si="25"/>
        <v>2036</v>
      </c>
      <c r="AM148" s="23" t="str">
        <f t="shared" si="25"/>
        <v>2037</v>
      </c>
      <c r="AN148" s="23" t="str">
        <f t="shared" si="25"/>
        <v>2038</v>
      </c>
      <c r="AO148" s="23" t="str">
        <f t="shared" si="25"/>
        <v>2039</v>
      </c>
      <c r="AP148" s="23" t="str">
        <f t="shared" si="25"/>
        <v>2040</v>
      </c>
      <c r="AQ148" s="23" t="str">
        <f>AQ132</f>
        <v>2041</v>
      </c>
      <c r="AR148" s="23" t="str">
        <f t="shared" ref="AR148:AZ148" si="26">AR132</f>
        <v>2042</v>
      </c>
      <c r="AS148" s="23" t="str">
        <f t="shared" si="26"/>
        <v>2043</v>
      </c>
      <c r="AT148" s="23" t="str">
        <f t="shared" si="26"/>
        <v>2044</v>
      </c>
      <c r="AU148" s="23" t="str">
        <f t="shared" si="26"/>
        <v>2045</v>
      </c>
      <c r="AV148" s="23" t="str">
        <f t="shared" si="26"/>
        <v>2046</v>
      </c>
      <c r="AW148" s="23" t="str">
        <f t="shared" si="26"/>
        <v>2047</v>
      </c>
      <c r="AX148" s="23" t="str">
        <f t="shared" si="26"/>
        <v>2048</v>
      </c>
      <c r="AY148" s="23" t="str">
        <f t="shared" si="26"/>
        <v>2049</v>
      </c>
      <c r="AZ148" s="23" t="str">
        <f t="shared" si="26"/>
        <v>2050</v>
      </c>
    </row>
    <row r="149" spans="1:52">
      <c r="A149" s="20" t="s">
        <v>17</v>
      </c>
    </row>
    <row r="150" spans="1:52">
      <c r="A150" s="20" t="s">
        <v>18</v>
      </c>
    </row>
    <row r="151" spans="1:52">
      <c r="A151" s="20" t="s">
        <v>19</v>
      </c>
    </row>
    <row r="152" spans="1:52">
      <c r="A152" s="20" t="s">
        <v>20</v>
      </c>
    </row>
    <row r="153" spans="1:52">
      <c r="A153" s="20" t="s">
        <v>21</v>
      </c>
    </row>
    <row r="154" spans="1:52">
      <c r="A154" s="20" t="s">
        <v>22</v>
      </c>
    </row>
    <row r="155" spans="1:52">
      <c r="A155" s="20" t="s">
        <v>23</v>
      </c>
    </row>
    <row r="156" spans="1:52">
      <c r="A156" s="20" t="s">
        <v>24</v>
      </c>
    </row>
    <row r="157" spans="1:52">
      <c r="A157" s="20" t="s">
        <v>25</v>
      </c>
    </row>
    <row r="158" spans="1:52">
      <c r="A158" s="20" t="s">
        <v>26</v>
      </c>
    </row>
    <row r="159" spans="1:52">
      <c r="A159" s="20" t="s">
        <v>27</v>
      </c>
    </row>
    <row r="160" spans="1:52" ht="15.75" thickBot="1">
      <c r="A160" s="20" t="s">
        <v>28</v>
      </c>
    </row>
    <row r="161" spans="1:52">
      <c r="A161" s="25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</row>
    <row r="162" spans="1:52" ht="15.75" thickBot="1">
      <c r="A162" s="20" t="s">
        <v>38</v>
      </c>
    </row>
    <row r="163" spans="1:52" ht="15.75" thickBot="1">
      <c r="A163" s="22"/>
      <c r="B163" s="23" t="str">
        <f>B148</f>
        <v>2000</v>
      </c>
      <c r="C163" s="23" t="str">
        <f t="shared" ref="C163:AP163" si="27">C148</f>
        <v>2001</v>
      </c>
      <c r="D163" s="23" t="str">
        <f t="shared" si="27"/>
        <v>2002</v>
      </c>
      <c r="E163" s="23" t="str">
        <f t="shared" si="27"/>
        <v>2003</v>
      </c>
      <c r="F163" s="23" t="str">
        <f t="shared" si="27"/>
        <v>2004</v>
      </c>
      <c r="G163" s="23" t="str">
        <f t="shared" si="27"/>
        <v>2005</v>
      </c>
      <c r="H163" s="23" t="str">
        <f t="shared" si="27"/>
        <v>2006</v>
      </c>
      <c r="I163" s="23" t="str">
        <f t="shared" si="27"/>
        <v>2007</v>
      </c>
      <c r="J163" s="23" t="str">
        <f t="shared" si="27"/>
        <v>2008</v>
      </c>
      <c r="K163" s="23" t="str">
        <f t="shared" si="27"/>
        <v>2009</v>
      </c>
      <c r="L163" s="23" t="str">
        <f t="shared" si="27"/>
        <v>2010</v>
      </c>
      <c r="M163" s="23" t="str">
        <f t="shared" si="27"/>
        <v>2011</v>
      </c>
      <c r="N163" s="23" t="str">
        <f t="shared" si="27"/>
        <v>2012</v>
      </c>
      <c r="O163" s="23" t="str">
        <f t="shared" si="27"/>
        <v>2013</v>
      </c>
      <c r="P163" s="23" t="str">
        <f t="shared" si="27"/>
        <v>2014</v>
      </c>
      <c r="Q163" s="23" t="str">
        <f t="shared" si="27"/>
        <v>2015</v>
      </c>
      <c r="R163" s="23" t="str">
        <f t="shared" si="27"/>
        <v>2016</v>
      </c>
      <c r="S163" s="23" t="str">
        <f t="shared" si="27"/>
        <v>2017</v>
      </c>
      <c r="T163" s="23" t="str">
        <f t="shared" si="27"/>
        <v>2018</v>
      </c>
      <c r="U163" s="23" t="str">
        <f t="shared" si="27"/>
        <v>2019</v>
      </c>
      <c r="V163" s="23" t="str">
        <f t="shared" si="27"/>
        <v>2020</v>
      </c>
      <c r="W163" s="23" t="str">
        <f t="shared" si="27"/>
        <v>2021</v>
      </c>
      <c r="X163" s="23" t="str">
        <f t="shared" si="27"/>
        <v>2022</v>
      </c>
      <c r="Y163" s="23" t="str">
        <f t="shared" si="27"/>
        <v>2023</v>
      </c>
      <c r="Z163" s="23" t="str">
        <f t="shared" si="27"/>
        <v>2024</v>
      </c>
      <c r="AA163" s="23" t="str">
        <f t="shared" si="27"/>
        <v>2025</v>
      </c>
      <c r="AB163" s="23" t="str">
        <f t="shared" si="27"/>
        <v>2026</v>
      </c>
      <c r="AC163" s="23" t="str">
        <f t="shared" si="27"/>
        <v>2027</v>
      </c>
      <c r="AD163" s="23" t="str">
        <f t="shared" si="27"/>
        <v>2028</v>
      </c>
      <c r="AE163" s="23" t="str">
        <f t="shared" si="27"/>
        <v>2029</v>
      </c>
      <c r="AF163" s="23" t="str">
        <f t="shared" si="27"/>
        <v>2030</v>
      </c>
      <c r="AG163" s="23" t="str">
        <f t="shared" si="27"/>
        <v>2031</v>
      </c>
      <c r="AH163" s="23" t="str">
        <f t="shared" si="27"/>
        <v>2032</v>
      </c>
      <c r="AI163" s="23" t="str">
        <f t="shared" si="27"/>
        <v>2033</v>
      </c>
      <c r="AJ163" s="23" t="str">
        <f t="shared" si="27"/>
        <v>2034</v>
      </c>
      <c r="AK163" s="23" t="str">
        <f t="shared" si="27"/>
        <v>2035</v>
      </c>
      <c r="AL163" s="23" t="str">
        <f t="shared" si="27"/>
        <v>2036</v>
      </c>
      <c r="AM163" s="23" t="str">
        <f t="shared" si="27"/>
        <v>2037</v>
      </c>
      <c r="AN163" s="23" t="str">
        <f t="shared" si="27"/>
        <v>2038</v>
      </c>
      <c r="AO163" s="23" t="str">
        <f t="shared" si="27"/>
        <v>2039</v>
      </c>
      <c r="AP163" s="23" t="str">
        <f t="shared" si="27"/>
        <v>2040</v>
      </c>
      <c r="AQ163" s="23" t="str">
        <f>AQ148</f>
        <v>2041</v>
      </c>
      <c r="AR163" s="23" t="str">
        <f t="shared" ref="AR163:AZ163" si="28">AR148</f>
        <v>2042</v>
      </c>
      <c r="AS163" s="23" t="str">
        <f t="shared" si="28"/>
        <v>2043</v>
      </c>
      <c r="AT163" s="23" t="str">
        <f t="shared" si="28"/>
        <v>2044</v>
      </c>
      <c r="AU163" s="23" t="str">
        <f t="shared" si="28"/>
        <v>2045</v>
      </c>
      <c r="AV163" s="23" t="str">
        <f t="shared" si="28"/>
        <v>2046</v>
      </c>
      <c r="AW163" s="23" t="str">
        <f t="shared" si="28"/>
        <v>2047</v>
      </c>
      <c r="AX163" s="23" t="str">
        <f t="shared" si="28"/>
        <v>2048</v>
      </c>
      <c r="AY163" s="23" t="str">
        <f t="shared" si="28"/>
        <v>2049</v>
      </c>
      <c r="AZ163" s="23" t="str">
        <f t="shared" si="28"/>
        <v>2050</v>
      </c>
    </row>
    <row r="164" spans="1:52">
      <c r="A164" s="20" t="s">
        <v>17</v>
      </c>
    </row>
    <row r="165" spans="1:52">
      <c r="A165" s="20" t="s">
        <v>18</v>
      </c>
    </row>
    <row r="166" spans="1:52">
      <c r="A166" s="20" t="s">
        <v>19</v>
      </c>
    </row>
    <row r="167" spans="1:52">
      <c r="A167" s="20" t="s">
        <v>20</v>
      </c>
    </row>
    <row r="168" spans="1:52">
      <c r="A168" s="20" t="s">
        <v>21</v>
      </c>
    </row>
    <row r="169" spans="1:52">
      <c r="A169" s="20" t="s">
        <v>22</v>
      </c>
    </row>
    <row r="170" spans="1:52">
      <c r="A170" s="20" t="s">
        <v>23</v>
      </c>
    </row>
    <row r="171" spans="1:52">
      <c r="A171" s="20" t="s">
        <v>24</v>
      </c>
    </row>
    <row r="172" spans="1:52">
      <c r="A172" s="20" t="s">
        <v>25</v>
      </c>
    </row>
    <row r="173" spans="1:52">
      <c r="A173" s="20" t="s">
        <v>26</v>
      </c>
    </row>
    <row r="174" spans="1:52">
      <c r="A174" s="20" t="s">
        <v>27</v>
      </c>
    </row>
    <row r="175" spans="1:52">
      <c r="A175" s="20" t="s">
        <v>28</v>
      </c>
    </row>
    <row r="176" spans="1:52" ht="15.75" thickBot="1">
      <c r="A176" s="20" t="s">
        <v>39</v>
      </c>
    </row>
    <row r="177" spans="1:52">
      <c r="A177" s="25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</row>
    <row r="178" spans="1:52" ht="15.75" thickBot="1">
      <c r="A178" s="20" t="s">
        <v>40</v>
      </c>
    </row>
    <row r="179" spans="1:52" ht="15.75" thickBot="1">
      <c r="A179" s="22"/>
      <c r="B179" s="23" t="str">
        <f>B163</f>
        <v>2000</v>
      </c>
      <c r="C179" s="23" t="str">
        <f t="shared" ref="C179:AP179" si="29">C163</f>
        <v>2001</v>
      </c>
      <c r="D179" s="23" t="str">
        <f t="shared" si="29"/>
        <v>2002</v>
      </c>
      <c r="E179" s="23" t="str">
        <f t="shared" si="29"/>
        <v>2003</v>
      </c>
      <c r="F179" s="23" t="str">
        <f t="shared" si="29"/>
        <v>2004</v>
      </c>
      <c r="G179" s="23" t="str">
        <f t="shared" si="29"/>
        <v>2005</v>
      </c>
      <c r="H179" s="23" t="str">
        <f t="shared" si="29"/>
        <v>2006</v>
      </c>
      <c r="I179" s="23" t="str">
        <f t="shared" si="29"/>
        <v>2007</v>
      </c>
      <c r="J179" s="23" t="str">
        <f t="shared" si="29"/>
        <v>2008</v>
      </c>
      <c r="K179" s="23" t="str">
        <f t="shared" si="29"/>
        <v>2009</v>
      </c>
      <c r="L179" s="23" t="str">
        <f t="shared" si="29"/>
        <v>2010</v>
      </c>
      <c r="M179" s="23" t="str">
        <f t="shared" si="29"/>
        <v>2011</v>
      </c>
      <c r="N179" s="23" t="str">
        <f t="shared" si="29"/>
        <v>2012</v>
      </c>
      <c r="O179" s="23" t="str">
        <f t="shared" si="29"/>
        <v>2013</v>
      </c>
      <c r="P179" s="23" t="str">
        <f t="shared" si="29"/>
        <v>2014</v>
      </c>
      <c r="Q179" s="23" t="str">
        <f t="shared" si="29"/>
        <v>2015</v>
      </c>
      <c r="R179" s="23" t="str">
        <f t="shared" si="29"/>
        <v>2016</v>
      </c>
      <c r="S179" s="23" t="str">
        <f t="shared" si="29"/>
        <v>2017</v>
      </c>
      <c r="T179" s="23" t="str">
        <f t="shared" si="29"/>
        <v>2018</v>
      </c>
      <c r="U179" s="23" t="str">
        <f t="shared" si="29"/>
        <v>2019</v>
      </c>
      <c r="V179" s="23" t="str">
        <f t="shared" si="29"/>
        <v>2020</v>
      </c>
      <c r="W179" s="23" t="str">
        <f t="shared" si="29"/>
        <v>2021</v>
      </c>
      <c r="X179" s="23" t="str">
        <f t="shared" si="29"/>
        <v>2022</v>
      </c>
      <c r="Y179" s="23" t="str">
        <f t="shared" si="29"/>
        <v>2023</v>
      </c>
      <c r="Z179" s="23" t="str">
        <f t="shared" si="29"/>
        <v>2024</v>
      </c>
      <c r="AA179" s="23" t="str">
        <f t="shared" si="29"/>
        <v>2025</v>
      </c>
      <c r="AB179" s="23" t="str">
        <f t="shared" si="29"/>
        <v>2026</v>
      </c>
      <c r="AC179" s="23" t="str">
        <f t="shared" si="29"/>
        <v>2027</v>
      </c>
      <c r="AD179" s="23" t="str">
        <f t="shared" si="29"/>
        <v>2028</v>
      </c>
      <c r="AE179" s="23" t="str">
        <f t="shared" si="29"/>
        <v>2029</v>
      </c>
      <c r="AF179" s="23" t="str">
        <f t="shared" si="29"/>
        <v>2030</v>
      </c>
      <c r="AG179" s="23" t="str">
        <f t="shared" si="29"/>
        <v>2031</v>
      </c>
      <c r="AH179" s="23" t="str">
        <f t="shared" si="29"/>
        <v>2032</v>
      </c>
      <c r="AI179" s="23" t="str">
        <f t="shared" si="29"/>
        <v>2033</v>
      </c>
      <c r="AJ179" s="23" t="str">
        <f t="shared" si="29"/>
        <v>2034</v>
      </c>
      <c r="AK179" s="23" t="str">
        <f t="shared" si="29"/>
        <v>2035</v>
      </c>
      <c r="AL179" s="23" t="str">
        <f t="shared" si="29"/>
        <v>2036</v>
      </c>
      <c r="AM179" s="23" t="str">
        <f t="shared" si="29"/>
        <v>2037</v>
      </c>
      <c r="AN179" s="23" t="str">
        <f t="shared" si="29"/>
        <v>2038</v>
      </c>
      <c r="AO179" s="23" t="str">
        <f t="shared" si="29"/>
        <v>2039</v>
      </c>
      <c r="AP179" s="23" t="str">
        <f t="shared" si="29"/>
        <v>2040</v>
      </c>
      <c r="AQ179" s="23" t="str">
        <f>AQ163</f>
        <v>2041</v>
      </c>
      <c r="AR179" s="23" t="str">
        <f t="shared" ref="AR179:AZ179" si="30">AR163</f>
        <v>2042</v>
      </c>
      <c r="AS179" s="23" t="str">
        <f t="shared" si="30"/>
        <v>2043</v>
      </c>
      <c r="AT179" s="23" t="str">
        <f t="shared" si="30"/>
        <v>2044</v>
      </c>
      <c r="AU179" s="23" t="str">
        <f t="shared" si="30"/>
        <v>2045</v>
      </c>
      <c r="AV179" s="23" t="str">
        <f t="shared" si="30"/>
        <v>2046</v>
      </c>
      <c r="AW179" s="23" t="str">
        <f t="shared" si="30"/>
        <v>2047</v>
      </c>
      <c r="AX179" s="23" t="str">
        <f t="shared" si="30"/>
        <v>2048</v>
      </c>
      <c r="AY179" s="23" t="str">
        <f t="shared" si="30"/>
        <v>2049</v>
      </c>
      <c r="AZ179" s="23" t="str">
        <f t="shared" si="30"/>
        <v>2050</v>
      </c>
    </row>
    <row r="180" spans="1:52">
      <c r="A180" s="20" t="s">
        <v>17</v>
      </c>
    </row>
    <row r="181" spans="1:52">
      <c r="A181" s="20" t="s">
        <v>18</v>
      </c>
    </row>
    <row r="182" spans="1:52">
      <c r="A182" s="20" t="s">
        <v>19</v>
      </c>
    </row>
    <row r="183" spans="1:52">
      <c r="A183" s="20" t="s">
        <v>20</v>
      </c>
    </row>
    <row r="184" spans="1:52">
      <c r="A184" s="20" t="s">
        <v>21</v>
      </c>
    </row>
    <row r="185" spans="1:52">
      <c r="A185" s="20" t="s">
        <v>22</v>
      </c>
    </row>
    <row r="186" spans="1:52">
      <c r="A186" s="20" t="s">
        <v>23</v>
      </c>
    </row>
    <row r="187" spans="1:52">
      <c r="A187" s="20" t="s">
        <v>24</v>
      </c>
    </row>
    <row r="188" spans="1:52">
      <c r="A188" s="20" t="s">
        <v>25</v>
      </c>
    </row>
    <row r="189" spans="1:52">
      <c r="A189" s="20" t="s">
        <v>26</v>
      </c>
    </row>
    <row r="190" spans="1:52">
      <c r="A190" s="20" t="s">
        <v>27</v>
      </c>
    </row>
    <row r="191" spans="1:52">
      <c r="A191" s="20" t="s">
        <v>28</v>
      </c>
    </row>
    <row r="192" spans="1:52" ht="15.75" thickBot="1">
      <c r="A192" s="20" t="s">
        <v>29</v>
      </c>
      <c r="B192" s="36">
        <v>30467000</v>
      </c>
      <c r="C192" s="36">
        <v>31860000</v>
      </c>
      <c r="D192" s="36">
        <v>33519000</v>
      </c>
      <c r="E192" s="36">
        <v>34398000</v>
      </c>
      <c r="F192" s="36">
        <v>36955000</v>
      </c>
      <c r="G192" s="36">
        <v>39430000</v>
      </c>
      <c r="H192" s="36">
        <v>41225000</v>
      </c>
      <c r="I192" s="36">
        <v>42345000</v>
      </c>
      <c r="J192" s="36">
        <v>40438000</v>
      </c>
      <c r="K192" s="36">
        <v>39466000</v>
      </c>
      <c r="L192" s="36">
        <v>39400000</v>
      </c>
      <c r="M192" s="36">
        <v>39100000</v>
      </c>
      <c r="N192" s="36">
        <v>40205000</v>
      </c>
      <c r="O192" s="36">
        <v>41590000</v>
      </c>
      <c r="P192" s="36">
        <v>40385000</v>
      </c>
      <c r="Q192" s="36">
        <v>38365000</v>
      </c>
      <c r="R192" s="36">
        <v>37595000</v>
      </c>
      <c r="S192" s="36">
        <v>38723000</v>
      </c>
      <c r="T192" s="36">
        <v>39602000</v>
      </c>
      <c r="U192" s="36">
        <v>40650000</v>
      </c>
      <c r="V192" s="36">
        <v>39415000</v>
      </c>
      <c r="W192" s="36">
        <v>37000000</v>
      </c>
    </row>
    <row r="193" spans="1:52">
      <c r="A193" s="25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</row>
    <row r="194" spans="1:52" ht="15.75" thickBot="1">
      <c r="A194" s="20" t="s">
        <v>109</v>
      </c>
    </row>
    <row r="195" spans="1:52" ht="15.75" thickBot="1">
      <c r="A195" s="22"/>
      <c r="B195" s="23" t="str">
        <f>B179</f>
        <v>2000</v>
      </c>
      <c r="C195" s="23" t="str">
        <f t="shared" ref="C195:AP195" si="31">C179</f>
        <v>2001</v>
      </c>
      <c r="D195" s="23" t="str">
        <f t="shared" si="31"/>
        <v>2002</v>
      </c>
      <c r="E195" s="23" t="str">
        <f t="shared" si="31"/>
        <v>2003</v>
      </c>
      <c r="F195" s="23" t="str">
        <f t="shared" si="31"/>
        <v>2004</v>
      </c>
      <c r="G195" s="23" t="str">
        <f t="shared" si="31"/>
        <v>2005</v>
      </c>
      <c r="H195" s="23" t="str">
        <f t="shared" si="31"/>
        <v>2006</v>
      </c>
      <c r="I195" s="23" t="str">
        <f t="shared" si="31"/>
        <v>2007</v>
      </c>
      <c r="J195" s="23" t="str">
        <f t="shared" si="31"/>
        <v>2008</v>
      </c>
      <c r="K195" s="23" t="str">
        <f t="shared" si="31"/>
        <v>2009</v>
      </c>
      <c r="L195" s="23" t="str">
        <f t="shared" si="31"/>
        <v>2010</v>
      </c>
      <c r="M195" s="23" t="str">
        <f t="shared" si="31"/>
        <v>2011</v>
      </c>
      <c r="N195" s="23" t="str">
        <f t="shared" si="31"/>
        <v>2012</v>
      </c>
      <c r="O195" s="23" t="str">
        <f t="shared" si="31"/>
        <v>2013</v>
      </c>
      <c r="P195" s="23" t="str">
        <f t="shared" si="31"/>
        <v>2014</v>
      </c>
      <c r="Q195" s="23" t="str">
        <f t="shared" si="31"/>
        <v>2015</v>
      </c>
      <c r="R195" s="23" t="str">
        <f t="shared" si="31"/>
        <v>2016</v>
      </c>
      <c r="S195" s="23" t="str">
        <f t="shared" si="31"/>
        <v>2017</v>
      </c>
      <c r="T195" s="23" t="str">
        <f t="shared" si="31"/>
        <v>2018</v>
      </c>
      <c r="U195" s="23" t="str">
        <f t="shared" si="31"/>
        <v>2019</v>
      </c>
      <c r="V195" s="23" t="str">
        <f t="shared" si="31"/>
        <v>2020</v>
      </c>
      <c r="W195" s="23" t="str">
        <f t="shared" si="31"/>
        <v>2021</v>
      </c>
      <c r="X195" s="23" t="str">
        <f t="shared" si="31"/>
        <v>2022</v>
      </c>
      <c r="Y195" s="23" t="str">
        <f t="shared" si="31"/>
        <v>2023</v>
      </c>
      <c r="Z195" s="23" t="str">
        <f t="shared" si="31"/>
        <v>2024</v>
      </c>
      <c r="AA195" s="23" t="str">
        <f t="shared" si="31"/>
        <v>2025</v>
      </c>
      <c r="AB195" s="23" t="str">
        <f t="shared" si="31"/>
        <v>2026</v>
      </c>
      <c r="AC195" s="23" t="str">
        <f t="shared" si="31"/>
        <v>2027</v>
      </c>
      <c r="AD195" s="23" t="str">
        <f t="shared" si="31"/>
        <v>2028</v>
      </c>
      <c r="AE195" s="23" t="str">
        <f t="shared" si="31"/>
        <v>2029</v>
      </c>
      <c r="AF195" s="23" t="str">
        <f t="shared" si="31"/>
        <v>2030</v>
      </c>
      <c r="AG195" s="23" t="str">
        <f t="shared" si="31"/>
        <v>2031</v>
      </c>
      <c r="AH195" s="23" t="str">
        <f t="shared" si="31"/>
        <v>2032</v>
      </c>
      <c r="AI195" s="23" t="str">
        <f t="shared" si="31"/>
        <v>2033</v>
      </c>
      <c r="AJ195" s="23" t="str">
        <f t="shared" si="31"/>
        <v>2034</v>
      </c>
      <c r="AK195" s="23" t="str">
        <f t="shared" si="31"/>
        <v>2035</v>
      </c>
      <c r="AL195" s="23" t="str">
        <f t="shared" si="31"/>
        <v>2036</v>
      </c>
      <c r="AM195" s="23" t="str">
        <f t="shared" si="31"/>
        <v>2037</v>
      </c>
      <c r="AN195" s="23" t="str">
        <f t="shared" si="31"/>
        <v>2038</v>
      </c>
      <c r="AO195" s="23" t="str">
        <f t="shared" si="31"/>
        <v>2039</v>
      </c>
      <c r="AP195" s="23" t="str">
        <f t="shared" si="31"/>
        <v>2040</v>
      </c>
      <c r="AQ195" s="23" t="str">
        <f>AQ179</f>
        <v>2041</v>
      </c>
      <c r="AR195" s="23" t="str">
        <f t="shared" ref="AR195:AZ195" si="32">AR179</f>
        <v>2042</v>
      </c>
      <c r="AS195" s="23" t="str">
        <f t="shared" si="32"/>
        <v>2043</v>
      </c>
      <c r="AT195" s="23" t="str">
        <f t="shared" si="32"/>
        <v>2044</v>
      </c>
      <c r="AU195" s="23" t="str">
        <f t="shared" si="32"/>
        <v>2045</v>
      </c>
      <c r="AV195" s="23" t="str">
        <f t="shared" si="32"/>
        <v>2046</v>
      </c>
      <c r="AW195" s="23" t="str">
        <f t="shared" si="32"/>
        <v>2047</v>
      </c>
      <c r="AX195" s="23" t="str">
        <f t="shared" si="32"/>
        <v>2048</v>
      </c>
      <c r="AY195" s="23" t="str">
        <f t="shared" si="32"/>
        <v>2049</v>
      </c>
      <c r="AZ195" s="23" t="str">
        <f t="shared" si="32"/>
        <v>2050</v>
      </c>
    </row>
    <row r="196" spans="1:52">
      <c r="A196" s="20" t="s">
        <v>17</v>
      </c>
    </row>
    <row r="197" spans="1:52">
      <c r="A197" s="20" t="s">
        <v>18</v>
      </c>
    </row>
    <row r="198" spans="1:52">
      <c r="A198" s="20" t="s">
        <v>19</v>
      </c>
    </row>
    <row r="199" spans="1:52">
      <c r="A199" s="20" t="s">
        <v>20</v>
      </c>
    </row>
    <row r="200" spans="1:52">
      <c r="A200" s="20" t="s">
        <v>21</v>
      </c>
    </row>
    <row r="201" spans="1:52">
      <c r="A201" s="20" t="s">
        <v>22</v>
      </c>
    </row>
    <row r="202" spans="1:52">
      <c r="A202" s="20" t="s">
        <v>23</v>
      </c>
    </row>
    <row r="203" spans="1:52">
      <c r="A203" s="20" t="s">
        <v>24</v>
      </c>
    </row>
    <row r="204" spans="1:52">
      <c r="A204" s="20" t="s">
        <v>25</v>
      </c>
    </row>
    <row r="205" spans="1:52">
      <c r="A205" s="20" t="s">
        <v>26</v>
      </c>
    </row>
    <row r="206" spans="1:52">
      <c r="A206" s="20" t="s">
        <v>27</v>
      </c>
    </row>
    <row r="207" spans="1:52">
      <c r="A207" s="20" t="s">
        <v>28</v>
      </c>
    </row>
    <row r="208" spans="1:52" ht="15.75" thickBot="1">
      <c r="A208" s="20" t="s">
        <v>29</v>
      </c>
      <c r="B208" s="29">
        <v>6520000</v>
      </c>
      <c r="C208" s="29">
        <v>6895000</v>
      </c>
      <c r="D208" s="29">
        <v>7240000</v>
      </c>
      <c r="E208" s="29">
        <v>7385000</v>
      </c>
      <c r="F208" s="29">
        <v>7975000</v>
      </c>
      <c r="G208" s="29">
        <v>8592000</v>
      </c>
      <c r="H208" s="29">
        <v>9025000</v>
      </c>
      <c r="I208" s="29">
        <v>9303000</v>
      </c>
      <c r="J208" s="29">
        <v>9024000</v>
      </c>
      <c r="K208" s="29">
        <v>8935000</v>
      </c>
      <c r="L208" s="29">
        <v>9115000</v>
      </c>
      <c r="M208" s="29">
        <v>9030000</v>
      </c>
      <c r="N208" s="29">
        <v>9307000</v>
      </c>
      <c r="O208" s="29">
        <v>9675000</v>
      </c>
      <c r="P208" s="29">
        <v>9723000</v>
      </c>
      <c r="Q208" s="29">
        <v>9425000</v>
      </c>
      <c r="R208" s="29">
        <v>9284000</v>
      </c>
      <c r="S208" s="29">
        <v>9550000</v>
      </c>
      <c r="T208" s="29">
        <v>9900000</v>
      </c>
      <c r="U208" s="29">
        <v>10200000</v>
      </c>
      <c r="V208" s="29">
        <v>10100000</v>
      </c>
      <c r="W208" s="29">
        <v>9500000</v>
      </c>
      <c r="X208" s="29">
        <v>9850000</v>
      </c>
      <c r="Y208" s="30">
        <v>10672000</v>
      </c>
      <c r="Z208" s="30">
        <v>10732000</v>
      </c>
      <c r="AA208" s="30">
        <v>10812000</v>
      </c>
      <c r="AB208" s="30">
        <v>10937000</v>
      </c>
      <c r="AC208" s="30">
        <v>11121000</v>
      </c>
      <c r="AD208" s="30">
        <v>11342000</v>
      </c>
      <c r="AE208" s="30">
        <v>11525000</v>
      </c>
      <c r="AF208" s="30">
        <v>11719000</v>
      </c>
      <c r="AG208" s="30">
        <v>11946000</v>
      </c>
      <c r="AH208" s="30">
        <v>12337000</v>
      </c>
      <c r="AI208" s="30">
        <v>12647000</v>
      </c>
      <c r="AJ208" s="30">
        <v>12944000</v>
      </c>
      <c r="AK208" s="30">
        <v>13234000</v>
      </c>
      <c r="AL208" s="30">
        <v>13564000</v>
      </c>
      <c r="AM208" s="30">
        <v>13949000</v>
      </c>
      <c r="AN208" s="30">
        <v>14331000</v>
      </c>
      <c r="AO208" s="30">
        <v>14774000</v>
      </c>
      <c r="AP208" s="30">
        <v>15265000</v>
      </c>
      <c r="AQ208" s="30">
        <v>15756000</v>
      </c>
      <c r="AR208" s="30">
        <v>15756001</v>
      </c>
      <c r="AS208" s="30">
        <v>15756002</v>
      </c>
      <c r="AT208" s="30">
        <v>15756003</v>
      </c>
      <c r="AU208" s="30">
        <v>15756004</v>
      </c>
      <c r="AV208" s="30">
        <v>15756005</v>
      </c>
      <c r="AW208" s="30">
        <v>15756006</v>
      </c>
      <c r="AX208" s="30">
        <v>15756007</v>
      </c>
      <c r="AY208" s="30">
        <v>15756008</v>
      </c>
      <c r="AZ208" s="30">
        <v>15756009</v>
      </c>
    </row>
    <row r="209" spans="1:52">
      <c r="A209" s="25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</row>
    <row r="210" spans="1:52" ht="15.75" thickBot="1">
      <c r="A210" s="20" t="s">
        <v>42</v>
      </c>
    </row>
    <row r="211" spans="1:52" ht="15.75" thickBot="1">
      <c r="A211" s="22"/>
      <c r="B211" s="23" t="str">
        <f>B195</f>
        <v>2000</v>
      </c>
      <c r="C211" s="23" t="str">
        <f t="shared" ref="C211:AP211" si="33">C195</f>
        <v>2001</v>
      </c>
      <c r="D211" s="23" t="str">
        <f t="shared" si="33"/>
        <v>2002</v>
      </c>
      <c r="E211" s="23" t="str">
        <f t="shared" si="33"/>
        <v>2003</v>
      </c>
      <c r="F211" s="23" t="str">
        <f t="shared" si="33"/>
        <v>2004</v>
      </c>
      <c r="G211" s="23" t="str">
        <f t="shared" si="33"/>
        <v>2005</v>
      </c>
      <c r="H211" s="23" t="str">
        <f t="shared" si="33"/>
        <v>2006</v>
      </c>
      <c r="I211" s="23" t="str">
        <f t="shared" si="33"/>
        <v>2007</v>
      </c>
      <c r="J211" s="23" t="str">
        <f t="shared" si="33"/>
        <v>2008</v>
      </c>
      <c r="K211" s="23" t="str">
        <f t="shared" si="33"/>
        <v>2009</v>
      </c>
      <c r="L211" s="23" t="str">
        <f t="shared" si="33"/>
        <v>2010</v>
      </c>
      <c r="M211" s="23" t="str">
        <f t="shared" si="33"/>
        <v>2011</v>
      </c>
      <c r="N211" s="23" t="str">
        <f t="shared" si="33"/>
        <v>2012</v>
      </c>
      <c r="O211" s="23" t="str">
        <f t="shared" si="33"/>
        <v>2013</v>
      </c>
      <c r="P211" s="23" t="str">
        <f t="shared" si="33"/>
        <v>2014</v>
      </c>
      <c r="Q211" s="23" t="str">
        <f t="shared" si="33"/>
        <v>2015</v>
      </c>
      <c r="R211" s="23" t="str">
        <f t="shared" si="33"/>
        <v>2016</v>
      </c>
      <c r="S211" s="23" t="str">
        <f t="shared" si="33"/>
        <v>2017</v>
      </c>
      <c r="T211" s="23" t="str">
        <f t="shared" si="33"/>
        <v>2018</v>
      </c>
      <c r="U211" s="23" t="str">
        <f t="shared" si="33"/>
        <v>2019</v>
      </c>
      <c r="V211" s="23" t="str">
        <f t="shared" si="33"/>
        <v>2020</v>
      </c>
      <c r="W211" s="23" t="str">
        <f t="shared" si="33"/>
        <v>2021</v>
      </c>
      <c r="X211" s="23" t="str">
        <f t="shared" si="33"/>
        <v>2022</v>
      </c>
      <c r="Y211" s="23" t="str">
        <f t="shared" si="33"/>
        <v>2023</v>
      </c>
      <c r="Z211" s="23" t="str">
        <f t="shared" si="33"/>
        <v>2024</v>
      </c>
      <c r="AA211" s="23" t="str">
        <f t="shared" si="33"/>
        <v>2025</v>
      </c>
      <c r="AB211" s="23" t="str">
        <f t="shared" si="33"/>
        <v>2026</v>
      </c>
      <c r="AC211" s="23" t="str">
        <f t="shared" si="33"/>
        <v>2027</v>
      </c>
      <c r="AD211" s="23" t="str">
        <f t="shared" si="33"/>
        <v>2028</v>
      </c>
      <c r="AE211" s="23" t="str">
        <f t="shared" si="33"/>
        <v>2029</v>
      </c>
      <c r="AF211" s="23" t="str">
        <f t="shared" si="33"/>
        <v>2030</v>
      </c>
      <c r="AG211" s="23" t="str">
        <f t="shared" si="33"/>
        <v>2031</v>
      </c>
      <c r="AH211" s="23" t="str">
        <f t="shared" si="33"/>
        <v>2032</v>
      </c>
      <c r="AI211" s="23" t="str">
        <f t="shared" si="33"/>
        <v>2033</v>
      </c>
      <c r="AJ211" s="23" t="str">
        <f t="shared" si="33"/>
        <v>2034</v>
      </c>
      <c r="AK211" s="23" t="str">
        <f t="shared" si="33"/>
        <v>2035</v>
      </c>
      <c r="AL211" s="23" t="str">
        <f t="shared" si="33"/>
        <v>2036</v>
      </c>
      <c r="AM211" s="23" t="str">
        <f t="shared" si="33"/>
        <v>2037</v>
      </c>
      <c r="AN211" s="23" t="str">
        <f t="shared" si="33"/>
        <v>2038</v>
      </c>
      <c r="AO211" s="23" t="str">
        <f t="shared" si="33"/>
        <v>2039</v>
      </c>
      <c r="AP211" s="23" t="str">
        <f t="shared" si="33"/>
        <v>2040</v>
      </c>
      <c r="AQ211" s="23" t="str">
        <f>AQ195</f>
        <v>2041</v>
      </c>
      <c r="AR211" s="23" t="str">
        <f t="shared" ref="AR211:AZ211" si="34">AR195</f>
        <v>2042</v>
      </c>
      <c r="AS211" s="23" t="str">
        <f t="shared" si="34"/>
        <v>2043</v>
      </c>
      <c r="AT211" s="23" t="str">
        <f t="shared" si="34"/>
        <v>2044</v>
      </c>
      <c r="AU211" s="23" t="str">
        <f t="shared" si="34"/>
        <v>2045</v>
      </c>
      <c r="AV211" s="23" t="str">
        <f t="shared" si="34"/>
        <v>2046</v>
      </c>
      <c r="AW211" s="23" t="str">
        <f t="shared" si="34"/>
        <v>2047</v>
      </c>
      <c r="AX211" s="23" t="str">
        <f t="shared" si="34"/>
        <v>2048</v>
      </c>
      <c r="AY211" s="23" t="str">
        <f t="shared" si="34"/>
        <v>2049</v>
      </c>
      <c r="AZ211" s="23" t="str">
        <f t="shared" si="34"/>
        <v>2050</v>
      </c>
    </row>
    <row r="212" spans="1:52">
      <c r="A212" s="20" t="s">
        <v>17</v>
      </c>
    </row>
    <row r="213" spans="1:52">
      <c r="A213" s="20" t="s">
        <v>18</v>
      </c>
    </row>
    <row r="214" spans="1:52">
      <c r="A214" s="20" t="s">
        <v>19</v>
      </c>
    </row>
    <row r="215" spans="1:52">
      <c r="A215" s="20" t="s">
        <v>20</v>
      </c>
    </row>
    <row r="216" spans="1:52">
      <c r="A216" s="20" t="s">
        <v>21</v>
      </c>
    </row>
    <row r="217" spans="1:52">
      <c r="A217" s="20" t="s">
        <v>22</v>
      </c>
    </row>
    <row r="218" spans="1:52">
      <c r="A218" s="20" t="s">
        <v>23</v>
      </c>
    </row>
    <row r="219" spans="1:52">
      <c r="A219" s="20" t="s">
        <v>24</v>
      </c>
    </row>
    <row r="220" spans="1:52">
      <c r="A220" s="20" t="s">
        <v>25</v>
      </c>
    </row>
    <row r="221" spans="1:52">
      <c r="A221" s="20" t="s">
        <v>26</v>
      </c>
    </row>
    <row r="222" spans="1:52">
      <c r="A222" s="20" t="s">
        <v>27</v>
      </c>
    </row>
    <row r="223" spans="1:52">
      <c r="A223" s="20" t="s">
        <v>28</v>
      </c>
    </row>
    <row r="224" spans="1:52" ht="15.75" thickBot="1">
      <c r="A224" s="20" t="s">
        <v>29</v>
      </c>
      <c r="B224" s="38">
        <v>0.13600000000000001</v>
      </c>
      <c r="C224" s="38">
        <v>0.13600000000000001</v>
      </c>
      <c r="D224" s="38">
        <v>0.13600000000000001</v>
      </c>
      <c r="E224" s="38">
        <v>0.13600000000000001</v>
      </c>
      <c r="F224" s="38">
        <v>0.13600000000000001</v>
      </c>
      <c r="G224" s="38">
        <v>0.13600000000000001</v>
      </c>
      <c r="H224" s="38">
        <v>0.13600000000000001</v>
      </c>
      <c r="I224" s="38">
        <v>0.13600000000000001</v>
      </c>
      <c r="J224" s="38">
        <v>0.13600000000000001</v>
      </c>
      <c r="K224" s="38">
        <v>0.13600000000000001</v>
      </c>
      <c r="L224" s="39">
        <f t="shared" ref="L224:R224" si="35">L4/L208</f>
        <v>0.13768787140278027</v>
      </c>
      <c r="M224" s="39">
        <f t="shared" si="35"/>
        <v>0.14005855470425324</v>
      </c>
      <c r="N224" s="39">
        <f t="shared" si="35"/>
        <v>0.1397304269033732</v>
      </c>
      <c r="O224" s="39">
        <f t="shared" si="35"/>
        <v>0.13710693708081834</v>
      </c>
      <c r="P224" s="39">
        <f t="shared" si="35"/>
        <v>0.13915801083835169</v>
      </c>
      <c r="Q224" s="39">
        <f t="shared" si="35"/>
        <v>0.13166625317547997</v>
      </c>
      <c r="R224" s="39">
        <f t="shared" si="35"/>
        <v>0.13483308352599319</v>
      </c>
      <c r="S224" s="39">
        <f>S4/S208</f>
        <v>0.12924853459662874</v>
      </c>
      <c r="T224" s="39">
        <f>T4/T208</f>
        <v>0.13031518807782078</v>
      </c>
      <c r="U224" s="38">
        <v>0.13600000000000001</v>
      </c>
      <c r="V224" s="38">
        <v>0.13600000000000001</v>
      </c>
      <c r="W224" s="38">
        <v>0.13600000000000001</v>
      </c>
      <c r="X224" s="38">
        <v>0.13600000000000001</v>
      </c>
      <c r="Y224" s="38">
        <v>0.13600000000000001</v>
      </c>
      <c r="Z224" s="38">
        <v>0.13600000000000001</v>
      </c>
      <c r="AA224" s="38">
        <v>0.13600000000000001</v>
      </c>
      <c r="AB224" s="38">
        <v>0.13600000000000001</v>
      </c>
      <c r="AC224" s="38">
        <v>0.13600000000000001</v>
      </c>
      <c r="AD224" s="38">
        <v>0.13600000000000001</v>
      </c>
      <c r="AE224" s="38">
        <v>0.13600000000000001</v>
      </c>
      <c r="AF224" s="38">
        <v>0.13600000000000001</v>
      </c>
      <c r="AG224" s="38">
        <v>0.13600000000000001</v>
      </c>
      <c r="AH224" s="38">
        <v>0.13600000000000001</v>
      </c>
      <c r="AI224" s="38">
        <v>0.13600000000000001</v>
      </c>
      <c r="AJ224" s="38">
        <v>0.13600000000000001</v>
      </c>
      <c r="AK224" s="38">
        <v>0.13600000000000001</v>
      </c>
      <c r="AL224" s="38">
        <v>0.13600000000000001</v>
      </c>
      <c r="AM224" s="38">
        <v>0.13600000000000001</v>
      </c>
      <c r="AN224" s="38">
        <v>0.13600000000000001</v>
      </c>
      <c r="AO224" s="38">
        <v>0.13600000000000001</v>
      </c>
      <c r="AP224" s="38">
        <v>0.13600000000000001</v>
      </c>
      <c r="AQ224" s="38">
        <v>0.13600000000000001</v>
      </c>
      <c r="AR224" s="38">
        <v>0.13600000000000001</v>
      </c>
      <c r="AS224" s="38">
        <v>0.13600000000000001</v>
      </c>
      <c r="AT224" s="38">
        <v>0.13600000000000001</v>
      </c>
      <c r="AU224" s="38">
        <v>0.13600000000000001</v>
      </c>
      <c r="AV224" s="38">
        <v>0.13600000000000001</v>
      </c>
      <c r="AW224" s="38">
        <v>0.13600000000000001</v>
      </c>
      <c r="AX224" s="38">
        <v>0.13600000000000001</v>
      </c>
      <c r="AY224" s="38">
        <v>0.13600000000000001</v>
      </c>
      <c r="AZ224" s="38">
        <v>0.13600000000000001</v>
      </c>
    </row>
    <row r="225" spans="1:52">
      <c r="A225" s="25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E0F81-16FC-4174-A177-6E433F6A0128}">
  <dimension ref="A1:AZ225"/>
  <sheetViews>
    <sheetView zoomScale="85" zoomScaleNormal="85" workbookViewId="0">
      <pane xSplit="1" topLeftCell="AM1" activePane="topRight" state="frozen"/>
      <selection activeCell="AL31" sqref="AL31"/>
      <selection pane="topRight" activeCell="AL31" sqref="AL31"/>
    </sheetView>
  </sheetViews>
  <sheetFormatPr defaultColWidth="8.85546875" defaultRowHeight="15"/>
  <cols>
    <col min="1" max="1" width="32.42578125" customWidth="1"/>
    <col min="2" max="10" width="10.140625" style="21" bestFit="1" customWidth="1"/>
    <col min="11" max="23" width="11.140625" style="21" bestFit="1" customWidth="1"/>
    <col min="24" max="52" width="8.85546875" style="21"/>
  </cols>
  <sheetData>
    <row r="1" spans="1:52" ht="15.75" thickBot="1">
      <c r="A1" s="6" t="s">
        <v>110</v>
      </c>
    </row>
    <row r="2" spans="1:52" ht="15.75" thickBot="1">
      <c r="A2" s="34"/>
      <c r="B2" s="23" t="s">
        <v>44</v>
      </c>
      <c r="C2" s="23" t="s">
        <v>45</v>
      </c>
      <c r="D2" s="23" t="s">
        <v>46</v>
      </c>
      <c r="E2" s="23" t="s">
        <v>47</v>
      </c>
      <c r="F2" s="23" t="s">
        <v>48</v>
      </c>
      <c r="G2" s="23" t="s">
        <v>49</v>
      </c>
      <c r="H2" s="23" t="s">
        <v>50</v>
      </c>
      <c r="I2" s="23" t="s">
        <v>51</v>
      </c>
      <c r="J2" s="23" t="s">
        <v>52</v>
      </c>
      <c r="K2" s="23" t="s">
        <v>53</v>
      </c>
      <c r="L2" s="23" t="s">
        <v>54</v>
      </c>
      <c r="M2" s="23" t="s">
        <v>55</v>
      </c>
      <c r="N2" s="23" t="s">
        <v>56</v>
      </c>
      <c r="O2" s="23" t="s">
        <v>57</v>
      </c>
      <c r="P2" s="23" t="s">
        <v>58</v>
      </c>
      <c r="Q2" s="23" t="s">
        <v>59</v>
      </c>
      <c r="R2" s="23" t="s">
        <v>60</v>
      </c>
      <c r="S2" s="23" t="s">
        <v>61</v>
      </c>
      <c r="T2" s="23" t="s">
        <v>62</v>
      </c>
      <c r="U2" s="23" t="s">
        <v>63</v>
      </c>
      <c r="V2" s="23" t="s">
        <v>64</v>
      </c>
      <c r="W2" s="23" t="s">
        <v>65</v>
      </c>
      <c r="X2" s="23" t="s">
        <v>66</v>
      </c>
      <c r="Y2" s="23" t="s">
        <v>67</v>
      </c>
      <c r="Z2" s="23" t="s">
        <v>68</v>
      </c>
      <c r="AA2" s="23" t="s">
        <v>69</v>
      </c>
      <c r="AB2" s="23" t="s">
        <v>70</v>
      </c>
      <c r="AC2" s="23" t="s">
        <v>71</v>
      </c>
      <c r="AD2" s="23" t="s">
        <v>72</v>
      </c>
      <c r="AE2" s="23" t="s">
        <v>73</v>
      </c>
      <c r="AF2" s="23" t="s">
        <v>74</v>
      </c>
      <c r="AG2" s="23" t="s">
        <v>75</v>
      </c>
      <c r="AH2" s="23" t="s">
        <v>76</v>
      </c>
      <c r="AI2" s="23" t="s">
        <v>77</v>
      </c>
      <c r="AJ2" s="23" t="s">
        <v>78</v>
      </c>
      <c r="AK2" s="23" t="s">
        <v>79</v>
      </c>
      <c r="AL2" s="23" t="s">
        <v>80</v>
      </c>
      <c r="AM2" s="23" t="s">
        <v>81</v>
      </c>
      <c r="AN2" s="23" t="s">
        <v>82</v>
      </c>
      <c r="AO2" s="23" t="s">
        <v>83</v>
      </c>
      <c r="AP2" s="23" t="s">
        <v>84</v>
      </c>
      <c r="AQ2" s="23" t="s">
        <v>85</v>
      </c>
      <c r="AR2" s="23" t="s">
        <v>100</v>
      </c>
      <c r="AS2" s="23" t="s">
        <v>101</v>
      </c>
      <c r="AT2" s="23" t="s">
        <v>102</v>
      </c>
      <c r="AU2" s="23" t="s">
        <v>103</v>
      </c>
      <c r="AV2" s="23" t="s">
        <v>104</v>
      </c>
      <c r="AW2" s="23" t="s">
        <v>105</v>
      </c>
      <c r="AX2" s="23" t="s">
        <v>106</v>
      </c>
      <c r="AY2" s="23" t="s">
        <v>107</v>
      </c>
      <c r="AZ2" s="23" t="s">
        <v>108</v>
      </c>
    </row>
    <row r="3" spans="1:52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</row>
    <row r="5" spans="1:52">
      <c r="A5" s="6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</row>
    <row r="6" spans="1:52">
      <c r="A6" s="10" t="s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</row>
    <row r="7" spans="1:52">
      <c r="A7" s="6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</row>
    <row r="8" spans="1:52">
      <c r="A8" s="6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</row>
    <row r="9" spans="1:52">
      <c r="A9" s="6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</row>
    <row r="10" spans="1:52">
      <c r="A10" s="6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</row>
    <row r="11" spans="1:52">
      <c r="A11" s="6" t="s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2">
      <c r="A12" s="6" t="s">
        <v>10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>
        <f>'[2]Uruguay Tallow Exports'!U$289</f>
        <v>76035</v>
      </c>
      <c r="O12" s="7">
        <f>'[2]Uruguay Tallow Exports'!V$289</f>
        <v>58492</v>
      </c>
      <c r="P12" s="7">
        <f>'[2]Uruguay Tallow Exports'!W$289</f>
        <v>42411</v>
      </c>
      <c r="Q12" s="7">
        <f>'[2]Uruguay Tallow Exports'!X$289</f>
        <v>64435</v>
      </c>
      <c r="R12" s="7">
        <f>'[2]Uruguay Tallow Exports'!Y$289</f>
        <v>63065</v>
      </c>
      <c r="S12" s="7">
        <f>'[2]Uruguay Tallow Exports'!Z$289</f>
        <v>62242</v>
      </c>
      <c r="T12" s="7">
        <f>'[2]Uruguay Tallow Exports'!AA$289</f>
        <v>63172</v>
      </c>
      <c r="U12" s="7">
        <f>'[2]Uruguay Tallow Exports'!AB$289</f>
        <v>67566</v>
      </c>
      <c r="V12" s="7">
        <f>'[2]Uruguay Tallow Exports'!AC$289</f>
        <v>56066</v>
      </c>
      <c r="W12" s="7">
        <f>'[2]Uruguay Tallow Exports'!AD$289</f>
        <v>83762</v>
      </c>
      <c r="X12" s="7">
        <f>'[2]Uruguay Tallow Exports'!AE$289</f>
        <v>35834</v>
      </c>
      <c r="Y12" s="7">
        <f>'[2]Uruguay Tallow Exports'!AF$289</f>
        <v>0</v>
      </c>
      <c r="Z12" s="7">
        <f>'[2]Uruguay Tallow Exports'!AG$289</f>
        <v>0</v>
      </c>
      <c r="AA12" s="7">
        <f>'[2]Uruguay Tallow Exports'!AH$289</f>
        <v>0</v>
      </c>
      <c r="AB12" s="7">
        <f>'[2]Uruguay Tallow Exports'!AI$289</f>
        <v>0</v>
      </c>
      <c r="AC12" s="7">
        <f>'[2]Uruguay Tallow Exports'!AJ$289</f>
        <v>0</v>
      </c>
      <c r="AD12" s="7">
        <f>'[2]Uruguay Tallow Exports'!AK$289</f>
        <v>0</v>
      </c>
      <c r="AE12" s="7">
        <f>'[2]Uruguay Tallow Exports'!AL$289</f>
        <v>0</v>
      </c>
      <c r="AF12" s="7">
        <f>'[2]Uruguay Tallow Exports'!AM$289</f>
        <v>0</v>
      </c>
      <c r="AG12" s="7">
        <f>'[2]Uruguay Tallow Exports'!AN$289</f>
        <v>0</v>
      </c>
      <c r="AH12" s="7">
        <f>'[2]Uruguay Tallow Exports'!AO$289</f>
        <v>0</v>
      </c>
      <c r="AI12" s="7">
        <f>'[2]Uruguay Tallow Exports'!AP$289</f>
        <v>0</v>
      </c>
      <c r="AJ12" s="7">
        <f>'[2]Uruguay Tallow Exports'!AQ$289</f>
        <v>0</v>
      </c>
      <c r="AK12" s="7">
        <f>'[2]Uruguay Tallow Exports'!AR$289</f>
        <v>0</v>
      </c>
      <c r="AL12" s="7">
        <f>'[2]Uruguay Tallow Exports'!AS$289</f>
        <v>0</v>
      </c>
      <c r="AM12" s="7">
        <f>'[2]Uruguay Tallow Exports'!AT$289</f>
        <v>0</v>
      </c>
      <c r="AN12" s="7">
        <f>'[2]Uruguay Tallow Exports'!AU$289</f>
        <v>0</v>
      </c>
      <c r="AO12" s="7">
        <f>'[2]Uruguay Tallow Exports'!AV$289</f>
        <v>0</v>
      </c>
      <c r="AP12" s="7">
        <f>'[2]Uruguay Tallow Exports'!AW$289</f>
        <v>0</v>
      </c>
      <c r="AQ12" s="7">
        <f>'[2]Uruguay Tallow Exports'!AX$289</f>
        <v>0</v>
      </c>
      <c r="AR12" s="7">
        <f>'[2]Uruguay Tallow Exports'!AY$289</f>
        <v>0</v>
      </c>
      <c r="AS12" s="7">
        <f>'[2]Uruguay Tallow Exports'!AZ$289</f>
        <v>0</v>
      </c>
      <c r="AT12" s="7">
        <f>'[2]Uruguay Tallow Exports'!BA$289</f>
        <v>0</v>
      </c>
      <c r="AU12" s="7">
        <f>'[2]Uruguay Tallow Exports'!BB$289</f>
        <v>0</v>
      </c>
      <c r="AV12" s="7">
        <f>'[2]Uruguay Tallow Exports'!BC$289</f>
        <v>0</v>
      </c>
      <c r="AW12" s="7">
        <f>'[2]Uruguay Tallow Exports'!BD$289</f>
        <v>0</v>
      </c>
      <c r="AX12" s="7">
        <f>'[2]Uruguay Tallow Exports'!BE$289</f>
        <v>0</v>
      </c>
      <c r="AY12" s="7">
        <f>'[2]Uruguay Tallow Exports'!BF$289</f>
        <v>0</v>
      </c>
      <c r="AZ12" s="7">
        <f>'[2]Uruguay Tallow Exports'!BG$289</f>
        <v>0</v>
      </c>
    </row>
    <row r="13" spans="1:52">
      <c r="A13" s="10" t="s">
        <v>11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</row>
    <row r="14" spans="1:52">
      <c r="A14" t="s">
        <v>12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>
      <c r="A15" s="6" t="s">
        <v>13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</row>
    <row r="16" spans="1:52" ht="15.75" thickBot="1">
      <c r="A16" s="6" t="s">
        <v>14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>
      <c r="A17" s="17" t="s">
        <v>15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</row>
    <row r="19" spans="1:52" ht="15.75" thickBot="1">
      <c r="A19" s="20" t="s">
        <v>87</v>
      </c>
    </row>
    <row r="20" spans="1:52" ht="15.75" thickBot="1">
      <c r="A20" s="22"/>
      <c r="B20" s="23" t="str">
        <f>B2</f>
        <v>2000</v>
      </c>
      <c r="C20" s="23" t="str">
        <f t="shared" ref="C20:Y20" si="0">C2</f>
        <v>2001</v>
      </c>
      <c r="D20" s="23" t="str">
        <f t="shared" si="0"/>
        <v>2002</v>
      </c>
      <c r="E20" s="23" t="str">
        <f t="shared" si="0"/>
        <v>2003</v>
      </c>
      <c r="F20" s="23" t="str">
        <f t="shared" si="0"/>
        <v>2004</v>
      </c>
      <c r="G20" s="23" t="str">
        <f t="shared" si="0"/>
        <v>2005</v>
      </c>
      <c r="H20" s="23" t="str">
        <f t="shared" si="0"/>
        <v>2006</v>
      </c>
      <c r="I20" s="23" t="str">
        <f t="shared" si="0"/>
        <v>2007</v>
      </c>
      <c r="J20" s="23" t="str">
        <f t="shared" si="0"/>
        <v>2008</v>
      </c>
      <c r="K20" s="23" t="str">
        <f t="shared" si="0"/>
        <v>2009</v>
      </c>
      <c r="L20" s="23" t="str">
        <f t="shared" si="0"/>
        <v>2010</v>
      </c>
      <c r="M20" s="23" t="str">
        <f t="shared" si="0"/>
        <v>2011</v>
      </c>
      <c r="N20" s="23" t="str">
        <f t="shared" si="0"/>
        <v>2012</v>
      </c>
      <c r="O20" s="23" t="str">
        <f t="shared" si="0"/>
        <v>2013</v>
      </c>
      <c r="P20" s="23" t="str">
        <f t="shared" si="0"/>
        <v>2014</v>
      </c>
      <c r="Q20" s="23" t="str">
        <f t="shared" si="0"/>
        <v>2015</v>
      </c>
      <c r="R20" s="23" t="str">
        <f t="shared" si="0"/>
        <v>2016</v>
      </c>
      <c r="S20" s="23" t="str">
        <f t="shared" si="0"/>
        <v>2017</v>
      </c>
      <c r="T20" s="23" t="str">
        <f t="shared" si="0"/>
        <v>2018</v>
      </c>
      <c r="U20" s="23" t="str">
        <f t="shared" si="0"/>
        <v>2019</v>
      </c>
      <c r="V20" s="23" t="str">
        <f t="shared" si="0"/>
        <v>2020</v>
      </c>
      <c r="W20" s="23" t="str">
        <f t="shared" si="0"/>
        <v>2021</v>
      </c>
      <c r="X20" s="23" t="str">
        <f t="shared" si="0"/>
        <v>2022</v>
      </c>
      <c r="Y20" s="23" t="str">
        <f t="shared" si="0"/>
        <v>2023</v>
      </c>
      <c r="Z20" s="23" t="str">
        <f>Z2</f>
        <v>2024</v>
      </c>
      <c r="AA20" s="23" t="str">
        <f>AA2</f>
        <v>2025</v>
      </c>
      <c r="AB20" s="23" t="str">
        <f>AB2</f>
        <v>2026</v>
      </c>
      <c r="AC20" s="23" t="str">
        <f t="shared" ref="AC20:AZ20" si="1">AC2</f>
        <v>2027</v>
      </c>
      <c r="AD20" s="23" t="str">
        <f t="shared" si="1"/>
        <v>2028</v>
      </c>
      <c r="AE20" s="23" t="str">
        <f t="shared" si="1"/>
        <v>2029</v>
      </c>
      <c r="AF20" s="23" t="str">
        <f t="shared" si="1"/>
        <v>2030</v>
      </c>
      <c r="AG20" s="23" t="str">
        <f t="shared" si="1"/>
        <v>2031</v>
      </c>
      <c r="AH20" s="23" t="str">
        <f t="shared" si="1"/>
        <v>2032</v>
      </c>
      <c r="AI20" s="23" t="str">
        <f t="shared" si="1"/>
        <v>2033</v>
      </c>
      <c r="AJ20" s="23" t="str">
        <f t="shared" si="1"/>
        <v>2034</v>
      </c>
      <c r="AK20" s="23" t="str">
        <f t="shared" si="1"/>
        <v>2035</v>
      </c>
      <c r="AL20" s="23" t="str">
        <f t="shared" si="1"/>
        <v>2036</v>
      </c>
      <c r="AM20" s="23" t="str">
        <f t="shared" si="1"/>
        <v>2037</v>
      </c>
      <c r="AN20" s="23" t="str">
        <f t="shared" si="1"/>
        <v>2038</v>
      </c>
      <c r="AO20" s="23" t="str">
        <f t="shared" si="1"/>
        <v>2039</v>
      </c>
      <c r="AP20" s="23" t="str">
        <f t="shared" si="1"/>
        <v>2040</v>
      </c>
      <c r="AQ20" s="23" t="str">
        <f t="shared" si="1"/>
        <v>2041</v>
      </c>
      <c r="AR20" s="23" t="str">
        <f t="shared" si="1"/>
        <v>2042</v>
      </c>
      <c r="AS20" s="23" t="str">
        <f t="shared" si="1"/>
        <v>2043</v>
      </c>
      <c r="AT20" s="23" t="str">
        <f t="shared" si="1"/>
        <v>2044</v>
      </c>
      <c r="AU20" s="23" t="str">
        <f t="shared" si="1"/>
        <v>2045</v>
      </c>
      <c r="AV20" s="23" t="str">
        <f t="shared" si="1"/>
        <v>2046</v>
      </c>
      <c r="AW20" s="23" t="str">
        <f t="shared" si="1"/>
        <v>2047</v>
      </c>
      <c r="AX20" s="23" t="str">
        <f t="shared" si="1"/>
        <v>2048</v>
      </c>
      <c r="AY20" s="23" t="str">
        <f t="shared" si="1"/>
        <v>2049</v>
      </c>
      <c r="AZ20" s="23" t="str">
        <f t="shared" si="1"/>
        <v>2050</v>
      </c>
    </row>
    <row r="21" spans="1:52">
      <c r="A21" s="20" t="s">
        <v>17</v>
      </c>
    </row>
    <row r="22" spans="1:52">
      <c r="A22" s="20" t="s">
        <v>18</v>
      </c>
    </row>
    <row r="23" spans="1:52">
      <c r="A23" s="20" t="s">
        <v>19</v>
      </c>
    </row>
    <row r="24" spans="1:52">
      <c r="A24" s="20" t="s">
        <v>20</v>
      </c>
    </row>
    <row r="25" spans="1:52">
      <c r="A25" s="20" t="s">
        <v>21</v>
      </c>
    </row>
    <row r="26" spans="1:52">
      <c r="A26" s="20" t="s">
        <v>22</v>
      </c>
    </row>
    <row r="27" spans="1:52">
      <c r="A27" s="20" t="s">
        <v>23</v>
      </c>
    </row>
    <row r="28" spans="1:52">
      <c r="A28" s="20" t="s">
        <v>24</v>
      </c>
    </row>
    <row r="29" spans="1:52">
      <c r="A29" s="20" t="s">
        <v>25</v>
      </c>
    </row>
    <row r="30" spans="1:52">
      <c r="A30" s="20" t="s">
        <v>26</v>
      </c>
    </row>
    <row r="31" spans="1:52">
      <c r="A31" s="20" t="s">
        <v>27</v>
      </c>
    </row>
    <row r="32" spans="1:52">
      <c r="A32" s="20" t="s">
        <v>28</v>
      </c>
    </row>
    <row r="33" spans="1:52" ht="15.75" thickBot="1">
      <c r="A33" s="20" t="s">
        <v>29</v>
      </c>
    </row>
    <row r="34" spans="1:52">
      <c r="A34" s="25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</row>
    <row r="35" spans="1:52" ht="15.75" thickBot="1">
      <c r="A35" s="20" t="s">
        <v>88</v>
      </c>
    </row>
    <row r="36" spans="1:52" ht="15.75" thickBot="1">
      <c r="A36" s="22"/>
      <c r="B36" s="23" t="str">
        <f>B20</f>
        <v>2000</v>
      </c>
      <c r="C36" s="23" t="str">
        <f t="shared" ref="C36:Y36" si="2">C20</f>
        <v>2001</v>
      </c>
      <c r="D36" s="23" t="str">
        <f t="shared" si="2"/>
        <v>2002</v>
      </c>
      <c r="E36" s="23" t="str">
        <f t="shared" si="2"/>
        <v>2003</v>
      </c>
      <c r="F36" s="23" t="str">
        <f t="shared" si="2"/>
        <v>2004</v>
      </c>
      <c r="G36" s="23" t="str">
        <f t="shared" si="2"/>
        <v>2005</v>
      </c>
      <c r="H36" s="23" t="str">
        <f t="shared" si="2"/>
        <v>2006</v>
      </c>
      <c r="I36" s="23" t="str">
        <f t="shared" si="2"/>
        <v>2007</v>
      </c>
      <c r="J36" s="23" t="str">
        <f t="shared" si="2"/>
        <v>2008</v>
      </c>
      <c r="K36" s="23" t="str">
        <f t="shared" si="2"/>
        <v>2009</v>
      </c>
      <c r="L36" s="23" t="str">
        <f t="shared" si="2"/>
        <v>2010</v>
      </c>
      <c r="M36" s="23" t="str">
        <f t="shared" si="2"/>
        <v>2011</v>
      </c>
      <c r="N36" s="23" t="str">
        <f t="shared" si="2"/>
        <v>2012</v>
      </c>
      <c r="O36" s="23" t="str">
        <f t="shared" si="2"/>
        <v>2013</v>
      </c>
      <c r="P36" s="23" t="str">
        <f t="shared" si="2"/>
        <v>2014</v>
      </c>
      <c r="Q36" s="23" t="str">
        <f t="shared" si="2"/>
        <v>2015</v>
      </c>
      <c r="R36" s="23" t="str">
        <f t="shared" si="2"/>
        <v>2016</v>
      </c>
      <c r="S36" s="23" t="str">
        <f t="shared" si="2"/>
        <v>2017</v>
      </c>
      <c r="T36" s="23" t="str">
        <f t="shared" si="2"/>
        <v>2018</v>
      </c>
      <c r="U36" s="23" t="str">
        <f t="shared" si="2"/>
        <v>2019</v>
      </c>
      <c r="V36" s="23" t="str">
        <f t="shared" si="2"/>
        <v>2020</v>
      </c>
      <c r="W36" s="23" t="str">
        <f t="shared" si="2"/>
        <v>2021</v>
      </c>
      <c r="X36" s="23" t="str">
        <f t="shared" si="2"/>
        <v>2022</v>
      </c>
      <c r="Y36" s="23" t="str">
        <f t="shared" si="2"/>
        <v>2023</v>
      </c>
      <c r="Z36" s="23" t="str">
        <f>Z20</f>
        <v>2024</v>
      </c>
      <c r="AA36" s="23" t="str">
        <f>AA20</f>
        <v>2025</v>
      </c>
      <c r="AB36" s="23" t="str">
        <f>AB20</f>
        <v>2026</v>
      </c>
      <c r="AC36" s="23" t="str">
        <f t="shared" ref="AC36:AZ36" si="3">AC20</f>
        <v>2027</v>
      </c>
      <c r="AD36" s="23" t="str">
        <f t="shared" si="3"/>
        <v>2028</v>
      </c>
      <c r="AE36" s="23" t="str">
        <f t="shared" si="3"/>
        <v>2029</v>
      </c>
      <c r="AF36" s="23" t="str">
        <f t="shared" si="3"/>
        <v>2030</v>
      </c>
      <c r="AG36" s="23" t="str">
        <f t="shared" si="3"/>
        <v>2031</v>
      </c>
      <c r="AH36" s="23" t="str">
        <f t="shared" si="3"/>
        <v>2032</v>
      </c>
      <c r="AI36" s="23" t="str">
        <f t="shared" si="3"/>
        <v>2033</v>
      </c>
      <c r="AJ36" s="23" t="str">
        <f t="shared" si="3"/>
        <v>2034</v>
      </c>
      <c r="AK36" s="23" t="str">
        <f t="shared" si="3"/>
        <v>2035</v>
      </c>
      <c r="AL36" s="23" t="str">
        <f t="shared" si="3"/>
        <v>2036</v>
      </c>
      <c r="AM36" s="23" t="str">
        <f t="shared" si="3"/>
        <v>2037</v>
      </c>
      <c r="AN36" s="23" t="str">
        <f t="shared" si="3"/>
        <v>2038</v>
      </c>
      <c r="AO36" s="23" t="str">
        <f t="shared" si="3"/>
        <v>2039</v>
      </c>
      <c r="AP36" s="23" t="str">
        <f t="shared" si="3"/>
        <v>2040</v>
      </c>
      <c r="AQ36" s="23" t="str">
        <f t="shared" si="3"/>
        <v>2041</v>
      </c>
      <c r="AR36" s="23" t="str">
        <f t="shared" si="3"/>
        <v>2042</v>
      </c>
      <c r="AS36" s="23" t="str">
        <f t="shared" si="3"/>
        <v>2043</v>
      </c>
      <c r="AT36" s="23" t="str">
        <f t="shared" si="3"/>
        <v>2044</v>
      </c>
      <c r="AU36" s="23" t="str">
        <f t="shared" si="3"/>
        <v>2045</v>
      </c>
      <c r="AV36" s="23" t="str">
        <f t="shared" si="3"/>
        <v>2046</v>
      </c>
      <c r="AW36" s="23" t="str">
        <f t="shared" si="3"/>
        <v>2047</v>
      </c>
      <c r="AX36" s="23" t="str">
        <f t="shared" si="3"/>
        <v>2048</v>
      </c>
      <c r="AY36" s="23" t="str">
        <f t="shared" si="3"/>
        <v>2049</v>
      </c>
      <c r="AZ36" s="23" t="str">
        <f t="shared" si="3"/>
        <v>2050</v>
      </c>
    </row>
    <row r="37" spans="1:52">
      <c r="A37" s="20" t="s">
        <v>17</v>
      </c>
    </row>
    <row r="38" spans="1:52">
      <c r="A38" s="20" t="s">
        <v>18</v>
      </c>
    </row>
    <row r="39" spans="1:52">
      <c r="A39" s="20" t="s">
        <v>19</v>
      </c>
    </row>
    <row r="40" spans="1:52">
      <c r="A40" s="20" t="s">
        <v>20</v>
      </c>
    </row>
    <row r="41" spans="1:52">
      <c r="A41" s="20" t="s">
        <v>21</v>
      </c>
    </row>
    <row r="42" spans="1:52">
      <c r="A42" s="20" t="s">
        <v>22</v>
      </c>
    </row>
    <row r="43" spans="1:52">
      <c r="A43" s="20" t="s">
        <v>23</v>
      </c>
    </row>
    <row r="44" spans="1:52">
      <c r="A44" s="20" t="s">
        <v>24</v>
      </c>
    </row>
    <row r="45" spans="1:52">
      <c r="A45" s="20" t="s">
        <v>25</v>
      </c>
    </row>
    <row r="46" spans="1:52">
      <c r="A46" s="20" t="s">
        <v>26</v>
      </c>
    </row>
    <row r="47" spans="1:52">
      <c r="A47" s="20" t="s">
        <v>27</v>
      </c>
    </row>
    <row r="48" spans="1:52">
      <c r="A48" s="20" t="s">
        <v>28</v>
      </c>
    </row>
    <row r="49" spans="1:52" ht="15.75" thickBot="1">
      <c r="A49" s="20" t="s">
        <v>29</v>
      </c>
    </row>
    <row r="50" spans="1:52">
      <c r="A50" s="25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</row>
    <row r="51" spans="1:52" ht="15.75" thickBot="1">
      <c r="A51" s="20" t="s">
        <v>89</v>
      </c>
    </row>
    <row r="52" spans="1:52" ht="15.75" thickBot="1">
      <c r="A52" s="22"/>
      <c r="B52" s="23" t="str">
        <f>B36</f>
        <v>2000</v>
      </c>
      <c r="C52" s="23" t="str">
        <f t="shared" ref="C52:Y52" si="4">C36</f>
        <v>2001</v>
      </c>
      <c r="D52" s="23" t="str">
        <f t="shared" si="4"/>
        <v>2002</v>
      </c>
      <c r="E52" s="23" t="str">
        <f t="shared" si="4"/>
        <v>2003</v>
      </c>
      <c r="F52" s="23" t="str">
        <f t="shared" si="4"/>
        <v>2004</v>
      </c>
      <c r="G52" s="23" t="str">
        <f t="shared" si="4"/>
        <v>2005</v>
      </c>
      <c r="H52" s="23" t="str">
        <f t="shared" si="4"/>
        <v>2006</v>
      </c>
      <c r="I52" s="23" t="str">
        <f t="shared" si="4"/>
        <v>2007</v>
      </c>
      <c r="J52" s="23" t="str">
        <f t="shared" si="4"/>
        <v>2008</v>
      </c>
      <c r="K52" s="23" t="str">
        <f t="shared" si="4"/>
        <v>2009</v>
      </c>
      <c r="L52" s="23" t="str">
        <f t="shared" si="4"/>
        <v>2010</v>
      </c>
      <c r="M52" s="23" t="str">
        <f t="shared" si="4"/>
        <v>2011</v>
      </c>
      <c r="N52" s="23" t="str">
        <f t="shared" si="4"/>
        <v>2012</v>
      </c>
      <c r="O52" s="23" t="str">
        <f t="shared" si="4"/>
        <v>2013</v>
      </c>
      <c r="P52" s="23" t="str">
        <f t="shared" si="4"/>
        <v>2014</v>
      </c>
      <c r="Q52" s="23" t="str">
        <f t="shared" si="4"/>
        <v>2015</v>
      </c>
      <c r="R52" s="23" t="str">
        <f t="shared" si="4"/>
        <v>2016</v>
      </c>
      <c r="S52" s="23" t="str">
        <f t="shared" si="4"/>
        <v>2017</v>
      </c>
      <c r="T52" s="23" t="str">
        <f t="shared" si="4"/>
        <v>2018</v>
      </c>
      <c r="U52" s="23" t="str">
        <f t="shared" si="4"/>
        <v>2019</v>
      </c>
      <c r="V52" s="23" t="str">
        <f t="shared" si="4"/>
        <v>2020</v>
      </c>
      <c r="W52" s="23" t="str">
        <f t="shared" si="4"/>
        <v>2021</v>
      </c>
      <c r="X52" s="23" t="str">
        <f t="shared" si="4"/>
        <v>2022</v>
      </c>
      <c r="Y52" s="23" t="str">
        <f t="shared" si="4"/>
        <v>2023</v>
      </c>
      <c r="Z52" s="23" t="str">
        <f>Z36</f>
        <v>2024</v>
      </c>
      <c r="AA52" s="23" t="str">
        <f>AA36</f>
        <v>2025</v>
      </c>
      <c r="AB52" s="23" t="str">
        <f>AB36</f>
        <v>2026</v>
      </c>
      <c r="AC52" s="23" t="str">
        <f t="shared" ref="AC52:AZ52" si="5">AC36</f>
        <v>2027</v>
      </c>
      <c r="AD52" s="23" t="str">
        <f t="shared" si="5"/>
        <v>2028</v>
      </c>
      <c r="AE52" s="23" t="str">
        <f t="shared" si="5"/>
        <v>2029</v>
      </c>
      <c r="AF52" s="23" t="str">
        <f t="shared" si="5"/>
        <v>2030</v>
      </c>
      <c r="AG52" s="23" t="str">
        <f t="shared" si="5"/>
        <v>2031</v>
      </c>
      <c r="AH52" s="23" t="str">
        <f t="shared" si="5"/>
        <v>2032</v>
      </c>
      <c r="AI52" s="23" t="str">
        <f t="shared" si="5"/>
        <v>2033</v>
      </c>
      <c r="AJ52" s="23" t="str">
        <f t="shared" si="5"/>
        <v>2034</v>
      </c>
      <c r="AK52" s="23" t="str">
        <f t="shared" si="5"/>
        <v>2035</v>
      </c>
      <c r="AL52" s="23" t="str">
        <f t="shared" si="5"/>
        <v>2036</v>
      </c>
      <c r="AM52" s="23" t="str">
        <f t="shared" si="5"/>
        <v>2037</v>
      </c>
      <c r="AN52" s="23" t="str">
        <f t="shared" si="5"/>
        <v>2038</v>
      </c>
      <c r="AO52" s="23" t="str">
        <f t="shared" si="5"/>
        <v>2039</v>
      </c>
      <c r="AP52" s="23" t="str">
        <f t="shared" si="5"/>
        <v>2040</v>
      </c>
      <c r="AQ52" s="23" t="str">
        <f t="shared" si="5"/>
        <v>2041</v>
      </c>
      <c r="AR52" s="23" t="str">
        <f t="shared" si="5"/>
        <v>2042</v>
      </c>
      <c r="AS52" s="23" t="str">
        <f t="shared" si="5"/>
        <v>2043</v>
      </c>
      <c r="AT52" s="23" t="str">
        <f t="shared" si="5"/>
        <v>2044</v>
      </c>
      <c r="AU52" s="23" t="str">
        <f t="shared" si="5"/>
        <v>2045</v>
      </c>
      <c r="AV52" s="23" t="str">
        <f t="shared" si="5"/>
        <v>2046</v>
      </c>
      <c r="AW52" s="23" t="str">
        <f t="shared" si="5"/>
        <v>2047</v>
      </c>
      <c r="AX52" s="23" t="str">
        <f t="shared" si="5"/>
        <v>2048</v>
      </c>
      <c r="AY52" s="23" t="str">
        <f t="shared" si="5"/>
        <v>2049</v>
      </c>
      <c r="AZ52" s="23" t="str">
        <f t="shared" si="5"/>
        <v>2050</v>
      </c>
    </row>
    <row r="53" spans="1:52">
      <c r="A53" s="20" t="s">
        <v>17</v>
      </c>
    </row>
    <row r="54" spans="1:52">
      <c r="A54" s="20" t="s">
        <v>18</v>
      </c>
    </row>
    <row r="55" spans="1:52">
      <c r="A55" s="20" t="s">
        <v>19</v>
      </c>
    </row>
    <row r="56" spans="1:52">
      <c r="A56" s="20" t="s">
        <v>20</v>
      </c>
    </row>
    <row r="57" spans="1:52">
      <c r="A57" s="20" t="s">
        <v>21</v>
      </c>
    </row>
    <row r="58" spans="1:52">
      <c r="A58" s="20" t="s">
        <v>22</v>
      </c>
    </row>
    <row r="59" spans="1:52">
      <c r="A59" s="20" t="s">
        <v>23</v>
      </c>
    </row>
    <row r="60" spans="1:52">
      <c r="A60" s="20" t="s">
        <v>24</v>
      </c>
    </row>
    <row r="61" spans="1:52">
      <c r="A61" s="20" t="s">
        <v>25</v>
      </c>
    </row>
    <row r="62" spans="1:52">
      <c r="A62" s="20" t="s">
        <v>26</v>
      </c>
    </row>
    <row r="63" spans="1:52">
      <c r="A63" s="20" t="s">
        <v>27</v>
      </c>
    </row>
    <row r="64" spans="1:52">
      <c r="A64" s="20" t="s">
        <v>28</v>
      </c>
    </row>
    <row r="65" spans="1:52" ht="15.75" thickBot="1">
      <c r="A65" s="20" t="s">
        <v>29</v>
      </c>
    </row>
    <row r="66" spans="1:52">
      <c r="A66" s="25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</row>
    <row r="67" spans="1:52" ht="15.75" thickBot="1">
      <c r="A67" s="20" t="s">
        <v>90</v>
      </c>
    </row>
    <row r="68" spans="1:52" ht="15.75" thickBot="1">
      <c r="A68" s="22"/>
      <c r="B68" s="23" t="str">
        <f>B52</f>
        <v>2000</v>
      </c>
      <c r="C68" s="23" t="str">
        <f t="shared" ref="C68:Y68" si="6">C52</f>
        <v>2001</v>
      </c>
      <c r="D68" s="23" t="str">
        <f t="shared" si="6"/>
        <v>2002</v>
      </c>
      <c r="E68" s="23" t="str">
        <f t="shared" si="6"/>
        <v>2003</v>
      </c>
      <c r="F68" s="23" t="str">
        <f t="shared" si="6"/>
        <v>2004</v>
      </c>
      <c r="G68" s="23" t="str">
        <f t="shared" si="6"/>
        <v>2005</v>
      </c>
      <c r="H68" s="23" t="str">
        <f t="shared" si="6"/>
        <v>2006</v>
      </c>
      <c r="I68" s="23" t="str">
        <f t="shared" si="6"/>
        <v>2007</v>
      </c>
      <c r="J68" s="23" t="str">
        <f t="shared" si="6"/>
        <v>2008</v>
      </c>
      <c r="K68" s="23" t="str">
        <f t="shared" si="6"/>
        <v>2009</v>
      </c>
      <c r="L68" s="23" t="str">
        <f t="shared" si="6"/>
        <v>2010</v>
      </c>
      <c r="M68" s="23" t="str">
        <f t="shared" si="6"/>
        <v>2011</v>
      </c>
      <c r="N68" s="23" t="str">
        <f t="shared" si="6"/>
        <v>2012</v>
      </c>
      <c r="O68" s="23" t="str">
        <f t="shared" si="6"/>
        <v>2013</v>
      </c>
      <c r="P68" s="23" t="str">
        <f t="shared" si="6"/>
        <v>2014</v>
      </c>
      <c r="Q68" s="23" t="str">
        <f t="shared" si="6"/>
        <v>2015</v>
      </c>
      <c r="R68" s="23" t="str">
        <f t="shared" si="6"/>
        <v>2016</v>
      </c>
      <c r="S68" s="23" t="str">
        <f t="shared" si="6"/>
        <v>2017</v>
      </c>
      <c r="T68" s="23" t="str">
        <f t="shared" si="6"/>
        <v>2018</v>
      </c>
      <c r="U68" s="23" t="str">
        <f t="shared" si="6"/>
        <v>2019</v>
      </c>
      <c r="V68" s="23" t="str">
        <f t="shared" si="6"/>
        <v>2020</v>
      </c>
      <c r="W68" s="23" t="str">
        <f t="shared" si="6"/>
        <v>2021</v>
      </c>
      <c r="X68" s="23" t="str">
        <f t="shared" si="6"/>
        <v>2022</v>
      </c>
      <c r="Y68" s="23" t="str">
        <f t="shared" si="6"/>
        <v>2023</v>
      </c>
      <c r="Z68" s="23" t="str">
        <f>Z52</f>
        <v>2024</v>
      </c>
      <c r="AA68" s="23" t="str">
        <f>AA52</f>
        <v>2025</v>
      </c>
      <c r="AB68" s="23" t="str">
        <f>AB52</f>
        <v>2026</v>
      </c>
      <c r="AC68" s="23" t="str">
        <f t="shared" ref="AC68:AZ68" si="7">AC52</f>
        <v>2027</v>
      </c>
      <c r="AD68" s="23" t="str">
        <f t="shared" si="7"/>
        <v>2028</v>
      </c>
      <c r="AE68" s="23" t="str">
        <f t="shared" si="7"/>
        <v>2029</v>
      </c>
      <c r="AF68" s="23" t="str">
        <f t="shared" si="7"/>
        <v>2030</v>
      </c>
      <c r="AG68" s="23" t="str">
        <f t="shared" si="7"/>
        <v>2031</v>
      </c>
      <c r="AH68" s="23" t="str">
        <f t="shared" si="7"/>
        <v>2032</v>
      </c>
      <c r="AI68" s="23" t="str">
        <f t="shared" si="7"/>
        <v>2033</v>
      </c>
      <c r="AJ68" s="23" t="str">
        <f t="shared" si="7"/>
        <v>2034</v>
      </c>
      <c r="AK68" s="23" t="str">
        <f t="shared" si="7"/>
        <v>2035</v>
      </c>
      <c r="AL68" s="23" t="str">
        <f t="shared" si="7"/>
        <v>2036</v>
      </c>
      <c r="AM68" s="23" t="str">
        <f t="shared" si="7"/>
        <v>2037</v>
      </c>
      <c r="AN68" s="23" t="str">
        <f t="shared" si="7"/>
        <v>2038</v>
      </c>
      <c r="AO68" s="23" t="str">
        <f t="shared" si="7"/>
        <v>2039</v>
      </c>
      <c r="AP68" s="23" t="str">
        <f t="shared" si="7"/>
        <v>2040</v>
      </c>
      <c r="AQ68" s="23" t="str">
        <f t="shared" si="7"/>
        <v>2041</v>
      </c>
      <c r="AR68" s="23" t="str">
        <f t="shared" si="7"/>
        <v>2042</v>
      </c>
      <c r="AS68" s="23" t="str">
        <f t="shared" si="7"/>
        <v>2043</v>
      </c>
      <c r="AT68" s="23" t="str">
        <f t="shared" si="7"/>
        <v>2044</v>
      </c>
      <c r="AU68" s="23" t="str">
        <f t="shared" si="7"/>
        <v>2045</v>
      </c>
      <c r="AV68" s="23" t="str">
        <f t="shared" si="7"/>
        <v>2046</v>
      </c>
      <c r="AW68" s="23" t="str">
        <f t="shared" si="7"/>
        <v>2047</v>
      </c>
      <c r="AX68" s="23" t="str">
        <f t="shared" si="7"/>
        <v>2048</v>
      </c>
      <c r="AY68" s="23" t="str">
        <f t="shared" si="7"/>
        <v>2049</v>
      </c>
      <c r="AZ68" s="23" t="str">
        <f t="shared" si="7"/>
        <v>2050</v>
      </c>
    </row>
    <row r="69" spans="1:52">
      <c r="A69" s="20" t="s">
        <v>17</v>
      </c>
    </row>
    <row r="70" spans="1:52">
      <c r="A70" s="20" t="s">
        <v>18</v>
      </c>
    </row>
    <row r="71" spans="1:52">
      <c r="A71" s="20" t="s">
        <v>19</v>
      </c>
    </row>
    <row r="72" spans="1:52">
      <c r="A72" s="20" t="s">
        <v>20</v>
      </c>
    </row>
    <row r="73" spans="1:52">
      <c r="A73" s="20" t="s">
        <v>21</v>
      </c>
    </row>
    <row r="74" spans="1:52">
      <c r="A74" s="20" t="s">
        <v>22</v>
      </c>
    </row>
    <row r="75" spans="1:52">
      <c r="A75" s="20" t="s">
        <v>23</v>
      </c>
    </row>
    <row r="76" spans="1:52">
      <c r="A76" s="20" t="s">
        <v>24</v>
      </c>
    </row>
    <row r="77" spans="1:52">
      <c r="A77" s="20" t="s">
        <v>25</v>
      </c>
    </row>
    <row r="78" spans="1:52">
      <c r="A78" s="20" t="s">
        <v>26</v>
      </c>
    </row>
    <row r="79" spans="1:52">
      <c r="A79" s="20" t="s">
        <v>27</v>
      </c>
    </row>
    <row r="80" spans="1:52">
      <c r="A80" s="20" t="s">
        <v>28</v>
      </c>
    </row>
    <row r="81" spans="1:52" ht="15.75" thickBot="1">
      <c r="A81" s="20" t="s">
        <v>29</v>
      </c>
    </row>
    <row r="82" spans="1:52">
      <c r="A82" s="25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</row>
    <row r="83" spans="1:52" ht="15.75" thickBot="1">
      <c r="A83" s="20" t="s">
        <v>91</v>
      </c>
    </row>
    <row r="84" spans="1:52" ht="15.75" thickBot="1">
      <c r="A84" s="22"/>
      <c r="B84" s="23" t="str">
        <f>B68</f>
        <v>2000</v>
      </c>
      <c r="C84" s="23" t="str">
        <f t="shared" ref="C84:Y84" si="8">C68</f>
        <v>2001</v>
      </c>
      <c r="D84" s="23" t="str">
        <f t="shared" si="8"/>
        <v>2002</v>
      </c>
      <c r="E84" s="23" t="str">
        <f t="shared" si="8"/>
        <v>2003</v>
      </c>
      <c r="F84" s="23" t="str">
        <f t="shared" si="8"/>
        <v>2004</v>
      </c>
      <c r="G84" s="23" t="str">
        <f t="shared" si="8"/>
        <v>2005</v>
      </c>
      <c r="H84" s="23" t="str">
        <f t="shared" si="8"/>
        <v>2006</v>
      </c>
      <c r="I84" s="23" t="str">
        <f t="shared" si="8"/>
        <v>2007</v>
      </c>
      <c r="J84" s="23" t="str">
        <f t="shared" si="8"/>
        <v>2008</v>
      </c>
      <c r="K84" s="23" t="str">
        <f t="shared" si="8"/>
        <v>2009</v>
      </c>
      <c r="L84" s="23" t="str">
        <f t="shared" si="8"/>
        <v>2010</v>
      </c>
      <c r="M84" s="23" t="str">
        <f t="shared" si="8"/>
        <v>2011</v>
      </c>
      <c r="N84" s="23" t="str">
        <f t="shared" si="8"/>
        <v>2012</v>
      </c>
      <c r="O84" s="23" t="str">
        <f t="shared" si="8"/>
        <v>2013</v>
      </c>
      <c r="P84" s="23" t="str">
        <f t="shared" si="8"/>
        <v>2014</v>
      </c>
      <c r="Q84" s="23" t="str">
        <f t="shared" si="8"/>
        <v>2015</v>
      </c>
      <c r="R84" s="23" t="str">
        <f t="shared" si="8"/>
        <v>2016</v>
      </c>
      <c r="S84" s="23" t="str">
        <f t="shared" si="8"/>
        <v>2017</v>
      </c>
      <c r="T84" s="23" t="str">
        <f t="shared" si="8"/>
        <v>2018</v>
      </c>
      <c r="U84" s="23" t="str">
        <f t="shared" si="8"/>
        <v>2019</v>
      </c>
      <c r="V84" s="23" t="str">
        <f t="shared" si="8"/>
        <v>2020</v>
      </c>
      <c r="W84" s="23" t="str">
        <f t="shared" si="8"/>
        <v>2021</v>
      </c>
      <c r="X84" s="23" t="str">
        <f t="shared" si="8"/>
        <v>2022</v>
      </c>
      <c r="Y84" s="23" t="str">
        <f t="shared" si="8"/>
        <v>2023</v>
      </c>
      <c r="Z84" s="23" t="str">
        <f>Z68</f>
        <v>2024</v>
      </c>
      <c r="AA84" s="23" t="str">
        <f>AA68</f>
        <v>2025</v>
      </c>
      <c r="AB84" s="23" t="str">
        <f>AB68</f>
        <v>2026</v>
      </c>
      <c r="AC84" s="23" t="str">
        <f t="shared" ref="AC84:AZ84" si="9">AC68</f>
        <v>2027</v>
      </c>
      <c r="AD84" s="23" t="str">
        <f t="shared" si="9"/>
        <v>2028</v>
      </c>
      <c r="AE84" s="23" t="str">
        <f t="shared" si="9"/>
        <v>2029</v>
      </c>
      <c r="AF84" s="23" t="str">
        <f t="shared" si="9"/>
        <v>2030</v>
      </c>
      <c r="AG84" s="23" t="str">
        <f t="shared" si="9"/>
        <v>2031</v>
      </c>
      <c r="AH84" s="23" t="str">
        <f t="shared" si="9"/>
        <v>2032</v>
      </c>
      <c r="AI84" s="23" t="str">
        <f t="shared" si="9"/>
        <v>2033</v>
      </c>
      <c r="AJ84" s="23" t="str">
        <f t="shared" si="9"/>
        <v>2034</v>
      </c>
      <c r="AK84" s="23" t="str">
        <f t="shared" si="9"/>
        <v>2035</v>
      </c>
      <c r="AL84" s="23" t="str">
        <f t="shared" si="9"/>
        <v>2036</v>
      </c>
      <c r="AM84" s="23" t="str">
        <f t="shared" si="9"/>
        <v>2037</v>
      </c>
      <c r="AN84" s="23" t="str">
        <f t="shared" si="9"/>
        <v>2038</v>
      </c>
      <c r="AO84" s="23" t="str">
        <f t="shared" si="9"/>
        <v>2039</v>
      </c>
      <c r="AP84" s="23" t="str">
        <f t="shared" si="9"/>
        <v>2040</v>
      </c>
      <c r="AQ84" s="23" t="str">
        <f t="shared" si="9"/>
        <v>2041</v>
      </c>
      <c r="AR84" s="23" t="str">
        <f t="shared" si="9"/>
        <v>2042</v>
      </c>
      <c r="AS84" s="23" t="str">
        <f t="shared" si="9"/>
        <v>2043</v>
      </c>
      <c r="AT84" s="23" t="str">
        <f t="shared" si="9"/>
        <v>2044</v>
      </c>
      <c r="AU84" s="23" t="str">
        <f t="shared" si="9"/>
        <v>2045</v>
      </c>
      <c r="AV84" s="23" t="str">
        <f t="shared" si="9"/>
        <v>2046</v>
      </c>
      <c r="AW84" s="23" t="str">
        <f t="shared" si="9"/>
        <v>2047</v>
      </c>
      <c r="AX84" s="23" t="str">
        <f t="shared" si="9"/>
        <v>2048</v>
      </c>
      <c r="AY84" s="23" t="str">
        <f t="shared" si="9"/>
        <v>2049</v>
      </c>
      <c r="AZ84" s="23" t="str">
        <f t="shared" si="9"/>
        <v>2050</v>
      </c>
    </row>
    <row r="85" spans="1:52">
      <c r="A85" s="20" t="s">
        <v>17</v>
      </c>
    </row>
    <row r="86" spans="1:52">
      <c r="A86" s="20" t="s">
        <v>18</v>
      </c>
    </row>
    <row r="87" spans="1:52">
      <c r="A87" s="20" t="s">
        <v>19</v>
      </c>
    </row>
    <row r="88" spans="1:52">
      <c r="A88" s="20" t="s">
        <v>20</v>
      </c>
    </row>
    <row r="89" spans="1:52">
      <c r="A89" s="20" t="s">
        <v>21</v>
      </c>
    </row>
    <row r="90" spans="1:52">
      <c r="A90" s="20" t="s">
        <v>22</v>
      </c>
    </row>
    <row r="91" spans="1:52">
      <c r="A91" s="20" t="s">
        <v>23</v>
      </c>
    </row>
    <row r="92" spans="1:52">
      <c r="A92" s="20" t="s">
        <v>24</v>
      </c>
    </row>
    <row r="93" spans="1:52">
      <c r="A93" s="20" t="s">
        <v>25</v>
      </c>
    </row>
    <row r="94" spans="1:52">
      <c r="A94" s="20" t="s">
        <v>26</v>
      </c>
    </row>
    <row r="95" spans="1:52">
      <c r="A95" s="20" t="s">
        <v>27</v>
      </c>
    </row>
    <row r="96" spans="1:52">
      <c r="A96" s="20" t="s">
        <v>28</v>
      </c>
    </row>
    <row r="97" spans="1:52" ht="15.75" thickBot="1">
      <c r="A97" s="20" t="s">
        <v>29</v>
      </c>
    </row>
    <row r="98" spans="1:52">
      <c r="A98" s="25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</row>
    <row r="99" spans="1:52" ht="15.75" thickBot="1">
      <c r="A99" s="20" t="s">
        <v>92</v>
      </c>
    </row>
    <row r="100" spans="1:52" ht="15.75" thickBot="1">
      <c r="A100" s="22"/>
      <c r="B100" s="23" t="str">
        <f>B84</f>
        <v>2000</v>
      </c>
      <c r="C100" s="23" t="str">
        <f t="shared" ref="C100:Y100" si="10">C84</f>
        <v>2001</v>
      </c>
      <c r="D100" s="23" t="str">
        <f t="shared" si="10"/>
        <v>2002</v>
      </c>
      <c r="E100" s="23" t="str">
        <f t="shared" si="10"/>
        <v>2003</v>
      </c>
      <c r="F100" s="23" t="str">
        <f t="shared" si="10"/>
        <v>2004</v>
      </c>
      <c r="G100" s="23" t="str">
        <f t="shared" si="10"/>
        <v>2005</v>
      </c>
      <c r="H100" s="23" t="str">
        <f t="shared" si="10"/>
        <v>2006</v>
      </c>
      <c r="I100" s="23" t="str">
        <f t="shared" si="10"/>
        <v>2007</v>
      </c>
      <c r="J100" s="23" t="str">
        <f t="shared" si="10"/>
        <v>2008</v>
      </c>
      <c r="K100" s="23" t="str">
        <f t="shared" si="10"/>
        <v>2009</v>
      </c>
      <c r="L100" s="23" t="str">
        <f t="shared" si="10"/>
        <v>2010</v>
      </c>
      <c r="M100" s="23" t="str">
        <f t="shared" si="10"/>
        <v>2011</v>
      </c>
      <c r="N100" s="23" t="str">
        <f t="shared" si="10"/>
        <v>2012</v>
      </c>
      <c r="O100" s="23" t="str">
        <f t="shared" si="10"/>
        <v>2013</v>
      </c>
      <c r="P100" s="23" t="str">
        <f t="shared" si="10"/>
        <v>2014</v>
      </c>
      <c r="Q100" s="23" t="str">
        <f t="shared" si="10"/>
        <v>2015</v>
      </c>
      <c r="R100" s="23" t="str">
        <f t="shared" si="10"/>
        <v>2016</v>
      </c>
      <c r="S100" s="23" t="str">
        <f t="shared" si="10"/>
        <v>2017</v>
      </c>
      <c r="T100" s="23" t="str">
        <f t="shared" si="10"/>
        <v>2018</v>
      </c>
      <c r="U100" s="23" t="str">
        <f t="shared" si="10"/>
        <v>2019</v>
      </c>
      <c r="V100" s="23" t="str">
        <f t="shared" si="10"/>
        <v>2020</v>
      </c>
      <c r="W100" s="23" t="str">
        <f t="shared" si="10"/>
        <v>2021</v>
      </c>
      <c r="X100" s="23" t="str">
        <f t="shared" si="10"/>
        <v>2022</v>
      </c>
      <c r="Y100" s="23" t="str">
        <f t="shared" si="10"/>
        <v>2023</v>
      </c>
      <c r="Z100" s="23" t="str">
        <f>Z84</f>
        <v>2024</v>
      </c>
      <c r="AA100" s="23" t="str">
        <f>AA84</f>
        <v>2025</v>
      </c>
      <c r="AB100" s="23" t="str">
        <f>AB84</f>
        <v>2026</v>
      </c>
      <c r="AC100" s="23" t="str">
        <f t="shared" ref="AC100:AZ100" si="11">AC84</f>
        <v>2027</v>
      </c>
      <c r="AD100" s="23" t="str">
        <f t="shared" si="11"/>
        <v>2028</v>
      </c>
      <c r="AE100" s="23" t="str">
        <f t="shared" si="11"/>
        <v>2029</v>
      </c>
      <c r="AF100" s="23" t="str">
        <f t="shared" si="11"/>
        <v>2030</v>
      </c>
      <c r="AG100" s="23" t="str">
        <f t="shared" si="11"/>
        <v>2031</v>
      </c>
      <c r="AH100" s="23" t="str">
        <f t="shared" si="11"/>
        <v>2032</v>
      </c>
      <c r="AI100" s="23" t="str">
        <f t="shared" si="11"/>
        <v>2033</v>
      </c>
      <c r="AJ100" s="23" t="str">
        <f t="shared" si="11"/>
        <v>2034</v>
      </c>
      <c r="AK100" s="23" t="str">
        <f t="shared" si="11"/>
        <v>2035</v>
      </c>
      <c r="AL100" s="23" t="str">
        <f t="shared" si="11"/>
        <v>2036</v>
      </c>
      <c r="AM100" s="23" t="str">
        <f t="shared" si="11"/>
        <v>2037</v>
      </c>
      <c r="AN100" s="23" t="str">
        <f t="shared" si="11"/>
        <v>2038</v>
      </c>
      <c r="AO100" s="23" t="str">
        <f t="shared" si="11"/>
        <v>2039</v>
      </c>
      <c r="AP100" s="23" t="str">
        <f t="shared" si="11"/>
        <v>2040</v>
      </c>
      <c r="AQ100" s="23" t="str">
        <f t="shared" si="11"/>
        <v>2041</v>
      </c>
      <c r="AR100" s="23" t="str">
        <f t="shared" si="11"/>
        <v>2042</v>
      </c>
      <c r="AS100" s="23" t="str">
        <f t="shared" si="11"/>
        <v>2043</v>
      </c>
      <c r="AT100" s="23" t="str">
        <f t="shared" si="11"/>
        <v>2044</v>
      </c>
      <c r="AU100" s="23" t="str">
        <f t="shared" si="11"/>
        <v>2045</v>
      </c>
      <c r="AV100" s="23" t="str">
        <f t="shared" si="11"/>
        <v>2046</v>
      </c>
      <c r="AW100" s="23" t="str">
        <f t="shared" si="11"/>
        <v>2047</v>
      </c>
      <c r="AX100" s="23" t="str">
        <f t="shared" si="11"/>
        <v>2048</v>
      </c>
      <c r="AY100" s="23" t="str">
        <f t="shared" si="11"/>
        <v>2049</v>
      </c>
      <c r="AZ100" s="23" t="str">
        <f t="shared" si="11"/>
        <v>2050</v>
      </c>
    </row>
    <row r="101" spans="1:52">
      <c r="A101" s="20" t="s">
        <v>17</v>
      </c>
    </row>
    <row r="102" spans="1:52">
      <c r="A102" s="20" t="s">
        <v>18</v>
      </c>
    </row>
    <row r="103" spans="1:52">
      <c r="A103" s="20" t="s">
        <v>19</v>
      </c>
    </row>
    <row r="104" spans="1:52">
      <c r="A104" s="20" t="s">
        <v>20</v>
      </c>
    </row>
    <row r="105" spans="1:52">
      <c r="A105" s="20" t="s">
        <v>21</v>
      </c>
    </row>
    <row r="106" spans="1:52">
      <c r="A106" s="20" t="s">
        <v>22</v>
      </c>
    </row>
    <row r="107" spans="1:52">
      <c r="A107" s="20" t="s">
        <v>23</v>
      </c>
    </row>
    <row r="108" spans="1:52">
      <c r="A108" s="20" t="s">
        <v>24</v>
      </c>
    </row>
    <row r="109" spans="1:52">
      <c r="A109" s="20" t="s">
        <v>25</v>
      </c>
    </row>
    <row r="110" spans="1:52">
      <c r="A110" s="20" t="s">
        <v>26</v>
      </c>
    </row>
    <row r="111" spans="1:52">
      <c r="A111" s="20" t="s">
        <v>27</v>
      </c>
    </row>
    <row r="112" spans="1:52">
      <c r="A112" s="20" t="s">
        <v>28</v>
      </c>
    </row>
    <row r="113" spans="1:52" ht="15.75" thickBot="1">
      <c r="A113" s="20" t="s">
        <v>29</v>
      </c>
    </row>
    <row r="114" spans="1:52">
      <c r="A114" s="25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</row>
    <row r="115" spans="1:52" ht="15.75" thickBot="1">
      <c r="A115" s="20" t="s">
        <v>93</v>
      </c>
    </row>
    <row r="116" spans="1:52" ht="15.75" thickBot="1">
      <c r="A116" s="22"/>
      <c r="B116" s="23" t="str">
        <f>B100</f>
        <v>2000</v>
      </c>
      <c r="C116" s="23" t="str">
        <f t="shared" ref="C116:Y116" si="12">C100</f>
        <v>2001</v>
      </c>
      <c r="D116" s="23" t="str">
        <f t="shared" si="12"/>
        <v>2002</v>
      </c>
      <c r="E116" s="23" t="str">
        <f t="shared" si="12"/>
        <v>2003</v>
      </c>
      <c r="F116" s="23" t="str">
        <f t="shared" si="12"/>
        <v>2004</v>
      </c>
      <c r="G116" s="23" t="str">
        <f t="shared" si="12"/>
        <v>2005</v>
      </c>
      <c r="H116" s="23" t="str">
        <f t="shared" si="12"/>
        <v>2006</v>
      </c>
      <c r="I116" s="23" t="str">
        <f t="shared" si="12"/>
        <v>2007</v>
      </c>
      <c r="J116" s="23" t="str">
        <f t="shared" si="12"/>
        <v>2008</v>
      </c>
      <c r="K116" s="23" t="str">
        <f t="shared" si="12"/>
        <v>2009</v>
      </c>
      <c r="L116" s="23" t="str">
        <f t="shared" si="12"/>
        <v>2010</v>
      </c>
      <c r="M116" s="23" t="str">
        <f t="shared" si="12"/>
        <v>2011</v>
      </c>
      <c r="N116" s="23" t="str">
        <f t="shared" si="12"/>
        <v>2012</v>
      </c>
      <c r="O116" s="23" t="str">
        <f t="shared" si="12"/>
        <v>2013</v>
      </c>
      <c r="P116" s="23" t="str">
        <f t="shared" si="12"/>
        <v>2014</v>
      </c>
      <c r="Q116" s="23" t="str">
        <f t="shared" si="12"/>
        <v>2015</v>
      </c>
      <c r="R116" s="23" t="str">
        <f t="shared" si="12"/>
        <v>2016</v>
      </c>
      <c r="S116" s="23" t="str">
        <f t="shared" si="12"/>
        <v>2017</v>
      </c>
      <c r="T116" s="23" t="str">
        <f t="shared" si="12"/>
        <v>2018</v>
      </c>
      <c r="U116" s="23" t="str">
        <f t="shared" si="12"/>
        <v>2019</v>
      </c>
      <c r="V116" s="23" t="str">
        <f t="shared" si="12"/>
        <v>2020</v>
      </c>
      <c r="W116" s="23" t="str">
        <f t="shared" si="12"/>
        <v>2021</v>
      </c>
      <c r="X116" s="23" t="str">
        <f t="shared" si="12"/>
        <v>2022</v>
      </c>
      <c r="Y116" s="23" t="str">
        <f t="shared" si="12"/>
        <v>2023</v>
      </c>
      <c r="Z116" s="23" t="str">
        <f>Z100</f>
        <v>2024</v>
      </c>
      <c r="AA116" s="23" t="str">
        <f>AA100</f>
        <v>2025</v>
      </c>
      <c r="AB116" s="23" t="str">
        <f>AB100</f>
        <v>2026</v>
      </c>
      <c r="AC116" s="23" t="str">
        <f t="shared" ref="AC116:AZ116" si="13">AC100</f>
        <v>2027</v>
      </c>
      <c r="AD116" s="23" t="str">
        <f t="shared" si="13"/>
        <v>2028</v>
      </c>
      <c r="AE116" s="23" t="str">
        <f t="shared" si="13"/>
        <v>2029</v>
      </c>
      <c r="AF116" s="23" t="str">
        <f t="shared" si="13"/>
        <v>2030</v>
      </c>
      <c r="AG116" s="23" t="str">
        <f t="shared" si="13"/>
        <v>2031</v>
      </c>
      <c r="AH116" s="23" t="str">
        <f t="shared" si="13"/>
        <v>2032</v>
      </c>
      <c r="AI116" s="23" t="str">
        <f t="shared" si="13"/>
        <v>2033</v>
      </c>
      <c r="AJ116" s="23" t="str">
        <f t="shared" si="13"/>
        <v>2034</v>
      </c>
      <c r="AK116" s="23" t="str">
        <f t="shared" si="13"/>
        <v>2035</v>
      </c>
      <c r="AL116" s="23" t="str">
        <f t="shared" si="13"/>
        <v>2036</v>
      </c>
      <c r="AM116" s="23" t="str">
        <f t="shared" si="13"/>
        <v>2037</v>
      </c>
      <c r="AN116" s="23" t="str">
        <f t="shared" si="13"/>
        <v>2038</v>
      </c>
      <c r="AO116" s="23" t="str">
        <f t="shared" si="13"/>
        <v>2039</v>
      </c>
      <c r="AP116" s="23" t="str">
        <f t="shared" si="13"/>
        <v>2040</v>
      </c>
      <c r="AQ116" s="23" t="str">
        <f t="shared" si="13"/>
        <v>2041</v>
      </c>
      <c r="AR116" s="23" t="str">
        <f t="shared" si="13"/>
        <v>2042</v>
      </c>
      <c r="AS116" s="23" t="str">
        <f t="shared" si="13"/>
        <v>2043</v>
      </c>
      <c r="AT116" s="23" t="str">
        <f t="shared" si="13"/>
        <v>2044</v>
      </c>
      <c r="AU116" s="23" t="str">
        <f t="shared" si="13"/>
        <v>2045</v>
      </c>
      <c r="AV116" s="23" t="str">
        <f t="shared" si="13"/>
        <v>2046</v>
      </c>
      <c r="AW116" s="23" t="str">
        <f t="shared" si="13"/>
        <v>2047</v>
      </c>
      <c r="AX116" s="23" t="str">
        <f t="shared" si="13"/>
        <v>2048</v>
      </c>
      <c r="AY116" s="23" t="str">
        <f t="shared" si="13"/>
        <v>2049</v>
      </c>
      <c r="AZ116" s="23" t="str">
        <f t="shared" si="13"/>
        <v>2050</v>
      </c>
    </row>
    <row r="117" spans="1:52">
      <c r="A117" s="20" t="s">
        <v>17</v>
      </c>
    </row>
    <row r="118" spans="1:52">
      <c r="A118" s="20" t="s">
        <v>18</v>
      </c>
    </row>
    <row r="119" spans="1:52">
      <c r="A119" s="20" t="s">
        <v>19</v>
      </c>
    </row>
    <row r="120" spans="1:52">
      <c r="A120" s="20" t="s">
        <v>20</v>
      </c>
    </row>
    <row r="121" spans="1:52">
      <c r="A121" s="20" t="s">
        <v>21</v>
      </c>
    </row>
    <row r="122" spans="1:52">
      <c r="A122" s="20" t="s">
        <v>22</v>
      </c>
    </row>
    <row r="123" spans="1:52">
      <c r="A123" s="20" t="s">
        <v>23</v>
      </c>
    </row>
    <row r="124" spans="1:52">
      <c r="A124" s="20" t="s">
        <v>24</v>
      </c>
    </row>
    <row r="125" spans="1:52">
      <c r="A125" s="20" t="s">
        <v>25</v>
      </c>
    </row>
    <row r="126" spans="1:52">
      <c r="A126" s="20" t="s">
        <v>26</v>
      </c>
    </row>
    <row r="127" spans="1:52">
      <c r="A127" s="20" t="s">
        <v>27</v>
      </c>
    </row>
    <row r="128" spans="1:52">
      <c r="A128" s="20" t="s">
        <v>28</v>
      </c>
    </row>
    <row r="129" spans="1:52" ht="15.75" thickBot="1">
      <c r="A129" s="20" t="s">
        <v>29</v>
      </c>
    </row>
    <row r="130" spans="1:52">
      <c r="A130" s="25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</row>
    <row r="131" spans="1:52" ht="15.75" thickBot="1">
      <c r="A131" s="20" t="s">
        <v>94</v>
      </c>
    </row>
    <row r="132" spans="1:52" ht="15.75" thickBot="1">
      <c r="A132" s="22"/>
      <c r="B132" s="23" t="str">
        <f>B116</f>
        <v>2000</v>
      </c>
      <c r="C132" s="23" t="str">
        <f t="shared" ref="C132:Y132" si="14">C116</f>
        <v>2001</v>
      </c>
      <c r="D132" s="23" t="str">
        <f t="shared" si="14"/>
        <v>2002</v>
      </c>
      <c r="E132" s="23" t="str">
        <f t="shared" si="14"/>
        <v>2003</v>
      </c>
      <c r="F132" s="23" t="str">
        <f t="shared" si="14"/>
        <v>2004</v>
      </c>
      <c r="G132" s="23" t="str">
        <f t="shared" si="14"/>
        <v>2005</v>
      </c>
      <c r="H132" s="23" t="str">
        <f t="shared" si="14"/>
        <v>2006</v>
      </c>
      <c r="I132" s="23" t="str">
        <f t="shared" si="14"/>
        <v>2007</v>
      </c>
      <c r="J132" s="23" t="str">
        <f t="shared" si="14"/>
        <v>2008</v>
      </c>
      <c r="K132" s="23" t="str">
        <f t="shared" si="14"/>
        <v>2009</v>
      </c>
      <c r="L132" s="23" t="str">
        <f t="shared" si="14"/>
        <v>2010</v>
      </c>
      <c r="M132" s="23" t="str">
        <f t="shared" si="14"/>
        <v>2011</v>
      </c>
      <c r="N132" s="23" t="str">
        <f t="shared" si="14"/>
        <v>2012</v>
      </c>
      <c r="O132" s="23" t="str">
        <f t="shared" si="14"/>
        <v>2013</v>
      </c>
      <c r="P132" s="23" t="str">
        <f t="shared" si="14"/>
        <v>2014</v>
      </c>
      <c r="Q132" s="23" t="str">
        <f t="shared" si="14"/>
        <v>2015</v>
      </c>
      <c r="R132" s="23" t="str">
        <f t="shared" si="14"/>
        <v>2016</v>
      </c>
      <c r="S132" s="23" t="str">
        <f t="shared" si="14"/>
        <v>2017</v>
      </c>
      <c r="T132" s="23" t="str">
        <f t="shared" si="14"/>
        <v>2018</v>
      </c>
      <c r="U132" s="23" t="str">
        <f t="shared" si="14"/>
        <v>2019</v>
      </c>
      <c r="V132" s="23" t="str">
        <f t="shared" si="14"/>
        <v>2020</v>
      </c>
      <c r="W132" s="23" t="str">
        <f t="shared" si="14"/>
        <v>2021</v>
      </c>
      <c r="X132" s="23" t="str">
        <f t="shared" si="14"/>
        <v>2022</v>
      </c>
      <c r="Y132" s="23" t="str">
        <f t="shared" si="14"/>
        <v>2023</v>
      </c>
      <c r="Z132" s="23" t="str">
        <f>Z116</f>
        <v>2024</v>
      </c>
      <c r="AA132" s="23" t="str">
        <f>AA116</f>
        <v>2025</v>
      </c>
      <c r="AB132" s="23" t="str">
        <f>AB116</f>
        <v>2026</v>
      </c>
      <c r="AC132" s="23" t="str">
        <f t="shared" ref="AC132:AZ132" si="15">AC116</f>
        <v>2027</v>
      </c>
      <c r="AD132" s="23" t="str">
        <f t="shared" si="15"/>
        <v>2028</v>
      </c>
      <c r="AE132" s="23" t="str">
        <f t="shared" si="15"/>
        <v>2029</v>
      </c>
      <c r="AF132" s="23" t="str">
        <f t="shared" si="15"/>
        <v>2030</v>
      </c>
      <c r="AG132" s="23" t="str">
        <f t="shared" si="15"/>
        <v>2031</v>
      </c>
      <c r="AH132" s="23" t="str">
        <f t="shared" si="15"/>
        <v>2032</v>
      </c>
      <c r="AI132" s="23" t="str">
        <f t="shared" si="15"/>
        <v>2033</v>
      </c>
      <c r="AJ132" s="23" t="str">
        <f t="shared" si="15"/>
        <v>2034</v>
      </c>
      <c r="AK132" s="23" t="str">
        <f t="shared" si="15"/>
        <v>2035</v>
      </c>
      <c r="AL132" s="23" t="str">
        <f t="shared" si="15"/>
        <v>2036</v>
      </c>
      <c r="AM132" s="23" t="str">
        <f t="shared" si="15"/>
        <v>2037</v>
      </c>
      <c r="AN132" s="23" t="str">
        <f t="shared" si="15"/>
        <v>2038</v>
      </c>
      <c r="AO132" s="23" t="str">
        <f t="shared" si="15"/>
        <v>2039</v>
      </c>
      <c r="AP132" s="23" t="str">
        <f t="shared" si="15"/>
        <v>2040</v>
      </c>
      <c r="AQ132" s="23" t="str">
        <f t="shared" si="15"/>
        <v>2041</v>
      </c>
      <c r="AR132" s="23" t="str">
        <f t="shared" si="15"/>
        <v>2042</v>
      </c>
      <c r="AS132" s="23" t="str">
        <f t="shared" si="15"/>
        <v>2043</v>
      </c>
      <c r="AT132" s="23" t="str">
        <f t="shared" si="15"/>
        <v>2044</v>
      </c>
      <c r="AU132" s="23" t="str">
        <f t="shared" si="15"/>
        <v>2045</v>
      </c>
      <c r="AV132" s="23" t="str">
        <f t="shared" si="15"/>
        <v>2046</v>
      </c>
      <c r="AW132" s="23" t="str">
        <f t="shared" si="15"/>
        <v>2047</v>
      </c>
      <c r="AX132" s="23" t="str">
        <f t="shared" si="15"/>
        <v>2048</v>
      </c>
      <c r="AY132" s="23" t="str">
        <f t="shared" si="15"/>
        <v>2049</v>
      </c>
      <c r="AZ132" s="23" t="str">
        <f t="shared" si="15"/>
        <v>2050</v>
      </c>
    </row>
    <row r="133" spans="1:52">
      <c r="A133" s="20" t="s">
        <v>17</v>
      </c>
    </row>
    <row r="134" spans="1:52">
      <c r="A134" s="20" t="s">
        <v>18</v>
      </c>
    </row>
    <row r="135" spans="1:52">
      <c r="A135" s="20" t="s">
        <v>19</v>
      </c>
    </row>
    <row r="136" spans="1:52">
      <c r="A136" s="20" t="s">
        <v>20</v>
      </c>
    </row>
    <row r="137" spans="1:52">
      <c r="A137" s="20" t="s">
        <v>21</v>
      </c>
    </row>
    <row r="138" spans="1:52">
      <c r="A138" s="20" t="s">
        <v>22</v>
      </c>
    </row>
    <row r="139" spans="1:52">
      <c r="A139" s="20" t="s">
        <v>23</v>
      </c>
    </row>
    <row r="140" spans="1:52">
      <c r="A140" s="20" t="s">
        <v>24</v>
      </c>
    </row>
    <row r="141" spans="1:52">
      <c r="A141" s="20" t="s">
        <v>25</v>
      </c>
    </row>
    <row r="142" spans="1:52">
      <c r="A142" s="20" t="s">
        <v>26</v>
      </c>
    </row>
    <row r="143" spans="1:52">
      <c r="A143" s="20" t="s">
        <v>27</v>
      </c>
    </row>
    <row r="144" spans="1:52">
      <c r="A144" s="20" t="s">
        <v>28</v>
      </c>
    </row>
    <row r="145" spans="1:52" ht="15.75" thickBot="1">
      <c r="A145" s="20" t="s">
        <v>29</v>
      </c>
    </row>
    <row r="146" spans="1:52">
      <c r="A146" s="25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</row>
    <row r="147" spans="1:52" ht="15.75" thickBot="1">
      <c r="A147" s="20" t="s">
        <v>95</v>
      </c>
    </row>
    <row r="148" spans="1:52" ht="15.75" thickBot="1">
      <c r="A148" s="22"/>
      <c r="B148" s="23" t="str">
        <f>B132</f>
        <v>2000</v>
      </c>
      <c r="C148" s="23" t="str">
        <f t="shared" ref="C148:Y148" si="16">C132</f>
        <v>2001</v>
      </c>
      <c r="D148" s="23" t="str">
        <f t="shared" si="16"/>
        <v>2002</v>
      </c>
      <c r="E148" s="23" t="str">
        <f t="shared" si="16"/>
        <v>2003</v>
      </c>
      <c r="F148" s="23" t="str">
        <f t="shared" si="16"/>
        <v>2004</v>
      </c>
      <c r="G148" s="23" t="str">
        <f t="shared" si="16"/>
        <v>2005</v>
      </c>
      <c r="H148" s="23" t="str">
        <f t="shared" si="16"/>
        <v>2006</v>
      </c>
      <c r="I148" s="23" t="str">
        <f t="shared" si="16"/>
        <v>2007</v>
      </c>
      <c r="J148" s="23" t="str">
        <f t="shared" si="16"/>
        <v>2008</v>
      </c>
      <c r="K148" s="23" t="str">
        <f t="shared" si="16"/>
        <v>2009</v>
      </c>
      <c r="L148" s="23" t="str">
        <f t="shared" si="16"/>
        <v>2010</v>
      </c>
      <c r="M148" s="23" t="str">
        <f t="shared" si="16"/>
        <v>2011</v>
      </c>
      <c r="N148" s="23" t="str">
        <f t="shared" si="16"/>
        <v>2012</v>
      </c>
      <c r="O148" s="23" t="str">
        <f t="shared" si="16"/>
        <v>2013</v>
      </c>
      <c r="P148" s="23" t="str">
        <f t="shared" si="16"/>
        <v>2014</v>
      </c>
      <c r="Q148" s="23" t="str">
        <f t="shared" si="16"/>
        <v>2015</v>
      </c>
      <c r="R148" s="23" t="str">
        <f t="shared" si="16"/>
        <v>2016</v>
      </c>
      <c r="S148" s="23" t="str">
        <f t="shared" si="16"/>
        <v>2017</v>
      </c>
      <c r="T148" s="23" t="str">
        <f t="shared" si="16"/>
        <v>2018</v>
      </c>
      <c r="U148" s="23" t="str">
        <f t="shared" si="16"/>
        <v>2019</v>
      </c>
      <c r="V148" s="23" t="str">
        <f t="shared" si="16"/>
        <v>2020</v>
      </c>
      <c r="W148" s="23" t="str">
        <f t="shared" si="16"/>
        <v>2021</v>
      </c>
      <c r="X148" s="23" t="str">
        <f t="shared" si="16"/>
        <v>2022</v>
      </c>
      <c r="Y148" s="23" t="str">
        <f t="shared" si="16"/>
        <v>2023</v>
      </c>
      <c r="Z148" s="23" t="str">
        <f>Z132</f>
        <v>2024</v>
      </c>
      <c r="AA148" s="23" t="str">
        <f>AA132</f>
        <v>2025</v>
      </c>
      <c r="AB148" s="23" t="str">
        <f>AB132</f>
        <v>2026</v>
      </c>
      <c r="AC148" s="23" t="str">
        <f t="shared" ref="AC148:AZ148" si="17">AC132</f>
        <v>2027</v>
      </c>
      <c r="AD148" s="23" t="str">
        <f t="shared" si="17"/>
        <v>2028</v>
      </c>
      <c r="AE148" s="23" t="str">
        <f t="shared" si="17"/>
        <v>2029</v>
      </c>
      <c r="AF148" s="23" t="str">
        <f t="shared" si="17"/>
        <v>2030</v>
      </c>
      <c r="AG148" s="23" t="str">
        <f t="shared" si="17"/>
        <v>2031</v>
      </c>
      <c r="AH148" s="23" t="str">
        <f t="shared" si="17"/>
        <v>2032</v>
      </c>
      <c r="AI148" s="23" t="str">
        <f t="shared" si="17"/>
        <v>2033</v>
      </c>
      <c r="AJ148" s="23" t="str">
        <f t="shared" si="17"/>
        <v>2034</v>
      </c>
      <c r="AK148" s="23" t="str">
        <f t="shared" si="17"/>
        <v>2035</v>
      </c>
      <c r="AL148" s="23" t="str">
        <f t="shared" si="17"/>
        <v>2036</v>
      </c>
      <c r="AM148" s="23" t="str">
        <f t="shared" si="17"/>
        <v>2037</v>
      </c>
      <c r="AN148" s="23" t="str">
        <f t="shared" si="17"/>
        <v>2038</v>
      </c>
      <c r="AO148" s="23" t="str">
        <f t="shared" si="17"/>
        <v>2039</v>
      </c>
      <c r="AP148" s="23" t="str">
        <f t="shared" si="17"/>
        <v>2040</v>
      </c>
      <c r="AQ148" s="23" t="str">
        <f t="shared" si="17"/>
        <v>2041</v>
      </c>
      <c r="AR148" s="23" t="str">
        <f t="shared" si="17"/>
        <v>2042</v>
      </c>
      <c r="AS148" s="23" t="str">
        <f t="shared" si="17"/>
        <v>2043</v>
      </c>
      <c r="AT148" s="23" t="str">
        <f t="shared" si="17"/>
        <v>2044</v>
      </c>
      <c r="AU148" s="23" t="str">
        <f t="shared" si="17"/>
        <v>2045</v>
      </c>
      <c r="AV148" s="23" t="str">
        <f t="shared" si="17"/>
        <v>2046</v>
      </c>
      <c r="AW148" s="23" t="str">
        <f t="shared" si="17"/>
        <v>2047</v>
      </c>
      <c r="AX148" s="23" t="str">
        <f t="shared" si="17"/>
        <v>2048</v>
      </c>
      <c r="AY148" s="23" t="str">
        <f t="shared" si="17"/>
        <v>2049</v>
      </c>
      <c r="AZ148" s="23" t="str">
        <f t="shared" si="17"/>
        <v>2050</v>
      </c>
    </row>
    <row r="149" spans="1:52">
      <c r="A149" s="20" t="s">
        <v>17</v>
      </c>
    </row>
    <row r="150" spans="1:52">
      <c r="A150" s="20" t="s">
        <v>18</v>
      </c>
    </row>
    <row r="151" spans="1:52">
      <c r="A151" s="20" t="s">
        <v>19</v>
      </c>
    </row>
    <row r="152" spans="1:52">
      <c r="A152" s="20" t="s">
        <v>20</v>
      </c>
    </row>
    <row r="153" spans="1:52">
      <c r="A153" s="20" t="s">
        <v>21</v>
      </c>
    </row>
    <row r="154" spans="1:52">
      <c r="A154" s="20" t="s">
        <v>22</v>
      </c>
    </row>
    <row r="155" spans="1:52">
      <c r="A155" s="20" t="s">
        <v>23</v>
      </c>
    </row>
    <row r="156" spans="1:52">
      <c r="A156" s="20" t="s">
        <v>24</v>
      </c>
    </row>
    <row r="157" spans="1:52">
      <c r="A157" s="20" t="s">
        <v>25</v>
      </c>
    </row>
    <row r="158" spans="1:52">
      <c r="A158" s="20" t="s">
        <v>26</v>
      </c>
    </row>
    <row r="159" spans="1:52">
      <c r="A159" s="20" t="s">
        <v>27</v>
      </c>
    </row>
    <row r="160" spans="1:52" ht="15.75" thickBot="1">
      <c r="A160" s="20" t="s">
        <v>28</v>
      </c>
    </row>
    <row r="161" spans="1:52">
      <c r="A161" s="25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</row>
    <row r="162" spans="1:52" ht="15.75" thickBot="1">
      <c r="A162" s="20" t="s">
        <v>38</v>
      </c>
    </row>
    <row r="163" spans="1:52" ht="15.75" thickBot="1">
      <c r="A163" s="22"/>
      <c r="B163" s="23" t="str">
        <f>B148</f>
        <v>2000</v>
      </c>
      <c r="C163" s="23" t="str">
        <f t="shared" ref="C163:Y163" si="18">C148</f>
        <v>2001</v>
      </c>
      <c r="D163" s="23" t="str">
        <f t="shared" si="18"/>
        <v>2002</v>
      </c>
      <c r="E163" s="23" t="str">
        <f t="shared" si="18"/>
        <v>2003</v>
      </c>
      <c r="F163" s="23" t="str">
        <f t="shared" si="18"/>
        <v>2004</v>
      </c>
      <c r="G163" s="23" t="str">
        <f t="shared" si="18"/>
        <v>2005</v>
      </c>
      <c r="H163" s="23" t="str">
        <f t="shared" si="18"/>
        <v>2006</v>
      </c>
      <c r="I163" s="23" t="str">
        <f t="shared" si="18"/>
        <v>2007</v>
      </c>
      <c r="J163" s="23" t="str">
        <f t="shared" si="18"/>
        <v>2008</v>
      </c>
      <c r="K163" s="23" t="str">
        <f t="shared" si="18"/>
        <v>2009</v>
      </c>
      <c r="L163" s="23" t="str">
        <f t="shared" si="18"/>
        <v>2010</v>
      </c>
      <c r="M163" s="23" t="str">
        <f t="shared" si="18"/>
        <v>2011</v>
      </c>
      <c r="N163" s="23" t="str">
        <f t="shared" si="18"/>
        <v>2012</v>
      </c>
      <c r="O163" s="23" t="str">
        <f t="shared" si="18"/>
        <v>2013</v>
      </c>
      <c r="P163" s="23" t="str">
        <f t="shared" si="18"/>
        <v>2014</v>
      </c>
      <c r="Q163" s="23" t="str">
        <f t="shared" si="18"/>
        <v>2015</v>
      </c>
      <c r="R163" s="23" t="str">
        <f t="shared" si="18"/>
        <v>2016</v>
      </c>
      <c r="S163" s="23" t="str">
        <f t="shared" si="18"/>
        <v>2017</v>
      </c>
      <c r="T163" s="23" t="str">
        <f t="shared" si="18"/>
        <v>2018</v>
      </c>
      <c r="U163" s="23" t="str">
        <f t="shared" si="18"/>
        <v>2019</v>
      </c>
      <c r="V163" s="23" t="str">
        <f t="shared" si="18"/>
        <v>2020</v>
      </c>
      <c r="W163" s="23" t="str">
        <f t="shared" si="18"/>
        <v>2021</v>
      </c>
      <c r="X163" s="23" t="str">
        <f t="shared" si="18"/>
        <v>2022</v>
      </c>
      <c r="Y163" s="23" t="str">
        <f t="shared" si="18"/>
        <v>2023</v>
      </c>
      <c r="Z163" s="23" t="str">
        <f>Z148</f>
        <v>2024</v>
      </c>
      <c r="AA163" s="23" t="str">
        <f>AA148</f>
        <v>2025</v>
      </c>
      <c r="AB163" s="23" t="str">
        <f>AB148</f>
        <v>2026</v>
      </c>
      <c r="AC163" s="23" t="str">
        <f t="shared" ref="AC163:AZ163" si="19">AC148</f>
        <v>2027</v>
      </c>
      <c r="AD163" s="23" t="str">
        <f t="shared" si="19"/>
        <v>2028</v>
      </c>
      <c r="AE163" s="23" t="str">
        <f t="shared" si="19"/>
        <v>2029</v>
      </c>
      <c r="AF163" s="23" t="str">
        <f t="shared" si="19"/>
        <v>2030</v>
      </c>
      <c r="AG163" s="23" t="str">
        <f t="shared" si="19"/>
        <v>2031</v>
      </c>
      <c r="AH163" s="23" t="str">
        <f t="shared" si="19"/>
        <v>2032</v>
      </c>
      <c r="AI163" s="23" t="str">
        <f t="shared" si="19"/>
        <v>2033</v>
      </c>
      <c r="AJ163" s="23" t="str">
        <f t="shared" si="19"/>
        <v>2034</v>
      </c>
      <c r="AK163" s="23" t="str">
        <f t="shared" si="19"/>
        <v>2035</v>
      </c>
      <c r="AL163" s="23" t="str">
        <f t="shared" si="19"/>
        <v>2036</v>
      </c>
      <c r="AM163" s="23" t="str">
        <f t="shared" si="19"/>
        <v>2037</v>
      </c>
      <c r="AN163" s="23" t="str">
        <f t="shared" si="19"/>
        <v>2038</v>
      </c>
      <c r="AO163" s="23" t="str">
        <f t="shared" si="19"/>
        <v>2039</v>
      </c>
      <c r="AP163" s="23" t="str">
        <f t="shared" si="19"/>
        <v>2040</v>
      </c>
      <c r="AQ163" s="23" t="str">
        <f t="shared" si="19"/>
        <v>2041</v>
      </c>
      <c r="AR163" s="23" t="str">
        <f t="shared" si="19"/>
        <v>2042</v>
      </c>
      <c r="AS163" s="23" t="str">
        <f t="shared" si="19"/>
        <v>2043</v>
      </c>
      <c r="AT163" s="23" t="str">
        <f t="shared" si="19"/>
        <v>2044</v>
      </c>
      <c r="AU163" s="23" t="str">
        <f t="shared" si="19"/>
        <v>2045</v>
      </c>
      <c r="AV163" s="23" t="str">
        <f t="shared" si="19"/>
        <v>2046</v>
      </c>
      <c r="AW163" s="23" t="str">
        <f t="shared" si="19"/>
        <v>2047</v>
      </c>
      <c r="AX163" s="23" t="str">
        <f t="shared" si="19"/>
        <v>2048</v>
      </c>
      <c r="AY163" s="23" t="str">
        <f t="shared" si="19"/>
        <v>2049</v>
      </c>
      <c r="AZ163" s="23" t="str">
        <f t="shared" si="19"/>
        <v>2050</v>
      </c>
    </row>
    <row r="164" spans="1:52">
      <c r="A164" s="20" t="s">
        <v>17</v>
      </c>
    </row>
    <row r="165" spans="1:52">
      <c r="A165" s="20" t="s">
        <v>18</v>
      </c>
    </row>
    <row r="166" spans="1:52">
      <c r="A166" s="20" t="s">
        <v>19</v>
      </c>
    </row>
    <row r="167" spans="1:52">
      <c r="A167" s="20" t="s">
        <v>20</v>
      </c>
    </row>
    <row r="168" spans="1:52">
      <c r="A168" s="20" t="s">
        <v>21</v>
      </c>
    </row>
    <row r="169" spans="1:52">
      <c r="A169" s="20" t="s">
        <v>22</v>
      </c>
    </row>
    <row r="170" spans="1:52">
      <c r="A170" s="20" t="s">
        <v>23</v>
      </c>
    </row>
    <row r="171" spans="1:52">
      <c r="A171" s="20" t="s">
        <v>24</v>
      </c>
    </row>
    <row r="172" spans="1:52">
      <c r="A172" s="20" t="s">
        <v>25</v>
      </c>
    </row>
    <row r="173" spans="1:52">
      <c r="A173" s="20" t="s">
        <v>26</v>
      </c>
    </row>
    <row r="174" spans="1:52">
      <c r="A174" s="20" t="s">
        <v>27</v>
      </c>
    </row>
    <row r="175" spans="1:52">
      <c r="A175" s="20" t="s">
        <v>28</v>
      </c>
    </row>
    <row r="176" spans="1:52" ht="15.75" thickBot="1">
      <c r="A176" s="20" t="s">
        <v>39</v>
      </c>
    </row>
    <row r="177" spans="1:52">
      <c r="A177" s="25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</row>
    <row r="178" spans="1:52" ht="15.75" thickBot="1">
      <c r="A178" s="20" t="s">
        <v>40</v>
      </c>
    </row>
    <row r="179" spans="1:52" ht="15.75" thickBot="1">
      <c r="A179" s="22"/>
      <c r="B179" s="23" t="str">
        <f>B163</f>
        <v>2000</v>
      </c>
      <c r="C179" s="23" t="str">
        <f t="shared" ref="C179:Y179" si="20">C163</f>
        <v>2001</v>
      </c>
      <c r="D179" s="23" t="str">
        <f t="shared" si="20"/>
        <v>2002</v>
      </c>
      <c r="E179" s="23" t="str">
        <f t="shared" si="20"/>
        <v>2003</v>
      </c>
      <c r="F179" s="23" t="str">
        <f t="shared" si="20"/>
        <v>2004</v>
      </c>
      <c r="G179" s="23" t="str">
        <f t="shared" si="20"/>
        <v>2005</v>
      </c>
      <c r="H179" s="23" t="str">
        <f t="shared" si="20"/>
        <v>2006</v>
      </c>
      <c r="I179" s="23" t="str">
        <f t="shared" si="20"/>
        <v>2007</v>
      </c>
      <c r="J179" s="23" t="str">
        <f t="shared" si="20"/>
        <v>2008</v>
      </c>
      <c r="K179" s="23" t="str">
        <f t="shared" si="20"/>
        <v>2009</v>
      </c>
      <c r="L179" s="23" t="str">
        <f t="shared" si="20"/>
        <v>2010</v>
      </c>
      <c r="M179" s="23" t="str">
        <f t="shared" si="20"/>
        <v>2011</v>
      </c>
      <c r="N179" s="23" t="str">
        <f t="shared" si="20"/>
        <v>2012</v>
      </c>
      <c r="O179" s="23" t="str">
        <f t="shared" si="20"/>
        <v>2013</v>
      </c>
      <c r="P179" s="23" t="str">
        <f t="shared" si="20"/>
        <v>2014</v>
      </c>
      <c r="Q179" s="23" t="str">
        <f t="shared" si="20"/>
        <v>2015</v>
      </c>
      <c r="R179" s="23" t="str">
        <f t="shared" si="20"/>
        <v>2016</v>
      </c>
      <c r="S179" s="23" t="str">
        <f t="shared" si="20"/>
        <v>2017</v>
      </c>
      <c r="T179" s="23" t="str">
        <f t="shared" si="20"/>
        <v>2018</v>
      </c>
      <c r="U179" s="23" t="str">
        <f t="shared" si="20"/>
        <v>2019</v>
      </c>
      <c r="V179" s="23" t="str">
        <f t="shared" si="20"/>
        <v>2020</v>
      </c>
      <c r="W179" s="23" t="str">
        <f t="shared" si="20"/>
        <v>2021</v>
      </c>
      <c r="X179" s="23" t="str">
        <f t="shared" si="20"/>
        <v>2022</v>
      </c>
      <c r="Y179" s="23" t="str">
        <f t="shared" si="20"/>
        <v>2023</v>
      </c>
      <c r="Z179" s="23" t="str">
        <f>Z163</f>
        <v>2024</v>
      </c>
      <c r="AA179" s="23" t="str">
        <f>AA163</f>
        <v>2025</v>
      </c>
      <c r="AB179" s="23" t="str">
        <f>AB163</f>
        <v>2026</v>
      </c>
      <c r="AC179" s="23" t="str">
        <f t="shared" ref="AC179:AZ179" si="21">AC163</f>
        <v>2027</v>
      </c>
      <c r="AD179" s="23" t="str">
        <f t="shared" si="21"/>
        <v>2028</v>
      </c>
      <c r="AE179" s="23" t="str">
        <f t="shared" si="21"/>
        <v>2029</v>
      </c>
      <c r="AF179" s="23" t="str">
        <f t="shared" si="21"/>
        <v>2030</v>
      </c>
      <c r="AG179" s="23" t="str">
        <f t="shared" si="21"/>
        <v>2031</v>
      </c>
      <c r="AH179" s="23" t="str">
        <f t="shared" si="21"/>
        <v>2032</v>
      </c>
      <c r="AI179" s="23" t="str">
        <f t="shared" si="21"/>
        <v>2033</v>
      </c>
      <c r="AJ179" s="23" t="str">
        <f t="shared" si="21"/>
        <v>2034</v>
      </c>
      <c r="AK179" s="23" t="str">
        <f t="shared" si="21"/>
        <v>2035</v>
      </c>
      <c r="AL179" s="23" t="str">
        <f t="shared" si="21"/>
        <v>2036</v>
      </c>
      <c r="AM179" s="23" t="str">
        <f t="shared" si="21"/>
        <v>2037</v>
      </c>
      <c r="AN179" s="23" t="str">
        <f t="shared" si="21"/>
        <v>2038</v>
      </c>
      <c r="AO179" s="23" t="str">
        <f t="shared" si="21"/>
        <v>2039</v>
      </c>
      <c r="AP179" s="23" t="str">
        <f t="shared" si="21"/>
        <v>2040</v>
      </c>
      <c r="AQ179" s="23" t="str">
        <f t="shared" si="21"/>
        <v>2041</v>
      </c>
      <c r="AR179" s="23" t="str">
        <f t="shared" si="21"/>
        <v>2042</v>
      </c>
      <c r="AS179" s="23" t="str">
        <f t="shared" si="21"/>
        <v>2043</v>
      </c>
      <c r="AT179" s="23" t="str">
        <f t="shared" si="21"/>
        <v>2044</v>
      </c>
      <c r="AU179" s="23" t="str">
        <f t="shared" si="21"/>
        <v>2045</v>
      </c>
      <c r="AV179" s="23" t="str">
        <f t="shared" si="21"/>
        <v>2046</v>
      </c>
      <c r="AW179" s="23" t="str">
        <f t="shared" si="21"/>
        <v>2047</v>
      </c>
      <c r="AX179" s="23" t="str">
        <f t="shared" si="21"/>
        <v>2048</v>
      </c>
      <c r="AY179" s="23" t="str">
        <f t="shared" si="21"/>
        <v>2049</v>
      </c>
      <c r="AZ179" s="23" t="str">
        <f t="shared" si="21"/>
        <v>2050</v>
      </c>
    </row>
    <row r="180" spans="1:52">
      <c r="A180" s="20" t="s">
        <v>17</v>
      </c>
    </row>
    <row r="181" spans="1:52">
      <c r="A181" s="20" t="s">
        <v>18</v>
      </c>
    </row>
    <row r="182" spans="1:52">
      <c r="A182" s="20" t="s">
        <v>19</v>
      </c>
    </row>
    <row r="183" spans="1:52">
      <c r="A183" s="20" t="s">
        <v>20</v>
      </c>
    </row>
    <row r="184" spans="1:52">
      <c r="A184" s="20" t="s">
        <v>21</v>
      </c>
    </row>
    <row r="185" spans="1:52">
      <c r="A185" s="20" t="s">
        <v>22</v>
      </c>
    </row>
    <row r="186" spans="1:52">
      <c r="A186" s="20" t="s">
        <v>23</v>
      </c>
    </row>
    <row r="187" spans="1:52">
      <c r="A187" s="20" t="s">
        <v>24</v>
      </c>
    </row>
    <row r="188" spans="1:52">
      <c r="A188" s="20" t="s">
        <v>25</v>
      </c>
    </row>
    <row r="189" spans="1:52">
      <c r="A189" s="20" t="s">
        <v>26</v>
      </c>
    </row>
    <row r="190" spans="1:52">
      <c r="A190" s="20" t="s">
        <v>27</v>
      </c>
    </row>
    <row r="191" spans="1:52">
      <c r="A191" s="20" t="s">
        <v>28</v>
      </c>
    </row>
    <row r="192" spans="1:52" ht="15.75" thickBot="1">
      <c r="A192" s="20" t="s">
        <v>29</v>
      </c>
      <c r="B192" s="36">
        <v>1950000</v>
      </c>
      <c r="C192" s="36">
        <v>1322000</v>
      </c>
      <c r="D192" s="36">
        <v>1720000</v>
      </c>
      <c r="E192" s="36">
        <v>1900000</v>
      </c>
      <c r="F192" s="36">
        <v>2220000</v>
      </c>
      <c r="G192" s="36">
        <v>2450000</v>
      </c>
      <c r="H192" s="36">
        <v>2700000</v>
      </c>
      <c r="I192" s="36">
        <v>2300000</v>
      </c>
      <c r="J192" s="36">
        <v>2250000</v>
      </c>
      <c r="K192" s="36">
        <v>2325000</v>
      </c>
      <c r="L192" s="36">
        <v>2280000</v>
      </c>
      <c r="M192" s="36">
        <v>2096000</v>
      </c>
      <c r="N192" s="36">
        <v>2150000</v>
      </c>
      <c r="O192" s="36">
        <v>2060000</v>
      </c>
      <c r="P192" s="36">
        <v>2200000</v>
      </c>
      <c r="Q192" s="36">
        <v>2230000</v>
      </c>
      <c r="R192" s="36">
        <v>2280000</v>
      </c>
      <c r="S192" s="36">
        <v>2340000</v>
      </c>
      <c r="T192" s="36">
        <v>2372000</v>
      </c>
      <c r="U192" s="36">
        <v>2240000</v>
      </c>
      <c r="V192" s="36">
        <v>2020000</v>
      </c>
      <c r="W192" s="36">
        <v>2200000</v>
      </c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</row>
    <row r="193" spans="1:52">
      <c r="A193" s="25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</row>
    <row r="194" spans="1:52" ht="15.75" thickBot="1">
      <c r="A194" s="20" t="s">
        <v>96</v>
      </c>
    </row>
    <row r="195" spans="1:52" ht="15.75" thickBot="1">
      <c r="A195" s="22"/>
      <c r="B195" s="23" t="str">
        <f>B179</f>
        <v>2000</v>
      </c>
      <c r="C195" s="23" t="str">
        <f t="shared" ref="C195:Y195" si="22">C179</f>
        <v>2001</v>
      </c>
      <c r="D195" s="23" t="str">
        <f t="shared" si="22"/>
        <v>2002</v>
      </c>
      <c r="E195" s="23" t="str">
        <f t="shared" si="22"/>
        <v>2003</v>
      </c>
      <c r="F195" s="23" t="str">
        <f t="shared" si="22"/>
        <v>2004</v>
      </c>
      <c r="G195" s="23" t="str">
        <f t="shared" si="22"/>
        <v>2005</v>
      </c>
      <c r="H195" s="23" t="str">
        <f t="shared" si="22"/>
        <v>2006</v>
      </c>
      <c r="I195" s="23" t="str">
        <f t="shared" si="22"/>
        <v>2007</v>
      </c>
      <c r="J195" s="23" t="str">
        <f t="shared" si="22"/>
        <v>2008</v>
      </c>
      <c r="K195" s="23" t="str">
        <f t="shared" si="22"/>
        <v>2009</v>
      </c>
      <c r="L195" s="23" t="str">
        <f t="shared" si="22"/>
        <v>2010</v>
      </c>
      <c r="M195" s="23" t="str">
        <f t="shared" si="22"/>
        <v>2011</v>
      </c>
      <c r="N195" s="23" t="str">
        <f t="shared" si="22"/>
        <v>2012</v>
      </c>
      <c r="O195" s="23" t="str">
        <f t="shared" si="22"/>
        <v>2013</v>
      </c>
      <c r="P195" s="23" t="str">
        <f t="shared" si="22"/>
        <v>2014</v>
      </c>
      <c r="Q195" s="23" t="str">
        <f t="shared" si="22"/>
        <v>2015</v>
      </c>
      <c r="R195" s="23" t="str">
        <f t="shared" si="22"/>
        <v>2016</v>
      </c>
      <c r="S195" s="23" t="str">
        <f t="shared" si="22"/>
        <v>2017</v>
      </c>
      <c r="T195" s="23" t="str">
        <f t="shared" si="22"/>
        <v>2018</v>
      </c>
      <c r="U195" s="23" t="str">
        <f t="shared" si="22"/>
        <v>2019</v>
      </c>
      <c r="V195" s="23" t="str">
        <f t="shared" si="22"/>
        <v>2020</v>
      </c>
      <c r="W195" s="23" t="str">
        <f t="shared" si="22"/>
        <v>2021</v>
      </c>
      <c r="X195" s="23" t="str">
        <f t="shared" si="22"/>
        <v>2022</v>
      </c>
      <c r="Y195" s="23" t="str">
        <f t="shared" si="22"/>
        <v>2023</v>
      </c>
      <c r="Z195" s="23" t="str">
        <f>Z179</f>
        <v>2024</v>
      </c>
      <c r="AA195" s="23" t="str">
        <f>AA179</f>
        <v>2025</v>
      </c>
      <c r="AB195" s="23" t="str">
        <f>AB179</f>
        <v>2026</v>
      </c>
      <c r="AC195" s="23" t="str">
        <f t="shared" ref="AC195:AZ195" si="23">AC179</f>
        <v>2027</v>
      </c>
      <c r="AD195" s="23" t="str">
        <f t="shared" si="23"/>
        <v>2028</v>
      </c>
      <c r="AE195" s="23" t="str">
        <f t="shared" si="23"/>
        <v>2029</v>
      </c>
      <c r="AF195" s="23" t="str">
        <f t="shared" si="23"/>
        <v>2030</v>
      </c>
      <c r="AG195" s="23" t="str">
        <f t="shared" si="23"/>
        <v>2031</v>
      </c>
      <c r="AH195" s="23" t="str">
        <f t="shared" si="23"/>
        <v>2032</v>
      </c>
      <c r="AI195" s="23" t="str">
        <f t="shared" si="23"/>
        <v>2033</v>
      </c>
      <c r="AJ195" s="23" t="str">
        <f t="shared" si="23"/>
        <v>2034</v>
      </c>
      <c r="AK195" s="23" t="str">
        <f t="shared" si="23"/>
        <v>2035</v>
      </c>
      <c r="AL195" s="23" t="str">
        <f t="shared" si="23"/>
        <v>2036</v>
      </c>
      <c r="AM195" s="23" t="str">
        <f t="shared" si="23"/>
        <v>2037</v>
      </c>
      <c r="AN195" s="23" t="str">
        <f t="shared" si="23"/>
        <v>2038</v>
      </c>
      <c r="AO195" s="23" t="str">
        <f t="shared" si="23"/>
        <v>2039</v>
      </c>
      <c r="AP195" s="23" t="str">
        <f t="shared" si="23"/>
        <v>2040</v>
      </c>
      <c r="AQ195" s="23" t="str">
        <f t="shared" si="23"/>
        <v>2041</v>
      </c>
      <c r="AR195" s="23" t="str">
        <f t="shared" si="23"/>
        <v>2042</v>
      </c>
      <c r="AS195" s="23" t="str">
        <f t="shared" si="23"/>
        <v>2043</v>
      </c>
      <c r="AT195" s="23" t="str">
        <f t="shared" si="23"/>
        <v>2044</v>
      </c>
      <c r="AU195" s="23" t="str">
        <f t="shared" si="23"/>
        <v>2045</v>
      </c>
      <c r="AV195" s="23" t="str">
        <f t="shared" si="23"/>
        <v>2046</v>
      </c>
      <c r="AW195" s="23" t="str">
        <f t="shared" si="23"/>
        <v>2047</v>
      </c>
      <c r="AX195" s="23" t="str">
        <f t="shared" si="23"/>
        <v>2048</v>
      </c>
      <c r="AY195" s="23" t="str">
        <f t="shared" si="23"/>
        <v>2049</v>
      </c>
      <c r="AZ195" s="23" t="str">
        <f t="shared" si="23"/>
        <v>2050</v>
      </c>
    </row>
    <row r="196" spans="1:52">
      <c r="A196" s="20" t="s">
        <v>17</v>
      </c>
    </row>
    <row r="197" spans="1:52">
      <c r="A197" s="20" t="s">
        <v>18</v>
      </c>
    </row>
    <row r="198" spans="1:52">
      <c r="A198" s="20" t="s">
        <v>19</v>
      </c>
    </row>
    <row r="199" spans="1:52">
      <c r="A199" s="20" t="s">
        <v>20</v>
      </c>
    </row>
    <row r="200" spans="1:52">
      <c r="A200" s="20" t="s">
        <v>21</v>
      </c>
    </row>
    <row r="201" spans="1:52">
      <c r="A201" s="20" t="s">
        <v>22</v>
      </c>
    </row>
    <row r="202" spans="1:52">
      <c r="A202" s="20" t="s">
        <v>23</v>
      </c>
    </row>
    <row r="203" spans="1:52">
      <c r="A203" s="20" t="s">
        <v>24</v>
      </c>
    </row>
    <row r="204" spans="1:52">
      <c r="A204" s="20" t="s">
        <v>25</v>
      </c>
    </row>
    <row r="205" spans="1:52">
      <c r="A205" s="20" t="s">
        <v>26</v>
      </c>
    </row>
    <row r="206" spans="1:52">
      <c r="A206" s="20" t="s">
        <v>27</v>
      </c>
    </row>
    <row r="207" spans="1:52">
      <c r="A207" s="20" t="s">
        <v>28</v>
      </c>
    </row>
    <row r="208" spans="1:52" ht="15.75" thickBot="1">
      <c r="A208" s="20" t="s">
        <v>29</v>
      </c>
      <c r="B208" s="36">
        <v>440000</v>
      </c>
      <c r="C208" s="36">
        <v>317000</v>
      </c>
      <c r="D208" s="36">
        <v>425000</v>
      </c>
      <c r="E208" s="36">
        <v>450000</v>
      </c>
      <c r="F208" s="36">
        <v>544000</v>
      </c>
      <c r="G208" s="36">
        <v>600000</v>
      </c>
      <c r="H208" s="36">
        <v>640000</v>
      </c>
      <c r="I208" s="36">
        <v>560000</v>
      </c>
      <c r="J208" s="36">
        <v>535000</v>
      </c>
      <c r="K208" s="36">
        <v>580000</v>
      </c>
      <c r="L208" s="36">
        <v>530000</v>
      </c>
      <c r="M208" s="36">
        <v>510000</v>
      </c>
      <c r="N208" s="36">
        <v>530000</v>
      </c>
      <c r="O208" s="36">
        <v>525000</v>
      </c>
      <c r="P208" s="36">
        <v>555000</v>
      </c>
      <c r="Q208" s="36">
        <v>565000</v>
      </c>
      <c r="R208" s="36">
        <v>580000</v>
      </c>
      <c r="S208" s="36">
        <v>594000</v>
      </c>
      <c r="T208" s="36">
        <v>596000</v>
      </c>
      <c r="U208" s="36">
        <v>562000</v>
      </c>
      <c r="V208" s="36">
        <v>520000</v>
      </c>
      <c r="W208" s="36">
        <v>560000</v>
      </c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</row>
    <row r="209" spans="1:52">
      <c r="A209" s="25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</row>
    <row r="210" spans="1:52" ht="15.75" thickBot="1">
      <c r="A210" s="20" t="s">
        <v>42</v>
      </c>
    </row>
    <row r="211" spans="1:52" ht="15.75" thickBot="1">
      <c r="A211" s="22"/>
      <c r="B211" s="23" t="str">
        <f>B195</f>
        <v>2000</v>
      </c>
      <c r="C211" s="23" t="str">
        <f t="shared" ref="C211:Y211" si="24">C195</f>
        <v>2001</v>
      </c>
      <c r="D211" s="23" t="str">
        <f t="shared" si="24"/>
        <v>2002</v>
      </c>
      <c r="E211" s="23" t="str">
        <f t="shared" si="24"/>
        <v>2003</v>
      </c>
      <c r="F211" s="23" t="str">
        <f t="shared" si="24"/>
        <v>2004</v>
      </c>
      <c r="G211" s="23" t="str">
        <f t="shared" si="24"/>
        <v>2005</v>
      </c>
      <c r="H211" s="23" t="str">
        <f t="shared" si="24"/>
        <v>2006</v>
      </c>
      <c r="I211" s="23" t="str">
        <f t="shared" si="24"/>
        <v>2007</v>
      </c>
      <c r="J211" s="23" t="str">
        <f t="shared" si="24"/>
        <v>2008</v>
      </c>
      <c r="K211" s="23" t="str">
        <f t="shared" si="24"/>
        <v>2009</v>
      </c>
      <c r="L211" s="23" t="str">
        <f t="shared" si="24"/>
        <v>2010</v>
      </c>
      <c r="M211" s="23" t="str">
        <f t="shared" si="24"/>
        <v>2011</v>
      </c>
      <c r="N211" s="23" t="str">
        <f t="shared" si="24"/>
        <v>2012</v>
      </c>
      <c r="O211" s="23" t="str">
        <f t="shared" si="24"/>
        <v>2013</v>
      </c>
      <c r="P211" s="23" t="str">
        <f t="shared" si="24"/>
        <v>2014</v>
      </c>
      <c r="Q211" s="23" t="str">
        <f t="shared" si="24"/>
        <v>2015</v>
      </c>
      <c r="R211" s="23" t="str">
        <f t="shared" si="24"/>
        <v>2016</v>
      </c>
      <c r="S211" s="23" t="str">
        <f t="shared" si="24"/>
        <v>2017</v>
      </c>
      <c r="T211" s="23" t="str">
        <f t="shared" si="24"/>
        <v>2018</v>
      </c>
      <c r="U211" s="23" t="str">
        <f t="shared" si="24"/>
        <v>2019</v>
      </c>
      <c r="V211" s="23" t="str">
        <f t="shared" si="24"/>
        <v>2020</v>
      </c>
      <c r="W211" s="23" t="str">
        <f t="shared" si="24"/>
        <v>2021</v>
      </c>
      <c r="X211" s="23" t="str">
        <f t="shared" si="24"/>
        <v>2022</v>
      </c>
      <c r="Y211" s="23" t="str">
        <f t="shared" si="24"/>
        <v>2023</v>
      </c>
      <c r="Z211" s="23" t="str">
        <f>Z195</f>
        <v>2024</v>
      </c>
      <c r="AA211" s="23" t="str">
        <f>AA195</f>
        <v>2025</v>
      </c>
      <c r="AB211" s="23" t="str">
        <f>AB195</f>
        <v>2026</v>
      </c>
      <c r="AC211" s="23" t="str">
        <f t="shared" ref="AC211:AZ211" si="25">AC195</f>
        <v>2027</v>
      </c>
      <c r="AD211" s="23" t="str">
        <f t="shared" si="25"/>
        <v>2028</v>
      </c>
      <c r="AE211" s="23" t="str">
        <f t="shared" si="25"/>
        <v>2029</v>
      </c>
      <c r="AF211" s="23" t="str">
        <f t="shared" si="25"/>
        <v>2030</v>
      </c>
      <c r="AG211" s="23" t="str">
        <f t="shared" si="25"/>
        <v>2031</v>
      </c>
      <c r="AH211" s="23" t="str">
        <f t="shared" si="25"/>
        <v>2032</v>
      </c>
      <c r="AI211" s="23" t="str">
        <f t="shared" si="25"/>
        <v>2033</v>
      </c>
      <c r="AJ211" s="23" t="str">
        <f t="shared" si="25"/>
        <v>2034</v>
      </c>
      <c r="AK211" s="23" t="str">
        <f t="shared" si="25"/>
        <v>2035</v>
      </c>
      <c r="AL211" s="23" t="str">
        <f t="shared" si="25"/>
        <v>2036</v>
      </c>
      <c r="AM211" s="23" t="str">
        <f t="shared" si="25"/>
        <v>2037</v>
      </c>
      <c r="AN211" s="23" t="str">
        <f t="shared" si="25"/>
        <v>2038</v>
      </c>
      <c r="AO211" s="23" t="str">
        <f t="shared" si="25"/>
        <v>2039</v>
      </c>
      <c r="AP211" s="23" t="str">
        <f t="shared" si="25"/>
        <v>2040</v>
      </c>
      <c r="AQ211" s="23" t="str">
        <f t="shared" si="25"/>
        <v>2041</v>
      </c>
      <c r="AR211" s="23" t="str">
        <f t="shared" si="25"/>
        <v>2042</v>
      </c>
      <c r="AS211" s="23" t="str">
        <f t="shared" si="25"/>
        <v>2043</v>
      </c>
      <c r="AT211" s="23" t="str">
        <f t="shared" si="25"/>
        <v>2044</v>
      </c>
      <c r="AU211" s="23" t="str">
        <f t="shared" si="25"/>
        <v>2045</v>
      </c>
      <c r="AV211" s="23" t="str">
        <f t="shared" si="25"/>
        <v>2046</v>
      </c>
      <c r="AW211" s="23" t="str">
        <f t="shared" si="25"/>
        <v>2047</v>
      </c>
      <c r="AX211" s="23" t="str">
        <f t="shared" si="25"/>
        <v>2048</v>
      </c>
      <c r="AY211" s="23" t="str">
        <f t="shared" si="25"/>
        <v>2049</v>
      </c>
      <c r="AZ211" s="23" t="str">
        <f t="shared" si="25"/>
        <v>2050</v>
      </c>
    </row>
    <row r="212" spans="1:52">
      <c r="A212" s="20" t="s">
        <v>17</v>
      </c>
    </row>
    <row r="213" spans="1:52">
      <c r="A213" s="20" t="s">
        <v>18</v>
      </c>
    </row>
    <row r="214" spans="1:52">
      <c r="A214" s="20" t="s">
        <v>19</v>
      </c>
    </row>
    <row r="215" spans="1:52">
      <c r="A215" s="20" t="s">
        <v>20</v>
      </c>
    </row>
    <row r="216" spans="1:52">
      <c r="A216" s="20" t="s">
        <v>21</v>
      </c>
    </row>
    <row r="217" spans="1:52">
      <c r="A217" s="20" t="s">
        <v>22</v>
      </c>
    </row>
    <row r="218" spans="1:52">
      <c r="A218" s="20" t="s">
        <v>23</v>
      </c>
    </row>
    <row r="219" spans="1:52">
      <c r="A219" s="20" t="s">
        <v>24</v>
      </c>
    </row>
    <row r="220" spans="1:52">
      <c r="A220" s="20" t="s">
        <v>25</v>
      </c>
    </row>
    <row r="221" spans="1:52">
      <c r="A221" s="20" t="s">
        <v>26</v>
      </c>
    </row>
    <row r="222" spans="1:52">
      <c r="A222" s="20" t="s">
        <v>27</v>
      </c>
    </row>
    <row r="223" spans="1:52">
      <c r="A223" s="20" t="s">
        <v>28</v>
      </c>
    </row>
    <row r="224" spans="1:52" ht="15.75" thickBot="1">
      <c r="A224" s="20" t="s">
        <v>29</v>
      </c>
    </row>
    <row r="225" spans="1:52">
      <c r="A225" s="25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84FFB-B64D-4B55-9D6E-F4B422B89410}">
  <dimension ref="A1:AZ225"/>
  <sheetViews>
    <sheetView zoomScale="85" zoomScaleNormal="85" workbookViewId="0">
      <pane xSplit="1" topLeftCell="AI1" activePane="topRight" state="frozen"/>
      <selection activeCell="AL31" sqref="AL31"/>
      <selection pane="topRight" activeCell="AL31" sqref="AL31"/>
    </sheetView>
  </sheetViews>
  <sheetFormatPr defaultColWidth="8.85546875" defaultRowHeight="15"/>
  <cols>
    <col min="1" max="1" width="32.42578125" customWidth="1"/>
    <col min="2" max="23" width="12.85546875" style="21" bestFit="1" customWidth="1"/>
    <col min="24" max="52" width="10.42578125" style="21" bestFit="1" customWidth="1"/>
  </cols>
  <sheetData>
    <row r="1" spans="1:52" ht="15.75" thickBot="1">
      <c r="A1" s="6" t="s">
        <v>111</v>
      </c>
    </row>
    <row r="2" spans="1:52" ht="15.75" thickBot="1">
      <c r="A2" s="34"/>
      <c r="B2" s="23" t="s">
        <v>44</v>
      </c>
      <c r="C2" s="23" t="s">
        <v>45</v>
      </c>
      <c r="D2" s="23" t="s">
        <v>46</v>
      </c>
      <c r="E2" s="23" t="s">
        <v>47</v>
      </c>
      <c r="F2" s="23" t="s">
        <v>48</v>
      </c>
      <c r="G2" s="23" t="s">
        <v>49</v>
      </c>
      <c r="H2" s="23" t="s">
        <v>50</v>
      </c>
      <c r="I2" s="23" t="s">
        <v>51</v>
      </c>
      <c r="J2" s="23" t="s">
        <v>52</v>
      </c>
      <c r="K2" s="23" t="s">
        <v>53</v>
      </c>
      <c r="L2" s="23" t="s">
        <v>54</v>
      </c>
      <c r="M2" s="23" t="s">
        <v>55</v>
      </c>
      <c r="N2" s="23" t="s">
        <v>56</v>
      </c>
      <c r="O2" s="23" t="s">
        <v>57</v>
      </c>
      <c r="P2" s="23" t="s">
        <v>58</v>
      </c>
      <c r="Q2" s="23" t="s">
        <v>59</v>
      </c>
      <c r="R2" s="23" t="s">
        <v>60</v>
      </c>
      <c r="S2" s="23" t="s">
        <v>61</v>
      </c>
      <c r="T2" s="23" t="s">
        <v>62</v>
      </c>
      <c r="U2" s="23" t="s">
        <v>63</v>
      </c>
      <c r="V2" s="23" t="s">
        <v>64</v>
      </c>
      <c r="W2" s="23" t="s">
        <v>65</v>
      </c>
      <c r="X2" s="23" t="s">
        <v>66</v>
      </c>
      <c r="Y2" s="23" t="s">
        <v>67</v>
      </c>
      <c r="Z2" s="23" t="s">
        <v>68</v>
      </c>
      <c r="AA2" s="23" t="s">
        <v>69</v>
      </c>
      <c r="AB2" s="23" t="s">
        <v>70</v>
      </c>
      <c r="AC2" s="23" t="s">
        <v>71</v>
      </c>
      <c r="AD2" s="23" t="s">
        <v>72</v>
      </c>
      <c r="AE2" s="23" t="s">
        <v>73</v>
      </c>
      <c r="AF2" s="23" t="s">
        <v>74</v>
      </c>
      <c r="AG2" s="23" t="s">
        <v>75</v>
      </c>
      <c r="AH2" s="23" t="s">
        <v>76</v>
      </c>
      <c r="AI2" s="23" t="s">
        <v>77</v>
      </c>
      <c r="AJ2" s="23" t="s">
        <v>78</v>
      </c>
      <c r="AK2" s="23" t="s">
        <v>79</v>
      </c>
      <c r="AL2" s="23" t="s">
        <v>80</v>
      </c>
      <c r="AM2" s="23" t="s">
        <v>81</v>
      </c>
      <c r="AN2" s="23" t="s">
        <v>82</v>
      </c>
      <c r="AO2" s="23" t="s">
        <v>83</v>
      </c>
      <c r="AP2" s="23" t="s">
        <v>84</v>
      </c>
      <c r="AQ2" s="23" t="s">
        <v>85</v>
      </c>
      <c r="AR2" s="23" t="s">
        <v>100</v>
      </c>
      <c r="AS2" s="23" t="s">
        <v>101</v>
      </c>
      <c r="AT2" s="23" t="s">
        <v>102</v>
      </c>
      <c r="AU2" s="23" t="s">
        <v>103</v>
      </c>
      <c r="AV2" s="23" t="s">
        <v>104</v>
      </c>
      <c r="AW2" s="23" t="s">
        <v>105</v>
      </c>
      <c r="AX2" s="23" t="s">
        <v>106</v>
      </c>
      <c r="AY2" s="23" t="s">
        <v>107</v>
      </c>
      <c r="AZ2" s="23" t="s">
        <v>108</v>
      </c>
    </row>
    <row r="3" spans="1:52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>
      <c r="A4" s="6" t="s">
        <v>2</v>
      </c>
      <c r="B4" s="7">
        <f>B208*B224/1000</f>
        <v>253.39686704221009</v>
      </c>
      <c r="C4" s="7">
        <f t="shared" ref="C4:AZ4" si="0">C208*C224/1000</f>
        <v>261.37575443403557</v>
      </c>
      <c r="D4" s="7">
        <f t="shared" si="0"/>
        <v>239.67722852811769</v>
      </c>
      <c r="E4" s="7">
        <f t="shared" si="0"/>
        <v>291.55789387487721</v>
      </c>
      <c r="F4" s="7">
        <f t="shared" si="0"/>
        <v>295.42822024965102</v>
      </c>
      <c r="G4" s="7">
        <f t="shared" si="0"/>
        <v>258.58283008429828</v>
      </c>
      <c r="H4" s="7">
        <f t="shared" si="0"/>
        <v>224.59704044671926</v>
      </c>
      <c r="I4" s="7">
        <f t="shared" si="0"/>
        <v>217.1743670157029</v>
      </c>
      <c r="J4" s="7">
        <f t="shared" si="0"/>
        <v>219.20637774194293</v>
      </c>
      <c r="K4" s="7">
        <f t="shared" si="0"/>
        <v>215.53870417904361</v>
      </c>
      <c r="L4" s="7">
        <f t="shared" si="0"/>
        <v>221.23866560267109</v>
      </c>
      <c r="M4" s="7">
        <f t="shared" si="0"/>
        <v>236.26382401344901</v>
      </c>
      <c r="N4" s="7">
        <f t="shared" si="0"/>
        <v>234.42361898092292</v>
      </c>
      <c r="O4" s="7">
        <f t="shared" si="0"/>
        <v>221.18220838720828</v>
      </c>
      <c r="P4" s="7">
        <f t="shared" si="0"/>
        <v>232.12940226879786</v>
      </c>
      <c r="Q4" s="7">
        <f t="shared" si="0"/>
        <v>258.3962857570765</v>
      </c>
      <c r="R4" s="7">
        <f t="shared" si="0"/>
        <v>264.02364518603764</v>
      </c>
      <c r="S4" s="7">
        <f t="shared" si="0"/>
        <v>272.22977026617878</v>
      </c>
      <c r="T4" s="7">
        <f t="shared" si="0"/>
        <v>286.41515380344248</v>
      </c>
      <c r="U4" s="7">
        <f t="shared" si="0"/>
        <v>275.83303171610828</v>
      </c>
      <c r="V4" s="7">
        <f t="shared" si="0"/>
        <v>278.1845163555588</v>
      </c>
      <c r="W4" s="7">
        <f t="shared" si="0"/>
        <v>290.48106775469307</v>
      </c>
      <c r="X4" s="7">
        <f t="shared" si="0"/>
        <v>324.98428265256365</v>
      </c>
      <c r="Y4" s="7">
        <f t="shared" si="0"/>
        <v>334.68041164797631</v>
      </c>
      <c r="Z4" s="7">
        <f t="shared" si="0"/>
        <v>333.32377176542371</v>
      </c>
      <c r="AA4" s="7">
        <f t="shared" si="0"/>
        <v>330.68648051019028</v>
      </c>
      <c r="AB4" s="7">
        <f t="shared" si="0"/>
        <v>344.85607412002503</v>
      </c>
      <c r="AC4" s="7">
        <f t="shared" si="0"/>
        <v>354.55270562272915</v>
      </c>
      <c r="AD4" s="7">
        <f t="shared" si="0"/>
        <v>362.30779694416265</v>
      </c>
      <c r="AE4" s="7">
        <f t="shared" si="0"/>
        <v>368.36562419126363</v>
      </c>
      <c r="AF4" s="7">
        <f t="shared" si="0"/>
        <v>375.27536628885673</v>
      </c>
      <c r="AG4" s="7">
        <f t="shared" si="0"/>
        <v>382.20535861694873</v>
      </c>
      <c r="AH4" s="7">
        <f t="shared" si="0"/>
        <v>390.469124954346</v>
      </c>
      <c r="AI4" s="7">
        <f t="shared" si="0"/>
        <v>397.60567677466207</v>
      </c>
      <c r="AJ4" s="7">
        <f t="shared" si="0"/>
        <v>404.69667183803983</v>
      </c>
      <c r="AK4" s="7">
        <f t="shared" si="0"/>
        <v>412.06626306445412</v>
      </c>
      <c r="AL4" s="7">
        <f t="shared" si="0"/>
        <v>419.43815604924606</v>
      </c>
      <c r="AM4" s="7">
        <f t="shared" si="0"/>
        <v>426.81235079241503</v>
      </c>
      <c r="AN4" s="7">
        <f t="shared" si="0"/>
        <v>434.18884729396126</v>
      </c>
      <c r="AO4" s="7">
        <f t="shared" si="0"/>
        <v>441.56764555388492</v>
      </c>
      <c r="AP4" s="7">
        <f t="shared" si="0"/>
        <v>448.94874557218606</v>
      </c>
      <c r="AQ4" s="7">
        <f t="shared" si="0"/>
        <v>456.33214734886451</v>
      </c>
      <c r="AR4" s="7">
        <f t="shared" si="0"/>
        <v>463.71785088392363</v>
      </c>
      <c r="AS4" s="7">
        <f t="shared" si="0"/>
        <v>471.10585617735694</v>
      </c>
      <c r="AT4" s="7">
        <f t="shared" si="0"/>
        <v>478.49616322916762</v>
      </c>
      <c r="AU4" s="7">
        <f t="shared" si="0"/>
        <v>485.88877203935584</v>
      </c>
      <c r="AV4" s="7">
        <f t="shared" si="0"/>
        <v>493.28368260792138</v>
      </c>
      <c r="AW4" s="7">
        <f t="shared" si="0"/>
        <v>500.68089493486434</v>
      </c>
      <c r="AX4" s="7">
        <f t="shared" si="0"/>
        <v>508.08040902018467</v>
      </c>
      <c r="AY4" s="7">
        <f t="shared" si="0"/>
        <v>515.48222486388249</v>
      </c>
      <c r="AZ4" s="7">
        <f t="shared" si="0"/>
        <v>522.88634246595757</v>
      </c>
    </row>
    <row r="5" spans="1:52">
      <c r="A5" s="6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</row>
    <row r="6" spans="1:52">
      <c r="A6" s="10" t="s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</row>
    <row r="7" spans="1:52">
      <c r="A7" s="6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</row>
    <row r="8" spans="1:52">
      <c r="A8" s="6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</row>
    <row r="9" spans="1:52">
      <c r="A9" s="6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</row>
    <row r="10" spans="1:52">
      <c r="A10" s="6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</row>
    <row r="11" spans="1:52">
      <c r="A11" s="6" t="s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2">
      <c r="A12" s="6" t="s">
        <v>10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</row>
    <row r="13" spans="1:52">
      <c r="A13" s="10" t="s">
        <v>11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</row>
    <row r="14" spans="1:52">
      <c r="A14" t="s">
        <v>12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>
      <c r="A15" s="6" t="s">
        <v>13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</row>
    <row r="16" spans="1:52" ht="15.75" thickBot="1">
      <c r="A16" s="6" t="s">
        <v>14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>
      <c r="A17" s="17" t="s">
        <v>15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</row>
    <row r="19" spans="1:52" ht="15.75" thickBot="1">
      <c r="A19" s="20" t="s">
        <v>87</v>
      </c>
    </row>
    <row r="20" spans="1:52" ht="15.75" thickBot="1">
      <c r="A20" s="22"/>
      <c r="B20" s="23" t="str">
        <f>B2</f>
        <v>2000</v>
      </c>
      <c r="C20" s="23" t="str">
        <f t="shared" ref="C20:AL20" si="1">C2</f>
        <v>2001</v>
      </c>
      <c r="D20" s="23" t="str">
        <f t="shared" si="1"/>
        <v>2002</v>
      </c>
      <c r="E20" s="23" t="str">
        <f t="shared" si="1"/>
        <v>2003</v>
      </c>
      <c r="F20" s="23" t="str">
        <f t="shared" si="1"/>
        <v>2004</v>
      </c>
      <c r="G20" s="23" t="str">
        <f t="shared" si="1"/>
        <v>2005</v>
      </c>
      <c r="H20" s="23" t="str">
        <f t="shared" si="1"/>
        <v>2006</v>
      </c>
      <c r="I20" s="23" t="str">
        <f t="shared" si="1"/>
        <v>2007</v>
      </c>
      <c r="J20" s="23" t="str">
        <f t="shared" si="1"/>
        <v>2008</v>
      </c>
      <c r="K20" s="23" t="str">
        <f t="shared" si="1"/>
        <v>2009</v>
      </c>
      <c r="L20" s="23" t="str">
        <f t="shared" si="1"/>
        <v>2010</v>
      </c>
      <c r="M20" s="23" t="str">
        <f t="shared" si="1"/>
        <v>2011</v>
      </c>
      <c r="N20" s="23" t="str">
        <f t="shared" si="1"/>
        <v>2012</v>
      </c>
      <c r="O20" s="23" t="str">
        <f t="shared" si="1"/>
        <v>2013</v>
      </c>
      <c r="P20" s="23" t="str">
        <f t="shared" si="1"/>
        <v>2014</v>
      </c>
      <c r="Q20" s="23" t="str">
        <f t="shared" si="1"/>
        <v>2015</v>
      </c>
      <c r="R20" s="23" t="str">
        <f t="shared" si="1"/>
        <v>2016</v>
      </c>
      <c r="S20" s="23" t="str">
        <f t="shared" si="1"/>
        <v>2017</v>
      </c>
      <c r="T20" s="23" t="str">
        <f t="shared" si="1"/>
        <v>2018</v>
      </c>
      <c r="U20" s="23" t="str">
        <f t="shared" si="1"/>
        <v>2019</v>
      </c>
      <c r="V20" s="23" t="str">
        <f t="shared" si="1"/>
        <v>2020</v>
      </c>
      <c r="W20" s="23" t="str">
        <f t="shared" si="1"/>
        <v>2021</v>
      </c>
      <c r="X20" s="23" t="str">
        <f t="shared" si="1"/>
        <v>2022</v>
      </c>
      <c r="Y20" s="23" t="str">
        <f t="shared" si="1"/>
        <v>2023</v>
      </c>
      <c r="Z20" s="23" t="str">
        <f t="shared" si="1"/>
        <v>2024</v>
      </c>
      <c r="AA20" s="23" t="str">
        <f t="shared" si="1"/>
        <v>2025</v>
      </c>
      <c r="AB20" s="23" t="str">
        <f t="shared" si="1"/>
        <v>2026</v>
      </c>
      <c r="AC20" s="23" t="str">
        <f t="shared" si="1"/>
        <v>2027</v>
      </c>
      <c r="AD20" s="23" t="str">
        <f t="shared" si="1"/>
        <v>2028</v>
      </c>
      <c r="AE20" s="23" t="str">
        <f t="shared" si="1"/>
        <v>2029</v>
      </c>
      <c r="AF20" s="23" t="str">
        <f t="shared" si="1"/>
        <v>2030</v>
      </c>
      <c r="AG20" s="23" t="str">
        <f t="shared" si="1"/>
        <v>2031</v>
      </c>
      <c r="AH20" s="23" t="str">
        <f t="shared" si="1"/>
        <v>2032</v>
      </c>
      <c r="AI20" s="23" t="str">
        <f t="shared" si="1"/>
        <v>2033</v>
      </c>
      <c r="AJ20" s="23" t="str">
        <f t="shared" si="1"/>
        <v>2034</v>
      </c>
      <c r="AK20" s="23" t="str">
        <f t="shared" si="1"/>
        <v>2035</v>
      </c>
      <c r="AL20" s="23" t="str">
        <f t="shared" si="1"/>
        <v>2036</v>
      </c>
      <c r="AM20" s="23" t="str">
        <f>AM2</f>
        <v>2037</v>
      </c>
      <c r="AN20" s="23" t="str">
        <f>AN2</f>
        <v>2038</v>
      </c>
      <c r="AO20" s="23" t="str">
        <f>AO2</f>
        <v>2039</v>
      </c>
      <c r="AP20" s="23" t="str">
        <f>AP2</f>
        <v>2040</v>
      </c>
      <c r="AQ20" s="23" t="str">
        <f>AQ2</f>
        <v>2041</v>
      </c>
      <c r="AR20" s="23" t="str">
        <f t="shared" ref="AR20:AZ20" si="2">AR2</f>
        <v>2042</v>
      </c>
      <c r="AS20" s="23" t="str">
        <f t="shared" si="2"/>
        <v>2043</v>
      </c>
      <c r="AT20" s="23" t="str">
        <f t="shared" si="2"/>
        <v>2044</v>
      </c>
      <c r="AU20" s="23" t="str">
        <f t="shared" si="2"/>
        <v>2045</v>
      </c>
      <c r="AV20" s="23" t="str">
        <f t="shared" si="2"/>
        <v>2046</v>
      </c>
      <c r="AW20" s="23" t="str">
        <f t="shared" si="2"/>
        <v>2047</v>
      </c>
      <c r="AX20" s="23" t="str">
        <f t="shared" si="2"/>
        <v>2048</v>
      </c>
      <c r="AY20" s="23" t="str">
        <f t="shared" si="2"/>
        <v>2049</v>
      </c>
      <c r="AZ20" s="23" t="str">
        <f t="shared" si="2"/>
        <v>2050</v>
      </c>
    </row>
    <row r="21" spans="1:52">
      <c r="A21" s="20" t="s">
        <v>17</v>
      </c>
    </row>
    <row r="22" spans="1:52">
      <c r="A22" s="20" t="s">
        <v>18</v>
      </c>
    </row>
    <row r="23" spans="1:52">
      <c r="A23" s="20" t="s">
        <v>19</v>
      </c>
    </row>
    <row r="24" spans="1:52">
      <c r="A24" s="20" t="s">
        <v>20</v>
      </c>
    </row>
    <row r="25" spans="1:52">
      <c r="A25" s="20" t="s">
        <v>21</v>
      </c>
    </row>
    <row r="26" spans="1:52">
      <c r="A26" s="20" t="s">
        <v>22</v>
      </c>
    </row>
    <row r="27" spans="1:52">
      <c r="A27" s="20" t="s">
        <v>23</v>
      </c>
    </row>
    <row r="28" spans="1:52">
      <c r="A28" s="20" t="s">
        <v>24</v>
      </c>
    </row>
    <row r="29" spans="1:52">
      <c r="A29" s="20" t="s">
        <v>25</v>
      </c>
    </row>
    <row r="30" spans="1:52">
      <c r="A30" s="20" t="s">
        <v>26</v>
      </c>
    </row>
    <row r="31" spans="1:52">
      <c r="A31" s="20" t="s">
        <v>27</v>
      </c>
    </row>
    <row r="32" spans="1:52">
      <c r="A32" s="20" t="s">
        <v>28</v>
      </c>
    </row>
    <row r="33" spans="1:52" ht="15.75" thickBot="1">
      <c r="A33" s="20" t="s">
        <v>29</v>
      </c>
    </row>
    <row r="34" spans="1:52">
      <c r="A34" s="25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</row>
    <row r="35" spans="1:52" ht="15.75" thickBot="1">
      <c r="A35" s="20" t="s">
        <v>88</v>
      </c>
    </row>
    <row r="36" spans="1:52" ht="15.75" thickBot="1">
      <c r="A36" s="22"/>
      <c r="B36" s="23" t="str">
        <f>B20</f>
        <v>2000</v>
      </c>
      <c r="C36" s="23" t="str">
        <f t="shared" ref="C36:AL36" si="3">C20</f>
        <v>2001</v>
      </c>
      <c r="D36" s="23" t="str">
        <f t="shared" si="3"/>
        <v>2002</v>
      </c>
      <c r="E36" s="23" t="str">
        <f t="shared" si="3"/>
        <v>2003</v>
      </c>
      <c r="F36" s="23" t="str">
        <f t="shared" si="3"/>
        <v>2004</v>
      </c>
      <c r="G36" s="23" t="str">
        <f t="shared" si="3"/>
        <v>2005</v>
      </c>
      <c r="H36" s="23" t="str">
        <f t="shared" si="3"/>
        <v>2006</v>
      </c>
      <c r="I36" s="23" t="str">
        <f t="shared" si="3"/>
        <v>2007</v>
      </c>
      <c r="J36" s="23" t="str">
        <f t="shared" si="3"/>
        <v>2008</v>
      </c>
      <c r="K36" s="23" t="str">
        <f t="shared" si="3"/>
        <v>2009</v>
      </c>
      <c r="L36" s="23" t="str">
        <f t="shared" si="3"/>
        <v>2010</v>
      </c>
      <c r="M36" s="23" t="str">
        <f t="shared" si="3"/>
        <v>2011</v>
      </c>
      <c r="N36" s="23" t="str">
        <f t="shared" si="3"/>
        <v>2012</v>
      </c>
      <c r="O36" s="23" t="str">
        <f t="shared" si="3"/>
        <v>2013</v>
      </c>
      <c r="P36" s="23" t="str">
        <f t="shared" si="3"/>
        <v>2014</v>
      </c>
      <c r="Q36" s="23" t="str">
        <f t="shared" si="3"/>
        <v>2015</v>
      </c>
      <c r="R36" s="23" t="str">
        <f t="shared" si="3"/>
        <v>2016</v>
      </c>
      <c r="S36" s="23" t="str">
        <f t="shared" si="3"/>
        <v>2017</v>
      </c>
      <c r="T36" s="23" t="str">
        <f t="shared" si="3"/>
        <v>2018</v>
      </c>
      <c r="U36" s="23" t="str">
        <f t="shared" si="3"/>
        <v>2019</v>
      </c>
      <c r="V36" s="23" t="str">
        <f t="shared" si="3"/>
        <v>2020</v>
      </c>
      <c r="W36" s="23" t="str">
        <f t="shared" si="3"/>
        <v>2021</v>
      </c>
      <c r="X36" s="23" t="str">
        <f t="shared" si="3"/>
        <v>2022</v>
      </c>
      <c r="Y36" s="23" t="str">
        <f t="shared" si="3"/>
        <v>2023</v>
      </c>
      <c r="Z36" s="23" t="str">
        <f t="shared" si="3"/>
        <v>2024</v>
      </c>
      <c r="AA36" s="23" t="str">
        <f t="shared" si="3"/>
        <v>2025</v>
      </c>
      <c r="AB36" s="23" t="str">
        <f t="shared" si="3"/>
        <v>2026</v>
      </c>
      <c r="AC36" s="23" t="str">
        <f t="shared" si="3"/>
        <v>2027</v>
      </c>
      <c r="AD36" s="23" t="str">
        <f t="shared" si="3"/>
        <v>2028</v>
      </c>
      <c r="AE36" s="23" t="str">
        <f t="shared" si="3"/>
        <v>2029</v>
      </c>
      <c r="AF36" s="23" t="str">
        <f t="shared" si="3"/>
        <v>2030</v>
      </c>
      <c r="AG36" s="23" t="str">
        <f t="shared" si="3"/>
        <v>2031</v>
      </c>
      <c r="AH36" s="23" t="str">
        <f t="shared" si="3"/>
        <v>2032</v>
      </c>
      <c r="AI36" s="23" t="str">
        <f t="shared" si="3"/>
        <v>2033</v>
      </c>
      <c r="AJ36" s="23" t="str">
        <f t="shared" si="3"/>
        <v>2034</v>
      </c>
      <c r="AK36" s="23" t="str">
        <f t="shared" si="3"/>
        <v>2035</v>
      </c>
      <c r="AL36" s="23" t="str">
        <f t="shared" si="3"/>
        <v>2036</v>
      </c>
      <c r="AM36" s="23" t="str">
        <f>AM20</f>
        <v>2037</v>
      </c>
      <c r="AN36" s="23" t="str">
        <f>AN20</f>
        <v>2038</v>
      </c>
      <c r="AO36" s="23" t="str">
        <f>AO20</f>
        <v>2039</v>
      </c>
      <c r="AP36" s="23" t="str">
        <f>AP20</f>
        <v>2040</v>
      </c>
      <c r="AQ36" s="23" t="str">
        <f>AQ20</f>
        <v>2041</v>
      </c>
      <c r="AR36" s="23" t="str">
        <f t="shared" ref="AR36:AZ36" si="4">AR20</f>
        <v>2042</v>
      </c>
      <c r="AS36" s="23" t="str">
        <f t="shared" si="4"/>
        <v>2043</v>
      </c>
      <c r="AT36" s="23" t="str">
        <f t="shared" si="4"/>
        <v>2044</v>
      </c>
      <c r="AU36" s="23" t="str">
        <f t="shared" si="4"/>
        <v>2045</v>
      </c>
      <c r="AV36" s="23" t="str">
        <f t="shared" si="4"/>
        <v>2046</v>
      </c>
      <c r="AW36" s="23" t="str">
        <f t="shared" si="4"/>
        <v>2047</v>
      </c>
      <c r="AX36" s="23" t="str">
        <f t="shared" si="4"/>
        <v>2048</v>
      </c>
      <c r="AY36" s="23" t="str">
        <f t="shared" si="4"/>
        <v>2049</v>
      </c>
      <c r="AZ36" s="23" t="str">
        <f t="shared" si="4"/>
        <v>2050</v>
      </c>
    </row>
    <row r="37" spans="1:52">
      <c r="A37" s="20" t="s">
        <v>17</v>
      </c>
    </row>
    <row r="38" spans="1:52">
      <c r="A38" s="20" t="s">
        <v>18</v>
      </c>
    </row>
    <row r="39" spans="1:52">
      <c r="A39" s="20" t="s">
        <v>19</v>
      </c>
    </row>
    <row r="40" spans="1:52">
      <c r="A40" s="20" t="s">
        <v>20</v>
      </c>
    </row>
    <row r="41" spans="1:52">
      <c r="A41" s="20" t="s">
        <v>21</v>
      </c>
    </row>
    <row r="42" spans="1:52">
      <c r="A42" s="20" t="s">
        <v>22</v>
      </c>
    </row>
    <row r="43" spans="1:52">
      <c r="A43" s="20" t="s">
        <v>23</v>
      </c>
    </row>
    <row r="44" spans="1:52">
      <c r="A44" s="20" t="s">
        <v>24</v>
      </c>
    </row>
    <row r="45" spans="1:52">
      <c r="A45" s="20" t="s">
        <v>25</v>
      </c>
    </row>
    <row r="46" spans="1:52">
      <c r="A46" s="20" t="s">
        <v>26</v>
      </c>
    </row>
    <row r="47" spans="1:52">
      <c r="A47" s="20" t="s">
        <v>27</v>
      </c>
    </row>
    <row r="48" spans="1:52">
      <c r="A48" s="20" t="s">
        <v>28</v>
      </c>
    </row>
    <row r="49" spans="1:52" ht="15.75" thickBot="1">
      <c r="A49" s="20" t="s">
        <v>29</v>
      </c>
    </row>
    <row r="50" spans="1:52">
      <c r="A50" s="25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</row>
    <row r="51" spans="1:52" ht="15.75" thickBot="1">
      <c r="A51" s="20" t="s">
        <v>89</v>
      </c>
    </row>
    <row r="52" spans="1:52" ht="15.75" thickBot="1">
      <c r="A52" s="22"/>
      <c r="B52" s="23" t="str">
        <f>B36</f>
        <v>2000</v>
      </c>
      <c r="C52" s="23" t="str">
        <f t="shared" ref="C52:AL52" si="5">C36</f>
        <v>2001</v>
      </c>
      <c r="D52" s="23" t="str">
        <f t="shared" si="5"/>
        <v>2002</v>
      </c>
      <c r="E52" s="23" t="str">
        <f t="shared" si="5"/>
        <v>2003</v>
      </c>
      <c r="F52" s="23" t="str">
        <f t="shared" si="5"/>
        <v>2004</v>
      </c>
      <c r="G52" s="23" t="str">
        <f t="shared" si="5"/>
        <v>2005</v>
      </c>
      <c r="H52" s="23" t="str">
        <f t="shared" si="5"/>
        <v>2006</v>
      </c>
      <c r="I52" s="23" t="str">
        <f t="shared" si="5"/>
        <v>2007</v>
      </c>
      <c r="J52" s="23" t="str">
        <f t="shared" si="5"/>
        <v>2008</v>
      </c>
      <c r="K52" s="23" t="str">
        <f t="shared" si="5"/>
        <v>2009</v>
      </c>
      <c r="L52" s="23" t="str">
        <f t="shared" si="5"/>
        <v>2010</v>
      </c>
      <c r="M52" s="23" t="str">
        <f t="shared" si="5"/>
        <v>2011</v>
      </c>
      <c r="N52" s="23" t="str">
        <f t="shared" si="5"/>
        <v>2012</v>
      </c>
      <c r="O52" s="23" t="str">
        <f t="shared" si="5"/>
        <v>2013</v>
      </c>
      <c r="P52" s="23" t="str">
        <f t="shared" si="5"/>
        <v>2014</v>
      </c>
      <c r="Q52" s="23" t="str">
        <f t="shared" si="5"/>
        <v>2015</v>
      </c>
      <c r="R52" s="23" t="str">
        <f t="shared" si="5"/>
        <v>2016</v>
      </c>
      <c r="S52" s="23" t="str">
        <f t="shared" si="5"/>
        <v>2017</v>
      </c>
      <c r="T52" s="23" t="str">
        <f t="shared" si="5"/>
        <v>2018</v>
      </c>
      <c r="U52" s="23" t="str">
        <f t="shared" si="5"/>
        <v>2019</v>
      </c>
      <c r="V52" s="23" t="str">
        <f t="shared" si="5"/>
        <v>2020</v>
      </c>
      <c r="W52" s="23" t="str">
        <f t="shared" si="5"/>
        <v>2021</v>
      </c>
      <c r="X52" s="23" t="str">
        <f t="shared" si="5"/>
        <v>2022</v>
      </c>
      <c r="Y52" s="23" t="str">
        <f t="shared" si="5"/>
        <v>2023</v>
      </c>
      <c r="Z52" s="23" t="str">
        <f t="shared" si="5"/>
        <v>2024</v>
      </c>
      <c r="AA52" s="23" t="str">
        <f t="shared" si="5"/>
        <v>2025</v>
      </c>
      <c r="AB52" s="23" t="str">
        <f t="shared" si="5"/>
        <v>2026</v>
      </c>
      <c r="AC52" s="23" t="str">
        <f t="shared" si="5"/>
        <v>2027</v>
      </c>
      <c r="AD52" s="23" t="str">
        <f t="shared" si="5"/>
        <v>2028</v>
      </c>
      <c r="AE52" s="23" t="str">
        <f t="shared" si="5"/>
        <v>2029</v>
      </c>
      <c r="AF52" s="23" t="str">
        <f t="shared" si="5"/>
        <v>2030</v>
      </c>
      <c r="AG52" s="23" t="str">
        <f t="shared" si="5"/>
        <v>2031</v>
      </c>
      <c r="AH52" s="23" t="str">
        <f t="shared" si="5"/>
        <v>2032</v>
      </c>
      <c r="AI52" s="23" t="str">
        <f t="shared" si="5"/>
        <v>2033</v>
      </c>
      <c r="AJ52" s="23" t="str">
        <f t="shared" si="5"/>
        <v>2034</v>
      </c>
      <c r="AK52" s="23" t="str">
        <f t="shared" si="5"/>
        <v>2035</v>
      </c>
      <c r="AL52" s="23" t="str">
        <f t="shared" si="5"/>
        <v>2036</v>
      </c>
      <c r="AM52" s="23" t="str">
        <f>AM36</f>
        <v>2037</v>
      </c>
      <c r="AN52" s="23" t="str">
        <f>AN36</f>
        <v>2038</v>
      </c>
      <c r="AO52" s="23" t="str">
        <f>AO36</f>
        <v>2039</v>
      </c>
      <c r="AP52" s="23" t="str">
        <f>AP36</f>
        <v>2040</v>
      </c>
      <c r="AQ52" s="23" t="str">
        <f>AQ36</f>
        <v>2041</v>
      </c>
      <c r="AR52" s="23" t="str">
        <f t="shared" ref="AR52:AZ52" si="6">AR36</f>
        <v>2042</v>
      </c>
      <c r="AS52" s="23" t="str">
        <f t="shared" si="6"/>
        <v>2043</v>
      </c>
      <c r="AT52" s="23" t="str">
        <f t="shared" si="6"/>
        <v>2044</v>
      </c>
      <c r="AU52" s="23" t="str">
        <f t="shared" si="6"/>
        <v>2045</v>
      </c>
      <c r="AV52" s="23" t="str">
        <f t="shared" si="6"/>
        <v>2046</v>
      </c>
      <c r="AW52" s="23" t="str">
        <f t="shared" si="6"/>
        <v>2047</v>
      </c>
      <c r="AX52" s="23" t="str">
        <f t="shared" si="6"/>
        <v>2048</v>
      </c>
      <c r="AY52" s="23" t="str">
        <f t="shared" si="6"/>
        <v>2049</v>
      </c>
      <c r="AZ52" s="23" t="str">
        <f t="shared" si="6"/>
        <v>2050</v>
      </c>
    </row>
    <row r="53" spans="1:52">
      <c r="A53" s="20" t="s">
        <v>17</v>
      </c>
    </row>
    <row r="54" spans="1:52">
      <c r="A54" s="20" t="s">
        <v>18</v>
      </c>
    </row>
    <row r="55" spans="1:52">
      <c r="A55" s="20" t="s">
        <v>19</v>
      </c>
    </row>
    <row r="56" spans="1:52">
      <c r="A56" s="20" t="s">
        <v>20</v>
      </c>
    </row>
    <row r="57" spans="1:52">
      <c r="A57" s="20" t="s">
        <v>21</v>
      </c>
    </row>
    <row r="58" spans="1:52">
      <c r="A58" s="20" t="s">
        <v>22</v>
      </c>
    </row>
    <row r="59" spans="1:52">
      <c r="A59" s="20" t="s">
        <v>23</v>
      </c>
    </row>
    <row r="60" spans="1:52">
      <c r="A60" s="20" t="s">
        <v>24</v>
      </c>
    </row>
    <row r="61" spans="1:52">
      <c r="A61" s="20" t="s">
        <v>25</v>
      </c>
    </row>
    <row r="62" spans="1:52">
      <c r="A62" s="20" t="s">
        <v>26</v>
      </c>
    </row>
    <row r="63" spans="1:52">
      <c r="A63" s="20" t="s">
        <v>27</v>
      </c>
    </row>
    <row r="64" spans="1:52">
      <c r="A64" s="20" t="s">
        <v>28</v>
      </c>
    </row>
    <row r="65" spans="1:52" ht="15.75" thickBot="1">
      <c r="A65" s="20" t="s">
        <v>29</v>
      </c>
    </row>
    <row r="66" spans="1:52">
      <c r="A66" s="25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</row>
    <row r="67" spans="1:52" ht="15.75" thickBot="1">
      <c r="A67" s="20" t="s">
        <v>90</v>
      </c>
    </row>
    <row r="68" spans="1:52" ht="15.75" thickBot="1">
      <c r="A68" s="22"/>
      <c r="B68" s="23" t="str">
        <f>B52</f>
        <v>2000</v>
      </c>
      <c r="C68" s="23" t="str">
        <f t="shared" ref="C68:AL68" si="7">C52</f>
        <v>2001</v>
      </c>
      <c r="D68" s="23" t="str">
        <f t="shared" si="7"/>
        <v>2002</v>
      </c>
      <c r="E68" s="23" t="str">
        <f t="shared" si="7"/>
        <v>2003</v>
      </c>
      <c r="F68" s="23" t="str">
        <f t="shared" si="7"/>
        <v>2004</v>
      </c>
      <c r="G68" s="23" t="str">
        <f t="shared" si="7"/>
        <v>2005</v>
      </c>
      <c r="H68" s="23" t="str">
        <f t="shared" si="7"/>
        <v>2006</v>
      </c>
      <c r="I68" s="23" t="str">
        <f t="shared" si="7"/>
        <v>2007</v>
      </c>
      <c r="J68" s="23" t="str">
        <f t="shared" si="7"/>
        <v>2008</v>
      </c>
      <c r="K68" s="23" t="str">
        <f t="shared" si="7"/>
        <v>2009</v>
      </c>
      <c r="L68" s="23" t="str">
        <f t="shared" si="7"/>
        <v>2010</v>
      </c>
      <c r="M68" s="23" t="str">
        <f t="shared" si="7"/>
        <v>2011</v>
      </c>
      <c r="N68" s="23" t="str">
        <f t="shared" si="7"/>
        <v>2012</v>
      </c>
      <c r="O68" s="23" t="str">
        <f t="shared" si="7"/>
        <v>2013</v>
      </c>
      <c r="P68" s="23" t="str">
        <f t="shared" si="7"/>
        <v>2014</v>
      </c>
      <c r="Q68" s="23" t="str">
        <f t="shared" si="7"/>
        <v>2015</v>
      </c>
      <c r="R68" s="23" t="str">
        <f t="shared" si="7"/>
        <v>2016</v>
      </c>
      <c r="S68" s="23" t="str">
        <f t="shared" si="7"/>
        <v>2017</v>
      </c>
      <c r="T68" s="23" t="str">
        <f t="shared" si="7"/>
        <v>2018</v>
      </c>
      <c r="U68" s="23" t="str">
        <f t="shared" si="7"/>
        <v>2019</v>
      </c>
      <c r="V68" s="23" t="str">
        <f t="shared" si="7"/>
        <v>2020</v>
      </c>
      <c r="W68" s="23" t="str">
        <f t="shared" si="7"/>
        <v>2021</v>
      </c>
      <c r="X68" s="23" t="str">
        <f t="shared" si="7"/>
        <v>2022</v>
      </c>
      <c r="Y68" s="23" t="str">
        <f t="shared" si="7"/>
        <v>2023</v>
      </c>
      <c r="Z68" s="23" t="str">
        <f t="shared" si="7"/>
        <v>2024</v>
      </c>
      <c r="AA68" s="23" t="str">
        <f t="shared" si="7"/>
        <v>2025</v>
      </c>
      <c r="AB68" s="23" t="str">
        <f t="shared" si="7"/>
        <v>2026</v>
      </c>
      <c r="AC68" s="23" t="str">
        <f t="shared" si="7"/>
        <v>2027</v>
      </c>
      <c r="AD68" s="23" t="str">
        <f t="shared" si="7"/>
        <v>2028</v>
      </c>
      <c r="AE68" s="23" t="str">
        <f t="shared" si="7"/>
        <v>2029</v>
      </c>
      <c r="AF68" s="23" t="str">
        <f t="shared" si="7"/>
        <v>2030</v>
      </c>
      <c r="AG68" s="23" t="str">
        <f t="shared" si="7"/>
        <v>2031</v>
      </c>
      <c r="AH68" s="23" t="str">
        <f t="shared" si="7"/>
        <v>2032</v>
      </c>
      <c r="AI68" s="23" t="str">
        <f t="shared" si="7"/>
        <v>2033</v>
      </c>
      <c r="AJ68" s="23" t="str">
        <f t="shared" si="7"/>
        <v>2034</v>
      </c>
      <c r="AK68" s="23" t="str">
        <f t="shared" si="7"/>
        <v>2035</v>
      </c>
      <c r="AL68" s="23" t="str">
        <f t="shared" si="7"/>
        <v>2036</v>
      </c>
      <c r="AM68" s="23" t="str">
        <f>AM52</f>
        <v>2037</v>
      </c>
      <c r="AN68" s="23" t="str">
        <f>AN52</f>
        <v>2038</v>
      </c>
      <c r="AO68" s="23" t="str">
        <f>AO52</f>
        <v>2039</v>
      </c>
      <c r="AP68" s="23" t="str">
        <f>AP52</f>
        <v>2040</v>
      </c>
      <c r="AQ68" s="23" t="str">
        <f>AQ52</f>
        <v>2041</v>
      </c>
      <c r="AR68" s="23" t="str">
        <f t="shared" ref="AR68:AZ68" si="8">AR52</f>
        <v>2042</v>
      </c>
      <c r="AS68" s="23" t="str">
        <f t="shared" si="8"/>
        <v>2043</v>
      </c>
      <c r="AT68" s="23" t="str">
        <f t="shared" si="8"/>
        <v>2044</v>
      </c>
      <c r="AU68" s="23" t="str">
        <f t="shared" si="8"/>
        <v>2045</v>
      </c>
      <c r="AV68" s="23" t="str">
        <f t="shared" si="8"/>
        <v>2046</v>
      </c>
      <c r="AW68" s="23" t="str">
        <f t="shared" si="8"/>
        <v>2047</v>
      </c>
      <c r="AX68" s="23" t="str">
        <f t="shared" si="8"/>
        <v>2048</v>
      </c>
      <c r="AY68" s="23" t="str">
        <f t="shared" si="8"/>
        <v>2049</v>
      </c>
      <c r="AZ68" s="23" t="str">
        <f t="shared" si="8"/>
        <v>2050</v>
      </c>
    </row>
    <row r="69" spans="1:52">
      <c r="A69" s="20" t="s">
        <v>17</v>
      </c>
    </row>
    <row r="70" spans="1:52">
      <c r="A70" s="20" t="s">
        <v>18</v>
      </c>
    </row>
    <row r="71" spans="1:52">
      <c r="A71" s="20" t="s">
        <v>19</v>
      </c>
    </row>
    <row r="72" spans="1:52">
      <c r="A72" s="20" t="s">
        <v>20</v>
      </c>
    </row>
    <row r="73" spans="1:52">
      <c r="A73" s="20" t="s">
        <v>21</v>
      </c>
    </row>
    <row r="74" spans="1:52">
      <c r="A74" s="20" t="s">
        <v>22</v>
      </c>
    </row>
    <row r="75" spans="1:52">
      <c r="A75" s="20" t="s">
        <v>23</v>
      </c>
    </row>
    <row r="76" spans="1:52">
      <c r="A76" s="20" t="s">
        <v>24</v>
      </c>
    </row>
    <row r="77" spans="1:52">
      <c r="A77" s="20" t="s">
        <v>25</v>
      </c>
    </row>
    <row r="78" spans="1:52">
      <c r="A78" s="20" t="s">
        <v>26</v>
      </c>
    </row>
    <row r="79" spans="1:52">
      <c r="A79" s="20" t="s">
        <v>27</v>
      </c>
    </row>
    <row r="80" spans="1:52">
      <c r="A80" s="20" t="s">
        <v>28</v>
      </c>
    </row>
    <row r="81" spans="1:52" ht="15.75" thickBot="1">
      <c r="A81" s="20" t="s">
        <v>29</v>
      </c>
    </row>
    <row r="82" spans="1:52">
      <c r="A82" s="25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</row>
    <row r="83" spans="1:52" ht="15.75" thickBot="1">
      <c r="A83" s="20" t="s">
        <v>91</v>
      </c>
    </row>
    <row r="84" spans="1:52" ht="15.75" thickBot="1">
      <c r="A84" s="22"/>
      <c r="B84" s="23" t="str">
        <f>B68</f>
        <v>2000</v>
      </c>
      <c r="C84" s="23" t="str">
        <f t="shared" ref="C84:AL84" si="9">C68</f>
        <v>2001</v>
      </c>
      <c r="D84" s="23" t="str">
        <f t="shared" si="9"/>
        <v>2002</v>
      </c>
      <c r="E84" s="23" t="str">
        <f t="shared" si="9"/>
        <v>2003</v>
      </c>
      <c r="F84" s="23" t="str">
        <f t="shared" si="9"/>
        <v>2004</v>
      </c>
      <c r="G84" s="23" t="str">
        <f t="shared" si="9"/>
        <v>2005</v>
      </c>
      <c r="H84" s="23" t="str">
        <f t="shared" si="9"/>
        <v>2006</v>
      </c>
      <c r="I84" s="23" t="str">
        <f t="shared" si="9"/>
        <v>2007</v>
      </c>
      <c r="J84" s="23" t="str">
        <f t="shared" si="9"/>
        <v>2008</v>
      </c>
      <c r="K84" s="23" t="str">
        <f t="shared" si="9"/>
        <v>2009</v>
      </c>
      <c r="L84" s="23" t="str">
        <f t="shared" si="9"/>
        <v>2010</v>
      </c>
      <c r="M84" s="23" t="str">
        <f t="shared" si="9"/>
        <v>2011</v>
      </c>
      <c r="N84" s="23" t="str">
        <f t="shared" si="9"/>
        <v>2012</v>
      </c>
      <c r="O84" s="23" t="str">
        <f t="shared" si="9"/>
        <v>2013</v>
      </c>
      <c r="P84" s="23" t="str">
        <f t="shared" si="9"/>
        <v>2014</v>
      </c>
      <c r="Q84" s="23" t="str">
        <f t="shared" si="9"/>
        <v>2015</v>
      </c>
      <c r="R84" s="23" t="str">
        <f t="shared" si="9"/>
        <v>2016</v>
      </c>
      <c r="S84" s="23" t="str">
        <f t="shared" si="9"/>
        <v>2017</v>
      </c>
      <c r="T84" s="23" t="str">
        <f t="shared" si="9"/>
        <v>2018</v>
      </c>
      <c r="U84" s="23" t="str">
        <f t="shared" si="9"/>
        <v>2019</v>
      </c>
      <c r="V84" s="23" t="str">
        <f t="shared" si="9"/>
        <v>2020</v>
      </c>
      <c r="W84" s="23" t="str">
        <f t="shared" si="9"/>
        <v>2021</v>
      </c>
      <c r="X84" s="23" t="str">
        <f t="shared" si="9"/>
        <v>2022</v>
      </c>
      <c r="Y84" s="23" t="str">
        <f t="shared" si="9"/>
        <v>2023</v>
      </c>
      <c r="Z84" s="23" t="str">
        <f t="shared" si="9"/>
        <v>2024</v>
      </c>
      <c r="AA84" s="23" t="str">
        <f t="shared" si="9"/>
        <v>2025</v>
      </c>
      <c r="AB84" s="23" t="str">
        <f t="shared" si="9"/>
        <v>2026</v>
      </c>
      <c r="AC84" s="23" t="str">
        <f t="shared" si="9"/>
        <v>2027</v>
      </c>
      <c r="AD84" s="23" t="str">
        <f t="shared" si="9"/>
        <v>2028</v>
      </c>
      <c r="AE84" s="23" t="str">
        <f t="shared" si="9"/>
        <v>2029</v>
      </c>
      <c r="AF84" s="23" t="str">
        <f t="shared" si="9"/>
        <v>2030</v>
      </c>
      <c r="AG84" s="23" t="str">
        <f t="shared" si="9"/>
        <v>2031</v>
      </c>
      <c r="AH84" s="23" t="str">
        <f t="shared" si="9"/>
        <v>2032</v>
      </c>
      <c r="AI84" s="23" t="str">
        <f t="shared" si="9"/>
        <v>2033</v>
      </c>
      <c r="AJ84" s="23" t="str">
        <f t="shared" si="9"/>
        <v>2034</v>
      </c>
      <c r="AK84" s="23" t="str">
        <f t="shared" si="9"/>
        <v>2035</v>
      </c>
      <c r="AL84" s="23" t="str">
        <f t="shared" si="9"/>
        <v>2036</v>
      </c>
      <c r="AM84" s="23" t="str">
        <f>AM68</f>
        <v>2037</v>
      </c>
      <c r="AN84" s="23" t="str">
        <f>AN68</f>
        <v>2038</v>
      </c>
      <c r="AO84" s="23" t="str">
        <f>AO68</f>
        <v>2039</v>
      </c>
      <c r="AP84" s="23" t="str">
        <f>AP68</f>
        <v>2040</v>
      </c>
      <c r="AQ84" s="23" t="str">
        <f>AQ68</f>
        <v>2041</v>
      </c>
      <c r="AR84" s="23" t="str">
        <f t="shared" ref="AR84:AZ84" si="10">AR68</f>
        <v>2042</v>
      </c>
      <c r="AS84" s="23" t="str">
        <f t="shared" si="10"/>
        <v>2043</v>
      </c>
      <c r="AT84" s="23" t="str">
        <f t="shared" si="10"/>
        <v>2044</v>
      </c>
      <c r="AU84" s="23" t="str">
        <f t="shared" si="10"/>
        <v>2045</v>
      </c>
      <c r="AV84" s="23" t="str">
        <f t="shared" si="10"/>
        <v>2046</v>
      </c>
      <c r="AW84" s="23" t="str">
        <f t="shared" si="10"/>
        <v>2047</v>
      </c>
      <c r="AX84" s="23" t="str">
        <f t="shared" si="10"/>
        <v>2048</v>
      </c>
      <c r="AY84" s="23" t="str">
        <f t="shared" si="10"/>
        <v>2049</v>
      </c>
      <c r="AZ84" s="23" t="str">
        <f t="shared" si="10"/>
        <v>2050</v>
      </c>
    </row>
    <row r="85" spans="1:52">
      <c r="A85" s="20" t="s">
        <v>17</v>
      </c>
    </row>
    <row r="86" spans="1:52">
      <c r="A86" s="20" t="s">
        <v>18</v>
      </c>
    </row>
    <row r="87" spans="1:52">
      <c r="A87" s="20" t="s">
        <v>19</v>
      </c>
    </row>
    <row r="88" spans="1:52">
      <c r="A88" s="20" t="s">
        <v>20</v>
      </c>
    </row>
    <row r="89" spans="1:52">
      <c r="A89" s="20" t="s">
        <v>21</v>
      </c>
    </row>
    <row r="90" spans="1:52">
      <c r="A90" s="20" t="s">
        <v>22</v>
      </c>
    </row>
    <row r="91" spans="1:52">
      <c r="A91" s="20" t="s">
        <v>23</v>
      </c>
    </row>
    <row r="92" spans="1:52">
      <c r="A92" s="20" t="s">
        <v>24</v>
      </c>
    </row>
    <row r="93" spans="1:52">
      <c r="A93" s="20" t="s">
        <v>25</v>
      </c>
    </row>
    <row r="94" spans="1:52">
      <c r="A94" s="20" t="s">
        <v>26</v>
      </c>
    </row>
    <row r="95" spans="1:52">
      <c r="A95" s="20" t="s">
        <v>27</v>
      </c>
    </row>
    <row r="96" spans="1:52">
      <c r="A96" s="20" t="s">
        <v>28</v>
      </c>
    </row>
    <row r="97" spans="1:52" ht="15.75" thickBot="1">
      <c r="A97" s="20" t="s">
        <v>29</v>
      </c>
    </row>
    <row r="98" spans="1:52">
      <c r="A98" s="25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</row>
    <row r="99" spans="1:52" ht="15.75" thickBot="1">
      <c r="A99" s="20" t="s">
        <v>92</v>
      </c>
    </row>
    <row r="100" spans="1:52" ht="15.75" thickBot="1">
      <c r="A100" s="22"/>
      <c r="B100" s="23" t="str">
        <f>B84</f>
        <v>2000</v>
      </c>
      <c r="C100" s="23" t="str">
        <f t="shared" ref="C100:AL100" si="11">C84</f>
        <v>2001</v>
      </c>
      <c r="D100" s="23" t="str">
        <f t="shared" si="11"/>
        <v>2002</v>
      </c>
      <c r="E100" s="23" t="str">
        <f t="shared" si="11"/>
        <v>2003</v>
      </c>
      <c r="F100" s="23" t="str">
        <f t="shared" si="11"/>
        <v>2004</v>
      </c>
      <c r="G100" s="23" t="str">
        <f t="shared" si="11"/>
        <v>2005</v>
      </c>
      <c r="H100" s="23" t="str">
        <f t="shared" si="11"/>
        <v>2006</v>
      </c>
      <c r="I100" s="23" t="str">
        <f t="shared" si="11"/>
        <v>2007</v>
      </c>
      <c r="J100" s="23" t="str">
        <f t="shared" si="11"/>
        <v>2008</v>
      </c>
      <c r="K100" s="23" t="str">
        <f t="shared" si="11"/>
        <v>2009</v>
      </c>
      <c r="L100" s="23" t="str">
        <f t="shared" si="11"/>
        <v>2010</v>
      </c>
      <c r="M100" s="23" t="str">
        <f t="shared" si="11"/>
        <v>2011</v>
      </c>
      <c r="N100" s="23" t="str">
        <f t="shared" si="11"/>
        <v>2012</v>
      </c>
      <c r="O100" s="23" t="str">
        <f t="shared" si="11"/>
        <v>2013</v>
      </c>
      <c r="P100" s="23" t="str">
        <f t="shared" si="11"/>
        <v>2014</v>
      </c>
      <c r="Q100" s="23" t="str">
        <f t="shared" si="11"/>
        <v>2015</v>
      </c>
      <c r="R100" s="23" t="str">
        <f t="shared" si="11"/>
        <v>2016</v>
      </c>
      <c r="S100" s="23" t="str">
        <f t="shared" si="11"/>
        <v>2017</v>
      </c>
      <c r="T100" s="23" t="str">
        <f t="shared" si="11"/>
        <v>2018</v>
      </c>
      <c r="U100" s="23" t="str">
        <f t="shared" si="11"/>
        <v>2019</v>
      </c>
      <c r="V100" s="23" t="str">
        <f t="shared" si="11"/>
        <v>2020</v>
      </c>
      <c r="W100" s="23" t="str">
        <f t="shared" si="11"/>
        <v>2021</v>
      </c>
      <c r="X100" s="23" t="str">
        <f t="shared" si="11"/>
        <v>2022</v>
      </c>
      <c r="Y100" s="23" t="str">
        <f t="shared" si="11"/>
        <v>2023</v>
      </c>
      <c r="Z100" s="23" t="str">
        <f t="shared" si="11"/>
        <v>2024</v>
      </c>
      <c r="AA100" s="23" t="str">
        <f t="shared" si="11"/>
        <v>2025</v>
      </c>
      <c r="AB100" s="23" t="str">
        <f t="shared" si="11"/>
        <v>2026</v>
      </c>
      <c r="AC100" s="23" t="str">
        <f t="shared" si="11"/>
        <v>2027</v>
      </c>
      <c r="AD100" s="23" t="str">
        <f t="shared" si="11"/>
        <v>2028</v>
      </c>
      <c r="AE100" s="23" t="str">
        <f t="shared" si="11"/>
        <v>2029</v>
      </c>
      <c r="AF100" s="23" t="str">
        <f t="shared" si="11"/>
        <v>2030</v>
      </c>
      <c r="AG100" s="23" t="str">
        <f t="shared" si="11"/>
        <v>2031</v>
      </c>
      <c r="AH100" s="23" t="str">
        <f t="shared" si="11"/>
        <v>2032</v>
      </c>
      <c r="AI100" s="23" t="str">
        <f t="shared" si="11"/>
        <v>2033</v>
      </c>
      <c r="AJ100" s="23" t="str">
        <f t="shared" si="11"/>
        <v>2034</v>
      </c>
      <c r="AK100" s="23" t="str">
        <f t="shared" si="11"/>
        <v>2035</v>
      </c>
      <c r="AL100" s="23" t="str">
        <f t="shared" si="11"/>
        <v>2036</v>
      </c>
      <c r="AM100" s="23" t="str">
        <f>AM84</f>
        <v>2037</v>
      </c>
      <c r="AN100" s="23" t="str">
        <f>AN84</f>
        <v>2038</v>
      </c>
      <c r="AO100" s="23" t="str">
        <f>AO84</f>
        <v>2039</v>
      </c>
      <c r="AP100" s="23" t="str">
        <f>AP84</f>
        <v>2040</v>
      </c>
      <c r="AQ100" s="23" t="str">
        <f>AQ84</f>
        <v>2041</v>
      </c>
      <c r="AR100" s="23" t="str">
        <f t="shared" ref="AR100:AZ100" si="12">AR84</f>
        <v>2042</v>
      </c>
      <c r="AS100" s="23" t="str">
        <f t="shared" si="12"/>
        <v>2043</v>
      </c>
      <c r="AT100" s="23" t="str">
        <f t="shared" si="12"/>
        <v>2044</v>
      </c>
      <c r="AU100" s="23" t="str">
        <f t="shared" si="12"/>
        <v>2045</v>
      </c>
      <c r="AV100" s="23" t="str">
        <f t="shared" si="12"/>
        <v>2046</v>
      </c>
      <c r="AW100" s="23" t="str">
        <f t="shared" si="12"/>
        <v>2047</v>
      </c>
      <c r="AX100" s="23" t="str">
        <f t="shared" si="12"/>
        <v>2048</v>
      </c>
      <c r="AY100" s="23" t="str">
        <f t="shared" si="12"/>
        <v>2049</v>
      </c>
      <c r="AZ100" s="23" t="str">
        <f t="shared" si="12"/>
        <v>2050</v>
      </c>
    </row>
    <row r="101" spans="1:52">
      <c r="A101" s="20" t="s">
        <v>17</v>
      </c>
    </row>
    <row r="102" spans="1:52">
      <c r="A102" s="20" t="s">
        <v>18</v>
      </c>
    </row>
    <row r="103" spans="1:52">
      <c r="A103" s="20" t="s">
        <v>19</v>
      </c>
    </row>
    <row r="104" spans="1:52">
      <c r="A104" s="20" t="s">
        <v>20</v>
      </c>
    </row>
    <row r="105" spans="1:52">
      <c r="A105" s="20" t="s">
        <v>21</v>
      </c>
    </row>
    <row r="106" spans="1:52">
      <c r="A106" s="20" t="s">
        <v>22</v>
      </c>
    </row>
    <row r="107" spans="1:52">
      <c r="A107" s="20" t="s">
        <v>23</v>
      </c>
    </row>
    <row r="108" spans="1:52">
      <c r="A108" s="20" t="s">
        <v>24</v>
      </c>
    </row>
    <row r="109" spans="1:52">
      <c r="A109" s="20" t="s">
        <v>25</v>
      </c>
    </row>
    <row r="110" spans="1:52">
      <c r="A110" s="20" t="s">
        <v>26</v>
      </c>
    </row>
    <row r="111" spans="1:52">
      <c r="A111" s="20" t="s">
        <v>27</v>
      </c>
    </row>
    <row r="112" spans="1:52">
      <c r="A112" s="20" t="s">
        <v>28</v>
      </c>
    </row>
    <row r="113" spans="1:52" ht="15.75" thickBot="1">
      <c r="A113" s="20" t="s">
        <v>29</v>
      </c>
    </row>
    <row r="114" spans="1:52">
      <c r="A114" s="25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</row>
    <row r="115" spans="1:52" ht="15.75" thickBot="1">
      <c r="A115" s="20" t="s">
        <v>93</v>
      </c>
    </row>
    <row r="116" spans="1:52" ht="15.75" thickBot="1">
      <c r="A116" s="22"/>
      <c r="B116" s="23" t="str">
        <f>B100</f>
        <v>2000</v>
      </c>
      <c r="C116" s="23" t="str">
        <f t="shared" ref="C116:AL116" si="13">C100</f>
        <v>2001</v>
      </c>
      <c r="D116" s="23" t="str">
        <f t="shared" si="13"/>
        <v>2002</v>
      </c>
      <c r="E116" s="23" t="str">
        <f t="shared" si="13"/>
        <v>2003</v>
      </c>
      <c r="F116" s="23" t="str">
        <f t="shared" si="13"/>
        <v>2004</v>
      </c>
      <c r="G116" s="23" t="str">
        <f t="shared" si="13"/>
        <v>2005</v>
      </c>
      <c r="H116" s="23" t="str">
        <f t="shared" si="13"/>
        <v>2006</v>
      </c>
      <c r="I116" s="23" t="str">
        <f t="shared" si="13"/>
        <v>2007</v>
      </c>
      <c r="J116" s="23" t="str">
        <f t="shared" si="13"/>
        <v>2008</v>
      </c>
      <c r="K116" s="23" t="str">
        <f t="shared" si="13"/>
        <v>2009</v>
      </c>
      <c r="L116" s="23" t="str">
        <f t="shared" si="13"/>
        <v>2010</v>
      </c>
      <c r="M116" s="23" t="str">
        <f t="shared" si="13"/>
        <v>2011</v>
      </c>
      <c r="N116" s="23" t="str">
        <f t="shared" si="13"/>
        <v>2012</v>
      </c>
      <c r="O116" s="23" t="str">
        <f t="shared" si="13"/>
        <v>2013</v>
      </c>
      <c r="P116" s="23" t="str">
        <f t="shared" si="13"/>
        <v>2014</v>
      </c>
      <c r="Q116" s="23" t="str">
        <f t="shared" si="13"/>
        <v>2015</v>
      </c>
      <c r="R116" s="23" t="str">
        <f t="shared" si="13"/>
        <v>2016</v>
      </c>
      <c r="S116" s="23" t="str">
        <f t="shared" si="13"/>
        <v>2017</v>
      </c>
      <c r="T116" s="23" t="str">
        <f t="shared" si="13"/>
        <v>2018</v>
      </c>
      <c r="U116" s="23" t="str">
        <f t="shared" si="13"/>
        <v>2019</v>
      </c>
      <c r="V116" s="23" t="str">
        <f t="shared" si="13"/>
        <v>2020</v>
      </c>
      <c r="W116" s="23" t="str">
        <f t="shared" si="13"/>
        <v>2021</v>
      </c>
      <c r="X116" s="23" t="str">
        <f t="shared" si="13"/>
        <v>2022</v>
      </c>
      <c r="Y116" s="23" t="str">
        <f t="shared" si="13"/>
        <v>2023</v>
      </c>
      <c r="Z116" s="23" t="str">
        <f t="shared" si="13"/>
        <v>2024</v>
      </c>
      <c r="AA116" s="23" t="str">
        <f t="shared" si="13"/>
        <v>2025</v>
      </c>
      <c r="AB116" s="23" t="str">
        <f t="shared" si="13"/>
        <v>2026</v>
      </c>
      <c r="AC116" s="23" t="str">
        <f t="shared" si="13"/>
        <v>2027</v>
      </c>
      <c r="AD116" s="23" t="str">
        <f t="shared" si="13"/>
        <v>2028</v>
      </c>
      <c r="AE116" s="23" t="str">
        <f t="shared" si="13"/>
        <v>2029</v>
      </c>
      <c r="AF116" s="23" t="str">
        <f t="shared" si="13"/>
        <v>2030</v>
      </c>
      <c r="AG116" s="23" t="str">
        <f t="shared" si="13"/>
        <v>2031</v>
      </c>
      <c r="AH116" s="23" t="str">
        <f t="shared" si="13"/>
        <v>2032</v>
      </c>
      <c r="AI116" s="23" t="str">
        <f t="shared" si="13"/>
        <v>2033</v>
      </c>
      <c r="AJ116" s="23" t="str">
        <f t="shared" si="13"/>
        <v>2034</v>
      </c>
      <c r="AK116" s="23" t="str">
        <f t="shared" si="13"/>
        <v>2035</v>
      </c>
      <c r="AL116" s="23" t="str">
        <f t="shared" si="13"/>
        <v>2036</v>
      </c>
      <c r="AM116" s="23" t="str">
        <f>AM100</f>
        <v>2037</v>
      </c>
      <c r="AN116" s="23" t="str">
        <f>AN100</f>
        <v>2038</v>
      </c>
      <c r="AO116" s="23" t="str">
        <f>AO100</f>
        <v>2039</v>
      </c>
      <c r="AP116" s="23" t="str">
        <f>AP100</f>
        <v>2040</v>
      </c>
      <c r="AQ116" s="23" t="str">
        <f>AQ100</f>
        <v>2041</v>
      </c>
      <c r="AR116" s="23" t="str">
        <f t="shared" ref="AR116:AZ116" si="14">AR100</f>
        <v>2042</v>
      </c>
      <c r="AS116" s="23" t="str">
        <f t="shared" si="14"/>
        <v>2043</v>
      </c>
      <c r="AT116" s="23" t="str">
        <f t="shared" si="14"/>
        <v>2044</v>
      </c>
      <c r="AU116" s="23" t="str">
        <f t="shared" si="14"/>
        <v>2045</v>
      </c>
      <c r="AV116" s="23" t="str">
        <f t="shared" si="14"/>
        <v>2046</v>
      </c>
      <c r="AW116" s="23" t="str">
        <f t="shared" si="14"/>
        <v>2047</v>
      </c>
      <c r="AX116" s="23" t="str">
        <f t="shared" si="14"/>
        <v>2048</v>
      </c>
      <c r="AY116" s="23" t="str">
        <f t="shared" si="14"/>
        <v>2049</v>
      </c>
      <c r="AZ116" s="23" t="str">
        <f t="shared" si="14"/>
        <v>2050</v>
      </c>
    </row>
    <row r="117" spans="1:52">
      <c r="A117" s="20" t="s">
        <v>17</v>
      </c>
    </row>
    <row r="118" spans="1:52">
      <c r="A118" s="20" t="s">
        <v>18</v>
      </c>
    </row>
    <row r="119" spans="1:52">
      <c r="A119" s="20" t="s">
        <v>19</v>
      </c>
    </row>
    <row r="120" spans="1:52">
      <c r="A120" s="20" t="s">
        <v>20</v>
      </c>
    </row>
    <row r="121" spans="1:52">
      <c r="A121" s="20" t="s">
        <v>21</v>
      </c>
    </row>
    <row r="122" spans="1:52">
      <c r="A122" s="20" t="s">
        <v>22</v>
      </c>
    </row>
    <row r="123" spans="1:52">
      <c r="A123" s="20" t="s">
        <v>23</v>
      </c>
    </row>
    <row r="124" spans="1:52">
      <c r="A124" s="20" t="s">
        <v>24</v>
      </c>
    </row>
    <row r="125" spans="1:52">
      <c r="A125" s="20" t="s">
        <v>25</v>
      </c>
    </row>
    <row r="126" spans="1:52">
      <c r="A126" s="20" t="s">
        <v>26</v>
      </c>
    </row>
    <row r="127" spans="1:52">
      <c r="A127" s="20" t="s">
        <v>27</v>
      </c>
    </row>
    <row r="128" spans="1:52">
      <c r="A128" s="20" t="s">
        <v>28</v>
      </c>
    </row>
    <row r="129" spans="1:52" ht="15.75" thickBot="1">
      <c r="A129" s="20" t="s">
        <v>29</v>
      </c>
    </row>
    <row r="130" spans="1:52">
      <c r="A130" s="25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</row>
    <row r="131" spans="1:52" ht="15.75" thickBot="1">
      <c r="A131" s="20" t="s">
        <v>94</v>
      </c>
    </row>
    <row r="132" spans="1:52" ht="15.75" thickBot="1">
      <c r="A132" s="22"/>
      <c r="B132" s="23" t="str">
        <f>B116</f>
        <v>2000</v>
      </c>
      <c r="C132" s="23" t="str">
        <f t="shared" ref="C132:AL132" si="15">C116</f>
        <v>2001</v>
      </c>
      <c r="D132" s="23" t="str">
        <f t="shared" si="15"/>
        <v>2002</v>
      </c>
      <c r="E132" s="23" t="str">
        <f t="shared" si="15"/>
        <v>2003</v>
      </c>
      <c r="F132" s="23" t="str">
        <f t="shared" si="15"/>
        <v>2004</v>
      </c>
      <c r="G132" s="23" t="str">
        <f t="shared" si="15"/>
        <v>2005</v>
      </c>
      <c r="H132" s="23" t="str">
        <f t="shared" si="15"/>
        <v>2006</v>
      </c>
      <c r="I132" s="23" t="str">
        <f t="shared" si="15"/>
        <v>2007</v>
      </c>
      <c r="J132" s="23" t="str">
        <f t="shared" si="15"/>
        <v>2008</v>
      </c>
      <c r="K132" s="23" t="str">
        <f t="shared" si="15"/>
        <v>2009</v>
      </c>
      <c r="L132" s="23" t="str">
        <f t="shared" si="15"/>
        <v>2010</v>
      </c>
      <c r="M132" s="23" t="str">
        <f t="shared" si="15"/>
        <v>2011</v>
      </c>
      <c r="N132" s="23" t="str">
        <f t="shared" si="15"/>
        <v>2012</v>
      </c>
      <c r="O132" s="23" t="str">
        <f t="shared" si="15"/>
        <v>2013</v>
      </c>
      <c r="P132" s="23" t="str">
        <f t="shared" si="15"/>
        <v>2014</v>
      </c>
      <c r="Q132" s="23" t="str">
        <f t="shared" si="15"/>
        <v>2015</v>
      </c>
      <c r="R132" s="23" t="str">
        <f t="shared" si="15"/>
        <v>2016</v>
      </c>
      <c r="S132" s="23" t="str">
        <f t="shared" si="15"/>
        <v>2017</v>
      </c>
      <c r="T132" s="23" t="str">
        <f t="shared" si="15"/>
        <v>2018</v>
      </c>
      <c r="U132" s="23" t="str">
        <f t="shared" si="15"/>
        <v>2019</v>
      </c>
      <c r="V132" s="23" t="str">
        <f t="shared" si="15"/>
        <v>2020</v>
      </c>
      <c r="W132" s="23" t="str">
        <f t="shared" si="15"/>
        <v>2021</v>
      </c>
      <c r="X132" s="23" t="str">
        <f t="shared" si="15"/>
        <v>2022</v>
      </c>
      <c r="Y132" s="23" t="str">
        <f t="shared" si="15"/>
        <v>2023</v>
      </c>
      <c r="Z132" s="23" t="str">
        <f t="shared" si="15"/>
        <v>2024</v>
      </c>
      <c r="AA132" s="23" t="str">
        <f t="shared" si="15"/>
        <v>2025</v>
      </c>
      <c r="AB132" s="23" t="str">
        <f t="shared" si="15"/>
        <v>2026</v>
      </c>
      <c r="AC132" s="23" t="str">
        <f t="shared" si="15"/>
        <v>2027</v>
      </c>
      <c r="AD132" s="23" t="str">
        <f t="shared" si="15"/>
        <v>2028</v>
      </c>
      <c r="AE132" s="23" t="str">
        <f t="shared" si="15"/>
        <v>2029</v>
      </c>
      <c r="AF132" s="23" t="str">
        <f t="shared" si="15"/>
        <v>2030</v>
      </c>
      <c r="AG132" s="23" t="str">
        <f t="shared" si="15"/>
        <v>2031</v>
      </c>
      <c r="AH132" s="23" t="str">
        <f t="shared" si="15"/>
        <v>2032</v>
      </c>
      <c r="AI132" s="23" t="str">
        <f t="shared" si="15"/>
        <v>2033</v>
      </c>
      <c r="AJ132" s="23" t="str">
        <f t="shared" si="15"/>
        <v>2034</v>
      </c>
      <c r="AK132" s="23" t="str">
        <f t="shared" si="15"/>
        <v>2035</v>
      </c>
      <c r="AL132" s="23" t="str">
        <f t="shared" si="15"/>
        <v>2036</v>
      </c>
      <c r="AM132" s="23" t="str">
        <f>AM116</f>
        <v>2037</v>
      </c>
      <c r="AN132" s="23" t="str">
        <f>AN116</f>
        <v>2038</v>
      </c>
      <c r="AO132" s="23" t="str">
        <f>AO116</f>
        <v>2039</v>
      </c>
      <c r="AP132" s="23" t="str">
        <f>AP116</f>
        <v>2040</v>
      </c>
      <c r="AQ132" s="23" t="str">
        <f>AQ116</f>
        <v>2041</v>
      </c>
      <c r="AR132" s="23" t="str">
        <f t="shared" ref="AR132:AZ132" si="16">AR116</f>
        <v>2042</v>
      </c>
      <c r="AS132" s="23" t="str">
        <f t="shared" si="16"/>
        <v>2043</v>
      </c>
      <c r="AT132" s="23" t="str">
        <f t="shared" si="16"/>
        <v>2044</v>
      </c>
      <c r="AU132" s="23" t="str">
        <f t="shared" si="16"/>
        <v>2045</v>
      </c>
      <c r="AV132" s="23" t="str">
        <f t="shared" si="16"/>
        <v>2046</v>
      </c>
      <c r="AW132" s="23" t="str">
        <f t="shared" si="16"/>
        <v>2047</v>
      </c>
      <c r="AX132" s="23" t="str">
        <f t="shared" si="16"/>
        <v>2048</v>
      </c>
      <c r="AY132" s="23" t="str">
        <f t="shared" si="16"/>
        <v>2049</v>
      </c>
      <c r="AZ132" s="23" t="str">
        <f t="shared" si="16"/>
        <v>2050</v>
      </c>
    </row>
    <row r="133" spans="1:52">
      <c r="A133" s="20" t="s">
        <v>17</v>
      </c>
    </row>
    <row r="134" spans="1:52">
      <c r="A134" s="20" t="s">
        <v>18</v>
      </c>
    </row>
    <row r="135" spans="1:52">
      <c r="A135" s="20" t="s">
        <v>19</v>
      </c>
    </row>
    <row r="136" spans="1:52">
      <c r="A136" s="20" t="s">
        <v>20</v>
      </c>
    </row>
    <row r="137" spans="1:52">
      <c r="A137" s="20" t="s">
        <v>21</v>
      </c>
    </row>
    <row r="138" spans="1:52">
      <c r="A138" s="20" t="s">
        <v>22</v>
      </c>
    </row>
    <row r="139" spans="1:52">
      <c r="A139" s="20" t="s">
        <v>23</v>
      </c>
    </row>
    <row r="140" spans="1:52">
      <c r="A140" s="20" t="s">
        <v>24</v>
      </c>
    </row>
    <row r="141" spans="1:52">
      <c r="A141" s="20" t="s">
        <v>25</v>
      </c>
    </row>
    <row r="142" spans="1:52">
      <c r="A142" s="20" t="s">
        <v>26</v>
      </c>
    </row>
    <row r="143" spans="1:52">
      <c r="A143" s="20" t="s">
        <v>27</v>
      </c>
    </row>
    <row r="144" spans="1:52">
      <c r="A144" s="20" t="s">
        <v>28</v>
      </c>
    </row>
    <row r="145" spans="1:52" ht="15.75" thickBot="1">
      <c r="A145" s="20" t="s">
        <v>29</v>
      </c>
    </row>
    <row r="146" spans="1:52">
      <c r="A146" s="25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</row>
    <row r="147" spans="1:52" ht="15.75" thickBot="1">
      <c r="A147" s="20" t="s">
        <v>95</v>
      </c>
    </row>
    <row r="148" spans="1:52" ht="15.75" thickBot="1">
      <c r="A148" s="22"/>
      <c r="B148" s="23" t="str">
        <f>B132</f>
        <v>2000</v>
      </c>
      <c r="C148" s="23" t="str">
        <f t="shared" ref="C148:AL148" si="17">C132</f>
        <v>2001</v>
      </c>
      <c r="D148" s="23" t="str">
        <f t="shared" si="17"/>
        <v>2002</v>
      </c>
      <c r="E148" s="23" t="str">
        <f t="shared" si="17"/>
        <v>2003</v>
      </c>
      <c r="F148" s="23" t="str">
        <f t="shared" si="17"/>
        <v>2004</v>
      </c>
      <c r="G148" s="23" t="str">
        <f t="shared" si="17"/>
        <v>2005</v>
      </c>
      <c r="H148" s="23" t="str">
        <f t="shared" si="17"/>
        <v>2006</v>
      </c>
      <c r="I148" s="23" t="str">
        <f t="shared" si="17"/>
        <v>2007</v>
      </c>
      <c r="J148" s="23" t="str">
        <f t="shared" si="17"/>
        <v>2008</v>
      </c>
      <c r="K148" s="23" t="str">
        <f t="shared" si="17"/>
        <v>2009</v>
      </c>
      <c r="L148" s="23" t="str">
        <f t="shared" si="17"/>
        <v>2010</v>
      </c>
      <c r="M148" s="23" t="str">
        <f t="shared" si="17"/>
        <v>2011</v>
      </c>
      <c r="N148" s="23" t="str">
        <f t="shared" si="17"/>
        <v>2012</v>
      </c>
      <c r="O148" s="23" t="str">
        <f t="shared" si="17"/>
        <v>2013</v>
      </c>
      <c r="P148" s="23" t="str">
        <f t="shared" si="17"/>
        <v>2014</v>
      </c>
      <c r="Q148" s="23" t="str">
        <f t="shared" si="17"/>
        <v>2015</v>
      </c>
      <c r="R148" s="23" t="str">
        <f t="shared" si="17"/>
        <v>2016</v>
      </c>
      <c r="S148" s="23" t="str">
        <f t="shared" si="17"/>
        <v>2017</v>
      </c>
      <c r="T148" s="23" t="str">
        <f t="shared" si="17"/>
        <v>2018</v>
      </c>
      <c r="U148" s="23" t="str">
        <f t="shared" si="17"/>
        <v>2019</v>
      </c>
      <c r="V148" s="23" t="str">
        <f t="shared" si="17"/>
        <v>2020</v>
      </c>
      <c r="W148" s="23" t="str">
        <f t="shared" si="17"/>
        <v>2021</v>
      </c>
      <c r="X148" s="23" t="str">
        <f t="shared" si="17"/>
        <v>2022</v>
      </c>
      <c r="Y148" s="23" t="str">
        <f t="shared" si="17"/>
        <v>2023</v>
      </c>
      <c r="Z148" s="23" t="str">
        <f t="shared" si="17"/>
        <v>2024</v>
      </c>
      <c r="AA148" s="23" t="str">
        <f t="shared" si="17"/>
        <v>2025</v>
      </c>
      <c r="AB148" s="23" t="str">
        <f t="shared" si="17"/>
        <v>2026</v>
      </c>
      <c r="AC148" s="23" t="str">
        <f t="shared" si="17"/>
        <v>2027</v>
      </c>
      <c r="AD148" s="23" t="str">
        <f t="shared" si="17"/>
        <v>2028</v>
      </c>
      <c r="AE148" s="23" t="str">
        <f t="shared" si="17"/>
        <v>2029</v>
      </c>
      <c r="AF148" s="23" t="str">
        <f t="shared" si="17"/>
        <v>2030</v>
      </c>
      <c r="AG148" s="23" t="str">
        <f t="shared" si="17"/>
        <v>2031</v>
      </c>
      <c r="AH148" s="23" t="str">
        <f t="shared" si="17"/>
        <v>2032</v>
      </c>
      <c r="AI148" s="23" t="str">
        <f t="shared" si="17"/>
        <v>2033</v>
      </c>
      <c r="AJ148" s="23" t="str">
        <f t="shared" si="17"/>
        <v>2034</v>
      </c>
      <c r="AK148" s="23" t="str">
        <f t="shared" si="17"/>
        <v>2035</v>
      </c>
      <c r="AL148" s="23" t="str">
        <f t="shared" si="17"/>
        <v>2036</v>
      </c>
      <c r="AM148" s="23" t="str">
        <f>AM132</f>
        <v>2037</v>
      </c>
      <c r="AN148" s="23" t="str">
        <f>AN132</f>
        <v>2038</v>
      </c>
      <c r="AO148" s="23" t="str">
        <f>AO132</f>
        <v>2039</v>
      </c>
      <c r="AP148" s="23" t="str">
        <f>AP132</f>
        <v>2040</v>
      </c>
      <c r="AQ148" s="23" t="str">
        <f>AQ132</f>
        <v>2041</v>
      </c>
      <c r="AR148" s="23" t="str">
        <f t="shared" ref="AR148:AZ148" si="18">AR132</f>
        <v>2042</v>
      </c>
      <c r="AS148" s="23" t="str">
        <f t="shared" si="18"/>
        <v>2043</v>
      </c>
      <c r="AT148" s="23" t="str">
        <f t="shared" si="18"/>
        <v>2044</v>
      </c>
      <c r="AU148" s="23" t="str">
        <f t="shared" si="18"/>
        <v>2045</v>
      </c>
      <c r="AV148" s="23" t="str">
        <f t="shared" si="18"/>
        <v>2046</v>
      </c>
      <c r="AW148" s="23" t="str">
        <f t="shared" si="18"/>
        <v>2047</v>
      </c>
      <c r="AX148" s="23" t="str">
        <f t="shared" si="18"/>
        <v>2048</v>
      </c>
      <c r="AY148" s="23" t="str">
        <f t="shared" si="18"/>
        <v>2049</v>
      </c>
      <c r="AZ148" s="23" t="str">
        <f t="shared" si="18"/>
        <v>2050</v>
      </c>
    </row>
    <row r="149" spans="1:52">
      <c r="A149" s="20" t="s">
        <v>17</v>
      </c>
    </row>
    <row r="150" spans="1:52">
      <c r="A150" s="20" t="s">
        <v>18</v>
      </c>
    </row>
    <row r="151" spans="1:52">
      <c r="A151" s="20" t="s">
        <v>19</v>
      </c>
    </row>
    <row r="152" spans="1:52">
      <c r="A152" s="20" t="s">
        <v>20</v>
      </c>
    </row>
    <row r="153" spans="1:52">
      <c r="A153" s="20" t="s">
        <v>21</v>
      </c>
    </row>
    <row r="154" spans="1:52">
      <c r="A154" s="20" t="s">
        <v>22</v>
      </c>
    </row>
    <row r="155" spans="1:52">
      <c r="A155" s="20" t="s">
        <v>23</v>
      </c>
    </row>
    <row r="156" spans="1:52">
      <c r="A156" s="20" t="s">
        <v>24</v>
      </c>
    </row>
    <row r="157" spans="1:52">
      <c r="A157" s="20" t="s">
        <v>25</v>
      </c>
    </row>
    <row r="158" spans="1:52">
      <c r="A158" s="20" t="s">
        <v>26</v>
      </c>
    </row>
    <row r="159" spans="1:52">
      <c r="A159" s="20" t="s">
        <v>27</v>
      </c>
    </row>
    <row r="160" spans="1:52" ht="15.75" thickBot="1">
      <c r="A160" s="20" t="s">
        <v>28</v>
      </c>
    </row>
    <row r="161" spans="1:52">
      <c r="A161" s="25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</row>
    <row r="162" spans="1:52" ht="15.75" thickBot="1">
      <c r="A162" s="20" t="s">
        <v>38</v>
      </c>
    </row>
    <row r="163" spans="1:52" ht="15.75" thickBot="1">
      <c r="A163" s="22"/>
      <c r="B163" s="23" t="str">
        <f>B148</f>
        <v>2000</v>
      </c>
      <c r="C163" s="23" t="str">
        <f t="shared" ref="C163:AL163" si="19">C148</f>
        <v>2001</v>
      </c>
      <c r="D163" s="23" t="str">
        <f t="shared" si="19"/>
        <v>2002</v>
      </c>
      <c r="E163" s="23" t="str">
        <f t="shared" si="19"/>
        <v>2003</v>
      </c>
      <c r="F163" s="23" t="str">
        <f t="shared" si="19"/>
        <v>2004</v>
      </c>
      <c r="G163" s="23" t="str">
        <f t="shared" si="19"/>
        <v>2005</v>
      </c>
      <c r="H163" s="23" t="str">
        <f t="shared" si="19"/>
        <v>2006</v>
      </c>
      <c r="I163" s="23" t="str">
        <f t="shared" si="19"/>
        <v>2007</v>
      </c>
      <c r="J163" s="23" t="str">
        <f t="shared" si="19"/>
        <v>2008</v>
      </c>
      <c r="K163" s="23" t="str">
        <f t="shared" si="19"/>
        <v>2009</v>
      </c>
      <c r="L163" s="23" t="str">
        <f t="shared" si="19"/>
        <v>2010</v>
      </c>
      <c r="M163" s="23" t="str">
        <f t="shared" si="19"/>
        <v>2011</v>
      </c>
      <c r="N163" s="23" t="str">
        <f t="shared" si="19"/>
        <v>2012</v>
      </c>
      <c r="O163" s="23" t="str">
        <f t="shared" si="19"/>
        <v>2013</v>
      </c>
      <c r="P163" s="23" t="str">
        <f t="shared" si="19"/>
        <v>2014</v>
      </c>
      <c r="Q163" s="23" t="str">
        <f t="shared" si="19"/>
        <v>2015</v>
      </c>
      <c r="R163" s="23" t="str">
        <f t="shared" si="19"/>
        <v>2016</v>
      </c>
      <c r="S163" s="23" t="str">
        <f t="shared" si="19"/>
        <v>2017</v>
      </c>
      <c r="T163" s="23" t="str">
        <f t="shared" si="19"/>
        <v>2018</v>
      </c>
      <c r="U163" s="23" t="str">
        <f t="shared" si="19"/>
        <v>2019</v>
      </c>
      <c r="V163" s="23" t="str">
        <f t="shared" si="19"/>
        <v>2020</v>
      </c>
      <c r="W163" s="23" t="str">
        <f t="shared" si="19"/>
        <v>2021</v>
      </c>
      <c r="X163" s="23" t="str">
        <f t="shared" si="19"/>
        <v>2022</v>
      </c>
      <c r="Y163" s="23" t="str">
        <f t="shared" si="19"/>
        <v>2023</v>
      </c>
      <c r="Z163" s="23" t="str">
        <f t="shared" si="19"/>
        <v>2024</v>
      </c>
      <c r="AA163" s="23" t="str">
        <f t="shared" si="19"/>
        <v>2025</v>
      </c>
      <c r="AB163" s="23" t="str">
        <f t="shared" si="19"/>
        <v>2026</v>
      </c>
      <c r="AC163" s="23" t="str">
        <f t="shared" si="19"/>
        <v>2027</v>
      </c>
      <c r="AD163" s="23" t="str">
        <f t="shared" si="19"/>
        <v>2028</v>
      </c>
      <c r="AE163" s="23" t="str">
        <f t="shared" si="19"/>
        <v>2029</v>
      </c>
      <c r="AF163" s="23" t="str">
        <f t="shared" si="19"/>
        <v>2030</v>
      </c>
      <c r="AG163" s="23" t="str">
        <f t="shared" si="19"/>
        <v>2031</v>
      </c>
      <c r="AH163" s="23" t="str">
        <f t="shared" si="19"/>
        <v>2032</v>
      </c>
      <c r="AI163" s="23" t="str">
        <f t="shared" si="19"/>
        <v>2033</v>
      </c>
      <c r="AJ163" s="23" t="str">
        <f t="shared" si="19"/>
        <v>2034</v>
      </c>
      <c r="AK163" s="23" t="str">
        <f t="shared" si="19"/>
        <v>2035</v>
      </c>
      <c r="AL163" s="23" t="str">
        <f t="shared" si="19"/>
        <v>2036</v>
      </c>
      <c r="AM163" s="23" t="str">
        <f>AM148</f>
        <v>2037</v>
      </c>
      <c r="AN163" s="23" t="str">
        <f>AN148</f>
        <v>2038</v>
      </c>
      <c r="AO163" s="23" t="str">
        <f>AO148</f>
        <v>2039</v>
      </c>
      <c r="AP163" s="23" t="str">
        <f>AP148</f>
        <v>2040</v>
      </c>
      <c r="AQ163" s="23" t="str">
        <f>AQ148</f>
        <v>2041</v>
      </c>
      <c r="AR163" s="23" t="str">
        <f t="shared" ref="AR163:AZ163" si="20">AR148</f>
        <v>2042</v>
      </c>
      <c r="AS163" s="23" t="str">
        <f t="shared" si="20"/>
        <v>2043</v>
      </c>
      <c r="AT163" s="23" t="str">
        <f t="shared" si="20"/>
        <v>2044</v>
      </c>
      <c r="AU163" s="23" t="str">
        <f t="shared" si="20"/>
        <v>2045</v>
      </c>
      <c r="AV163" s="23" t="str">
        <f t="shared" si="20"/>
        <v>2046</v>
      </c>
      <c r="AW163" s="23" t="str">
        <f t="shared" si="20"/>
        <v>2047</v>
      </c>
      <c r="AX163" s="23" t="str">
        <f t="shared" si="20"/>
        <v>2048</v>
      </c>
      <c r="AY163" s="23" t="str">
        <f t="shared" si="20"/>
        <v>2049</v>
      </c>
      <c r="AZ163" s="23" t="str">
        <f t="shared" si="20"/>
        <v>2050</v>
      </c>
    </row>
    <row r="164" spans="1:52">
      <c r="A164" s="20" t="s">
        <v>17</v>
      </c>
    </row>
    <row r="165" spans="1:52">
      <c r="A165" s="20" t="s">
        <v>18</v>
      </c>
    </row>
    <row r="166" spans="1:52">
      <c r="A166" s="20" t="s">
        <v>19</v>
      </c>
    </row>
    <row r="167" spans="1:52">
      <c r="A167" s="20" t="s">
        <v>20</v>
      </c>
    </row>
    <row r="168" spans="1:52">
      <c r="A168" s="20" t="s">
        <v>21</v>
      </c>
    </row>
    <row r="169" spans="1:52">
      <c r="A169" s="20" t="s">
        <v>22</v>
      </c>
    </row>
    <row r="170" spans="1:52">
      <c r="A170" s="20" t="s">
        <v>23</v>
      </c>
    </row>
    <row r="171" spans="1:52">
      <c r="A171" s="20" t="s">
        <v>24</v>
      </c>
    </row>
    <row r="172" spans="1:52">
      <c r="A172" s="20" t="s">
        <v>25</v>
      </c>
    </row>
    <row r="173" spans="1:52">
      <c r="A173" s="20" t="s">
        <v>26</v>
      </c>
    </row>
    <row r="174" spans="1:52">
      <c r="A174" s="20" t="s">
        <v>27</v>
      </c>
    </row>
    <row r="175" spans="1:52">
      <c r="A175" s="20" t="s">
        <v>28</v>
      </c>
    </row>
    <row r="176" spans="1:52" ht="15.75" thickBot="1">
      <c r="A176" s="20" t="s">
        <v>39</v>
      </c>
    </row>
    <row r="177" spans="1:52">
      <c r="A177" s="25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</row>
    <row r="178" spans="1:52" ht="15.75" thickBot="1">
      <c r="A178" s="20" t="s">
        <v>40</v>
      </c>
    </row>
    <row r="179" spans="1:52" ht="15.75" thickBot="1">
      <c r="A179" s="22"/>
      <c r="B179" s="23" t="str">
        <f>B163</f>
        <v>2000</v>
      </c>
      <c r="C179" s="23" t="str">
        <f t="shared" ref="C179:AL179" si="21">C163</f>
        <v>2001</v>
      </c>
      <c r="D179" s="23" t="str">
        <f t="shared" si="21"/>
        <v>2002</v>
      </c>
      <c r="E179" s="23" t="str">
        <f t="shared" si="21"/>
        <v>2003</v>
      </c>
      <c r="F179" s="23" t="str">
        <f t="shared" si="21"/>
        <v>2004</v>
      </c>
      <c r="G179" s="23" t="str">
        <f t="shared" si="21"/>
        <v>2005</v>
      </c>
      <c r="H179" s="23" t="str">
        <f t="shared" si="21"/>
        <v>2006</v>
      </c>
      <c r="I179" s="23" t="str">
        <f t="shared" si="21"/>
        <v>2007</v>
      </c>
      <c r="J179" s="23" t="str">
        <f t="shared" si="21"/>
        <v>2008</v>
      </c>
      <c r="K179" s="23" t="str">
        <f t="shared" si="21"/>
        <v>2009</v>
      </c>
      <c r="L179" s="23" t="str">
        <f t="shared" si="21"/>
        <v>2010</v>
      </c>
      <c r="M179" s="23" t="str">
        <f t="shared" si="21"/>
        <v>2011</v>
      </c>
      <c r="N179" s="23" t="str">
        <f t="shared" si="21"/>
        <v>2012</v>
      </c>
      <c r="O179" s="23" t="str">
        <f t="shared" si="21"/>
        <v>2013</v>
      </c>
      <c r="P179" s="23" t="str">
        <f t="shared" si="21"/>
        <v>2014</v>
      </c>
      <c r="Q179" s="23" t="str">
        <f t="shared" si="21"/>
        <v>2015</v>
      </c>
      <c r="R179" s="23" t="str">
        <f t="shared" si="21"/>
        <v>2016</v>
      </c>
      <c r="S179" s="23" t="str">
        <f t="shared" si="21"/>
        <v>2017</v>
      </c>
      <c r="T179" s="23" t="str">
        <f t="shared" si="21"/>
        <v>2018</v>
      </c>
      <c r="U179" s="23" t="str">
        <f t="shared" si="21"/>
        <v>2019</v>
      </c>
      <c r="V179" s="23" t="str">
        <f t="shared" si="21"/>
        <v>2020</v>
      </c>
      <c r="W179" s="23" t="str">
        <f t="shared" si="21"/>
        <v>2021</v>
      </c>
      <c r="X179" s="23" t="str">
        <f t="shared" si="21"/>
        <v>2022</v>
      </c>
      <c r="Y179" s="23" t="str">
        <f t="shared" si="21"/>
        <v>2023</v>
      </c>
      <c r="Z179" s="23" t="str">
        <f t="shared" si="21"/>
        <v>2024</v>
      </c>
      <c r="AA179" s="23" t="str">
        <f t="shared" si="21"/>
        <v>2025</v>
      </c>
      <c r="AB179" s="23" t="str">
        <f t="shared" si="21"/>
        <v>2026</v>
      </c>
      <c r="AC179" s="23" t="str">
        <f t="shared" si="21"/>
        <v>2027</v>
      </c>
      <c r="AD179" s="23" t="str">
        <f t="shared" si="21"/>
        <v>2028</v>
      </c>
      <c r="AE179" s="23" t="str">
        <f t="shared" si="21"/>
        <v>2029</v>
      </c>
      <c r="AF179" s="23" t="str">
        <f t="shared" si="21"/>
        <v>2030</v>
      </c>
      <c r="AG179" s="23" t="str">
        <f t="shared" si="21"/>
        <v>2031</v>
      </c>
      <c r="AH179" s="23" t="str">
        <f t="shared" si="21"/>
        <v>2032</v>
      </c>
      <c r="AI179" s="23" t="str">
        <f t="shared" si="21"/>
        <v>2033</v>
      </c>
      <c r="AJ179" s="23" t="str">
        <f t="shared" si="21"/>
        <v>2034</v>
      </c>
      <c r="AK179" s="23" t="str">
        <f t="shared" si="21"/>
        <v>2035</v>
      </c>
      <c r="AL179" s="23" t="str">
        <f t="shared" si="21"/>
        <v>2036</v>
      </c>
      <c r="AM179" s="23" t="str">
        <f>AM163</f>
        <v>2037</v>
      </c>
      <c r="AN179" s="23" t="str">
        <f>AN163</f>
        <v>2038</v>
      </c>
      <c r="AO179" s="23" t="str">
        <f>AO163</f>
        <v>2039</v>
      </c>
      <c r="AP179" s="23" t="str">
        <f>AP163</f>
        <v>2040</v>
      </c>
      <c r="AQ179" s="23" t="str">
        <f>AQ163</f>
        <v>2041</v>
      </c>
      <c r="AR179" s="23" t="str">
        <f t="shared" ref="AR179:AZ179" si="22">AR163</f>
        <v>2042</v>
      </c>
      <c r="AS179" s="23" t="str">
        <f t="shared" si="22"/>
        <v>2043</v>
      </c>
      <c r="AT179" s="23" t="str">
        <f t="shared" si="22"/>
        <v>2044</v>
      </c>
      <c r="AU179" s="23" t="str">
        <f t="shared" si="22"/>
        <v>2045</v>
      </c>
      <c r="AV179" s="23" t="str">
        <f t="shared" si="22"/>
        <v>2046</v>
      </c>
      <c r="AW179" s="23" t="str">
        <f t="shared" si="22"/>
        <v>2047</v>
      </c>
      <c r="AX179" s="23" t="str">
        <f t="shared" si="22"/>
        <v>2048</v>
      </c>
      <c r="AY179" s="23" t="str">
        <f t="shared" si="22"/>
        <v>2049</v>
      </c>
      <c r="AZ179" s="23" t="str">
        <f t="shared" si="22"/>
        <v>2050</v>
      </c>
    </row>
    <row r="180" spans="1:52">
      <c r="A180" s="20" t="s">
        <v>17</v>
      </c>
    </row>
    <row r="181" spans="1:52">
      <c r="A181" s="20" t="s">
        <v>18</v>
      </c>
    </row>
    <row r="182" spans="1:52">
      <c r="A182" s="20" t="s">
        <v>19</v>
      </c>
    </row>
    <row r="183" spans="1:52">
      <c r="A183" s="20" t="s">
        <v>20</v>
      </c>
    </row>
    <row r="184" spans="1:52">
      <c r="A184" s="20" t="s">
        <v>21</v>
      </c>
    </row>
    <row r="185" spans="1:52">
      <c r="A185" s="20" t="s">
        <v>22</v>
      </c>
    </row>
    <row r="186" spans="1:52">
      <c r="A186" s="20" t="s">
        <v>23</v>
      </c>
    </row>
    <row r="187" spans="1:52">
      <c r="A187" s="20" t="s">
        <v>24</v>
      </c>
    </row>
    <row r="188" spans="1:52">
      <c r="A188" s="20" t="s">
        <v>25</v>
      </c>
    </row>
    <row r="189" spans="1:52">
      <c r="A189" s="20" t="s">
        <v>26</v>
      </c>
    </row>
    <row r="190" spans="1:52">
      <c r="A190" s="20" t="s">
        <v>27</v>
      </c>
      <c r="B190" s="41"/>
    </row>
    <row r="191" spans="1:52">
      <c r="A191" s="20" t="s">
        <v>28</v>
      </c>
    </row>
    <row r="192" spans="1:52" ht="15.75" thickBot="1">
      <c r="A192" s="20" t="s">
        <v>29</v>
      </c>
      <c r="B192" s="36">
        <v>6925000</v>
      </c>
      <c r="C192" s="36">
        <v>7075000</v>
      </c>
      <c r="D192" s="36">
        <v>6308000</v>
      </c>
      <c r="E192" s="36">
        <v>7025000</v>
      </c>
      <c r="F192" s="36">
        <v>6775000</v>
      </c>
      <c r="G192" s="36">
        <v>6150000</v>
      </c>
      <c r="H192" s="36">
        <v>5475000</v>
      </c>
      <c r="I192" s="36">
        <v>5690000</v>
      </c>
      <c r="J192" s="36">
        <v>5815000</v>
      </c>
      <c r="K192" s="36">
        <v>5897000</v>
      </c>
      <c r="L192" s="36">
        <v>6050000</v>
      </c>
      <c r="M192" s="36">
        <v>6347000</v>
      </c>
      <c r="N192" s="36">
        <v>6375000</v>
      </c>
      <c r="O192" s="36">
        <v>6200000</v>
      </c>
      <c r="P192" s="36">
        <v>6000000</v>
      </c>
      <c r="Q192" s="36">
        <v>5975000</v>
      </c>
      <c r="R192" s="36">
        <v>5955000</v>
      </c>
      <c r="S192" s="36">
        <v>6070000</v>
      </c>
      <c r="T192" s="36">
        <v>6180000</v>
      </c>
      <c r="U192" s="36">
        <v>6250000</v>
      </c>
      <c r="V192" s="36">
        <v>6394000</v>
      </c>
      <c r="W192" s="36">
        <v>6250000</v>
      </c>
      <c r="X192" s="36">
        <v>6780000</v>
      </c>
      <c r="Y192" s="36">
        <v>6915000</v>
      </c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</row>
    <row r="193" spans="1:52">
      <c r="A193" s="25"/>
      <c r="B193" s="42">
        <f>B192/1000</f>
        <v>6925</v>
      </c>
      <c r="C193" s="42">
        <f t="shared" ref="C193:K193" si="23">C192/1000</f>
        <v>7075</v>
      </c>
      <c r="D193" s="42">
        <f t="shared" si="23"/>
        <v>6308</v>
      </c>
      <c r="E193" s="42">
        <f t="shared" si="23"/>
        <v>7025</v>
      </c>
      <c r="F193" s="42">
        <f t="shared" si="23"/>
        <v>6775</v>
      </c>
      <c r="G193" s="42">
        <f t="shared" si="23"/>
        <v>6150</v>
      </c>
      <c r="H193" s="42">
        <f t="shared" si="23"/>
        <v>5475</v>
      </c>
      <c r="I193" s="42">
        <f t="shared" si="23"/>
        <v>5690</v>
      </c>
      <c r="J193" s="42">
        <f t="shared" si="23"/>
        <v>5815</v>
      </c>
      <c r="K193" s="42">
        <f t="shared" si="23"/>
        <v>5897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</row>
    <row r="194" spans="1:52" ht="15.75" thickBot="1">
      <c r="A194" s="20" t="s">
        <v>96</v>
      </c>
    </row>
    <row r="195" spans="1:52" ht="15.75" thickBot="1">
      <c r="A195" s="22"/>
      <c r="B195" s="23" t="str">
        <f>B179</f>
        <v>2000</v>
      </c>
      <c r="C195" s="23" t="str">
        <f t="shared" ref="C195:AL195" si="24">C179</f>
        <v>2001</v>
      </c>
      <c r="D195" s="23" t="str">
        <f t="shared" si="24"/>
        <v>2002</v>
      </c>
      <c r="E195" s="23" t="str">
        <f t="shared" si="24"/>
        <v>2003</v>
      </c>
      <c r="F195" s="23" t="str">
        <f t="shared" si="24"/>
        <v>2004</v>
      </c>
      <c r="G195" s="23" t="str">
        <f t="shared" si="24"/>
        <v>2005</v>
      </c>
      <c r="H195" s="23" t="str">
        <f t="shared" si="24"/>
        <v>2006</v>
      </c>
      <c r="I195" s="23" t="str">
        <f t="shared" si="24"/>
        <v>2007</v>
      </c>
      <c r="J195" s="23" t="str">
        <f t="shared" si="24"/>
        <v>2008</v>
      </c>
      <c r="K195" s="23" t="str">
        <f t="shared" si="24"/>
        <v>2009</v>
      </c>
      <c r="L195" s="23" t="str">
        <f t="shared" si="24"/>
        <v>2010</v>
      </c>
      <c r="M195" s="23" t="str">
        <f t="shared" si="24"/>
        <v>2011</v>
      </c>
      <c r="N195" s="23" t="str">
        <f t="shared" si="24"/>
        <v>2012</v>
      </c>
      <c r="O195" s="23" t="str">
        <f t="shared" si="24"/>
        <v>2013</v>
      </c>
      <c r="P195" s="23" t="str">
        <f t="shared" si="24"/>
        <v>2014</v>
      </c>
      <c r="Q195" s="23" t="str">
        <f t="shared" si="24"/>
        <v>2015</v>
      </c>
      <c r="R195" s="23" t="str">
        <f t="shared" si="24"/>
        <v>2016</v>
      </c>
      <c r="S195" s="23" t="str">
        <f t="shared" si="24"/>
        <v>2017</v>
      </c>
      <c r="T195" s="23" t="str">
        <f t="shared" si="24"/>
        <v>2018</v>
      </c>
      <c r="U195" s="23" t="str">
        <f t="shared" si="24"/>
        <v>2019</v>
      </c>
      <c r="V195" s="23" t="str">
        <f t="shared" si="24"/>
        <v>2020</v>
      </c>
      <c r="W195" s="23" t="str">
        <f t="shared" si="24"/>
        <v>2021</v>
      </c>
      <c r="X195" s="23" t="str">
        <f t="shared" si="24"/>
        <v>2022</v>
      </c>
      <c r="Y195" s="23" t="str">
        <f t="shared" si="24"/>
        <v>2023</v>
      </c>
      <c r="Z195" s="23" t="str">
        <f t="shared" si="24"/>
        <v>2024</v>
      </c>
      <c r="AA195" s="23" t="str">
        <f t="shared" si="24"/>
        <v>2025</v>
      </c>
      <c r="AB195" s="23" t="str">
        <f t="shared" si="24"/>
        <v>2026</v>
      </c>
      <c r="AC195" s="23" t="str">
        <f t="shared" si="24"/>
        <v>2027</v>
      </c>
      <c r="AD195" s="23" t="str">
        <f t="shared" si="24"/>
        <v>2028</v>
      </c>
      <c r="AE195" s="23" t="str">
        <f t="shared" si="24"/>
        <v>2029</v>
      </c>
      <c r="AF195" s="23" t="str">
        <f t="shared" si="24"/>
        <v>2030</v>
      </c>
      <c r="AG195" s="23" t="str">
        <f t="shared" si="24"/>
        <v>2031</v>
      </c>
      <c r="AH195" s="23" t="str">
        <f t="shared" si="24"/>
        <v>2032</v>
      </c>
      <c r="AI195" s="23" t="str">
        <f t="shared" si="24"/>
        <v>2033</v>
      </c>
      <c r="AJ195" s="23" t="str">
        <f t="shared" si="24"/>
        <v>2034</v>
      </c>
      <c r="AK195" s="23" t="str">
        <f t="shared" si="24"/>
        <v>2035</v>
      </c>
      <c r="AL195" s="23" t="str">
        <f t="shared" si="24"/>
        <v>2036</v>
      </c>
      <c r="AM195" s="23" t="str">
        <f>AM179</f>
        <v>2037</v>
      </c>
      <c r="AN195" s="23" t="str">
        <f>AN179</f>
        <v>2038</v>
      </c>
      <c r="AO195" s="23" t="str">
        <f>AO179</f>
        <v>2039</v>
      </c>
      <c r="AP195" s="23" t="str">
        <f>AP179</f>
        <v>2040</v>
      </c>
      <c r="AQ195" s="23" t="str">
        <f>AQ179</f>
        <v>2041</v>
      </c>
      <c r="AR195" s="23" t="str">
        <f t="shared" ref="AR195:AZ195" si="25">AR179</f>
        <v>2042</v>
      </c>
      <c r="AS195" s="23" t="str">
        <f t="shared" si="25"/>
        <v>2043</v>
      </c>
      <c r="AT195" s="23" t="str">
        <f t="shared" si="25"/>
        <v>2044</v>
      </c>
      <c r="AU195" s="23" t="str">
        <f t="shared" si="25"/>
        <v>2045</v>
      </c>
      <c r="AV195" s="23" t="str">
        <f t="shared" si="25"/>
        <v>2046</v>
      </c>
      <c r="AW195" s="23" t="str">
        <f t="shared" si="25"/>
        <v>2047</v>
      </c>
      <c r="AX195" s="23" t="str">
        <f t="shared" si="25"/>
        <v>2048</v>
      </c>
      <c r="AY195" s="23" t="str">
        <f t="shared" si="25"/>
        <v>2049</v>
      </c>
      <c r="AZ195" s="23" t="str">
        <f t="shared" si="25"/>
        <v>2050</v>
      </c>
    </row>
    <row r="196" spans="1:52">
      <c r="A196" s="20" t="s">
        <v>17</v>
      </c>
    </row>
    <row r="197" spans="1:52">
      <c r="A197" s="20" t="s">
        <v>18</v>
      </c>
    </row>
    <row r="198" spans="1:52">
      <c r="A198" s="20" t="s">
        <v>19</v>
      </c>
    </row>
    <row r="199" spans="1:52">
      <c r="A199" s="20" t="s">
        <v>20</v>
      </c>
    </row>
    <row r="200" spans="1:52">
      <c r="A200" s="20" t="s">
        <v>21</v>
      </c>
    </row>
    <row r="201" spans="1:52">
      <c r="A201" s="20" t="s">
        <v>22</v>
      </c>
    </row>
    <row r="202" spans="1:52">
      <c r="A202" s="20" t="s">
        <v>23</v>
      </c>
    </row>
    <row r="203" spans="1:52">
      <c r="A203" s="20" t="s">
        <v>24</v>
      </c>
    </row>
    <row r="204" spans="1:52">
      <c r="A204" s="20" t="s">
        <v>25</v>
      </c>
    </row>
    <row r="205" spans="1:52">
      <c r="A205" s="20" t="s">
        <v>26</v>
      </c>
    </row>
    <row r="206" spans="1:52">
      <c r="A206" s="20" t="s">
        <v>27</v>
      </c>
    </row>
    <row r="207" spans="1:52">
      <c r="A207" s="20" t="s">
        <v>28</v>
      </c>
    </row>
    <row r="208" spans="1:52" ht="15.75" thickBot="1">
      <c r="A208" s="20" t="s">
        <v>29</v>
      </c>
      <c r="B208" s="36">
        <v>1900000</v>
      </c>
      <c r="C208" s="36">
        <v>1925000</v>
      </c>
      <c r="D208" s="36">
        <v>1725000</v>
      </c>
      <c r="E208" s="36">
        <v>1950000</v>
      </c>
      <c r="F208" s="36">
        <v>1900000</v>
      </c>
      <c r="G208" s="36">
        <v>1725000</v>
      </c>
      <c r="H208" s="36">
        <v>1550000</v>
      </c>
      <c r="I208" s="36">
        <v>1600000</v>
      </c>
      <c r="J208" s="36">
        <v>1667000</v>
      </c>
      <c r="K208" s="36">
        <v>1705000</v>
      </c>
      <c r="L208" s="36">
        <v>1745000</v>
      </c>
      <c r="M208" s="36">
        <v>1804000</v>
      </c>
      <c r="N208" s="36">
        <v>1821000</v>
      </c>
      <c r="O208" s="36">
        <v>1807000</v>
      </c>
      <c r="P208" s="36">
        <v>1827000</v>
      </c>
      <c r="Q208" s="36">
        <v>1850000</v>
      </c>
      <c r="R208" s="36">
        <v>1879000</v>
      </c>
      <c r="S208" s="36">
        <v>1925000</v>
      </c>
      <c r="T208" s="36">
        <v>1980000</v>
      </c>
      <c r="U208" s="36">
        <v>2027000</v>
      </c>
      <c r="V208" s="36">
        <v>2079000</v>
      </c>
      <c r="W208" s="36">
        <v>2128600</v>
      </c>
      <c r="X208" s="36">
        <v>2180000</v>
      </c>
      <c r="Y208" s="36">
        <v>2220000</v>
      </c>
      <c r="Z208" s="36">
        <v>2279200</v>
      </c>
      <c r="AA208" s="36">
        <v>2329400</v>
      </c>
      <c r="AB208" s="36">
        <v>2379600</v>
      </c>
      <c r="AC208" s="36">
        <v>2429800</v>
      </c>
      <c r="AD208" s="36">
        <v>2480000</v>
      </c>
      <c r="AE208" s="36">
        <v>2530200</v>
      </c>
      <c r="AF208" s="36">
        <v>2580400</v>
      </c>
      <c r="AG208" s="36">
        <v>2630600</v>
      </c>
      <c r="AH208" s="36">
        <v>2680800</v>
      </c>
      <c r="AI208" s="36">
        <v>2731000</v>
      </c>
      <c r="AJ208" s="36">
        <v>2781200</v>
      </c>
      <c r="AK208" s="36">
        <v>2831400</v>
      </c>
      <c r="AL208" s="36">
        <v>2881600</v>
      </c>
      <c r="AM208" s="36">
        <v>2931800</v>
      </c>
      <c r="AN208" s="36">
        <v>2982000</v>
      </c>
      <c r="AO208" s="36">
        <v>3032200</v>
      </c>
      <c r="AP208" s="36">
        <v>3082400</v>
      </c>
      <c r="AQ208" s="36">
        <v>3132600</v>
      </c>
      <c r="AR208" s="36">
        <v>3182800</v>
      </c>
      <c r="AS208" s="36">
        <v>3233000</v>
      </c>
      <c r="AT208" s="36">
        <v>3283200</v>
      </c>
      <c r="AU208" s="36">
        <v>3333400</v>
      </c>
      <c r="AV208" s="36">
        <v>3383600</v>
      </c>
      <c r="AW208" s="36">
        <v>3433800</v>
      </c>
      <c r="AX208" s="36">
        <v>3484000</v>
      </c>
      <c r="AY208" s="36">
        <v>3534200</v>
      </c>
      <c r="AZ208" s="36">
        <v>3584400</v>
      </c>
    </row>
    <row r="209" spans="1:52">
      <c r="A209" s="25"/>
      <c r="B209" s="42">
        <f t="shared" ref="B209:J209" si="26">B208/1000</f>
        <v>1900</v>
      </c>
      <c r="C209" s="42">
        <f t="shared" si="26"/>
        <v>1925</v>
      </c>
      <c r="D209" s="42">
        <f t="shared" si="26"/>
        <v>1725</v>
      </c>
      <c r="E209" s="42">
        <f t="shared" si="26"/>
        <v>1950</v>
      </c>
      <c r="F209" s="42">
        <f t="shared" si="26"/>
        <v>1900</v>
      </c>
      <c r="G209" s="42">
        <f t="shared" si="26"/>
        <v>1725</v>
      </c>
      <c r="H209" s="42">
        <f t="shared" si="26"/>
        <v>1550</v>
      </c>
      <c r="I209" s="42">
        <f t="shared" si="26"/>
        <v>1600</v>
      </c>
      <c r="J209" s="42">
        <f t="shared" si="26"/>
        <v>1667</v>
      </c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</row>
    <row r="210" spans="1:52" ht="15.75" thickBot="1">
      <c r="A210" s="20" t="s">
        <v>42</v>
      </c>
    </row>
    <row r="211" spans="1:52" ht="15.75" thickBot="1">
      <c r="A211" s="22"/>
      <c r="B211" s="23" t="str">
        <f>B195</f>
        <v>2000</v>
      </c>
      <c r="C211" s="23" t="str">
        <f t="shared" ref="C211:AL211" si="27">C195</f>
        <v>2001</v>
      </c>
      <c r="D211" s="23" t="str">
        <f t="shared" si="27"/>
        <v>2002</v>
      </c>
      <c r="E211" s="23" t="str">
        <f t="shared" si="27"/>
        <v>2003</v>
      </c>
      <c r="F211" s="23" t="str">
        <f t="shared" si="27"/>
        <v>2004</v>
      </c>
      <c r="G211" s="23" t="str">
        <f t="shared" si="27"/>
        <v>2005</v>
      </c>
      <c r="H211" s="23" t="str">
        <f t="shared" si="27"/>
        <v>2006</v>
      </c>
      <c r="I211" s="23" t="str">
        <f t="shared" si="27"/>
        <v>2007</v>
      </c>
      <c r="J211" s="23" t="str">
        <f t="shared" si="27"/>
        <v>2008</v>
      </c>
      <c r="K211" s="23" t="str">
        <f t="shared" si="27"/>
        <v>2009</v>
      </c>
      <c r="L211" s="23" t="str">
        <f t="shared" si="27"/>
        <v>2010</v>
      </c>
      <c r="M211" s="23" t="str">
        <f t="shared" si="27"/>
        <v>2011</v>
      </c>
      <c r="N211" s="23" t="str">
        <f t="shared" si="27"/>
        <v>2012</v>
      </c>
      <c r="O211" s="23" t="str">
        <f t="shared" si="27"/>
        <v>2013</v>
      </c>
      <c r="P211" s="23" t="str">
        <f t="shared" si="27"/>
        <v>2014</v>
      </c>
      <c r="Q211" s="23" t="str">
        <f t="shared" si="27"/>
        <v>2015</v>
      </c>
      <c r="R211" s="23" t="str">
        <f t="shared" si="27"/>
        <v>2016</v>
      </c>
      <c r="S211" s="23" t="str">
        <f t="shared" si="27"/>
        <v>2017</v>
      </c>
      <c r="T211" s="23" t="str">
        <f t="shared" si="27"/>
        <v>2018</v>
      </c>
      <c r="U211" s="23" t="str">
        <f t="shared" si="27"/>
        <v>2019</v>
      </c>
      <c r="V211" s="23" t="str">
        <f t="shared" si="27"/>
        <v>2020</v>
      </c>
      <c r="W211" s="23" t="str">
        <f t="shared" si="27"/>
        <v>2021</v>
      </c>
      <c r="X211" s="23" t="str">
        <f t="shared" si="27"/>
        <v>2022</v>
      </c>
      <c r="Y211" s="23" t="str">
        <f t="shared" si="27"/>
        <v>2023</v>
      </c>
      <c r="Z211" s="23" t="str">
        <f t="shared" si="27"/>
        <v>2024</v>
      </c>
      <c r="AA211" s="23" t="str">
        <f t="shared" si="27"/>
        <v>2025</v>
      </c>
      <c r="AB211" s="23" t="str">
        <f t="shared" si="27"/>
        <v>2026</v>
      </c>
      <c r="AC211" s="23" t="str">
        <f t="shared" si="27"/>
        <v>2027</v>
      </c>
      <c r="AD211" s="23" t="str">
        <f t="shared" si="27"/>
        <v>2028</v>
      </c>
      <c r="AE211" s="23" t="str">
        <f t="shared" si="27"/>
        <v>2029</v>
      </c>
      <c r="AF211" s="23" t="str">
        <f t="shared" si="27"/>
        <v>2030</v>
      </c>
      <c r="AG211" s="23" t="str">
        <f t="shared" si="27"/>
        <v>2031</v>
      </c>
      <c r="AH211" s="23" t="str">
        <f t="shared" si="27"/>
        <v>2032</v>
      </c>
      <c r="AI211" s="23" t="str">
        <f t="shared" si="27"/>
        <v>2033</v>
      </c>
      <c r="AJ211" s="23" t="str">
        <f t="shared" si="27"/>
        <v>2034</v>
      </c>
      <c r="AK211" s="23" t="str">
        <f t="shared" si="27"/>
        <v>2035</v>
      </c>
      <c r="AL211" s="23" t="str">
        <f t="shared" si="27"/>
        <v>2036</v>
      </c>
      <c r="AM211" s="23" t="str">
        <f>AM195</f>
        <v>2037</v>
      </c>
      <c r="AN211" s="23" t="str">
        <f>AN195</f>
        <v>2038</v>
      </c>
      <c r="AO211" s="23" t="str">
        <f>AO195</f>
        <v>2039</v>
      </c>
      <c r="AP211" s="23" t="str">
        <f>AP195</f>
        <v>2040</v>
      </c>
      <c r="AQ211" s="23" t="str">
        <f>AQ195</f>
        <v>2041</v>
      </c>
      <c r="AR211" s="23" t="str">
        <f t="shared" ref="AR211:AZ211" si="28">AR195</f>
        <v>2042</v>
      </c>
      <c r="AS211" s="23" t="str">
        <f t="shared" si="28"/>
        <v>2043</v>
      </c>
      <c r="AT211" s="23" t="str">
        <f t="shared" si="28"/>
        <v>2044</v>
      </c>
      <c r="AU211" s="23" t="str">
        <f t="shared" si="28"/>
        <v>2045</v>
      </c>
      <c r="AV211" s="23" t="str">
        <f t="shared" si="28"/>
        <v>2046</v>
      </c>
      <c r="AW211" s="23" t="str">
        <f t="shared" si="28"/>
        <v>2047</v>
      </c>
      <c r="AX211" s="23" t="str">
        <f t="shared" si="28"/>
        <v>2048</v>
      </c>
      <c r="AY211" s="23" t="str">
        <f t="shared" si="28"/>
        <v>2049</v>
      </c>
      <c r="AZ211" s="23" t="str">
        <f t="shared" si="28"/>
        <v>2050</v>
      </c>
    </row>
    <row r="212" spans="1:52">
      <c r="A212" s="20" t="s">
        <v>17</v>
      </c>
    </row>
    <row r="213" spans="1:52">
      <c r="A213" s="20" t="s">
        <v>18</v>
      </c>
    </row>
    <row r="214" spans="1:52">
      <c r="A214" s="20" t="s">
        <v>19</v>
      </c>
    </row>
    <row r="215" spans="1:52">
      <c r="A215" s="20" t="s">
        <v>20</v>
      </c>
    </row>
    <row r="216" spans="1:52">
      <c r="A216" s="20" t="s">
        <v>21</v>
      </c>
    </row>
    <row r="217" spans="1:52">
      <c r="A217" s="20" t="s">
        <v>22</v>
      </c>
    </row>
    <row r="218" spans="1:52">
      <c r="A218" s="20" t="s">
        <v>23</v>
      </c>
    </row>
    <row r="219" spans="1:52">
      <c r="A219" s="20" t="s">
        <v>24</v>
      </c>
    </row>
    <row r="220" spans="1:52">
      <c r="A220" s="20" t="s">
        <v>25</v>
      </c>
    </row>
    <row r="221" spans="1:52">
      <c r="A221" s="20" t="s">
        <v>26</v>
      </c>
    </row>
    <row r="222" spans="1:52">
      <c r="A222" s="20" t="s">
        <v>27</v>
      </c>
    </row>
    <row r="223" spans="1:52">
      <c r="A223" s="20" t="s">
        <v>28</v>
      </c>
    </row>
    <row r="224" spans="1:52" ht="15.75" thickBot="1">
      <c r="A224" s="20" t="s">
        <v>29</v>
      </c>
      <c r="B224" s="43">
        <v>0.13336677212747899</v>
      </c>
      <c r="C224" s="43">
        <v>0.13577961269300551</v>
      </c>
      <c r="D224" s="43">
        <v>0.13894332088586533</v>
      </c>
      <c r="E224" s="43">
        <v>0.14951686865378316</v>
      </c>
      <c r="F224" s="43">
        <v>0.15548853697350054</v>
      </c>
      <c r="G224" s="43">
        <v>0.14990308990394102</v>
      </c>
      <c r="H224" s="43">
        <v>0.14490131641723825</v>
      </c>
      <c r="I224" s="43">
        <v>0.13573397938481432</v>
      </c>
      <c r="J224" s="43">
        <v>0.13149752713973781</v>
      </c>
      <c r="K224" s="43">
        <v>0.1264156622750989</v>
      </c>
      <c r="L224" s="43">
        <v>0.12678433558892327</v>
      </c>
      <c r="M224" s="43">
        <v>0.13096664302297617</v>
      </c>
      <c r="N224" s="43">
        <v>0.12873345358644861</v>
      </c>
      <c r="O224" s="43">
        <v>0.12240299302003779</v>
      </c>
      <c r="P224" s="43">
        <v>0.12705495471745915</v>
      </c>
      <c r="Q224" s="43">
        <v>0.13967366797679812</v>
      </c>
      <c r="R224" s="43">
        <v>0.14051285001917915</v>
      </c>
      <c r="S224" s="43">
        <v>0.14141806247593702</v>
      </c>
      <c r="T224" s="43">
        <v>0.14465411808254672</v>
      </c>
      <c r="U224" s="43">
        <v>0.13607944337252503</v>
      </c>
      <c r="V224" s="43">
        <v>0.13380688617390996</v>
      </c>
      <c r="W224" s="43">
        <v>0.13646578396819181</v>
      </c>
      <c r="X224" s="43">
        <v>0.14907535901493746</v>
      </c>
      <c r="Y224" s="43">
        <v>0.15075694218377311</v>
      </c>
      <c r="Z224" s="43">
        <v>0.14624595110803076</v>
      </c>
      <c r="AA224" s="43">
        <v>0.14196208487601542</v>
      </c>
      <c r="AB224" s="43">
        <v>0.14492186675072494</v>
      </c>
      <c r="AC224" s="43">
        <v>0.14591847297009183</v>
      </c>
      <c r="AD224" s="43">
        <v>0.14609185360651719</v>
      </c>
      <c r="AE224" s="43">
        <v>0.14558755204776841</v>
      </c>
      <c r="AF224" s="43">
        <v>0.14543302057388649</v>
      </c>
      <c r="AG224" s="43">
        <v>0.14529208493003448</v>
      </c>
      <c r="AH224" s="43">
        <v>0.14565395589165397</v>
      </c>
      <c r="AI224" s="43">
        <v>0.14558977545758406</v>
      </c>
      <c r="AJ224" s="43">
        <v>0.14551153165469574</v>
      </c>
      <c r="AK224" s="43">
        <v>0.14553445753494884</v>
      </c>
      <c r="AL224" s="43">
        <v>0.145557383415202</v>
      </c>
      <c r="AM224" s="43">
        <v>0.14558030929545501</v>
      </c>
      <c r="AN224" s="43">
        <v>0.145603235175708</v>
      </c>
      <c r="AO224" s="43">
        <v>0.14562616105596099</v>
      </c>
      <c r="AP224" s="43">
        <v>0.14564908693621401</v>
      </c>
      <c r="AQ224" s="43">
        <v>0.14567201281646699</v>
      </c>
      <c r="AR224" s="43">
        <v>0.14569493869672101</v>
      </c>
      <c r="AS224" s="43">
        <v>0.145717864576974</v>
      </c>
      <c r="AT224" s="43">
        <v>0.14574079045722699</v>
      </c>
      <c r="AU224" s="43">
        <v>0.14576371633748</v>
      </c>
      <c r="AV224" s="43">
        <v>0.14578664221773299</v>
      </c>
      <c r="AW224" s="43">
        <v>0.14580956809798601</v>
      </c>
      <c r="AX224" s="43">
        <v>0.145832493978239</v>
      </c>
      <c r="AY224" s="43">
        <v>0.14585541985849201</v>
      </c>
      <c r="AZ224" s="43">
        <v>0.145878345738745</v>
      </c>
    </row>
    <row r="225" spans="1:52">
      <c r="A225" s="25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CD5C7-0CF6-496D-AA15-A71BA9CFA272}">
  <dimension ref="A1:AZ225"/>
  <sheetViews>
    <sheetView topLeftCell="A170" zoomScale="85" zoomScaleNormal="85" workbookViewId="0">
      <pane xSplit="1" topLeftCell="AJ1" activePane="topRight" state="frozen"/>
      <selection activeCell="AL31" sqref="AL31"/>
      <selection pane="topRight" activeCell="AL31" sqref="AL31"/>
    </sheetView>
  </sheetViews>
  <sheetFormatPr defaultColWidth="8.85546875" defaultRowHeight="15"/>
  <cols>
    <col min="1" max="1" width="32.42578125" customWidth="1"/>
    <col min="2" max="23" width="12.7109375" style="21" bestFit="1" customWidth="1"/>
    <col min="24" max="24" width="9.140625" style="21" bestFit="1" customWidth="1"/>
    <col min="25" max="25" width="8.85546875" style="21"/>
    <col min="26" max="26" width="9.140625" style="21" bestFit="1" customWidth="1"/>
    <col min="27" max="27" width="8.85546875" style="21"/>
    <col min="28" max="28" width="9.140625" style="21" bestFit="1" customWidth="1"/>
    <col min="29" max="29" width="8.85546875" style="21"/>
    <col min="30" max="30" width="9.140625" style="21" bestFit="1" customWidth="1"/>
    <col min="31" max="31" width="8.85546875" style="21"/>
    <col min="32" max="32" width="9.140625" style="21" bestFit="1" customWidth="1"/>
    <col min="33" max="33" width="8.85546875" style="21"/>
    <col min="34" max="34" width="9.140625" style="21" bestFit="1" customWidth="1"/>
    <col min="35" max="35" width="8.85546875" style="21"/>
    <col min="36" max="36" width="9.140625" style="21" bestFit="1" customWidth="1"/>
    <col min="37" max="37" width="8.85546875" style="21"/>
    <col min="38" max="38" width="9.140625" style="21" bestFit="1" customWidth="1"/>
    <col min="39" max="39" width="8.85546875" style="21"/>
    <col min="40" max="40" width="9.140625" style="21" bestFit="1" customWidth="1"/>
    <col min="41" max="41" width="8.85546875" style="21"/>
    <col min="42" max="42" width="9.140625" style="21" bestFit="1" customWidth="1"/>
    <col min="43" max="52" width="8.85546875" style="21"/>
  </cols>
  <sheetData>
    <row r="1" spans="1:52" ht="15.75" thickBot="1">
      <c r="A1" s="6" t="s">
        <v>110</v>
      </c>
    </row>
    <row r="2" spans="1:52" ht="15.75" thickBot="1">
      <c r="A2" s="34"/>
      <c r="B2" s="23" t="s">
        <v>44</v>
      </c>
      <c r="C2" s="23" t="s">
        <v>45</v>
      </c>
      <c r="D2" s="23" t="s">
        <v>46</v>
      </c>
      <c r="E2" s="23" t="s">
        <v>47</v>
      </c>
      <c r="F2" s="23" t="s">
        <v>48</v>
      </c>
      <c r="G2" s="23" t="s">
        <v>49</v>
      </c>
      <c r="H2" s="23" t="s">
        <v>50</v>
      </c>
      <c r="I2" s="23" t="s">
        <v>51</v>
      </c>
      <c r="J2" s="23" t="s">
        <v>52</v>
      </c>
      <c r="K2" s="23" t="s">
        <v>53</v>
      </c>
      <c r="L2" s="23" t="s">
        <v>54</v>
      </c>
      <c r="M2" s="23" t="s">
        <v>55</v>
      </c>
      <c r="N2" s="23" t="s">
        <v>56</v>
      </c>
      <c r="O2" s="23" t="s">
        <v>57</v>
      </c>
      <c r="P2" s="23" t="s">
        <v>58</v>
      </c>
      <c r="Q2" s="23" t="s">
        <v>59</v>
      </c>
      <c r="R2" s="23" t="s">
        <v>60</v>
      </c>
      <c r="S2" s="23" t="s">
        <v>61</v>
      </c>
      <c r="T2" s="23" t="s">
        <v>62</v>
      </c>
      <c r="U2" s="23" t="s">
        <v>63</v>
      </c>
      <c r="V2" s="23" t="s">
        <v>64</v>
      </c>
      <c r="W2" s="23" t="s">
        <v>65</v>
      </c>
      <c r="X2" s="23" t="s">
        <v>66</v>
      </c>
      <c r="Y2" s="23" t="s">
        <v>67</v>
      </c>
      <c r="Z2" s="23" t="s">
        <v>68</v>
      </c>
      <c r="AA2" s="23" t="s">
        <v>69</v>
      </c>
      <c r="AB2" s="23" t="s">
        <v>70</v>
      </c>
      <c r="AC2" s="23" t="s">
        <v>71</v>
      </c>
      <c r="AD2" s="23" t="s">
        <v>72</v>
      </c>
      <c r="AE2" s="23" t="s">
        <v>73</v>
      </c>
      <c r="AF2" s="23" t="s">
        <v>74</v>
      </c>
      <c r="AG2" s="23" t="s">
        <v>75</v>
      </c>
      <c r="AH2" s="23" t="s">
        <v>76</v>
      </c>
      <c r="AI2" s="23" t="s">
        <v>77</v>
      </c>
      <c r="AJ2" s="23" t="s">
        <v>78</v>
      </c>
      <c r="AK2" s="23" t="s">
        <v>79</v>
      </c>
      <c r="AL2" s="23" t="s">
        <v>80</v>
      </c>
      <c r="AM2" s="23" t="s">
        <v>81</v>
      </c>
      <c r="AN2" s="23" t="s">
        <v>82</v>
      </c>
      <c r="AO2" s="23" t="s">
        <v>83</v>
      </c>
      <c r="AP2" s="23" t="s">
        <v>84</v>
      </c>
      <c r="AQ2" s="23" t="s">
        <v>85</v>
      </c>
      <c r="AR2" s="23" t="s">
        <v>100</v>
      </c>
      <c r="AS2" s="23" t="s">
        <v>101</v>
      </c>
      <c r="AT2" s="23" t="s">
        <v>102</v>
      </c>
      <c r="AU2" s="23" t="s">
        <v>103</v>
      </c>
      <c r="AV2" s="23" t="s">
        <v>104</v>
      </c>
      <c r="AW2" s="23" t="s">
        <v>105</v>
      </c>
      <c r="AX2" s="23" t="s">
        <v>106</v>
      </c>
      <c r="AY2" s="23" t="s">
        <v>107</v>
      </c>
      <c r="AZ2" s="23" t="s">
        <v>108</v>
      </c>
    </row>
    <row r="3" spans="1:52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</row>
    <row r="5" spans="1:52">
      <c r="A5" s="6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</row>
    <row r="6" spans="1:52">
      <c r="A6" s="10" t="s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</row>
    <row r="7" spans="1:52">
      <c r="A7" s="6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</row>
    <row r="8" spans="1:52">
      <c r="A8" s="6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</row>
    <row r="9" spans="1:52">
      <c r="A9" s="6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</row>
    <row r="10" spans="1:52">
      <c r="A10" s="6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</row>
    <row r="11" spans="1:52">
      <c r="A11" s="6" t="s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2">
      <c r="A12" s="6" t="s">
        <v>10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</row>
    <row r="13" spans="1:52">
      <c r="A13" s="10" t="s">
        <v>11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</row>
    <row r="14" spans="1:52">
      <c r="A14" t="s">
        <v>12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>
      <c r="A15" s="6" t="s">
        <v>13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</row>
    <row r="16" spans="1:52" ht="15.75" thickBot="1">
      <c r="A16" s="6" t="s">
        <v>14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>
      <c r="A17" s="17" t="s">
        <v>15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</row>
    <row r="19" spans="1:52" ht="15.75" thickBot="1">
      <c r="A19" s="20" t="s">
        <v>87</v>
      </c>
    </row>
    <row r="20" spans="1:52" ht="15.75" thickBot="1">
      <c r="A20" s="22"/>
      <c r="B20" s="23" t="str">
        <f>B2</f>
        <v>2000</v>
      </c>
      <c r="C20" s="23" t="str">
        <f t="shared" ref="C20:AZ20" si="0">C2</f>
        <v>2001</v>
      </c>
      <c r="D20" s="23" t="str">
        <f t="shared" si="0"/>
        <v>2002</v>
      </c>
      <c r="E20" s="23" t="str">
        <f t="shared" si="0"/>
        <v>2003</v>
      </c>
      <c r="F20" s="23" t="str">
        <f t="shared" si="0"/>
        <v>2004</v>
      </c>
      <c r="G20" s="23" t="str">
        <f t="shared" si="0"/>
        <v>2005</v>
      </c>
      <c r="H20" s="23" t="str">
        <f t="shared" si="0"/>
        <v>2006</v>
      </c>
      <c r="I20" s="23" t="str">
        <f t="shared" si="0"/>
        <v>2007</v>
      </c>
      <c r="J20" s="23" t="str">
        <f t="shared" si="0"/>
        <v>2008</v>
      </c>
      <c r="K20" s="23" t="str">
        <f t="shared" si="0"/>
        <v>2009</v>
      </c>
      <c r="L20" s="23" t="str">
        <f t="shared" si="0"/>
        <v>2010</v>
      </c>
      <c r="M20" s="23" t="str">
        <f t="shared" si="0"/>
        <v>2011</v>
      </c>
      <c r="N20" s="23" t="str">
        <f t="shared" si="0"/>
        <v>2012</v>
      </c>
      <c r="O20" s="23" t="str">
        <f t="shared" si="0"/>
        <v>2013</v>
      </c>
      <c r="P20" s="23" t="str">
        <f t="shared" si="0"/>
        <v>2014</v>
      </c>
      <c r="Q20" s="23" t="str">
        <f t="shared" si="0"/>
        <v>2015</v>
      </c>
      <c r="R20" s="23" t="str">
        <f t="shared" si="0"/>
        <v>2016</v>
      </c>
      <c r="S20" s="23" t="str">
        <f t="shared" si="0"/>
        <v>2017</v>
      </c>
      <c r="T20" s="23" t="str">
        <f t="shared" si="0"/>
        <v>2018</v>
      </c>
      <c r="U20" s="23" t="str">
        <f t="shared" si="0"/>
        <v>2019</v>
      </c>
      <c r="V20" s="23" t="str">
        <f t="shared" si="0"/>
        <v>2020</v>
      </c>
      <c r="W20" s="23" t="str">
        <f t="shared" si="0"/>
        <v>2021</v>
      </c>
      <c r="X20" s="23" t="str">
        <f t="shared" si="0"/>
        <v>2022</v>
      </c>
      <c r="Y20" s="23" t="str">
        <f t="shared" si="0"/>
        <v>2023</v>
      </c>
      <c r="Z20" s="23" t="str">
        <f t="shared" si="0"/>
        <v>2024</v>
      </c>
      <c r="AA20" s="23" t="str">
        <f t="shared" si="0"/>
        <v>2025</v>
      </c>
      <c r="AB20" s="23" t="str">
        <f t="shared" si="0"/>
        <v>2026</v>
      </c>
      <c r="AC20" s="23" t="str">
        <f t="shared" si="0"/>
        <v>2027</v>
      </c>
      <c r="AD20" s="23" t="str">
        <f t="shared" si="0"/>
        <v>2028</v>
      </c>
      <c r="AE20" s="23" t="str">
        <f t="shared" si="0"/>
        <v>2029</v>
      </c>
      <c r="AF20" s="23" t="str">
        <f t="shared" si="0"/>
        <v>2030</v>
      </c>
      <c r="AG20" s="23" t="str">
        <f t="shared" si="0"/>
        <v>2031</v>
      </c>
      <c r="AH20" s="23" t="str">
        <f t="shared" si="0"/>
        <v>2032</v>
      </c>
      <c r="AI20" s="23" t="str">
        <f t="shared" si="0"/>
        <v>2033</v>
      </c>
      <c r="AJ20" s="23" t="str">
        <f t="shared" si="0"/>
        <v>2034</v>
      </c>
      <c r="AK20" s="23" t="str">
        <f t="shared" si="0"/>
        <v>2035</v>
      </c>
      <c r="AL20" s="23" t="str">
        <f t="shared" si="0"/>
        <v>2036</v>
      </c>
      <c r="AM20" s="23" t="str">
        <f t="shared" si="0"/>
        <v>2037</v>
      </c>
      <c r="AN20" s="23" t="str">
        <f t="shared" si="0"/>
        <v>2038</v>
      </c>
      <c r="AO20" s="23" t="str">
        <f t="shared" si="0"/>
        <v>2039</v>
      </c>
      <c r="AP20" s="23" t="str">
        <f t="shared" si="0"/>
        <v>2040</v>
      </c>
      <c r="AQ20" s="23" t="str">
        <f t="shared" si="0"/>
        <v>2041</v>
      </c>
      <c r="AR20" s="23" t="str">
        <f t="shared" si="0"/>
        <v>2042</v>
      </c>
      <c r="AS20" s="23" t="str">
        <f t="shared" si="0"/>
        <v>2043</v>
      </c>
      <c r="AT20" s="23" t="str">
        <f t="shared" si="0"/>
        <v>2044</v>
      </c>
      <c r="AU20" s="23" t="str">
        <f t="shared" si="0"/>
        <v>2045</v>
      </c>
      <c r="AV20" s="23" t="str">
        <f t="shared" si="0"/>
        <v>2046</v>
      </c>
      <c r="AW20" s="23" t="str">
        <f t="shared" si="0"/>
        <v>2047</v>
      </c>
      <c r="AX20" s="23" t="str">
        <f t="shared" si="0"/>
        <v>2048</v>
      </c>
      <c r="AY20" s="23" t="str">
        <f t="shared" si="0"/>
        <v>2049</v>
      </c>
      <c r="AZ20" s="23" t="str">
        <f t="shared" si="0"/>
        <v>2050</v>
      </c>
    </row>
    <row r="21" spans="1:52">
      <c r="A21" s="20" t="s">
        <v>17</v>
      </c>
    </row>
    <row r="22" spans="1:52">
      <c r="A22" s="20" t="s">
        <v>18</v>
      </c>
    </row>
    <row r="23" spans="1:52">
      <c r="A23" s="20" t="s">
        <v>19</v>
      </c>
    </row>
    <row r="24" spans="1:52">
      <c r="A24" s="20" t="s">
        <v>20</v>
      </c>
    </row>
    <row r="25" spans="1:52">
      <c r="A25" s="20" t="s">
        <v>21</v>
      </c>
    </row>
    <row r="26" spans="1:52">
      <c r="A26" s="20" t="s">
        <v>22</v>
      </c>
    </row>
    <row r="27" spans="1:52">
      <c r="A27" s="20" t="s">
        <v>23</v>
      </c>
    </row>
    <row r="28" spans="1:52">
      <c r="A28" s="20" t="s">
        <v>24</v>
      </c>
    </row>
    <row r="29" spans="1:52">
      <c r="A29" s="20" t="s">
        <v>25</v>
      </c>
    </row>
    <row r="30" spans="1:52">
      <c r="A30" s="20" t="s">
        <v>26</v>
      </c>
    </row>
    <row r="31" spans="1:52">
      <c r="A31" s="20" t="s">
        <v>27</v>
      </c>
    </row>
    <row r="32" spans="1:52">
      <c r="A32" s="20" t="s">
        <v>28</v>
      </c>
    </row>
    <row r="33" spans="1:52" ht="15.75" thickBot="1">
      <c r="A33" s="20" t="s">
        <v>29</v>
      </c>
    </row>
    <row r="34" spans="1:52">
      <c r="A34" s="25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</row>
    <row r="35" spans="1:52" ht="15.75" thickBot="1">
      <c r="A35" s="20" t="s">
        <v>88</v>
      </c>
    </row>
    <row r="36" spans="1:52" ht="15.75" thickBot="1">
      <c r="A36" s="22"/>
      <c r="B36" s="23" t="str">
        <f>B20</f>
        <v>2000</v>
      </c>
      <c r="C36" s="23" t="str">
        <f t="shared" ref="C36:AZ36" si="1">C20</f>
        <v>2001</v>
      </c>
      <c r="D36" s="23" t="str">
        <f t="shared" si="1"/>
        <v>2002</v>
      </c>
      <c r="E36" s="23" t="str">
        <f t="shared" si="1"/>
        <v>2003</v>
      </c>
      <c r="F36" s="23" t="str">
        <f t="shared" si="1"/>
        <v>2004</v>
      </c>
      <c r="G36" s="23" t="str">
        <f t="shared" si="1"/>
        <v>2005</v>
      </c>
      <c r="H36" s="23" t="str">
        <f t="shared" si="1"/>
        <v>2006</v>
      </c>
      <c r="I36" s="23" t="str">
        <f t="shared" si="1"/>
        <v>2007</v>
      </c>
      <c r="J36" s="23" t="str">
        <f t="shared" si="1"/>
        <v>2008</v>
      </c>
      <c r="K36" s="23" t="str">
        <f t="shared" si="1"/>
        <v>2009</v>
      </c>
      <c r="L36" s="23" t="str">
        <f t="shared" si="1"/>
        <v>2010</v>
      </c>
      <c r="M36" s="23" t="str">
        <f t="shared" si="1"/>
        <v>2011</v>
      </c>
      <c r="N36" s="23" t="str">
        <f t="shared" si="1"/>
        <v>2012</v>
      </c>
      <c r="O36" s="23" t="str">
        <f t="shared" si="1"/>
        <v>2013</v>
      </c>
      <c r="P36" s="23" t="str">
        <f t="shared" si="1"/>
        <v>2014</v>
      </c>
      <c r="Q36" s="23" t="str">
        <f t="shared" si="1"/>
        <v>2015</v>
      </c>
      <c r="R36" s="23" t="str">
        <f t="shared" si="1"/>
        <v>2016</v>
      </c>
      <c r="S36" s="23" t="str">
        <f t="shared" si="1"/>
        <v>2017</v>
      </c>
      <c r="T36" s="23" t="str">
        <f t="shared" si="1"/>
        <v>2018</v>
      </c>
      <c r="U36" s="23" t="str">
        <f t="shared" si="1"/>
        <v>2019</v>
      </c>
      <c r="V36" s="23" t="str">
        <f t="shared" si="1"/>
        <v>2020</v>
      </c>
      <c r="W36" s="23" t="str">
        <f t="shared" si="1"/>
        <v>2021</v>
      </c>
      <c r="X36" s="23" t="str">
        <f t="shared" si="1"/>
        <v>2022</v>
      </c>
      <c r="Y36" s="23" t="str">
        <f t="shared" si="1"/>
        <v>2023</v>
      </c>
      <c r="Z36" s="23" t="str">
        <f t="shared" si="1"/>
        <v>2024</v>
      </c>
      <c r="AA36" s="23" t="str">
        <f t="shared" si="1"/>
        <v>2025</v>
      </c>
      <c r="AB36" s="23" t="str">
        <f t="shared" si="1"/>
        <v>2026</v>
      </c>
      <c r="AC36" s="23" t="str">
        <f t="shared" si="1"/>
        <v>2027</v>
      </c>
      <c r="AD36" s="23" t="str">
        <f t="shared" si="1"/>
        <v>2028</v>
      </c>
      <c r="AE36" s="23" t="str">
        <f t="shared" si="1"/>
        <v>2029</v>
      </c>
      <c r="AF36" s="23" t="str">
        <f t="shared" si="1"/>
        <v>2030</v>
      </c>
      <c r="AG36" s="23" t="str">
        <f t="shared" si="1"/>
        <v>2031</v>
      </c>
      <c r="AH36" s="23" t="str">
        <f t="shared" si="1"/>
        <v>2032</v>
      </c>
      <c r="AI36" s="23" t="str">
        <f t="shared" si="1"/>
        <v>2033</v>
      </c>
      <c r="AJ36" s="23" t="str">
        <f t="shared" si="1"/>
        <v>2034</v>
      </c>
      <c r="AK36" s="23" t="str">
        <f t="shared" si="1"/>
        <v>2035</v>
      </c>
      <c r="AL36" s="23" t="str">
        <f t="shared" si="1"/>
        <v>2036</v>
      </c>
      <c r="AM36" s="23" t="str">
        <f t="shared" si="1"/>
        <v>2037</v>
      </c>
      <c r="AN36" s="23" t="str">
        <f t="shared" si="1"/>
        <v>2038</v>
      </c>
      <c r="AO36" s="23" t="str">
        <f t="shared" si="1"/>
        <v>2039</v>
      </c>
      <c r="AP36" s="23" t="str">
        <f t="shared" si="1"/>
        <v>2040</v>
      </c>
      <c r="AQ36" s="23" t="str">
        <f t="shared" si="1"/>
        <v>2041</v>
      </c>
      <c r="AR36" s="23" t="str">
        <f t="shared" si="1"/>
        <v>2042</v>
      </c>
      <c r="AS36" s="23" t="str">
        <f t="shared" si="1"/>
        <v>2043</v>
      </c>
      <c r="AT36" s="23" t="str">
        <f t="shared" si="1"/>
        <v>2044</v>
      </c>
      <c r="AU36" s="23" t="str">
        <f t="shared" si="1"/>
        <v>2045</v>
      </c>
      <c r="AV36" s="23" t="str">
        <f t="shared" si="1"/>
        <v>2046</v>
      </c>
      <c r="AW36" s="23" t="str">
        <f t="shared" si="1"/>
        <v>2047</v>
      </c>
      <c r="AX36" s="23" t="str">
        <f t="shared" si="1"/>
        <v>2048</v>
      </c>
      <c r="AY36" s="23" t="str">
        <f t="shared" si="1"/>
        <v>2049</v>
      </c>
      <c r="AZ36" s="23" t="str">
        <f t="shared" si="1"/>
        <v>2050</v>
      </c>
    </row>
    <row r="37" spans="1:52">
      <c r="A37" s="20" t="s">
        <v>17</v>
      </c>
    </row>
    <row r="38" spans="1:52">
      <c r="A38" s="20" t="s">
        <v>18</v>
      </c>
    </row>
    <row r="39" spans="1:52">
      <c r="A39" s="20" t="s">
        <v>19</v>
      </c>
    </row>
    <row r="40" spans="1:52">
      <c r="A40" s="20" t="s">
        <v>20</v>
      </c>
    </row>
    <row r="41" spans="1:52">
      <c r="A41" s="20" t="s">
        <v>21</v>
      </c>
    </row>
    <row r="42" spans="1:52">
      <c r="A42" s="20" t="s">
        <v>22</v>
      </c>
    </row>
    <row r="43" spans="1:52">
      <c r="A43" s="20" t="s">
        <v>23</v>
      </c>
    </row>
    <row r="44" spans="1:52">
      <c r="A44" s="20" t="s">
        <v>24</v>
      </c>
    </row>
    <row r="45" spans="1:52">
      <c r="A45" s="20" t="s">
        <v>25</v>
      </c>
    </row>
    <row r="46" spans="1:52">
      <c r="A46" s="20" t="s">
        <v>26</v>
      </c>
    </row>
    <row r="47" spans="1:52">
      <c r="A47" s="20" t="s">
        <v>27</v>
      </c>
    </row>
    <row r="48" spans="1:52">
      <c r="A48" s="20" t="s">
        <v>28</v>
      </c>
    </row>
    <row r="49" spans="1:52" ht="15.75" thickBot="1">
      <c r="A49" s="20" t="s">
        <v>29</v>
      </c>
    </row>
    <row r="50" spans="1:52">
      <c r="A50" s="25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</row>
    <row r="51" spans="1:52" ht="15.75" thickBot="1">
      <c r="A51" s="20" t="s">
        <v>89</v>
      </c>
    </row>
    <row r="52" spans="1:52" ht="15.75" thickBot="1">
      <c r="A52" s="22"/>
      <c r="B52" s="23" t="str">
        <f>B36</f>
        <v>2000</v>
      </c>
      <c r="C52" s="23" t="str">
        <f t="shared" ref="C52:AZ52" si="2">C36</f>
        <v>2001</v>
      </c>
      <c r="D52" s="23" t="str">
        <f t="shared" si="2"/>
        <v>2002</v>
      </c>
      <c r="E52" s="23" t="str">
        <f t="shared" si="2"/>
        <v>2003</v>
      </c>
      <c r="F52" s="23" t="str">
        <f t="shared" si="2"/>
        <v>2004</v>
      </c>
      <c r="G52" s="23" t="str">
        <f t="shared" si="2"/>
        <v>2005</v>
      </c>
      <c r="H52" s="23" t="str">
        <f t="shared" si="2"/>
        <v>2006</v>
      </c>
      <c r="I52" s="23" t="str">
        <f t="shared" si="2"/>
        <v>2007</v>
      </c>
      <c r="J52" s="23" t="str">
        <f t="shared" si="2"/>
        <v>2008</v>
      </c>
      <c r="K52" s="23" t="str">
        <f t="shared" si="2"/>
        <v>2009</v>
      </c>
      <c r="L52" s="23" t="str">
        <f t="shared" si="2"/>
        <v>2010</v>
      </c>
      <c r="M52" s="23" t="str">
        <f t="shared" si="2"/>
        <v>2011</v>
      </c>
      <c r="N52" s="23" t="str">
        <f t="shared" si="2"/>
        <v>2012</v>
      </c>
      <c r="O52" s="23" t="str">
        <f t="shared" si="2"/>
        <v>2013</v>
      </c>
      <c r="P52" s="23" t="str">
        <f t="shared" si="2"/>
        <v>2014</v>
      </c>
      <c r="Q52" s="23" t="str">
        <f t="shared" si="2"/>
        <v>2015</v>
      </c>
      <c r="R52" s="23" t="str">
        <f t="shared" si="2"/>
        <v>2016</v>
      </c>
      <c r="S52" s="23" t="str">
        <f t="shared" si="2"/>
        <v>2017</v>
      </c>
      <c r="T52" s="23" t="str">
        <f t="shared" si="2"/>
        <v>2018</v>
      </c>
      <c r="U52" s="23" t="str">
        <f t="shared" si="2"/>
        <v>2019</v>
      </c>
      <c r="V52" s="23" t="str">
        <f t="shared" si="2"/>
        <v>2020</v>
      </c>
      <c r="W52" s="23" t="str">
        <f t="shared" si="2"/>
        <v>2021</v>
      </c>
      <c r="X52" s="23" t="str">
        <f t="shared" si="2"/>
        <v>2022</v>
      </c>
      <c r="Y52" s="23" t="str">
        <f t="shared" si="2"/>
        <v>2023</v>
      </c>
      <c r="Z52" s="23" t="str">
        <f t="shared" si="2"/>
        <v>2024</v>
      </c>
      <c r="AA52" s="23" t="str">
        <f t="shared" si="2"/>
        <v>2025</v>
      </c>
      <c r="AB52" s="23" t="str">
        <f t="shared" si="2"/>
        <v>2026</v>
      </c>
      <c r="AC52" s="23" t="str">
        <f t="shared" si="2"/>
        <v>2027</v>
      </c>
      <c r="AD52" s="23" t="str">
        <f t="shared" si="2"/>
        <v>2028</v>
      </c>
      <c r="AE52" s="23" t="str">
        <f t="shared" si="2"/>
        <v>2029</v>
      </c>
      <c r="AF52" s="23" t="str">
        <f t="shared" si="2"/>
        <v>2030</v>
      </c>
      <c r="AG52" s="23" t="str">
        <f t="shared" si="2"/>
        <v>2031</v>
      </c>
      <c r="AH52" s="23" t="str">
        <f t="shared" si="2"/>
        <v>2032</v>
      </c>
      <c r="AI52" s="23" t="str">
        <f t="shared" si="2"/>
        <v>2033</v>
      </c>
      <c r="AJ52" s="23" t="str">
        <f t="shared" si="2"/>
        <v>2034</v>
      </c>
      <c r="AK52" s="23" t="str">
        <f t="shared" si="2"/>
        <v>2035</v>
      </c>
      <c r="AL52" s="23" t="str">
        <f t="shared" si="2"/>
        <v>2036</v>
      </c>
      <c r="AM52" s="23" t="str">
        <f t="shared" si="2"/>
        <v>2037</v>
      </c>
      <c r="AN52" s="23" t="str">
        <f t="shared" si="2"/>
        <v>2038</v>
      </c>
      <c r="AO52" s="23" t="str">
        <f t="shared" si="2"/>
        <v>2039</v>
      </c>
      <c r="AP52" s="23" t="str">
        <f t="shared" si="2"/>
        <v>2040</v>
      </c>
      <c r="AQ52" s="23" t="str">
        <f t="shared" si="2"/>
        <v>2041</v>
      </c>
      <c r="AR52" s="23" t="str">
        <f t="shared" si="2"/>
        <v>2042</v>
      </c>
      <c r="AS52" s="23" t="str">
        <f t="shared" si="2"/>
        <v>2043</v>
      </c>
      <c r="AT52" s="23" t="str">
        <f t="shared" si="2"/>
        <v>2044</v>
      </c>
      <c r="AU52" s="23" t="str">
        <f t="shared" si="2"/>
        <v>2045</v>
      </c>
      <c r="AV52" s="23" t="str">
        <f t="shared" si="2"/>
        <v>2046</v>
      </c>
      <c r="AW52" s="23" t="str">
        <f t="shared" si="2"/>
        <v>2047</v>
      </c>
      <c r="AX52" s="23" t="str">
        <f t="shared" si="2"/>
        <v>2048</v>
      </c>
      <c r="AY52" s="23" t="str">
        <f t="shared" si="2"/>
        <v>2049</v>
      </c>
      <c r="AZ52" s="23" t="str">
        <f t="shared" si="2"/>
        <v>2050</v>
      </c>
    </row>
    <row r="53" spans="1:52">
      <c r="A53" s="20" t="s">
        <v>17</v>
      </c>
    </row>
    <row r="54" spans="1:52">
      <c r="A54" s="20" t="s">
        <v>18</v>
      </c>
    </row>
    <row r="55" spans="1:52">
      <c r="A55" s="20" t="s">
        <v>19</v>
      </c>
    </row>
    <row r="56" spans="1:52">
      <c r="A56" s="20" t="s">
        <v>20</v>
      </c>
    </row>
    <row r="57" spans="1:52">
      <c r="A57" s="20" t="s">
        <v>21</v>
      </c>
    </row>
    <row r="58" spans="1:52">
      <c r="A58" s="20" t="s">
        <v>22</v>
      </c>
    </row>
    <row r="59" spans="1:52">
      <c r="A59" s="20" t="s">
        <v>23</v>
      </c>
    </row>
    <row r="60" spans="1:52">
      <c r="A60" s="20" t="s">
        <v>24</v>
      </c>
    </row>
    <row r="61" spans="1:52">
      <c r="A61" s="20" t="s">
        <v>25</v>
      </c>
    </row>
    <row r="62" spans="1:52">
      <c r="A62" s="20" t="s">
        <v>26</v>
      </c>
    </row>
    <row r="63" spans="1:52">
      <c r="A63" s="20" t="s">
        <v>27</v>
      </c>
    </row>
    <row r="64" spans="1:52">
      <c r="A64" s="20" t="s">
        <v>28</v>
      </c>
    </row>
    <row r="65" spans="1:52" ht="15.75" thickBot="1">
      <c r="A65" s="20" t="s">
        <v>29</v>
      </c>
    </row>
    <row r="66" spans="1:52">
      <c r="A66" s="25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</row>
    <row r="67" spans="1:52" ht="15.75" thickBot="1">
      <c r="A67" s="20" t="s">
        <v>90</v>
      </c>
    </row>
    <row r="68" spans="1:52" ht="15.75" thickBot="1">
      <c r="A68" s="22"/>
      <c r="B68" s="23" t="str">
        <f>B52</f>
        <v>2000</v>
      </c>
      <c r="C68" s="23" t="str">
        <f t="shared" ref="C68:AZ68" si="3">C52</f>
        <v>2001</v>
      </c>
      <c r="D68" s="23" t="str">
        <f t="shared" si="3"/>
        <v>2002</v>
      </c>
      <c r="E68" s="23" t="str">
        <f t="shared" si="3"/>
        <v>2003</v>
      </c>
      <c r="F68" s="23" t="str">
        <f t="shared" si="3"/>
        <v>2004</v>
      </c>
      <c r="G68" s="23" t="str">
        <f t="shared" si="3"/>
        <v>2005</v>
      </c>
      <c r="H68" s="23" t="str">
        <f t="shared" si="3"/>
        <v>2006</v>
      </c>
      <c r="I68" s="23" t="str">
        <f t="shared" si="3"/>
        <v>2007</v>
      </c>
      <c r="J68" s="23" t="str">
        <f t="shared" si="3"/>
        <v>2008</v>
      </c>
      <c r="K68" s="23" t="str">
        <f t="shared" si="3"/>
        <v>2009</v>
      </c>
      <c r="L68" s="23" t="str">
        <f t="shared" si="3"/>
        <v>2010</v>
      </c>
      <c r="M68" s="23" t="str">
        <f t="shared" si="3"/>
        <v>2011</v>
      </c>
      <c r="N68" s="23" t="str">
        <f t="shared" si="3"/>
        <v>2012</v>
      </c>
      <c r="O68" s="23" t="str">
        <f t="shared" si="3"/>
        <v>2013</v>
      </c>
      <c r="P68" s="23" t="str">
        <f t="shared" si="3"/>
        <v>2014</v>
      </c>
      <c r="Q68" s="23" t="str">
        <f t="shared" si="3"/>
        <v>2015</v>
      </c>
      <c r="R68" s="23" t="str">
        <f t="shared" si="3"/>
        <v>2016</v>
      </c>
      <c r="S68" s="23" t="str">
        <f t="shared" si="3"/>
        <v>2017</v>
      </c>
      <c r="T68" s="23" t="str">
        <f t="shared" si="3"/>
        <v>2018</v>
      </c>
      <c r="U68" s="23" t="str">
        <f t="shared" si="3"/>
        <v>2019</v>
      </c>
      <c r="V68" s="23" t="str">
        <f t="shared" si="3"/>
        <v>2020</v>
      </c>
      <c r="W68" s="23" t="str">
        <f t="shared" si="3"/>
        <v>2021</v>
      </c>
      <c r="X68" s="23" t="str">
        <f t="shared" si="3"/>
        <v>2022</v>
      </c>
      <c r="Y68" s="23" t="str">
        <f t="shared" si="3"/>
        <v>2023</v>
      </c>
      <c r="Z68" s="23" t="str">
        <f t="shared" si="3"/>
        <v>2024</v>
      </c>
      <c r="AA68" s="23" t="str">
        <f t="shared" si="3"/>
        <v>2025</v>
      </c>
      <c r="AB68" s="23" t="str">
        <f t="shared" si="3"/>
        <v>2026</v>
      </c>
      <c r="AC68" s="23" t="str">
        <f t="shared" si="3"/>
        <v>2027</v>
      </c>
      <c r="AD68" s="23" t="str">
        <f t="shared" si="3"/>
        <v>2028</v>
      </c>
      <c r="AE68" s="23" t="str">
        <f t="shared" si="3"/>
        <v>2029</v>
      </c>
      <c r="AF68" s="23" t="str">
        <f t="shared" si="3"/>
        <v>2030</v>
      </c>
      <c r="AG68" s="23" t="str">
        <f t="shared" si="3"/>
        <v>2031</v>
      </c>
      <c r="AH68" s="23" t="str">
        <f t="shared" si="3"/>
        <v>2032</v>
      </c>
      <c r="AI68" s="23" t="str">
        <f t="shared" si="3"/>
        <v>2033</v>
      </c>
      <c r="AJ68" s="23" t="str">
        <f t="shared" si="3"/>
        <v>2034</v>
      </c>
      <c r="AK68" s="23" t="str">
        <f t="shared" si="3"/>
        <v>2035</v>
      </c>
      <c r="AL68" s="23" t="str">
        <f t="shared" si="3"/>
        <v>2036</v>
      </c>
      <c r="AM68" s="23" t="str">
        <f t="shared" si="3"/>
        <v>2037</v>
      </c>
      <c r="AN68" s="23" t="str">
        <f t="shared" si="3"/>
        <v>2038</v>
      </c>
      <c r="AO68" s="23" t="str">
        <f t="shared" si="3"/>
        <v>2039</v>
      </c>
      <c r="AP68" s="23" t="str">
        <f t="shared" si="3"/>
        <v>2040</v>
      </c>
      <c r="AQ68" s="23" t="str">
        <f t="shared" si="3"/>
        <v>2041</v>
      </c>
      <c r="AR68" s="23" t="str">
        <f t="shared" si="3"/>
        <v>2042</v>
      </c>
      <c r="AS68" s="23" t="str">
        <f t="shared" si="3"/>
        <v>2043</v>
      </c>
      <c r="AT68" s="23" t="str">
        <f t="shared" si="3"/>
        <v>2044</v>
      </c>
      <c r="AU68" s="23" t="str">
        <f t="shared" si="3"/>
        <v>2045</v>
      </c>
      <c r="AV68" s="23" t="str">
        <f t="shared" si="3"/>
        <v>2046</v>
      </c>
      <c r="AW68" s="23" t="str">
        <f t="shared" si="3"/>
        <v>2047</v>
      </c>
      <c r="AX68" s="23" t="str">
        <f t="shared" si="3"/>
        <v>2048</v>
      </c>
      <c r="AY68" s="23" t="str">
        <f t="shared" si="3"/>
        <v>2049</v>
      </c>
      <c r="AZ68" s="23" t="str">
        <f t="shared" si="3"/>
        <v>2050</v>
      </c>
    </row>
    <row r="69" spans="1:52">
      <c r="A69" s="20" t="s">
        <v>17</v>
      </c>
    </row>
    <row r="70" spans="1:52">
      <c r="A70" s="20" t="s">
        <v>18</v>
      </c>
    </row>
    <row r="71" spans="1:52">
      <c r="A71" s="20" t="s">
        <v>19</v>
      </c>
    </row>
    <row r="72" spans="1:52">
      <c r="A72" s="20" t="s">
        <v>20</v>
      </c>
    </row>
    <row r="73" spans="1:52">
      <c r="A73" s="20" t="s">
        <v>21</v>
      </c>
    </row>
    <row r="74" spans="1:52">
      <c r="A74" s="20" t="s">
        <v>22</v>
      </c>
    </row>
    <row r="75" spans="1:52">
      <c r="A75" s="20" t="s">
        <v>23</v>
      </c>
    </row>
    <row r="76" spans="1:52">
      <c r="A76" s="20" t="s">
        <v>24</v>
      </c>
    </row>
    <row r="77" spans="1:52">
      <c r="A77" s="20" t="s">
        <v>25</v>
      </c>
    </row>
    <row r="78" spans="1:52">
      <c r="A78" s="20" t="s">
        <v>26</v>
      </c>
    </row>
    <row r="79" spans="1:52">
      <c r="A79" s="20" t="s">
        <v>27</v>
      </c>
    </row>
    <row r="80" spans="1:52">
      <c r="A80" s="20" t="s">
        <v>28</v>
      </c>
    </row>
    <row r="81" spans="1:52" ht="15.75" thickBot="1">
      <c r="A81" s="20" t="s">
        <v>29</v>
      </c>
    </row>
    <row r="82" spans="1:52">
      <c r="A82" s="25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</row>
    <row r="83" spans="1:52" ht="15.75" thickBot="1">
      <c r="A83" s="20" t="s">
        <v>91</v>
      </c>
    </row>
    <row r="84" spans="1:52" ht="15.75" thickBot="1">
      <c r="A84" s="22"/>
      <c r="B84" s="23" t="str">
        <f>B68</f>
        <v>2000</v>
      </c>
      <c r="C84" s="23" t="str">
        <f t="shared" ref="C84:AZ84" si="4">C68</f>
        <v>2001</v>
      </c>
      <c r="D84" s="23" t="str">
        <f t="shared" si="4"/>
        <v>2002</v>
      </c>
      <c r="E84" s="23" t="str">
        <f t="shared" si="4"/>
        <v>2003</v>
      </c>
      <c r="F84" s="23" t="str">
        <f t="shared" si="4"/>
        <v>2004</v>
      </c>
      <c r="G84" s="23" t="str">
        <f t="shared" si="4"/>
        <v>2005</v>
      </c>
      <c r="H84" s="23" t="str">
        <f t="shared" si="4"/>
        <v>2006</v>
      </c>
      <c r="I84" s="23" t="str">
        <f t="shared" si="4"/>
        <v>2007</v>
      </c>
      <c r="J84" s="23" t="str">
        <f t="shared" si="4"/>
        <v>2008</v>
      </c>
      <c r="K84" s="23" t="str">
        <f t="shared" si="4"/>
        <v>2009</v>
      </c>
      <c r="L84" s="23" t="str">
        <f t="shared" si="4"/>
        <v>2010</v>
      </c>
      <c r="M84" s="23" t="str">
        <f t="shared" si="4"/>
        <v>2011</v>
      </c>
      <c r="N84" s="23" t="str">
        <f t="shared" si="4"/>
        <v>2012</v>
      </c>
      <c r="O84" s="23" t="str">
        <f t="shared" si="4"/>
        <v>2013</v>
      </c>
      <c r="P84" s="23" t="str">
        <f t="shared" si="4"/>
        <v>2014</v>
      </c>
      <c r="Q84" s="23" t="str">
        <f t="shared" si="4"/>
        <v>2015</v>
      </c>
      <c r="R84" s="23" t="str">
        <f t="shared" si="4"/>
        <v>2016</v>
      </c>
      <c r="S84" s="23" t="str">
        <f t="shared" si="4"/>
        <v>2017</v>
      </c>
      <c r="T84" s="23" t="str">
        <f t="shared" si="4"/>
        <v>2018</v>
      </c>
      <c r="U84" s="23" t="str">
        <f t="shared" si="4"/>
        <v>2019</v>
      </c>
      <c r="V84" s="23" t="str">
        <f t="shared" si="4"/>
        <v>2020</v>
      </c>
      <c r="W84" s="23" t="str">
        <f t="shared" si="4"/>
        <v>2021</v>
      </c>
      <c r="X84" s="23" t="str">
        <f t="shared" si="4"/>
        <v>2022</v>
      </c>
      <c r="Y84" s="23" t="str">
        <f t="shared" si="4"/>
        <v>2023</v>
      </c>
      <c r="Z84" s="23" t="str">
        <f t="shared" si="4"/>
        <v>2024</v>
      </c>
      <c r="AA84" s="23" t="str">
        <f t="shared" si="4"/>
        <v>2025</v>
      </c>
      <c r="AB84" s="23" t="str">
        <f t="shared" si="4"/>
        <v>2026</v>
      </c>
      <c r="AC84" s="23" t="str">
        <f t="shared" si="4"/>
        <v>2027</v>
      </c>
      <c r="AD84" s="23" t="str">
        <f t="shared" si="4"/>
        <v>2028</v>
      </c>
      <c r="AE84" s="23" t="str">
        <f t="shared" si="4"/>
        <v>2029</v>
      </c>
      <c r="AF84" s="23" t="str">
        <f t="shared" si="4"/>
        <v>2030</v>
      </c>
      <c r="AG84" s="23" t="str">
        <f t="shared" si="4"/>
        <v>2031</v>
      </c>
      <c r="AH84" s="23" t="str">
        <f t="shared" si="4"/>
        <v>2032</v>
      </c>
      <c r="AI84" s="23" t="str">
        <f t="shared" si="4"/>
        <v>2033</v>
      </c>
      <c r="AJ84" s="23" t="str">
        <f t="shared" si="4"/>
        <v>2034</v>
      </c>
      <c r="AK84" s="23" t="str">
        <f t="shared" si="4"/>
        <v>2035</v>
      </c>
      <c r="AL84" s="23" t="str">
        <f t="shared" si="4"/>
        <v>2036</v>
      </c>
      <c r="AM84" s="23" t="str">
        <f t="shared" si="4"/>
        <v>2037</v>
      </c>
      <c r="AN84" s="23" t="str">
        <f t="shared" si="4"/>
        <v>2038</v>
      </c>
      <c r="AO84" s="23" t="str">
        <f t="shared" si="4"/>
        <v>2039</v>
      </c>
      <c r="AP84" s="23" t="str">
        <f t="shared" si="4"/>
        <v>2040</v>
      </c>
      <c r="AQ84" s="23" t="str">
        <f t="shared" si="4"/>
        <v>2041</v>
      </c>
      <c r="AR84" s="23" t="str">
        <f t="shared" si="4"/>
        <v>2042</v>
      </c>
      <c r="AS84" s="23" t="str">
        <f t="shared" si="4"/>
        <v>2043</v>
      </c>
      <c r="AT84" s="23" t="str">
        <f t="shared" si="4"/>
        <v>2044</v>
      </c>
      <c r="AU84" s="23" t="str">
        <f t="shared" si="4"/>
        <v>2045</v>
      </c>
      <c r="AV84" s="23" t="str">
        <f t="shared" si="4"/>
        <v>2046</v>
      </c>
      <c r="AW84" s="23" t="str">
        <f t="shared" si="4"/>
        <v>2047</v>
      </c>
      <c r="AX84" s="23" t="str">
        <f t="shared" si="4"/>
        <v>2048</v>
      </c>
      <c r="AY84" s="23" t="str">
        <f t="shared" si="4"/>
        <v>2049</v>
      </c>
      <c r="AZ84" s="23" t="str">
        <f t="shared" si="4"/>
        <v>2050</v>
      </c>
    </row>
    <row r="85" spans="1:52">
      <c r="A85" s="20" t="s">
        <v>17</v>
      </c>
    </row>
    <row r="86" spans="1:52">
      <c r="A86" s="20" t="s">
        <v>18</v>
      </c>
    </row>
    <row r="87" spans="1:52">
      <c r="A87" s="20" t="s">
        <v>19</v>
      </c>
    </row>
    <row r="88" spans="1:52">
      <c r="A88" s="20" t="s">
        <v>20</v>
      </c>
    </row>
    <row r="89" spans="1:52">
      <c r="A89" s="20" t="s">
        <v>21</v>
      </c>
    </row>
    <row r="90" spans="1:52">
      <c r="A90" s="20" t="s">
        <v>22</v>
      </c>
    </row>
    <row r="91" spans="1:52">
      <c r="A91" s="20" t="s">
        <v>23</v>
      </c>
    </row>
    <row r="92" spans="1:52">
      <c r="A92" s="20" t="s">
        <v>24</v>
      </c>
    </row>
    <row r="93" spans="1:52">
      <c r="A93" s="20" t="s">
        <v>25</v>
      </c>
    </row>
    <row r="94" spans="1:52">
      <c r="A94" s="20" t="s">
        <v>26</v>
      </c>
    </row>
    <row r="95" spans="1:52">
      <c r="A95" s="20" t="s">
        <v>27</v>
      </c>
    </row>
    <row r="96" spans="1:52">
      <c r="A96" s="20" t="s">
        <v>28</v>
      </c>
    </row>
    <row r="97" spans="1:52" ht="15.75" thickBot="1">
      <c r="A97" s="20" t="s">
        <v>29</v>
      </c>
    </row>
    <row r="98" spans="1:52">
      <c r="A98" s="25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</row>
    <row r="99" spans="1:52" ht="15.75" thickBot="1">
      <c r="A99" s="20" t="s">
        <v>92</v>
      </c>
    </row>
    <row r="100" spans="1:52" ht="15.75" thickBot="1">
      <c r="A100" s="22"/>
      <c r="B100" s="23" t="str">
        <f>B84</f>
        <v>2000</v>
      </c>
      <c r="C100" s="23" t="str">
        <f t="shared" ref="C100:AZ100" si="5">C84</f>
        <v>2001</v>
      </c>
      <c r="D100" s="23" t="str">
        <f t="shared" si="5"/>
        <v>2002</v>
      </c>
      <c r="E100" s="23" t="str">
        <f t="shared" si="5"/>
        <v>2003</v>
      </c>
      <c r="F100" s="23" t="str">
        <f t="shared" si="5"/>
        <v>2004</v>
      </c>
      <c r="G100" s="23" t="str">
        <f t="shared" si="5"/>
        <v>2005</v>
      </c>
      <c r="H100" s="23" t="str">
        <f t="shared" si="5"/>
        <v>2006</v>
      </c>
      <c r="I100" s="23" t="str">
        <f t="shared" si="5"/>
        <v>2007</v>
      </c>
      <c r="J100" s="23" t="str">
        <f t="shared" si="5"/>
        <v>2008</v>
      </c>
      <c r="K100" s="23" t="str">
        <f t="shared" si="5"/>
        <v>2009</v>
      </c>
      <c r="L100" s="23" t="str">
        <f t="shared" si="5"/>
        <v>2010</v>
      </c>
      <c r="M100" s="23" t="str">
        <f t="shared" si="5"/>
        <v>2011</v>
      </c>
      <c r="N100" s="23" t="str">
        <f t="shared" si="5"/>
        <v>2012</v>
      </c>
      <c r="O100" s="23" t="str">
        <f t="shared" si="5"/>
        <v>2013</v>
      </c>
      <c r="P100" s="23" t="str">
        <f t="shared" si="5"/>
        <v>2014</v>
      </c>
      <c r="Q100" s="23" t="str">
        <f t="shared" si="5"/>
        <v>2015</v>
      </c>
      <c r="R100" s="23" t="str">
        <f t="shared" si="5"/>
        <v>2016</v>
      </c>
      <c r="S100" s="23" t="str">
        <f t="shared" si="5"/>
        <v>2017</v>
      </c>
      <c r="T100" s="23" t="str">
        <f t="shared" si="5"/>
        <v>2018</v>
      </c>
      <c r="U100" s="23" t="str">
        <f t="shared" si="5"/>
        <v>2019</v>
      </c>
      <c r="V100" s="23" t="str">
        <f t="shared" si="5"/>
        <v>2020</v>
      </c>
      <c r="W100" s="23" t="str">
        <f t="shared" si="5"/>
        <v>2021</v>
      </c>
      <c r="X100" s="23" t="str">
        <f t="shared" si="5"/>
        <v>2022</v>
      </c>
      <c r="Y100" s="23" t="str">
        <f t="shared" si="5"/>
        <v>2023</v>
      </c>
      <c r="Z100" s="23" t="str">
        <f t="shared" si="5"/>
        <v>2024</v>
      </c>
      <c r="AA100" s="23" t="str">
        <f t="shared" si="5"/>
        <v>2025</v>
      </c>
      <c r="AB100" s="23" t="str">
        <f t="shared" si="5"/>
        <v>2026</v>
      </c>
      <c r="AC100" s="23" t="str">
        <f t="shared" si="5"/>
        <v>2027</v>
      </c>
      <c r="AD100" s="23" t="str">
        <f t="shared" si="5"/>
        <v>2028</v>
      </c>
      <c r="AE100" s="23" t="str">
        <f t="shared" si="5"/>
        <v>2029</v>
      </c>
      <c r="AF100" s="23" t="str">
        <f t="shared" si="5"/>
        <v>2030</v>
      </c>
      <c r="AG100" s="23" t="str">
        <f t="shared" si="5"/>
        <v>2031</v>
      </c>
      <c r="AH100" s="23" t="str">
        <f t="shared" si="5"/>
        <v>2032</v>
      </c>
      <c r="AI100" s="23" t="str">
        <f t="shared" si="5"/>
        <v>2033</v>
      </c>
      <c r="AJ100" s="23" t="str">
        <f t="shared" si="5"/>
        <v>2034</v>
      </c>
      <c r="AK100" s="23" t="str">
        <f t="shared" si="5"/>
        <v>2035</v>
      </c>
      <c r="AL100" s="23" t="str">
        <f t="shared" si="5"/>
        <v>2036</v>
      </c>
      <c r="AM100" s="23" t="str">
        <f t="shared" si="5"/>
        <v>2037</v>
      </c>
      <c r="AN100" s="23" t="str">
        <f t="shared" si="5"/>
        <v>2038</v>
      </c>
      <c r="AO100" s="23" t="str">
        <f t="shared" si="5"/>
        <v>2039</v>
      </c>
      <c r="AP100" s="23" t="str">
        <f t="shared" si="5"/>
        <v>2040</v>
      </c>
      <c r="AQ100" s="23" t="str">
        <f t="shared" si="5"/>
        <v>2041</v>
      </c>
      <c r="AR100" s="23" t="str">
        <f t="shared" si="5"/>
        <v>2042</v>
      </c>
      <c r="AS100" s="23" t="str">
        <f t="shared" si="5"/>
        <v>2043</v>
      </c>
      <c r="AT100" s="23" t="str">
        <f t="shared" si="5"/>
        <v>2044</v>
      </c>
      <c r="AU100" s="23" t="str">
        <f t="shared" si="5"/>
        <v>2045</v>
      </c>
      <c r="AV100" s="23" t="str">
        <f t="shared" si="5"/>
        <v>2046</v>
      </c>
      <c r="AW100" s="23" t="str">
        <f t="shared" si="5"/>
        <v>2047</v>
      </c>
      <c r="AX100" s="23" t="str">
        <f t="shared" si="5"/>
        <v>2048</v>
      </c>
      <c r="AY100" s="23" t="str">
        <f t="shared" si="5"/>
        <v>2049</v>
      </c>
      <c r="AZ100" s="23" t="str">
        <f t="shared" si="5"/>
        <v>2050</v>
      </c>
    </row>
    <row r="101" spans="1:52">
      <c r="A101" s="20" t="s">
        <v>17</v>
      </c>
    </row>
    <row r="102" spans="1:52">
      <c r="A102" s="20" t="s">
        <v>18</v>
      </c>
    </row>
    <row r="103" spans="1:52">
      <c r="A103" s="20" t="s">
        <v>19</v>
      </c>
    </row>
    <row r="104" spans="1:52">
      <c r="A104" s="20" t="s">
        <v>20</v>
      </c>
    </row>
    <row r="105" spans="1:52">
      <c r="A105" s="20" t="s">
        <v>21</v>
      </c>
    </row>
    <row r="106" spans="1:52">
      <c r="A106" s="20" t="s">
        <v>22</v>
      </c>
    </row>
    <row r="107" spans="1:52">
      <c r="A107" s="20" t="s">
        <v>23</v>
      </c>
    </row>
    <row r="108" spans="1:52">
      <c r="A108" s="20" t="s">
        <v>24</v>
      </c>
    </row>
    <row r="109" spans="1:52">
      <c r="A109" s="20" t="s">
        <v>25</v>
      </c>
    </row>
    <row r="110" spans="1:52">
      <c r="A110" s="20" t="s">
        <v>26</v>
      </c>
    </row>
    <row r="111" spans="1:52">
      <c r="A111" s="20" t="s">
        <v>27</v>
      </c>
    </row>
    <row r="112" spans="1:52">
      <c r="A112" s="20" t="s">
        <v>28</v>
      </c>
    </row>
    <row r="113" spans="1:52" ht="15.75" thickBot="1">
      <c r="A113" s="20" t="s">
        <v>29</v>
      </c>
    </row>
    <row r="114" spans="1:52">
      <c r="A114" s="25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</row>
    <row r="115" spans="1:52" ht="15.75" thickBot="1">
      <c r="A115" s="20" t="s">
        <v>93</v>
      </c>
    </row>
    <row r="116" spans="1:52" ht="15.75" thickBot="1">
      <c r="A116" s="22"/>
      <c r="B116" s="23" t="str">
        <f>B100</f>
        <v>2000</v>
      </c>
      <c r="C116" s="23" t="str">
        <f t="shared" ref="C116:AZ116" si="6">C100</f>
        <v>2001</v>
      </c>
      <c r="D116" s="23" t="str">
        <f t="shared" si="6"/>
        <v>2002</v>
      </c>
      <c r="E116" s="23" t="str">
        <f t="shared" si="6"/>
        <v>2003</v>
      </c>
      <c r="F116" s="23" t="str">
        <f t="shared" si="6"/>
        <v>2004</v>
      </c>
      <c r="G116" s="23" t="str">
        <f t="shared" si="6"/>
        <v>2005</v>
      </c>
      <c r="H116" s="23" t="str">
        <f t="shared" si="6"/>
        <v>2006</v>
      </c>
      <c r="I116" s="23" t="str">
        <f t="shared" si="6"/>
        <v>2007</v>
      </c>
      <c r="J116" s="23" t="str">
        <f t="shared" si="6"/>
        <v>2008</v>
      </c>
      <c r="K116" s="23" t="str">
        <f t="shared" si="6"/>
        <v>2009</v>
      </c>
      <c r="L116" s="23" t="str">
        <f t="shared" si="6"/>
        <v>2010</v>
      </c>
      <c r="M116" s="23" t="str">
        <f t="shared" si="6"/>
        <v>2011</v>
      </c>
      <c r="N116" s="23" t="str">
        <f t="shared" si="6"/>
        <v>2012</v>
      </c>
      <c r="O116" s="23" t="str">
        <f t="shared" si="6"/>
        <v>2013</v>
      </c>
      <c r="P116" s="23" t="str">
        <f t="shared" si="6"/>
        <v>2014</v>
      </c>
      <c r="Q116" s="23" t="str">
        <f t="shared" si="6"/>
        <v>2015</v>
      </c>
      <c r="R116" s="23" t="str">
        <f t="shared" si="6"/>
        <v>2016</v>
      </c>
      <c r="S116" s="23" t="str">
        <f t="shared" si="6"/>
        <v>2017</v>
      </c>
      <c r="T116" s="23" t="str">
        <f t="shared" si="6"/>
        <v>2018</v>
      </c>
      <c r="U116" s="23" t="str">
        <f t="shared" si="6"/>
        <v>2019</v>
      </c>
      <c r="V116" s="23" t="str">
        <f t="shared" si="6"/>
        <v>2020</v>
      </c>
      <c r="W116" s="23" t="str">
        <f t="shared" si="6"/>
        <v>2021</v>
      </c>
      <c r="X116" s="23" t="str">
        <f t="shared" si="6"/>
        <v>2022</v>
      </c>
      <c r="Y116" s="23" t="str">
        <f t="shared" si="6"/>
        <v>2023</v>
      </c>
      <c r="Z116" s="23" t="str">
        <f t="shared" si="6"/>
        <v>2024</v>
      </c>
      <c r="AA116" s="23" t="str">
        <f t="shared" si="6"/>
        <v>2025</v>
      </c>
      <c r="AB116" s="23" t="str">
        <f t="shared" si="6"/>
        <v>2026</v>
      </c>
      <c r="AC116" s="23" t="str">
        <f t="shared" si="6"/>
        <v>2027</v>
      </c>
      <c r="AD116" s="23" t="str">
        <f t="shared" si="6"/>
        <v>2028</v>
      </c>
      <c r="AE116" s="23" t="str">
        <f t="shared" si="6"/>
        <v>2029</v>
      </c>
      <c r="AF116" s="23" t="str">
        <f t="shared" si="6"/>
        <v>2030</v>
      </c>
      <c r="AG116" s="23" t="str">
        <f t="shared" si="6"/>
        <v>2031</v>
      </c>
      <c r="AH116" s="23" t="str">
        <f t="shared" si="6"/>
        <v>2032</v>
      </c>
      <c r="AI116" s="23" t="str">
        <f t="shared" si="6"/>
        <v>2033</v>
      </c>
      <c r="AJ116" s="23" t="str">
        <f t="shared" si="6"/>
        <v>2034</v>
      </c>
      <c r="AK116" s="23" t="str">
        <f t="shared" si="6"/>
        <v>2035</v>
      </c>
      <c r="AL116" s="23" t="str">
        <f t="shared" si="6"/>
        <v>2036</v>
      </c>
      <c r="AM116" s="23" t="str">
        <f t="shared" si="6"/>
        <v>2037</v>
      </c>
      <c r="AN116" s="23" t="str">
        <f t="shared" si="6"/>
        <v>2038</v>
      </c>
      <c r="AO116" s="23" t="str">
        <f t="shared" si="6"/>
        <v>2039</v>
      </c>
      <c r="AP116" s="23" t="str">
        <f t="shared" si="6"/>
        <v>2040</v>
      </c>
      <c r="AQ116" s="23" t="str">
        <f t="shared" si="6"/>
        <v>2041</v>
      </c>
      <c r="AR116" s="23" t="str">
        <f t="shared" si="6"/>
        <v>2042</v>
      </c>
      <c r="AS116" s="23" t="str">
        <f t="shared" si="6"/>
        <v>2043</v>
      </c>
      <c r="AT116" s="23" t="str">
        <f t="shared" si="6"/>
        <v>2044</v>
      </c>
      <c r="AU116" s="23" t="str">
        <f t="shared" si="6"/>
        <v>2045</v>
      </c>
      <c r="AV116" s="23" t="str">
        <f t="shared" si="6"/>
        <v>2046</v>
      </c>
      <c r="AW116" s="23" t="str">
        <f t="shared" si="6"/>
        <v>2047</v>
      </c>
      <c r="AX116" s="23" t="str">
        <f t="shared" si="6"/>
        <v>2048</v>
      </c>
      <c r="AY116" s="23" t="str">
        <f t="shared" si="6"/>
        <v>2049</v>
      </c>
      <c r="AZ116" s="23" t="str">
        <f t="shared" si="6"/>
        <v>2050</v>
      </c>
    </row>
    <row r="117" spans="1:52">
      <c r="A117" s="20" t="s">
        <v>17</v>
      </c>
    </row>
    <row r="118" spans="1:52">
      <c r="A118" s="20" t="s">
        <v>18</v>
      </c>
    </row>
    <row r="119" spans="1:52">
      <c r="A119" s="20" t="s">
        <v>19</v>
      </c>
    </row>
    <row r="120" spans="1:52">
      <c r="A120" s="20" t="s">
        <v>20</v>
      </c>
    </row>
    <row r="121" spans="1:52">
      <c r="A121" s="20" t="s">
        <v>21</v>
      </c>
    </row>
    <row r="122" spans="1:52">
      <c r="A122" s="20" t="s">
        <v>22</v>
      </c>
    </row>
    <row r="123" spans="1:52">
      <c r="A123" s="20" t="s">
        <v>23</v>
      </c>
    </row>
    <row r="124" spans="1:52">
      <c r="A124" s="20" t="s">
        <v>24</v>
      </c>
    </row>
    <row r="125" spans="1:52">
      <c r="A125" s="20" t="s">
        <v>25</v>
      </c>
    </row>
    <row r="126" spans="1:52">
      <c r="A126" s="20" t="s">
        <v>26</v>
      </c>
    </row>
    <row r="127" spans="1:52">
      <c r="A127" s="20" t="s">
        <v>27</v>
      </c>
    </row>
    <row r="128" spans="1:52">
      <c r="A128" s="20" t="s">
        <v>28</v>
      </c>
    </row>
    <row r="129" spans="1:52" ht="15.75" thickBot="1">
      <c r="A129" s="20" t="s">
        <v>29</v>
      </c>
    </row>
    <row r="130" spans="1:52">
      <c r="A130" s="25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</row>
    <row r="131" spans="1:52" ht="15.75" thickBot="1">
      <c r="A131" s="20" t="s">
        <v>94</v>
      </c>
    </row>
    <row r="132" spans="1:52" ht="15.75" thickBot="1">
      <c r="A132" s="22"/>
      <c r="B132" s="23" t="str">
        <f>B116</f>
        <v>2000</v>
      </c>
      <c r="C132" s="23" t="str">
        <f t="shared" ref="C132:AZ132" si="7">C116</f>
        <v>2001</v>
      </c>
      <c r="D132" s="23" t="str">
        <f t="shared" si="7"/>
        <v>2002</v>
      </c>
      <c r="E132" s="23" t="str">
        <f t="shared" si="7"/>
        <v>2003</v>
      </c>
      <c r="F132" s="23" t="str">
        <f t="shared" si="7"/>
        <v>2004</v>
      </c>
      <c r="G132" s="23" t="str">
        <f t="shared" si="7"/>
        <v>2005</v>
      </c>
      <c r="H132" s="23" t="str">
        <f t="shared" si="7"/>
        <v>2006</v>
      </c>
      <c r="I132" s="23" t="str">
        <f t="shared" si="7"/>
        <v>2007</v>
      </c>
      <c r="J132" s="23" t="str">
        <f t="shared" si="7"/>
        <v>2008</v>
      </c>
      <c r="K132" s="23" t="str">
        <f t="shared" si="7"/>
        <v>2009</v>
      </c>
      <c r="L132" s="23" t="str">
        <f t="shared" si="7"/>
        <v>2010</v>
      </c>
      <c r="M132" s="23" t="str">
        <f t="shared" si="7"/>
        <v>2011</v>
      </c>
      <c r="N132" s="23" t="str">
        <f t="shared" si="7"/>
        <v>2012</v>
      </c>
      <c r="O132" s="23" t="str">
        <f t="shared" si="7"/>
        <v>2013</v>
      </c>
      <c r="P132" s="23" t="str">
        <f t="shared" si="7"/>
        <v>2014</v>
      </c>
      <c r="Q132" s="23" t="str">
        <f t="shared" si="7"/>
        <v>2015</v>
      </c>
      <c r="R132" s="23" t="str">
        <f t="shared" si="7"/>
        <v>2016</v>
      </c>
      <c r="S132" s="23" t="str">
        <f t="shared" si="7"/>
        <v>2017</v>
      </c>
      <c r="T132" s="23" t="str">
        <f t="shared" si="7"/>
        <v>2018</v>
      </c>
      <c r="U132" s="23" t="str">
        <f t="shared" si="7"/>
        <v>2019</v>
      </c>
      <c r="V132" s="23" t="str">
        <f t="shared" si="7"/>
        <v>2020</v>
      </c>
      <c r="W132" s="23" t="str">
        <f t="shared" si="7"/>
        <v>2021</v>
      </c>
      <c r="X132" s="23" t="str">
        <f t="shared" si="7"/>
        <v>2022</v>
      </c>
      <c r="Y132" s="23" t="str">
        <f t="shared" si="7"/>
        <v>2023</v>
      </c>
      <c r="Z132" s="23" t="str">
        <f t="shared" si="7"/>
        <v>2024</v>
      </c>
      <c r="AA132" s="23" t="str">
        <f t="shared" si="7"/>
        <v>2025</v>
      </c>
      <c r="AB132" s="23" t="str">
        <f t="shared" si="7"/>
        <v>2026</v>
      </c>
      <c r="AC132" s="23" t="str">
        <f t="shared" si="7"/>
        <v>2027</v>
      </c>
      <c r="AD132" s="23" t="str">
        <f t="shared" si="7"/>
        <v>2028</v>
      </c>
      <c r="AE132" s="23" t="str">
        <f t="shared" si="7"/>
        <v>2029</v>
      </c>
      <c r="AF132" s="23" t="str">
        <f t="shared" si="7"/>
        <v>2030</v>
      </c>
      <c r="AG132" s="23" t="str">
        <f t="shared" si="7"/>
        <v>2031</v>
      </c>
      <c r="AH132" s="23" t="str">
        <f t="shared" si="7"/>
        <v>2032</v>
      </c>
      <c r="AI132" s="23" t="str">
        <f t="shared" si="7"/>
        <v>2033</v>
      </c>
      <c r="AJ132" s="23" t="str">
        <f t="shared" si="7"/>
        <v>2034</v>
      </c>
      <c r="AK132" s="23" t="str">
        <f t="shared" si="7"/>
        <v>2035</v>
      </c>
      <c r="AL132" s="23" t="str">
        <f t="shared" si="7"/>
        <v>2036</v>
      </c>
      <c r="AM132" s="23" t="str">
        <f t="shared" si="7"/>
        <v>2037</v>
      </c>
      <c r="AN132" s="23" t="str">
        <f t="shared" si="7"/>
        <v>2038</v>
      </c>
      <c r="AO132" s="23" t="str">
        <f t="shared" si="7"/>
        <v>2039</v>
      </c>
      <c r="AP132" s="23" t="str">
        <f t="shared" si="7"/>
        <v>2040</v>
      </c>
      <c r="AQ132" s="23" t="str">
        <f t="shared" si="7"/>
        <v>2041</v>
      </c>
      <c r="AR132" s="23" t="str">
        <f t="shared" si="7"/>
        <v>2042</v>
      </c>
      <c r="AS132" s="23" t="str">
        <f t="shared" si="7"/>
        <v>2043</v>
      </c>
      <c r="AT132" s="23" t="str">
        <f t="shared" si="7"/>
        <v>2044</v>
      </c>
      <c r="AU132" s="23" t="str">
        <f t="shared" si="7"/>
        <v>2045</v>
      </c>
      <c r="AV132" s="23" t="str">
        <f t="shared" si="7"/>
        <v>2046</v>
      </c>
      <c r="AW132" s="23" t="str">
        <f t="shared" si="7"/>
        <v>2047</v>
      </c>
      <c r="AX132" s="23" t="str">
        <f t="shared" si="7"/>
        <v>2048</v>
      </c>
      <c r="AY132" s="23" t="str">
        <f t="shared" si="7"/>
        <v>2049</v>
      </c>
      <c r="AZ132" s="23" t="str">
        <f t="shared" si="7"/>
        <v>2050</v>
      </c>
    </row>
    <row r="133" spans="1:52">
      <c r="A133" s="20" t="s">
        <v>17</v>
      </c>
    </row>
    <row r="134" spans="1:52">
      <c r="A134" s="20" t="s">
        <v>18</v>
      </c>
    </row>
    <row r="135" spans="1:52">
      <c r="A135" s="20" t="s">
        <v>19</v>
      </c>
    </row>
    <row r="136" spans="1:52">
      <c r="A136" s="20" t="s">
        <v>20</v>
      </c>
    </row>
    <row r="137" spans="1:52">
      <c r="A137" s="20" t="s">
        <v>21</v>
      </c>
    </row>
    <row r="138" spans="1:52">
      <c r="A138" s="20" t="s">
        <v>22</v>
      </c>
    </row>
    <row r="139" spans="1:52">
      <c r="A139" s="20" t="s">
        <v>23</v>
      </c>
    </row>
    <row r="140" spans="1:52">
      <c r="A140" s="20" t="s">
        <v>24</v>
      </c>
    </row>
    <row r="141" spans="1:52">
      <c r="A141" s="20" t="s">
        <v>25</v>
      </c>
    </row>
    <row r="142" spans="1:52">
      <c r="A142" s="20" t="s">
        <v>26</v>
      </c>
    </row>
    <row r="143" spans="1:52">
      <c r="A143" s="20" t="s">
        <v>27</v>
      </c>
    </row>
    <row r="144" spans="1:52">
      <c r="A144" s="20" t="s">
        <v>28</v>
      </c>
    </row>
    <row r="145" spans="1:52" ht="15.75" thickBot="1">
      <c r="A145" s="20" t="s">
        <v>29</v>
      </c>
    </row>
    <row r="146" spans="1:52">
      <c r="A146" s="25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</row>
    <row r="147" spans="1:52" ht="15.75" thickBot="1">
      <c r="A147" s="20" t="s">
        <v>95</v>
      </c>
    </row>
    <row r="148" spans="1:52" ht="15.75" thickBot="1">
      <c r="A148" s="22"/>
      <c r="B148" s="23" t="str">
        <f>B132</f>
        <v>2000</v>
      </c>
      <c r="C148" s="23" t="str">
        <f t="shared" ref="C148:AZ148" si="8">C132</f>
        <v>2001</v>
      </c>
      <c r="D148" s="23" t="str">
        <f t="shared" si="8"/>
        <v>2002</v>
      </c>
      <c r="E148" s="23" t="str">
        <f t="shared" si="8"/>
        <v>2003</v>
      </c>
      <c r="F148" s="23" t="str">
        <f t="shared" si="8"/>
        <v>2004</v>
      </c>
      <c r="G148" s="23" t="str">
        <f t="shared" si="8"/>
        <v>2005</v>
      </c>
      <c r="H148" s="23" t="str">
        <f t="shared" si="8"/>
        <v>2006</v>
      </c>
      <c r="I148" s="23" t="str">
        <f t="shared" si="8"/>
        <v>2007</v>
      </c>
      <c r="J148" s="23" t="str">
        <f t="shared" si="8"/>
        <v>2008</v>
      </c>
      <c r="K148" s="23" t="str">
        <f t="shared" si="8"/>
        <v>2009</v>
      </c>
      <c r="L148" s="23" t="str">
        <f t="shared" si="8"/>
        <v>2010</v>
      </c>
      <c r="M148" s="23" t="str">
        <f t="shared" si="8"/>
        <v>2011</v>
      </c>
      <c r="N148" s="23" t="str">
        <f t="shared" si="8"/>
        <v>2012</v>
      </c>
      <c r="O148" s="23" t="str">
        <f t="shared" si="8"/>
        <v>2013</v>
      </c>
      <c r="P148" s="23" t="str">
        <f t="shared" si="8"/>
        <v>2014</v>
      </c>
      <c r="Q148" s="23" t="str">
        <f t="shared" si="8"/>
        <v>2015</v>
      </c>
      <c r="R148" s="23" t="str">
        <f t="shared" si="8"/>
        <v>2016</v>
      </c>
      <c r="S148" s="23" t="str">
        <f t="shared" si="8"/>
        <v>2017</v>
      </c>
      <c r="T148" s="23" t="str">
        <f t="shared" si="8"/>
        <v>2018</v>
      </c>
      <c r="U148" s="23" t="str">
        <f t="shared" si="8"/>
        <v>2019</v>
      </c>
      <c r="V148" s="23" t="str">
        <f t="shared" si="8"/>
        <v>2020</v>
      </c>
      <c r="W148" s="23" t="str">
        <f t="shared" si="8"/>
        <v>2021</v>
      </c>
      <c r="X148" s="23" t="str">
        <f t="shared" si="8"/>
        <v>2022</v>
      </c>
      <c r="Y148" s="23" t="str">
        <f t="shared" si="8"/>
        <v>2023</v>
      </c>
      <c r="Z148" s="23" t="str">
        <f t="shared" si="8"/>
        <v>2024</v>
      </c>
      <c r="AA148" s="23" t="str">
        <f t="shared" si="8"/>
        <v>2025</v>
      </c>
      <c r="AB148" s="23" t="str">
        <f t="shared" si="8"/>
        <v>2026</v>
      </c>
      <c r="AC148" s="23" t="str">
        <f t="shared" si="8"/>
        <v>2027</v>
      </c>
      <c r="AD148" s="23" t="str">
        <f t="shared" si="8"/>
        <v>2028</v>
      </c>
      <c r="AE148" s="23" t="str">
        <f t="shared" si="8"/>
        <v>2029</v>
      </c>
      <c r="AF148" s="23" t="str">
        <f t="shared" si="8"/>
        <v>2030</v>
      </c>
      <c r="AG148" s="23" t="str">
        <f t="shared" si="8"/>
        <v>2031</v>
      </c>
      <c r="AH148" s="23" t="str">
        <f t="shared" si="8"/>
        <v>2032</v>
      </c>
      <c r="AI148" s="23" t="str">
        <f t="shared" si="8"/>
        <v>2033</v>
      </c>
      <c r="AJ148" s="23" t="str">
        <f t="shared" si="8"/>
        <v>2034</v>
      </c>
      <c r="AK148" s="23" t="str">
        <f t="shared" si="8"/>
        <v>2035</v>
      </c>
      <c r="AL148" s="23" t="str">
        <f t="shared" si="8"/>
        <v>2036</v>
      </c>
      <c r="AM148" s="23" t="str">
        <f t="shared" si="8"/>
        <v>2037</v>
      </c>
      <c r="AN148" s="23" t="str">
        <f t="shared" si="8"/>
        <v>2038</v>
      </c>
      <c r="AO148" s="23" t="str">
        <f t="shared" si="8"/>
        <v>2039</v>
      </c>
      <c r="AP148" s="23" t="str">
        <f t="shared" si="8"/>
        <v>2040</v>
      </c>
      <c r="AQ148" s="23" t="str">
        <f t="shared" si="8"/>
        <v>2041</v>
      </c>
      <c r="AR148" s="23" t="str">
        <f t="shared" si="8"/>
        <v>2042</v>
      </c>
      <c r="AS148" s="23" t="str">
        <f t="shared" si="8"/>
        <v>2043</v>
      </c>
      <c r="AT148" s="23" t="str">
        <f t="shared" si="8"/>
        <v>2044</v>
      </c>
      <c r="AU148" s="23" t="str">
        <f t="shared" si="8"/>
        <v>2045</v>
      </c>
      <c r="AV148" s="23" t="str">
        <f t="shared" si="8"/>
        <v>2046</v>
      </c>
      <c r="AW148" s="23" t="str">
        <f t="shared" si="8"/>
        <v>2047</v>
      </c>
      <c r="AX148" s="23" t="str">
        <f t="shared" si="8"/>
        <v>2048</v>
      </c>
      <c r="AY148" s="23" t="str">
        <f t="shared" si="8"/>
        <v>2049</v>
      </c>
      <c r="AZ148" s="23" t="str">
        <f t="shared" si="8"/>
        <v>2050</v>
      </c>
    </row>
    <row r="149" spans="1:52">
      <c r="A149" s="20" t="s">
        <v>17</v>
      </c>
    </row>
    <row r="150" spans="1:52">
      <c r="A150" s="20" t="s">
        <v>18</v>
      </c>
    </row>
    <row r="151" spans="1:52">
      <c r="A151" s="20" t="s">
        <v>19</v>
      </c>
    </row>
    <row r="152" spans="1:52">
      <c r="A152" s="20" t="s">
        <v>20</v>
      </c>
    </row>
    <row r="153" spans="1:52">
      <c r="A153" s="20" t="s">
        <v>21</v>
      </c>
    </row>
    <row r="154" spans="1:52">
      <c r="A154" s="20" t="s">
        <v>22</v>
      </c>
    </row>
    <row r="155" spans="1:52">
      <c r="A155" s="20" t="s">
        <v>23</v>
      </c>
    </row>
    <row r="156" spans="1:52">
      <c r="A156" s="20" t="s">
        <v>24</v>
      </c>
    </row>
    <row r="157" spans="1:52">
      <c r="A157" s="20" t="s">
        <v>25</v>
      </c>
    </row>
    <row r="158" spans="1:52">
      <c r="A158" s="20" t="s">
        <v>26</v>
      </c>
    </row>
    <row r="159" spans="1:52">
      <c r="A159" s="20" t="s">
        <v>27</v>
      </c>
    </row>
    <row r="160" spans="1:52" ht="15.75" thickBot="1">
      <c r="A160" s="20" t="s">
        <v>28</v>
      </c>
    </row>
    <row r="161" spans="1:52">
      <c r="A161" s="25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</row>
    <row r="162" spans="1:52" ht="15.75" thickBot="1">
      <c r="A162" s="20" t="s">
        <v>38</v>
      </c>
    </row>
    <row r="163" spans="1:52" ht="15.75" thickBot="1">
      <c r="A163" s="22"/>
      <c r="B163" s="23" t="str">
        <f>B148</f>
        <v>2000</v>
      </c>
      <c r="C163" s="23" t="str">
        <f t="shared" ref="C163:AZ163" si="9">C148</f>
        <v>2001</v>
      </c>
      <c r="D163" s="23" t="str">
        <f t="shared" si="9"/>
        <v>2002</v>
      </c>
      <c r="E163" s="23" t="str">
        <f t="shared" si="9"/>
        <v>2003</v>
      </c>
      <c r="F163" s="23" t="str">
        <f t="shared" si="9"/>
        <v>2004</v>
      </c>
      <c r="G163" s="23" t="str">
        <f t="shared" si="9"/>
        <v>2005</v>
      </c>
      <c r="H163" s="23" t="str">
        <f t="shared" si="9"/>
        <v>2006</v>
      </c>
      <c r="I163" s="23" t="str">
        <f t="shared" si="9"/>
        <v>2007</v>
      </c>
      <c r="J163" s="23" t="str">
        <f t="shared" si="9"/>
        <v>2008</v>
      </c>
      <c r="K163" s="23" t="str">
        <f t="shared" si="9"/>
        <v>2009</v>
      </c>
      <c r="L163" s="23" t="str">
        <f t="shared" si="9"/>
        <v>2010</v>
      </c>
      <c r="M163" s="23" t="str">
        <f t="shared" si="9"/>
        <v>2011</v>
      </c>
      <c r="N163" s="23" t="str">
        <f t="shared" si="9"/>
        <v>2012</v>
      </c>
      <c r="O163" s="23" t="str">
        <f t="shared" si="9"/>
        <v>2013</v>
      </c>
      <c r="P163" s="23" t="str">
        <f t="shared" si="9"/>
        <v>2014</v>
      </c>
      <c r="Q163" s="23" t="str">
        <f t="shared" si="9"/>
        <v>2015</v>
      </c>
      <c r="R163" s="23" t="str">
        <f t="shared" si="9"/>
        <v>2016</v>
      </c>
      <c r="S163" s="23" t="str">
        <f t="shared" si="9"/>
        <v>2017</v>
      </c>
      <c r="T163" s="23" t="str">
        <f t="shared" si="9"/>
        <v>2018</v>
      </c>
      <c r="U163" s="23" t="str">
        <f t="shared" si="9"/>
        <v>2019</v>
      </c>
      <c r="V163" s="23" t="str">
        <f t="shared" si="9"/>
        <v>2020</v>
      </c>
      <c r="W163" s="23" t="str">
        <f t="shared" si="9"/>
        <v>2021</v>
      </c>
      <c r="X163" s="23" t="str">
        <f t="shared" si="9"/>
        <v>2022</v>
      </c>
      <c r="Y163" s="23" t="str">
        <f t="shared" si="9"/>
        <v>2023</v>
      </c>
      <c r="Z163" s="23" t="str">
        <f t="shared" si="9"/>
        <v>2024</v>
      </c>
      <c r="AA163" s="23" t="str">
        <f t="shared" si="9"/>
        <v>2025</v>
      </c>
      <c r="AB163" s="23" t="str">
        <f t="shared" si="9"/>
        <v>2026</v>
      </c>
      <c r="AC163" s="23" t="str">
        <f t="shared" si="9"/>
        <v>2027</v>
      </c>
      <c r="AD163" s="23" t="str">
        <f t="shared" si="9"/>
        <v>2028</v>
      </c>
      <c r="AE163" s="23" t="str">
        <f t="shared" si="9"/>
        <v>2029</v>
      </c>
      <c r="AF163" s="23" t="str">
        <f t="shared" si="9"/>
        <v>2030</v>
      </c>
      <c r="AG163" s="23" t="str">
        <f t="shared" si="9"/>
        <v>2031</v>
      </c>
      <c r="AH163" s="23" t="str">
        <f t="shared" si="9"/>
        <v>2032</v>
      </c>
      <c r="AI163" s="23" t="str">
        <f t="shared" si="9"/>
        <v>2033</v>
      </c>
      <c r="AJ163" s="23" t="str">
        <f t="shared" si="9"/>
        <v>2034</v>
      </c>
      <c r="AK163" s="23" t="str">
        <f t="shared" si="9"/>
        <v>2035</v>
      </c>
      <c r="AL163" s="23" t="str">
        <f t="shared" si="9"/>
        <v>2036</v>
      </c>
      <c r="AM163" s="23" t="str">
        <f t="shared" si="9"/>
        <v>2037</v>
      </c>
      <c r="AN163" s="23" t="str">
        <f t="shared" si="9"/>
        <v>2038</v>
      </c>
      <c r="AO163" s="23" t="str">
        <f t="shared" si="9"/>
        <v>2039</v>
      </c>
      <c r="AP163" s="23" t="str">
        <f t="shared" si="9"/>
        <v>2040</v>
      </c>
      <c r="AQ163" s="23" t="str">
        <f t="shared" si="9"/>
        <v>2041</v>
      </c>
      <c r="AR163" s="23" t="str">
        <f t="shared" si="9"/>
        <v>2042</v>
      </c>
      <c r="AS163" s="23" t="str">
        <f t="shared" si="9"/>
        <v>2043</v>
      </c>
      <c r="AT163" s="23" t="str">
        <f t="shared" si="9"/>
        <v>2044</v>
      </c>
      <c r="AU163" s="23" t="str">
        <f t="shared" si="9"/>
        <v>2045</v>
      </c>
      <c r="AV163" s="23" t="str">
        <f t="shared" si="9"/>
        <v>2046</v>
      </c>
      <c r="AW163" s="23" t="str">
        <f t="shared" si="9"/>
        <v>2047</v>
      </c>
      <c r="AX163" s="23" t="str">
        <f t="shared" si="9"/>
        <v>2048</v>
      </c>
      <c r="AY163" s="23" t="str">
        <f t="shared" si="9"/>
        <v>2049</v>
      </c>
      <c r="AZ163" s="23" t="str">
        <f t="shared" si="9"/>
        <v>2050</v>
      </c>
    </row>
    <row r="164" spans="1:52">
      <c r="A164" s="20" t="s">
        <v>17</v>
      </c>
    </row>
    <row r="165" spans="1:52">
      <c r="A165" s="20" t="s">
        <v>18</v>
      </c>
    </row>
    <row r="166" spans="1:52">
      <c r="A166" s="20" t="s">
        <v>19</v>
      </c>
    </row>
    <row r="167" spans="1:52">
      <c r="A167" s="20" t="s">
        <v>20</v>
      </c>
    </row>
    <row r="168" spans="1:52">
      <c r="A168" s="20" t="s">
        <v>21</v>
      </c>
    </row>
    <row r="169" spans="1:52">
      <c r="A169" s="20" t="s">
        <v>22</v>
      </c>
    </row>
    <row r="170" spans="1:52">
      <c r="A170" s="20" t="s">
        <v>23</v>
      </c>
    </row>
    <row r="171" spans="1:52">
      <c r="A171" s="20" t="s">
        <v>24</v>
      </c>
    </row>
    <row r="172" spans="1:52">
      <c r="A172" s="20" t="s">
        <v>25</v>
      </c>
    </row>
    <row r="173" spans="1:52">
      <c r="A173" s="20" t="s">
        <v>26</v>
      </c>
    </row>
    <row r="174" spans="1:52">
      <c r="A174" s="20" t="s">
        <v>27</v>
      </c>
    </row>
    <row r="175" spans="1:52">
      <c r="A175" s="20" t="s">
        <v>28</v>
      </c>
    </row>
    <row r="176" spans="1:52" ht="15.75" thickBot="1">
      <c r="A176" s="20" t="s">
        <v>39</v>
      </c>
    </row>
    <row r="177" spans="1:52">
      <c r="A177" s="25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</row>
    <row r="178" spans="1:52" ht="15.75" thickBot="1">
      <c r="A178" s="20" t="s">
        <v>40</v>
      </c>
    </row>
    <row r="179" spans="1:52" ht="15.75" thickBot="1">
      <c r="A179" s="22"/>
      <c r="B179" s="23" t="str">
        <f>B163</f>
        <v>2000</v>
      </c>
      <c r="C179" s="23" t="str">
        <f t="shared" ref="C179:AZ179" si="10">C163</f>
        <v>2001</v>
      </c>
      <c r="D179" s="23" t="str">
        <f t="shared" si="10"/>
        <v>2002</v>
      </c>
      <c r="E179" s="23" t="str">
        <f t="shared" si="10"/>
        <v>2003</v>
      </c>
      <c r="F179" s="23" t="str">
        <f t="shared" si="10"/>
        <v>2004</v>
      </c>
      <c r="G179" s="23" t="str">
        <f t="shared" si="10"/>
        <v>2005</v>
      </c>
      <c r="H179" s="23" t="str">
        <f t="shared" si="10"/>
        <v>2006</v>
      </c>
      <c r="I179" s="23" t="str">
        <f t="shared" si="10"/>
        <v>2007</v>
      </c>
      <c r="J179" s="23" t="str">
        <f t="shared" si="10"/>
        <v>2008</v>
      </c>
      <c r="K179" s="23" t="str">
        <f t="shared" si="10"/>
        <v>2009</v>
      </c>
      <c r="L179" s="23" t="str">
        <f t="shared" si="10"/>
        <v>2010</v>
      </c>
      <c r="M179" s="23" t="str">
        <f t="shared" si="10"/>
        <v>2011</v>
      </c>
      <c r="N179" s="23" t="str">
        <f t="shared" si="10"/>
        <v>2012</v>
      </c>
      <c r="O179" s="23" t="str">
        <f t="shared" si="10"/>
        <v>2013</v>
      </c>
      <c r="P179" s="23" t="str">
        <f t="shared" si="10"/>
        <v>2014</v>
      </c>
      <c r="Q179" s="23" t="str">
        <f t="shared" si="10"/>
        <v>2015</v>
      </c>
      <c r="R179" s="23" t="str">
        <f t="shared" si="10"/>
        <v>2016</v>
      </c>
      <c r="S179" s="23" t="str">
        <f t="shared" si="10"/>
        <v>2017</v>
      </c>
      <c r="T179" s="23" t="str">
        <f t="shared" si="10"/>
        <v>2018</v>
      </c>
      <c r="U179" s="23" t="str">
        <f t="shared" si="10"/>
        <v>2019</v>
      </c>
      <c r="V179" s="23" t="str">
        <f t="shared" si="10"/>
        <v>2020</v>
      </c>
      <c r="W179" s="23" t="str">
        <f t="shared" si="10"/>
        <v>2021</v>
      </c>
      <c r="X179" s="23" t="str">
        <f t="shared" si="10"/>
        <v>2022</v>
      </c>
      <c r="Y179" s="23" t="str">
        <f t="shared" si="10"/>
        <v>2023</v>
      </c>
      <c r="Z179" s="23" t="str">
        <f t="shared" si="10"/>
        <v>2024</v>
      </c>
      <c r="AA179" s="23" t="str">
        <f t="shared" si="10"/>
        <v>2025</v>
      </c>
      <c r="AB179" s="23" t="str">
        <f t="shared" si="10"/>
        <v>2026</v>
      </c>
      <c r="AC179" s="23" t="str">
        <f t="shared" si="10"/>
        <v>2027</v>
      </c>
      <c r="AD179" s="23" t="str">
        <f t="shared" si="10"/>
        <v>2028</v>
      </c>
      <c r="AE179" s="23" t="str">
        <f t="shared" si="10"/>
        <v>2029</v>
      </c>
      <c r="AF179" s="23" t="str">
        <f t="shared" si="10"/>
        <v>2030</v>
      </c>
      <c r="AG179" s="23" t="str">
        <f t="shared" si="10"/>
        <v>2031</v>
      </c>
      <c r="AH179" s="23" t="str">
        <f t="shared" si="10"/>
        <v>2032</v>
      </c>
      <c r="AI179" s="23" t="str">
        <f t="shared" si="10"/>
        <v>2033</v>
      </c>
      <c r="AJ179" s="23" t="str">
        <f t="shared" si="10"/>
        <v>2034</v>
      </c>
      <c r="AK179" s="23" t="str">
        <f t="shared" si="10"/>
        <v>2035</v>
      </c>
      <c r="AL179" s="23" t="str">
        <f t="shared" si="10"/>
        <v>2036</v>
      </c>
      <c r="AM179" s="23" t="str">
        <f t="shared" si="10"/>
        <v>2037</v>
      </c>
      <c r="AN179" s="23" t="str">
        <f t="shared" si="10"/>
        <v>2038</v>
      </c>
      <c r="AO179" s="23" t="str">
        <f t="shared" si="10"/>
        <v>2039</v>
      </c>
      <c r="AP179" s="23" t="str">
        <f t="shared" si="10"/>
        <v>2040</v>
      </c>
      <c r="AQ179" s="23" t="str">
        <f t="shared" si="10"/>
        <v>2041</v>
      </c>
      <c r="AR179" s="23" t="str">
        <f t="shared" si="10"/>
        <v>2042</v>
      </c>
      <c r="AS179" s="23" t="str">
        <f t="shared" si="10"/>
        <v>2043</v>
      </c>
      <c r="AT179" s="23" t="str">
        <f t="shared" si="10"/>
        <v>2044</v>
      </c>
      <c r="AU179" s="23" t="str">
        <f t="shared" si="10"/>
        <v>2045</v>
      </c>
      <c r="AV179" s="23" t="str">
        <f t="shared" si="10"/>
        <v>2046</v>
      </c>
      <c r="AW179" s="23" t="str">
        <f t="shared" si="10"/>
        <v>2047</v>
      </c>
      <c r="AX179" s="23" t="str">
        <f t="shared" si="10"/>
        <v>2048</v>
      </c>
      <c r="AY179" s="23" t="str">
        <f t="shared" si="10"/>
        <v>2049</v>
      </c>
      <c r="AZ179" s="23" t="str">
        <f t="shared" si="10"/>
        <v>2050</v>
      </c>
    </row>
    <row r="180" spans="1:52">
      <c r="A180" s="20" t="s">
        <v>17</v>
      </c>
    </row>
    <row r="181" spans="1:52">
      <c r="A181" s="20" t="s">
        <v>18</v>
      </c>
    </row>
    <row r="182" spans="1:52">
      <c r="A182" s="20" t="s">
        <v>19</v>
      </c>
    </row>
    <row r="183" spans="1:52">
      <c r="A183" s="20" t="s">
        <v>20</v>
      </c>
    </row>
    <row r="184" spans="1:52">
      <c r="A184" s="20" t="s">
        <v>21</v>
      </c>
    </row>
    <row r="185" spans="1:52">
      <c r="A185" s="20" t="s">
        <v>22</v>
      </c>
    </row>
    <row r="186" spans="1:52">
      <c r="A186" s="20" t="s">
        <v>23</v>
      </c>
    </row>
    <row r="187" spans="1:52">
      <c r="A187" s="20" t="s">
        <v>24</v>
      </c>
    </row>
    <row r="188" spans="1:52">
      <c r="A188" s="20" t="s">
        <v>25</v>
      </c>
    </row>
    <row r="189" spans="1:52">
      <c r="A189" s="20" t="s">
        <v>26</v>
      </c>
    </row>
    <row r="190" spans="1:52">
      <c r="A190" s="20" t="s">
        <v>27</v>
      </c>
    </row>
    <row r="191" spans="1:52">
      <c r="A191" s="20" t="s">
        <v>28</v>
      </c>
    </row>
    <row r="192" spans="1:52" ht="15.75" thickBot="1">
      <c r="A192" s="20" t="s">
        <v>29</v>
      </c>
      <c r="B192" s="36">
        <v>38250000</v>
      </c>
      <c r="C192" s="36">
        <v>38000000</v>
      </c>
      <c r="D192" s="36">
        <v>38750000</v>
      </c>
      <c r="E192" s="36">
        <v>40000000</v>
      </c>
      <c r="F192" s="36">
        <v>41250000</v>
      </c>
      <c r="G192" s="36">
        <v>41500000</v>
      </c>
      <c r="H192" s="36">
        <v>42220000</v>
      </c>
      <c r="I192" s="36">
        <v>43595000</v>
      </c>
      <c r="J192" s="36">
        <v>44458000</v>
      </c>
      <c r="K192" s="36">
        <v>45000000</v>
      </c>
      <c r="L192" s="36">
        <v>46500000</v>
      </c>
      <c r="M192" s="36">
        <v>46000000</v>
      </c>
      <c r="N192" s="36">
        <v>47000000</v>
      </c>
      <c r="O192" s="36">
        <v>48000000</v>
      </c>
      <c r="P192" s="36">
        <v>49100000</v>
      </c>
      <c r="Q192" s="36">
        <v>48000000</v>
      </c>
      <c r="R192" s="36">
        <v>50000000</v>
      </c>
      <c r="S192" s="36">
        <v>45700000</v>
      </c>
      <c r="T192" s="36">
        <v>46800000</v>
      </c>
      <c r="U192" s="36">
        <v>47500000</v>
      </c>
      <c r="V192" s="36">
        <v>46650000</v>
      </c>
      <c r="W192" s="36">
        <v>49300000</v>
      </c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</row>
    <row r="193" spans="1:52">
      <c r="A193" s="25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</row>
    <row r="194" spans="1:52" ht="15.75" thickBot="1">
      <c r="A194" s="20" t="s">
        <v>96</v>
      </c>
    </row>
    <row r="195" spans="1:52" ht="15.75" thickBot="1">
      <c r="A195" s="22"/>
      <c r="B195" s="23" t="str">
        <f>B179</f>
        <v>2000</v>
      </c>
      <c r="C195" s="23" t="str">
        <f t="shared" ref="C195:AZ195" si="11">C179</f>
        <v>2001</v>
      </c>
      <c r="D195" s="23" t="str">
        <f t="shared" si="11"/>
        <v>2002</v>
      </c>
      <c r="E195" s="23" t="str">
        <f t="shared" si="11"/>
        <v>2003</v>
      </c>
      <c r="F195" s="23" t="str">
        <f t="shared" si="11"/>
        <v>2004</v>
      </c>
      <c r="G195" s="23" t="str">
        <f t="shared" si="11"/>
        <v>2005</v>
      </c>
      <c r="H195" s="23" t="str">
        <f t="shared" si="11"/>
        <v>2006</v>
      </c>
      <c r="I195" s="23" t="str">
        <f t="shared" si="11"/>
        <v>2007</v>
      </c>
      <c r="J195" s="23" t="str">
        <f t="shared" si="11"/>
        <v>2008</v>
      </c>
      <c r="K195" s="23" t="str">
        <f t="shared" si="11"/>
        <v>2009</v>
      </c>
      <c r="L195" s="23" t="str">
        <f t="shared" si="11"/>
        <v>2010</v>
      </c>
      <c r="M195" s="23" t="str">
        <f t="shared" si="11"/>
        <v>2011</v>
      </c>
      <c r="N195" s="23" t="str">
        <f t="shared" si="11"/>
        <v>2012</v>
      </c>
      <c r="O195" s="23" t="str">
        <f t="shared" si="11"/>
        <v>2013</v>
      </c>
      <c r="P195" s="23" t="str">
        <f t="shared" si="11"/>
        <v>2014</v>
      </c>
      <c r="Q195" s="23" t="str">
        <f t="shared" si="11"/>
        <v>2015</v>
      </c>
      <c r="R195" s="23" t="str">
        <f t="shared" si="11"/>
        <v>2016</v>
      </c>
      <c r="S195" s="23" t="str">
        <f t="shared" si="11"/>
        <v>2017</v>
      </c>
      <c r="T195" s="23" t="str">
        <f t="shared" si="11"/>
        <v>2018</v>
      </c>
      <c r="U195" s="23" t="str">
        <f t="shared" si="11"/>
        <v>2019</v>
      </c>
      <c r="V195" s="23" t="str">
        <f t="shared" si="11"/>
        <v>2020</v>
      </c>
      <c r="W195" s="23" t="str">
        <f t="shared" si="11"/>
        <v>2021</v>
      </c>
      <c r="X195" s="23" t="str">
        <f t="shared" si="11"/>
        <v>2022</v>
      </c>
      <c r="Y195" s="23" t="str">
        <f t="shared" si="11"/>
        <v>2023</v>
      </c>
      <c r="Z195" s="23" t="str">
        <f t="shared" si="11"/>
        <v>2024</v>
      </c>
      <c r="AA195" s="23" t="str">
        <f t="shared" si="11"/>
        <v>2025</v>
      </c>
      <c r="AB195" s="23" t="str">
        <f t="shared" si="11"/>
        <v>2026</v>
      </c>
      <c r="AC195" s="23" t="str">
        <f t="shared" si="11"/>
        <v>2027</v>
      </c>
      <c r="AD195" s="23" t="str">
        <f t="shared" si="11"/>
        <v>2028</v>
      </c>
      <c r="AE195" s="23" t="str">
        <f t="shared" si="11"/>
        <v>2029</v>
      </c>
      <c r="AF195" s="23" t="str">
        <f t="shared" si="11"/>
        <v>2030</v>
      </c>
      <c r="AG195" s="23" t="str">
        <f t="shared" si="11"/>
        <v>2031</v>
      </c>
      <c r="AH195" s="23" t="str">
        <f t="shared" si="11"/>
        <v>2032</v>
      </c>
      <c r="AI195" s="23" t="str">
        <f t="shared" si="11"/>
        <v>2033</v>
      </c>
      <c r="AJ195" s="23" t="str">
        <f t="shared" si="11"/>
        <v>2034</v>
      </c>
      <c r="AK195" s="23" t="str">
        <f t="shared" si="11"/>
        <v>2035</v>
      </c>
      <c r="AL195" s="23" t="str">
        <f t="shared" si="11"/>
        <v>2036</v>
      </c>
      <c r="AM195" s="23" t="str">
        <f t="shared" si="11"/>
        <v>2037</v>
      </c>
      <c r="AN195" s="23" t="str">
        <f t="shared" si="11"/>
        <v>2038</v>
      </c>
      <c r="AO195" s="23" t="str">
        <f t="shared" si="11"/>
        <v>2039</v>
      </c>
      <c r="AP195" s="23" t="str">
        <f t="shared" si="11"/>
        <v>2040</v>
      </c>
      <c r="AQ195" s="23" t="str">
        <f t="shared" si="11"/>
        <v>2041</v>
      </c>
      <c r="AR195" s="23" t="str">
        <f t="shared" si="11"/>
        <v>2042</v>
      </c>
      <c r="AS195" s="23" t="str">
        <f t="shared" si="11"/>
        <v>2043</v>
      </c>
      <c r="AT195" s="23" t="str">
        <f t="shared" si="11"/>
        <v>2044</v>
      </c>
      <c r="AU195" s="23" t="str">
        <f t="shared" si="11"/>
        <v>2045</v>
      </c>
      <c r="AV195" s="23" t="str">
        <f t="shared" si="11"/>
        <v>2046</v>
      </c>
      <c r="AW195" s="23" t="str">
        <f t="shared" si="11"/>
        <v>2047</v>
      </c>
      <c r="AX195" s="23" t="str">
        <f t="shared" si="11"/>
        <v>2048</v>
      </c>
      <c r="AY195" s="23" t="str">
        <f t="shared" si="11"/>
        <v>2049</v>
      </c>
      <c r="AZ195" s="23" t="str">
        <f t="shared" si="11"/>
        <v>2050</v>
      </c>
    </row>
    <row r="196" spans="1:52">
      <c r="A196" s="20" t="s">
        <v>17</v>
      </c>
    </row>
    <row r="197" spans="1:52">
      <c r="A197" s="20" t="s">
        <v>18</v>
      </c>
    </row>
    <row r="198" spans="1:52">
      <c r="A198" s="20" t="s">
        <v>19</v>
      </c>
    </row>
    <row r="199" spans="1:52">
      <c r="A199" s="20" t="s">
        <v>20</v>
      </c>
    </row>
    <row r="200" spans="1:52">
      <c r="A200" s="20" t="s">
        <v>21</v>
      </c>
    </row>
    <row r="201" spans="1:52">
      <c r="A201" s="20" t="s">
        <v>22</v>
      </c>
    </row>
    <row r="202" spans="1:52">
      <c r="A202" s="20" t="s">
        <v>23</v>
      </c>
    </row>
    <row r="203" spans="1:52">
      <c r="A203" s="20" t="s">
        <v>24</v>
      </c>
    </row>
    <row r="204" spans="1:52">
      <c r="A204" s="20" t="s">
        <v>25</v>
      </c>
    </row>
    <row r="205" spans="1:52">
      <c r="A205" s="20" t="s">
        <v>26</v>
      </c>
    </row>
    <row r="206" spans="1:52">
      <c r="A206" s="20" t="s">
        <v>27</v>
      </c>
    </row>
    <row r="207" spans="1:52">
      <c r="A207" s="20" t="s">
        <v>28</v>
      </c>
    </row>
    <row r="208" spans="1:52" ht="15.75" thickBot="1">
      <c r="A208" s="20" t="s">
        <v>29</v>
      </c>
      <c r="B208" s="36">
        <v>5131000</v>
      </c>
      <c r="C208" s="36">
        <v>5086000</v>
      </c>
      <c r="D208" s="36">
        <v>5219000</v>
      </c>
      <c r="E208" s="36">
        <v>5425000</v>
      </c>
      <c r="F208" s="36">
        <v>5604000</v>
      </c>
      <c r="G208" s="36">
        <v>5681000</v>
      </c>
      <c r="H208" s="36">
        <v>5767000</v>
      </c>
      <c r="I208" s="36">
        <v>6262000</v>
      </c>
      <c r="J208" s="36">
        <v>6177000</v>
      </c>
      <c r="K208" s="36">
        <v>6262000</v>
      </c>
      <c r="L208" s="36">
        <v>6291000</v>
      </c>
      <c r="M208" s="36">
        <v>6107000</v>
      </c>
      <c r="N208" s="36">
        <v>6147000</v>
      </c>
      <c r="O208" s="36">
        <v>6131000</v>
      </c>
      <c r="P208" s="36">
        <v>6157000</v>
      </c>
      <c r="Q208" s="36">
        <v>6169000</v>
      </c>
      <c r="R208" s="36">
        <v>6169000</v>
      </c>
      <c r="S208" s="36">
        <v>6346000</v>
      </c>
      <c r="T208" s="36">
        <v>6440000</v>
      </c>
      <c r="U208" s="36">
        <v>6670000</v>
      </c>
      <c r="V208" s="36">
        <v>6740700</v>
      </c>
      <c r="W208" s="36">
        <v>6868000</v>
      </c>
      <c r="X208" s="36">
        <v>6995300</v>
      </c>
      <c r="Y208" s="36">
        <v>7122600</v>
      </c>
      <c r="Z208" s="36">
        <v>7249900</v>
      </c>
      <c r="AA208" s="36">
        <v>7377200</v>
      </c>
      <c r="AB208" s="36">
        <v>7504500</v>
      </c>
      <c r="AC208" s="36">
        <v>7631800</v>
      </c>
      <c r="AD208" s="36">
        <v>7759100</v>
      </c>
      <c r="AE208" s="36">
        <v>7886400</v>
      </c>
      <c r="AF208" s="36">
        <v>8013700</v>
      </c>
      <c r="AG208" s="36">
        <v>8141000</v>
      </c>
      <c r="AH208" s="36">
        <v>8268300</v>
      </c>
      <c r="AI208" s="36">
        <v>8395600</v>
      </c>
      <c r="AJ208" s="36">
        <v>8522900</v>
      </c>
      <c r="AK208" s="36">
        <v>8650200</v>
      </c>
      <c r="AL208" s="36">
        <v>8777500</v>
      </c>
      <c r="AM208" s="36">
        <v>8904800</v>
      </c>
      <c r="AN208" s="36">
        <v>9032100</v>
      </c>
      <c r="AO208" s="36">
        <v>9159400</v>
      </c>
      <c r="AP208" s="36">
        <v>9286700</v>
      </c>
      <c r="AQ208" s="36">
        <v>9414000</v>
      </c>
      <c r="AR208" s="36">
        <v>9414001</v>
      </c>
      <c r="AS208" s="36">
        <v>9414002</v>
      </c>
      <c r="AT208" s="36">
        <v>9414003</v>
      </c>
      <c r="AU208" s="36">
        <v>9414004</v>
      </c>
      <c r="AV208" s="36">
        <v>9414005</v>
      </c>
      <c r="AW208" s="36">
        <v>9414006</v>
      </c>
      <c r="AX208" s="36">
        <v>9414007</v>
      </c>
      <c r="AY208" s="36">
        <v>9414008</v>
      </c>
      <c r="AZ208" s="36">
        <v>9414009</v>
      </c>
    </row>
    <row r="209" spans="1:52">
      <c r="A209" s="25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</row>
    <row r="210" spans="1:52" ht="15.75" thickBot="1">
      <c r="A210" s="20" t="s">
        <v>42</v>
      </c>
    </row>
    <row r="211" spans="1:52" ht="15.75" thickBot="1">
      <c r="A211" s="22"/>
      <c r="B211" s="23" t="str">
        <f>B195</f>
        <v>2000</v>
      </c>
      <c r="C211" s="23" t="str">
        <f t="shared" ref="C211:AZ211" si="12">C195</f>
        <v>2001</v>
      </c>
      <c r="D211" s="23" t="str">
        <f t="shared" si="12"/>
        <v>2002</v>
      </c>
      <c r="E211" s="23" t="str">
        <f t="shared" si="12"/>
        <v>2003</v>
      </c>
      <c r="F211" s="23" t="str">
        <f t="shared" si="12"/>
        <v>2004</v>
      </c>
      <c r="G211" s="23" t="str">
        <f t="shared" si="12"/>
        <v>2005</v>
      </c>
      <c r="H211" s="23" t="str">
        <f t="shared" si="12"/>
        <v>2006</v>
      </c>
      <c r="I211" s="23" t="str">
        <f t="shared" si="12"/>
        <v>2007</v>
      </c>
      <c r="J211" s="23" t="str">
        <f t="shared" si="12"/>
        <v>2008</v>
      </c>
      <c r="K211" s="23" t="str">
        <f t="shared" si="12"/>
        <v>2009</v>
      </c>
      <c r="L211" s="23" t="str">
        <f t="shared" si="12"/>
        <v>2010</v>
      </c>
      <c r="M211" s="23" t="str">
        <f t="shared" si="12"/>
        <v>2011</v>
      </c>
      <c r="N211" s="23" t="str">
        <f t="shared" si="12"/>
        <v>2012</v>
      </c>
      <c r="O211" s="23" t="str">
        <f t="shared" si="12"/>
        <v>2013</v>
      </c>
      <c r="P211" s="23" t="str">
        <f t="shared" si="12"/>
        <v>2014</v>
      </c>
      <c r="Q211" s="23" t="str">
        <f t="shared" si="12"/>
        <v>2015</v>
      </c>
      <c r="R211" s="23" t="str">
        <f t="shared" si="12"/>
        <v>2016</v>
      </c>
      <c r="S211" s="23" t="str">
        <f t="shared" si="12"/>
        <v>2017</v>
      </c>
      <c r="T211" s="23" t="str">
        <f t="shared" si="12"/>
        <v>2018</v>
      </c>
      <c r="U211" s="23" t="str">
        <f t="shared" si="12"/>
        <v>2019</v>
      </c>
      <c r="V211" s="23" t="str">
        <f t="shared" si="12"/>
        <v>2020</v>
      </c>
      <c r="W211" s="23" t="str">
        <f t="shared" si="12"/>
        <v>2021</v>
      </c>
      <c r="X211" s="23" t="str">
        <f t="shared" si="12"/>
        <v>2022</v>
      </c>
      <c r="Y211" s="23" t="str">
        <f t="shared" si="12"/>
        <v>2023</v>
      </c>
      <c r="Z211" s="23" t="str">
        <f t="shared" si="12"/>
        <v>2024</v>
      </c>
      <c r="AA211" s="23" t="str">
        <f t="shared" si="12"/>
        <v>2025</v>
      </c>
      <c r="AB211" s="23" t="str">
        <f t="shared" si="12"/>
        <v>2026</v>
      </c>
      <c r="AC211" s="23" t="str">
        <f t="shared" si="12"/>
        <v>2027</v>
      </c>
      <c r="AD211" s="23" t="str">
        <f t="shared" si="12"/>
        <v>2028</v>
      </c>
      <c r="AE211" s="23" t="str">
        <f t="shared" si="12"/>
        <v>2029</v>
      </c>
      <c r="AF211" s="23" t="str">
        <f t="shared" si="12"/>
        <v>2030</v>
      </c>
      <c r="AG211" s="23" t="str">
        <f t="shared" si="12"/>
        <v>2031</v>
      </c>
      <c r="AH211" s="23" t="str">
        <f t="shared" si="12"/>
        <v>2032</v>
      </c>
      <c r="AI211" s="23" t="str">
        <f t="shared" si="12"/>
        <v>2033</v>
      </c>
      <c r="AJ211" s="23" t="str">
        <f t="shared" si="12"/>
        <v>2034</v>
      </c>
      <c r="AK211" s="23" t="str">
        <f t="shared" si="12"/>
        <v>2035</v>
      </c>
      <c r="AL211" s="23" t="str">
        <f t="shared" si="12"/>
        <v>2036</v>
      </c>
      <c r="AM211" s="23" t="str">
        <f t="shared" si="12"/>
        <v>2037</v>
      </c>
      <c r="AN211" s="23" t="str">
        <f t="shared" si="12"/>
        <v>2038</v>
      </c>
      <c r="AO211" s="23" t="str">
        <f t="shared" si="12"/>
        <v>2039</v>
      </c>
      <c r="AP211" s="23" t="str">
        <f t="shared" si="12"/>
        <v>2040</v>
      </c>
      <c r="AQ211" s="23" t="str">
        <f t="shared" si="12"/>
        <v>2041</v>
      </c>
      <c r="AR211" s="23" t="str">
        <f t="shared" si="12"/>
        <v>2042</v>
      </c>
      <c r="AS211" s="23" t="str">
        <f t="shared" si="12"/>
        <v>2043</v>
      </c>
      <c r="AT211" s="23" t="str">
        <f t="shared" si="12"/>
        <v>2044</v>
      </c>
      <c r="AU211" s="23" t="str">
        <f t="shared" si="12"/>
        <v>2045</v>
      </c>
      <c r="AV211" s="23" t="str">
        <f t="shared" si="12"/>
        <v>2046</v>
      </c>
      <c r="AW211" s="23" t="str">
        <f t="shared" si="12"/>
        <v>2047</v>
      </c>
      <c r="AX211" s="23" t="str">
        <f t="shared" si="12"/>
        <v>2048</v>
      </c>
      <c r="AY211" s="23" t="str">
        <f t="shared" si="12"/>
        <v>2049</v>
      </c>
      <c r="AZ211" s="23" t="str">
        <f t="shared" si="12"/>
        <v>2050</v>
      </c>
    </row>
    <row r="212" spans="1:52">
      <c r="A212" s="20" t="s">
        <v>17</v>
      </c>
    </row>
    <row r="213" spans="1:52">
      <c r="A213" s="20" t="s">
        <v>18</v>
      </c>
    </row>
    <row r="214" spans="1:52">
      <c r="A214" s="20" t="s">
        <v>19</v>
      </c>
    </row>
    <row r="215" spans="1:52">
      <c r="A215" s="20" t="s">
        <v>20</v>
      </c>
    </row>
    <row r="216" spans="1:52">
      <c r="A216" s="20" t="s">
        <v>21</v>
      </c>
    </row>
    <row r="217" spans="1:52">
      <c r="A217" s="20" t="s">
        <v>22</v>
      </c>
    </row>
    <row r="218" spans="1:52">
      <c r="A218" s="20" t="s">
        <v>23</v>
      </c>
    </row>
    <row r="219" spans="1:52">
      <c r="A219" s="20" t="s">
        <v>24</v>
      </c>
    </row>
    <row r="220" spans="1:52">
      <c r="A220" s="20" t="s">
        <v>25</v>
      </c>
    </row>
    <row r="221" spans="1:52">
      <c r="A221" s="20" t="s">
        <v>26</v>
      </c>
    </row>
    <row r="222" spans="1:52">
      <c r="A222" s="20" t="s">
        <v>27</v>
      </c>
    </row>
    <row r="223" spans="1:52">
      <c r="A223" s="20" t="s">
        <v>28</v>
      </c>
    </row>
    <row r="224" spans="1:52" ht="15.75" thickBot="1">
      <c r="A224" s="20" t="s">
        <v>29</v>
      </c>
    </row>
    <row r="225" spans="1:52">
      <c r="A225" s="25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9522D-D6CC-4062-9E50-F4F943843306}">
  <dimension ref="A1:AZ225"/>
  <sheetViews>
    <sheetView zoomScale="85" zoomScaleNormal="85" workbookViewId="0">
      <pane xSplit="1" topLeftCell="AF1" activePane="topRight" state="frozen"/>
      <selection activeCell="AL31" sqref="AL31"/>
      <selection pane="topRight" activeCell="AL31" sqref="AL31"/>
    </sheetView>
  </sheetViews>
  <sheetFormatPr defaultColWidth="8.85546875" defaultRowHeight="15"/>
  <cols>
    <col min="1" max="1" width="32.42578125" customWidth="1"/>
    <col min="2" max="23" width="12.7109375" style="21" bestFit="1" customWidth="1"/>
    <col min="24" max="24" width="9.140625" style="21" bestFit="1" customWidth="1"/>
    <col min="25" max="25" width="8.85546875" style="21"/>
    <col min="26" max="26" width="9.140625" style="21" bestFit="1" customWidth="1"/>
    <col min="27" max="27" width="8.85546875" style="21"/>
    <col min="28" max="28" width="9.140625" style="21" bestFit="1" customWidth="1"/>
    <col min="29" max="29" width="8.85546875" style="21"/>
    <col min="30" max="30" width="9.140625" style="21" bestFit="1" customWidth="1"/>
    <col min="31" max="31" width="8.85546875" style="21"/>
    <col min="32" max="32" width="9.140625" style="21" bestFit="1" customWidth="1"/>
    <col min="33" max="33" width="8.85546875" style="21"/>
    <col min="34" max="34" width="9.140625" style="21" bestFit="1" customWidth="1"/>
    <col min="35" max="35" width="8.85546875" style="21"/>
    <col min="36" max="36" width="9.140625" style="21" bestFit="1" customWidth="1"/>
    <col min="37" max="37" width="8.85546875" style="21"/>
    <col min="38" max="38" width="9.140625" style="21" bestFit="1" customWidth="1"/>
    <col min="39" max="39" width="8.85546875" style="21"/>
    <col min="40" max="40" width="9.140625" style="21" bestFit="1" customWidth="1"/>
    <col min="41" max="41" width="8.85546875" style="21"/>
    <col min="42" max="42" width="9.140625" style="21" bestFit="1" customWidth="1"/>
    <col min="43" max="52" width="8.85546875" style="21"/>
  </cols>
  <sheetData>
    <row r="1" spans="1:52" ht="15.75" thickBot="1">
      <c r="A1" s="6" t="s">
        <v>111</v>
      </c>
    </row>
    <row r="2" spans="1:52" ht="15.75" thickBot="1">
      <c r="A2" s="34"/>
      <c r="B2" s="23" t="s">
        <v>44</v>
      </c>
      <c r="C2" s="23" t="s">
        <v>45</v>
      </c>
      <c r="D2" s="23" t="s">
        <v>46</v>
      </c>
      <c r="E2" s="23" t="s">
        <v>47</v>
      </c>
      <c r="F2" s="23" t="s">
        <v>48</v>
      </c>
      <c r="G2" s="23" t="s">
        <v>49</v>
      </c>
      <c r="H2" s="23" t="s">
        <v>50</v>
      </c>
      <c r="I2" s="23" t="s">
        <v>51</v>
      </c>
      <c r="J2" s="23" t="s">
        <v>52</v>
      </c>
      <c r="K2" s="23" t="s">
        <v>53</v>
      </c>
      <c r="L2" s="23" t="s">
        <v>54</v>
      </c>
      <c r="M2" s="23" t="s">
        <v>55</v>
      </c>
      <c r="N2" s="23" t="s">
        <v>56</v>
      </c>
      <c r="O2" s="23" t="s">
        <v>57</v>
      </c>
      <c r="P2" s="23" t="s">
        <v>58</v>
      </c>
      <c r="Q2" s="23" t="s">
        <v>59</v>
      </c>
      <c r="R2" s="23" t="s">
        <v>60</v>
      </c>
      <c r="S2" s="23" t="s">
        <v>61</v>
      </c>
      <c r="T2" s="23" t="s">
        <v>62</v>
      </c>
      <c r="U2" s="23" t="s">
        <v>63</v>
      </c>
      <c r="V2" s="23" t="s">
        <v>64</v>
      </c>
      <c r="W2" s="23" t="s">
        <v>65</v>
      </c>
      <c r="X2" s="23" t="s">
        <v>66</v>
      </c>
      <c r="Y2" s="23" t="s">
        <v>67</v>
      </c>
      <c r="Z2" s="23" t="s">
        <v>68</v>
      </c>
      <c r="AA2" s="23" t="s">
        <v>69</v>
      </c>
      <c r="AB2" s="23" t="s">
        <v>70</v>
      </c>
      <c r="AC2" s="23" t="s">
        <v>71</v>
      </c>
      <c r="AD2" s="23" t="s">
        <v>72</v>
      </c>
      <c r="AE2" s="23" t="s">
        <v>73</v>
      </c>
      <c r="AF2" s="23" t="s">
        <v>74</v>
      </c>
      <c r="AG2" s="23" t="s">
        <v>75</v>
      </c>
      <c r="AH2" s="23" t="s">
        <v>76</v>
      </c>
      <c r="AI2" s="23" t="s">
        <v>77</v>
      </c>
      <c r="AJ2" s="23" t="s">
        <v>78</v>
      </c>
      <c r="AK2" s="23" t="s">
        <v>79</v>
      </c>
      <c r="AL2" s="23" t="s">
        <v>80</v>
      </c>
      <c r="AM2" s="23" t="s">
        <v>81</v>
      </c>
      <c r="AN2" s="23" t="s">
        <v>82</v>
      </c>
      <c r="AO2" s="23" t="s">
        <v>83</v>
      </c>
      <c r="AP2" s="23" t="s">
        <v>84</v>
      </c>
      <c r="AQ2" s="23" t="s">
        <v>85</v>
      </c>
      <c r="AR2" s="23" t="s">
        <v>100</v>
      </c>
      <c r="AS2" s="23" t="s">
        <v>101</v>
      </c>
      <c r="AT2" s="23" t="s">
        <v>102</v>
      </c>
      <c r="AU2" s="23" t="s">
        <v>103</v>
      </c>
      <c r="AV2" s="23" t="s">
        <v>104</v>
      </c>
      <c r="AW2" s="23" t="s">
        <v>105</v>
      </c>
      <c r="AX2" s="23" t="s">
        <v>106</v>
      </c>
      <c r="AY2" s="23" t="s">
        <v>107</v>
      </c>
      <c r="AZ2" s="23" t="s">
        <v>108</v>
      </c>
    </row>
    <row r="3" spans="1:52">
      <c r="A3" s="6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</row>
    <row r="4" spans="1:52">
      <c r="A4" s="6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</row>
    <row r="5" spans="1:52">
      <c r="A5" s="6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</row>
    <row r="6" spans="1:52">
      <c r="A6" s="10" t="s">
        <v>4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</row>
    <row r="7" spans="1:52">
      <c r="A7" s="6" t="s">
        <v>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</row>
    <row r="8" spans="1:52">
      <c r="A8" s="6" t="s">
        <v>6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</row>
    <row r="9" spans="1:52">
      <c r="A9" s="6" t="s">
        <v>7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</row>
    <row r="10" spans="1:52">
      <c r="A10" s="6" t="s">
        <v>8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</row>
    <row r="11" spans="1:52">
      <c r="A11" s="6" t="s">
        <v>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</row>
    <row r="12" spans="1:52">
      <c r="A12" s="6" t="s">
        <v>10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</row>
    <row r="13" spans="1:52">
      <c r="A13" s="10" t="s">
        <v>11</v>
      </c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</row>
    <row r="14" spans="1:52">
      <c r="A14" t="s">
        <v>12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</row>
    <row r="15" spans="1:52">
      <c r="A15" s="6" t="s">
        <v>13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</row>
    <row r="16" spans="1:52" ht="15.75" thickBot="1">
      <c r="A16" s="6" t="s">
        <v>14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</row>
    <row r="17" spans="1:52">
      <c r="A17" s="17" t="s">
        <v>15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</row>
    <row r="19" spans="1:52" ht="15.75" thickBot="1">
      <c r="A19" s="20" t="s">
        <v>87</v>
      </c>
    </row>
    <row r="20" spans="1:52" ht="15.75" thickBot="1">
      <c r="A20" s="22"/>
      <c r="B20" s="23" t="str">
        <f>B2</f>
        <v>2000</v>
      </c>
      <c r="C20" s="23" t="str">
        <f t="shared" ref="C20:AZ20" si="0">C2</f>
        <v>2001</v>
      </c>
      <c r="D20" s="23" t="str">
        <f t="shared" si="0"/>
        <v>2002</v>
      </c>
      <c r="E20" s="23" t="str">
        <f t="shared" si="0"/>
        <v>2003</v>
      </c>
      <c r="F20" s="23" t="str">
        <f t="shared" si="0"/>
        <v>2004</v>
      </c>
      <c r="G20" s="23" t="str">
        <f t="shared" si="0"/>
        <v>2005</v>
      </c>
      <c r="H20" s="23" t="str">
        <f t="shared" si="0"/>
        <v>2006</v>
      </c>
      <c r="I20" s="23" t="str">
        <f t="shared" si="0"/>
        <v>2007</v>
      </c>
      <c r="J20" s="23" t="str">
        <f t="shared" si="0"/>
        <v>2008</v>
      </c>
      <c r="K20" s="23" t="str">
        <f t="shared" si="0"/>
        <v>2009</v>
      </c>
      <c r="L20" s="23" t="str">
        <f t="shared" si="0"/>
        <v>2010</v>
      </c>
      <c r="M20" s="23" t="str">
        <f t="shared" si="0"/>
        <v>2011</v>
      </c>
      <c r="N20" s="23" t="str">
        <f t="shared" si="0"/>
        <v>2012</v>
      </c>
      <c r="O20" s="23" t="str">
        <f t="shared" si="0"/>
        <v>2013</v>
      </c>
      <c r="P20" s="23" t="str">
        <f t="shared" si="0"/>
        <v>2014</v>
      </c>
      <c r="Q20" s="23" t="str">
        <f t="shared" si="0"/>
        <v>2015</v>
      </c>
      <c r="R20" s="23" t="str">
        <f t="shared" si="0"/>
        <v>2016</v>
      </c>
      <c r="S20" s="23" t="str">
        <f t="shared" si="0"/>
        <v>2017</v>
      </c>
      <c r="T20" s="23" t="str">
        <f t="shared" si="0"/>
        <v>2018</v>
      </c>
      <c r="U20" s="23" t="str">
        <f t="shared" si="0"/>
        <v>2019</v>
      </c>
      <c r="V20" s="23" t="str">
        <f t="shared" si="0"/>
        <v>2020</v>
      </c>
      <c r="W20" s="23" t="str">
        <f t="shared" si="0"/>
        <v>2021</v>
      </c>
      <c r="X20" s="23" t="str">
        <f t="shared" si="0"/>
        <v>2022</v>
      </c>
      <c r="Y20" s="23" t="str">
        <f t="shared" si="0"/>
        <v>2023</v>
      </c>
      <c r="Z20" s="23" t="str">
        <f t="shared" si="0"/>
        <v>2024</v>
      </c>
      <c r="AA20" s="23" t="str">
        <f t="shared" si="0"/>
        <v>2025</v>
      </c>
      <c r="AB20" s="23" t="str">
        <f t="shared" si="0"/>
        <v>2026</v>
      </c>
      <c r="AC20" s="23" t="str">
        <f t="shared" si="0"/>
        <v>2027</v>
      </c>
      <c r="AD20" s="23" t="str">
        <f t="shared" si="0"/>
        <v>2028</v>
      </c>
      <c r="AE20" s="23" t="str">
        <f t="shared" si="0"/>
        <v>2029</v>
      </c>
      <c r="AF20" s="23" t="str">
        <f t="shared" si="0"/>
        <v>2030</v>
      </c>
      <c r="AG20" s="23" t="str">
        <f t="shared" si="0"/>
        <v>2031</v>
      </c>
      <c r="AH20" s="23" t="str">
        <f t="shared" si="0"/>
        <v>2032</v>
      </c>
      <c r="AI20" s="23" t="str">
        <f t="shared" si="0"/>
        <v>2033</v>
      </c>
      <c r="AJ20" s="23" t="str">
        <f t="shared" si="0"/>
        <v>2034</v>
      </c>
      <c r="AK20" s="23" t="str">
        <f t="shared" si="0"/>
        <v>2035</v>
      </c>
      <c r="AL20" s="23" t="str">
        <f t="shared" si="0"/>
        <v>2036</v>
      </c>
      <c r="AM20" s="23" t="str">
        <f t="shared" si="0"/>
        <v>2037</v>
      </c>
      <c r="AN20" s="23" t="str">
        <f t="shared" si="0"/>
        <v>2038</v>
      </c>
      <c r="AO20" s="23" t="str">
        <f t="shared" si="0"/>
        <v>2039</v>
      </c>
      <c r="AP20" s="23" t="str">
        <f t="shared" si="0"/>
        <v>2040</v>
      </c>
      <c r="AQ20" s="23" t="str">
        <f t="shared" si="0"/>
        <v>2041</v>
      </c>
      <c r="AR20" s="23" t="str">
        <f t="shared" si="0"/>
        <v>2042</v>
      </c>
      <c r="AS20" s="23" t="str">
        <f t="shared" si="0"/>
        <v>2043</v>
      </c>
      <c r="AT20" s="23" t="str">
        <f t="shared" si="0"/>
        <v>2044</v>
      </c>
      <c r="AU20" s="23" t="str">
        <f t="shared" si="0"/>
        <v>2045</v>
      </c>
      <c r="AV20" s="23" t="str">
        <f t="shared" si="0"/>
        <v>2046</v>
      </c>
      <c r="AW20" s="23" t="str">
        <f t="shared" si="0"/>
        <v>2047</v>
      </c>
      <c r="AX20" s="23" t="str">
        <f t="shared" si="0"/>
        <v>2048</v>
      </c>
      <c r="AY20" s="23" t="str">
        <f t="shared" si="0"/>
        <v>2049</v>
      </c>
      <c r="AZ20" s="23" t="str">
        <f t="shared" si="0"/>
        <v>2050</v>
      </c>
    </row>
    <row r="21" spans="1:52">
      <c r="A21" s="20" t="s">
        <v>17</v>
      </c>
    </row>
    <row r="22" spans="1:52">
      <c r="A22" s="20" t="s">
        <v>18</v>
      </c>
    </row>
    <row r="23" spans="1:52">
      <c r="A23" s="20" t="s">
        <v>19</v>
      </c>
    </row>
    <row r="24" spans="1:52">
      <c r="A24" s="20" t="s">
        <v>20</v>
      </c>
    </row>
    <row r="25" spans="1:52">
      <c r="A25" s="20" t="s">
        <v>21</v>
      </c>
    </row>
    <row r="26" spans="1:52">
      <c r="A26" s="20" t="s">
        <v>22</v>
      </c>
    </row>
    <row r="27" spans="1:52">
      <c r="A27" s="20" t="s">
        <v>23</v>
      </c>
    </row>
    <row r="28" spans="1:52">
      <c r="A28" s="20" t="s">
        <v>24</v>
      </c>
    </row>
    <row r="29" spans="1:52">
      <c r="A29" s="20" t="s">
        <v>25</v>
      </c>
    </row>
    <row r="30" spans="1:52">
      <c r="A30" s="20" t="s">
        <v>26</v>
      </c>
    </row>
    <row r="31" spans="1:52">
      <c r="A31" s="20" t="s">
        <v>27</v>
      </c>
    </row>
    <row r="32" spans="1:52">
      <c r="A32" s="20" t="s">
        <v>28</v>
      </c>
    </row>
    <row r="33" spans="1:52" ht="15.75" thickBot="1">
      <c r="A33" s="20" t="s">
        <v>29</v>
      </c>
    </row>
    <row r="34" spans="1:52">
      <c r="A34" s="25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</row>
    <row r="35" spans="1:52" ht="15.75" thickBot="1">
      <c r="A35" s="20" t="s">
        <v>88</v>
      </c>
    </row>
    <row r="36" spans="1:52" ht="15.75" thickBot="1">
      <c r="A36" s="22"/>
      <c r="B36" s="23" t="str">
        <f>B20</f>
        <v>2000</v>
      </c>
      <c r="C36" s="23" t="str">
        <f t="shared" ref="C36:AZ36" si="1">C20</f>
        <v>2001</v>
      </c>
      <c r="D36" s="23" t="str">
        <f t="shared" si="1"/>
        <v>2002</v>
      </c>
      <c r="E36" s="23" t="str">
        <f t="shared" si="1"/>
        <v>2003</v>
      </c>
      <c r="F36" s="23" t="str">
        <f t="shared" si="1"/>
        <v>2004</v>
      </c>
      <c r="G36" s="23" t="str">
        <f t="shared" si="1"/>
        <v>2005</v>
      </c>
      <c r="H36" s="23" t="str">
        <f t="shared" si="1"/>
        <v>2006</v>
      </c>
      <c r="I36" s="23" t="str">
        <f t="shared" si="1"/>
        <v>2007</v>
      </c>
      <c r="J36" s="23" t="str">
        <f t="shared" si="1"/>
        <v>2008</v>
      </c>
      <c r="K36" s="23" t="str">
        <f t="shared" si="1"/>
        <v>2009</v>
      </c>
      <c r="L36" s="23" t="str">
        <f t="shared" si="1"/>
        <v>2010</v>
      </c>
      <c r="M36" s="23" t="str">
        <f t="shared" si="1"/>
        <v>2011</v>
      </c>
      <c r="N36" s="23" t="str">
        <f t="shared" si="1"/>
        <v>2012</v>
      </c>
      <c r="O36" s="23" t="str">
        <f t="shared" si="1"/>
        <v>2013</v>
      </c>
      <c r="P36" s="23" t="str">
        <f t="shared" si="1"/>
        <v>2014</v>
      </c>
      <c r="Q36" s="23" t="str">
        <f t="shared" si="1"/>
        <v>2015</v>
      </c>
      <c r="R36" s="23" t="str">
        <f t="shared" si="1"/>
        <v>2016</v>
      </c>
      <c r="S36" s="23" t="str">
        <f t="shared" si="1"/>
        <v>2017</v>
      </c>
      <c r="T36" s="23" t="str">
        <f t="shared" si="1"/>
        <v>2018</v>
      </c>
      <c r="U36" s="23" t="str">
        <f t="shared" si="1"/>
        <v>2019</v>
      </c>
      <c r="V36" s="23" t="str">
        <f t="shared" si="1"/>
        <v>2020</v>
      </c>
      <c r="W36" s="23" t="str">
        <f t="shared" si="1"/>
        <v>2021</v>
      </c>
      <c r="X36" s="23" t="str">
        <f t="shared" si="1"/>
        <v>2022</v>
      </c>
      <c r="Y36" s="23" t="str">
        <f t="shared" si="1"/>
        <v>2023</v>
      </c>
      <c r="Z36" s="23" t="str">
        <f t="shared" si="1"/>
        <v>2024</v>
      </c>
      <c r="AA36" s="23" t="str">
        <f t="shared" si="1"/>
        <v>2025</v>
      </c>
      <c r="AB36" s="23" t="str">
        <f t="shared" si="1"/>
        <v>2026</v>
      </c>
      <c r="AC36" s="23" t="str">
        <f t="shared" si="1"/>
        <v>2027</v>
      </c>
      <c r="AD36" s="23" t="str">
        <f t="shared" si="1"/>
        <v>2028</v>
      </c>
      <c r="AE36" s="23" t="str">
        <f t="shared" si="1"/>
        <v>2029</v>
      </c>
      <c r="AF36" s="23" t="str">
        <f t="shared" si="1"/>
        <v>2030</v>
      </c>
      <c r="AG36" s="23" t="str">
        <f t="shared" si="1"/>
        <v>2031</v>
      </c>
      <c r="AH36" s="23" t="str">
        <f t="shared" si="1"/>
        <v>2032</v>
      </c>
      <c r="AI36" s="23" t="str">
        <f t="shared" si="1"/>
        <v>2033</v>
      </c>
      <c r="AJ36" s="23" t="str">
        <f t="shared" si="1"/>
        <v>2034</v>
      </c>
      <c r="AK36" s="23" t="str">
        <f t="shared" si="1"/>
        <v>2035</v>
      </c>
      <c r="AL36" s="23" t="str">
        <f t="shared" si="1"/>
        <v>2036</v>
      </c>
      <c r="AM36" s="23" t="str">
        <f t="shared" si="1"/>
        <v>2037</v>
      </c>
      <c r="AN36" s="23" t="str">
        <f t="shared" si="1"/>
        <v>2038</v>
      </c>
      <c r="AO36" s="23" t="str">
        <f t="shared" si="1"/>
        <v>2039</v>
      </c>
      <c r="AP36" s="23" t="str">
        <f t="shared" si="1"/>
        <v>2040</v>
      </c>
      <c r="AQ36" s="23" t="str">
        <f t="shared" si="1"/>
        <v>2041</v>
      </c>
      <c r="AR36" s="23" t="str">
        <f t="shared" si="1"/>
        <v>2042</v>
      </c>
      <c r="AS36" s="23" t="str">
        <f t="shared" si="1"/>
        <v>2043</v>
      </c>
      <c r="AT36" s="23" t="str">
        <f t="shared" si="1"/>
        <v>2044</v>
      </c>
      <c r="AU36" s="23" t="str">
        <f t="shared" si="1"/>
        <v>2045</v>
      </c>
      <c r="AV36" s="23" t="str">
        <f t="shared" si="1"/>
        <v>2046</v>
      </c>
      <c r="AW36" s="23" t="str">
        <f t="shared" si="1"/>
        <v>2047</v>
      </c>
      <c r="AX36" s="23" t="str">
        <f t="shared" si="1"/>
        <v>2048</v>
      </c>
      <c r="AY36" s="23" t="str">
        <f t="shared" si="1"/>
        <v>2049</v>
      </c>
      <c r="AZ36" s="23" t="str">
        <f t="shared" si="1"/>
        <v>2050</v>
      </c>
    </row>
    <row r="37" spans="1:52">
      <c r="A37" s="20" t="s">
        <v>17</v>
      </c>
    </row>
    <row r="38" spans="1:52">
      <c r="A38" s="20" t="s">
        <v>18</v>
      </c>
    </row>
    <row r="39" spans="1:52">
      <c r="A39" s="20" t="s">
        <v>19</v>
      </c>
    </row>
    <row r="40" spans="1:52">
      <c r="A40" s="20" t="s">
        <v>20</v>
      </c>
    </row>
    <row r="41" spans="1:52">
      <c r="A41" s="20" t="s">
        <v>21</v>
      </c>
    </row>
    <row r="42" spans="1:52">
      <c r="A42" s="20" t="s">
        <v>22</v>
      </c>
    </row>
    <row r="43" spans="1:52">
      <c r="A43" s="20" t="s">
        <v>23</v>
      </c>
    </row>
    <row r="44" spans="1:52">
      <c r="A44" s="20" t="s">
        <v>24</v>
      </c>
    </row>
    <row r="45" spans="1:52">
      <c r="A45" s="20" t="s">
        <v>25</v>
      </c>
    </row>
    <row r="46" spans="1:52">
      <c r="A46" s="20" t="s">
        <v>26</v>
      </c>
    </row>
    <row r="47" spans="1:52">
      <c r="A47" s="20" t="s">
        <v>27</v>
      </c>
    </row>
    <row r="48" spans="1:52">
      <c r="A48" s="20" t="s">
        <v>28</v>
      </c>
    </row>
    <row r="49" spans="1:52" ht="15.75" thickBot="1">
      <c r="A49" s="20" t="s">
        <v>29</v>
      </c>
    </row>
    <row r="50" spans="1:52">
      <c r="A50" s="25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</row>
    <row r="51" spans="1:52" ht="15.75" thickBot="1">
      <c r="A51" s="20" t="s">
        <v>89</v>
      </c>
    </row>
    <row r="52" spans="1:52" ht="15.75" thickBot="1">
      <c r="A52" s="22"/>
      <c r="B52" s="23" t="str">
        <f>B36</f>
        <v>2000</v>
      </c>
      <c r="C52" s="23" t="str">
        <f t="shared" ref="C52:AZ52" si="2">C36</f>
        <v>2001</v>
      </c>
      <c r="D52" s="23" t="str">
        <f t="shared" si="2"/>
        <v>2002</v>
      </c>
      <c r="E52" s="23" t="str">
        <f t="shared" si="2"/>
        <v>2003</v>
      </c>
      <c r="F52" s="23" t="str">
        <f t="shared" si="2"/>
        <v>2004</v>
      </c>
      <c r="G52" s="23" t="str">
        <f t="shared" si="2"/>
        <v>2005</v>
      </c>
      <c r="H52" s="23" t="str">
        <f t="shared" si="2"/>
        <v>2006</v>
      </c>
      <c r="I52" s="23" t="str">
        <f t="shared" si="2"/>
        <v>2007</v>
      </c>
      <c r="J52" s="23" t="str">
        <f t="shared" si="2"/>
        <v>2008</v>
      </c>
      <c r="K52" s="23" t="str">
        <f t="shared" si="2"/>
        <v>2009</v>
      </c>
      <c r="L52" s="23" t="str">
        <f t="shared" si="2"/>
        <v>2010</v>
      </c>
      <c r="M52" s="23" t="str">
        <f t="shared" si="2"/>
        <v>2011</v>
      </c>
      <c r="N52" s="23" t="str">
        <f t="shared" si="2"/>
        <v>2012</v>
      </c>
      <c r="O52" s="23" t="str">
        <f t="shared" si="2"/>
        <v>2013</v>
      </c>
      <c r="P52" s="23" t="str">
        <f t="shared" si="2"/>
        <v>2014</v>
      </c>
      <c r="Q52" s="23" t="str">
        <f t="shared" si="2"/>
        <v>2015</v>
      </c>
      <c r="R52" s="23" t="str">
        <f t="shared" si="2"/>
        <v>2016</v>
      </c>
      <c r="S52" s="23" t="str">
        <f t="shared" si="2"/>
        <v>2017</v>
      </c>
      <c r="T52" s="23" t="str">
        <f t="shared" si="2"/>
        <v>2018</v>
      </c>
      <c r="U52" s="23" t="str">
        <f t="shared" si="2"/>
        <v>2019</v>
      </c>
      <c r="V52" s="23" t="str">
        <f t="shared" si="2"/>
        <v>2020</v>
      </c>
      <c r="W52" s="23" t="str">
        <f t="shared" si="2"/>
        <v>2021</v>
      </c>
      <c r="X52" s="23" t="str">
        <f t="shared" si="2"/>
        <v>2022</v>
      </c>
      <c r="Y52" s="23" t="str">
        <f t="shared" si="2"/>
        <v>2023</v>
      </c>
      <c r="Z52" s="23" t="str">
        <f t="shared" si="2"/>
        <v>2024</v>
      </c>
      <c r="AA52" s="23" t="str">
        <f t="shared" si="2"/>
        <v>2025</v>
      </c>
      <c r="AB52" s="23" t="str">
        <f t="shared" si="2"/>
        <v>2026</v>
      </c>
      <c r="AC52" s="23" t="str">
        <f t="shared" si="2"/>
        <v>2027</v>
      </c>
      <c r="AD52" s="23" t="str">
        <f t="shared" si="2"/>
        <v>2028</v>
      </c>
      <c r="AE52" s="23" t="str">
        <f t="shared" si="2"/>
        <v>2029</v>
      </c>
      <c r="AF52" s="23" t="str">
        <f t="shared" si="2"/>
        <v>2030</v>
      </c>
      <c r="AG52" s="23" t="str">
        <f t="shared" si="2"/>
        <v>2031</v>
      </c>
      <c r="AH52" s="23" t="str">
        <f t="shared" si="2"/>
        <v>2032</v>
      </c>
      <c r="AI52" s="23" t="str">
        <f t="shared" si="2"/>
        <v>2033</v>
      </c>
      <c r="AJ52" s="23" t="str">
        <f t="shared" si="2"/>
        <v>2034</v>
      </c>
      <c r="AK52" s="23" t="str">
        <f t="shared" si="2"/>
        <v>2035</v>
      </c>
      <c r="AL52" s="23" t="str">
        <f t="shared" si="2"/>
        <v>2036</v>
      </c>
      <c r="AM52" s="23" t="str">
        <f t="shared" si="2"/>
        <v>2037</v>
      </c>
      <c r="AN52" s="23" t="str">
        <f t="shared" si="2"/>
        <v>2038</v>
      </c>
      <c r="AO52" s="23" t="str">
        <f t="shared" si="2"/>
        <v>2039</v>
      </c>
      <c r="AP52" s="23" t="str">
        <f t="shared" si="2"/>
        <v>2040</v>
      </c>
      <c r="AQ52" s="23" t="str">
        <f t="shared" si="2"/>
        <v>2041</v>
      </c>
      <c r="AR52" s="23" t="str">
        <f t="shared" si="2"/>
        <v>2042</v>
      </c>
      <c r="AS52" s="23" t="str">
        <f t="shared" si="2"/>
        <v>2043</v>
      </c>
      <c r="AT52" s="23" t="str">
        <f t="shared" si="2"/>
        <v>2044</v>
      </c>
      <c r="AU52" s="23" t="str">
        <f t="shared" si="2"/>
        <v>2045</v>
      </c>
      <c r="AV52" s="23" t="str">
        <f t="shared" si="2"/>
        <v>2046</v>
      </c>
      <c r="AW52" s="23" t="str">
        <f t="shared" si="2"/>
        <v>2047</v>
      </c>
      <c r="AX52" s="23" t="str">
        <f t="shared" si="2"/>
        <v>2048</v>
      </c>
      <c r="AY52" s="23" t="str">
        <f t="shared" si="2"/>
        <v>2049</v>
      </c>
      <c r="AZ52" s="23" t="str">
        <f t="shared" si="2"/>
        <v>2050</v>
      </c>
    </row>
    <row r="53" spans="1:52">
      <c r="A53" s="20" t="s">
        <v>17</v>
      </c>
    </row>
    <row r="54" spans="1:52">
      <c r="A54" s="20" t="s">
        <v>18</v>
      </c>
    </row>
    <row r="55" spans="1:52">
      <c r="A55" s="20" t="s">
        <v>19</v>
      </c>
    </row>
    <row r="56" spans="1:52">
      <c r="A56" s="20" t="s">
        <v>20</v>
      </c>
    </row>
    <row r="57" spans="1:52">
      <c r="A57" s="20" t="s">
        <v>21</v>
      </c>
    </row>
    <row r="58" spans="1:52">
      <c r="A58" s="20" t="s">
        <v>22</v>
      </c>
    </row>
    <row r="59" spans="1:52">
      <c r="A59" s="20" t="s">
        <v>23</v>
      </c>
    </row>
    <row r="60" spans="1:52">
      <c r="A60" s="20" t="s">
        <v>24</v>
      </c>
    </row>
    <row r="61" spans="1:52">
      <c r="A61" s="20" t="s">
        <v>25</v>
      </c>
    </row>
    <row r="62" spans="1:52">
      <c r="A62" s="20" t="s">
        <v>26</v>
      </c>
    </row>
    <row r="63" spans="1:52">
      <c r="A63" s="20" t="s">
        <v>27</v>
      </c>
    </row>
    <row r="64" spans="1:52">
      <c r="A64" s="20" t="s">
        <v>28</v>
      </c>
    </row>
    <row r="65" spans="1:52" ht="15.75" thickBot="1">
      <c r="A65" s="20" t="s">
        <v>29</v>
      </c>
    </row>
    <row r="66" spans="1:52">
      <c r="A66" s="25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</row>
    <row r="67" spans="1:52" ht="15.75" thickBot="1">
      <c r="A67" s="20" t="s">
        <v>90</v>
      </c>
    </row>
    <row r="68" spans="1:52" ht="15.75" thickBot="1">
      <c r="A68" s="22"/>
      <c r="B68" s="23" t="str">
        <f>B52</f>
        <v>2000</v>
      </c>
      <c r="C68" s="23" t="str">
        <f t="shared" ref="C68:AZ68" si="3">C52</f>
        <v>2001</v>
      </c>
      <c r="D68" s="23" t="str">
        <f t="shared" si="3"/>
        <v>2002</v>
      </c>
      <c r="E68" s="23" t="str">
        <f t="shared" si="3"/>
        <v>2003</v>
      </c>
      <c r="F68" s="23" t="str">
        <f t="shared" si="3"/>
        <v>2004</v>
      </c>
      <c r="G68" s="23" t="str">
        <f t="shared" si="3"/>
        <v>2005</v>
      </c>
      <c r="H68" s="23" t="str">
        <f t="shared" si="3"/>
        <v>2006</v>
      </c>
      <c r="I68" s="23" t="str">
        <f t="shared" si="3"/>
        <v>2007</v>
      </c>
      <c r="J68" s="23" t="str">
        <f t="shared" si="3"/>
        <v>2008</v>
      </c>
      <c r="K68" s="23" t="str">
        <f t="shared" si="3"/>
        <v>2009</v>
      </c>
      <c r="L68" s="23" t="str">
        <f t="shared" si="3"/>
        <v>2010</v>
      </c>
      <c r="M68" s="23" t="str">
        <f t="shared" si="3"/>
        <v>2011</v>
      </c>
      <c r="N68" s="23" t="str">
        <f t="shared" si="3"/>
        <v>2012</v>
      </c>
      <c r="O68" s="23" t="str">
        <f t="shared" si="3"/>
        <v>2013</v>
      </c>
      <c r="P68" s="23" t="str">
        <f t="shared" si="3"/>
        <v>2014</v>
      </c>
      <c r="Q68" s="23" t="str">
        <f t="shared" si="3"/>
        <v>2015</v>
      </c>
      <c r="R68" s="23" t="str">
        <f t="shared" si="3"/>
        <v>2016</v>
      </c>
      <c r="S68" s="23" t="str">
        <f t="shared" si="3"/>
        <v>2017</v>
      </c>
      <c r="T68" s="23" t="str">
        <f t="shared" si="3"/>
        <v>2018</v>
      </c>
      <c r="U68" s="23" t="str">
        <f t="shared" si="3"/>
        <v>2019</v>
      </c>
      <c r="V68" s="23" t="str">
        <f t="shared" si="3"/>
        <v>2020</v>
      </c>
      <c r="W68" s="23" t="str">
        <f t="shared" si="3"/>
        <v>2021</v>
      </c>
      <c r="X68" s="23" t="str">
        <f t="shared" si="3"/>
        <v>2022</v>
      </c>
      <c r="Y68" s="23" t="str">
        <f t="shared" si="3"/>
        <v>2023</v>
      </c>
      <c r="Z68" s="23" t="str">
        <f t="shared" si="3"/>
        <v>2024</v>
      </c>
      <c r="AA68" s="23" t="str">
        <f t="shared" si="3"/>
        <v>2025</v>
      </c>
      <c r="AB68" s="23" t="str">
        <f t="shared" si="3"/>
        <v>2026</v>
      </c>
      <c r="AC68" s="23" t="str">
        <f t="shared" si="3"/>
        <v>2027</v>
      </c>
      <c r="AD68" s="23" t="str">
        <f t="shared" si="3"/>
        <v>2028</v>
      </c>
      <c r="AE68" s="23" t="str">
        <f t="shared" si="3"/>
        <v>2029</v>
      </c>
      <c r="AF68" s="23" t="str">
        <f t="shared" si="3"/>
        <v>2030</v>
      </c>
      <c r="AG68" s="23" t="str">
        <f t="shared" si="3"/>
        <v>2031</v>
      </c>
      <c r="AH68" s="23" t="str">
        <f t="shared" si="3"/>
        <v>2032</v>
      </c>
      <c r="AI68" s="23" t="str">
        <f t="shared" si="3"/>
        <v>2033</v>
      </c>
      <c r="AJ68" s="23" t="str">
        <f t="shared" si="3"/>
        <v>2034</v>
      </c>
      <c r="AK68" s="23" t="str">
        <f t="shared" si="3"/>
        <v>2035</v>
      </c>
      <c r="AL68" s="23" t="str">
        <f t="shared" si="3"/>
        <v>2036</v>
      </c>
      <c r="AM68" s="23" t="str">
        <f t="shared" si="3"/>
        <v>2037</v>
      </c>
      <c r="AN68" s="23" t="str">
        <f t="shared" si="3"/>
        <v>2038</v>
      </c>
      <c r="AO68" s="23" t="str">
        <f t="shared" si="3"/>
        <v>2039</v>
      </c>
      <c r="AP68" s="23" t="str">
        <f t="shared" si="3"/>
        <v>2040</v>
      </c>
      <c r="AQ68" s="23" t="str">
        <f t="shared" si="3"/>
        <v>2041</v>
      </c>
      <c r="AR68" s="23" t="str">
        <f t="shared" si="3"/>
        <v>2042</v>
      </c>
      <c r="AS68" s="23" t="str">
        <f t="shared" si="3"/>
        <v>2043</v>
      </c>
      <c r="AT68" s="23" t="str">
        <f t="shared" si="3"/>
        <v>2044</v>
      </c>
      <c r="AU68" s="23" t="str">
        <f t="shared" si="3"/>
        <v>2045</v>
      </c>
      <c r="AV68" s="23" t="str">
        <f t="shared" si="3"/>
        <v>2046</v>
      </c>
      <c r="AW68" s="23" t="str">
        <f t="shared" si="3"/>
        <v>2047</v>
      </c>
      <c r="AX68" s="23" t="str">
        <f t="shared" si="3"/>
        <v>2048</v>
      </c>
      <c r="AY68" s="23" t="str">
        <f t="shared" si="3"/>
        <v>2049</v>
      </c>
      <c r="AZ68" s="23" t="str">
        <f t="shared" si="3"/>
        <v>2050</v>
      </c>
    </row>
    <row r="69" spans="1:52">
      <c r="A69" s="20" t="s">
        <v>17</v>
      </c>
    </row>
    <row r="70" spans="1:52">
      <c r="A70" s="20" t="s">
        <v>18</v>
      </c>
    </row>
    <row r="71" spans="1:52">
      <c r="A71" s="20" t="s">
        <v>19</v>
      </c>
    </row>
    <row r="72" spans="1:52">
      <c r="A72" s="20" t="s">
        <v>20</v>
      </c>
    </row>
    <row r="73" spans="1:52">
      <c r="A73" s="20" t="s">
        <v>21</v>
      </c>
    </row>
    <row r="74" spans="1:52">
      <c r="A74" s="20" t="s">
        <v>22</v>
      </c>
    </row>
    <row r="75" spans="1:52">
      <c r="A75" s="20" t="s">
        <v>23</v>
      </c>
    </row>
    <row r="76" spans="1:52">
      <c r="A76" s="20" t="s">
        <v>24</v>
      </c>
    </row>
    <row r="77" spans="1:52">
      <c r="A77" s="20" t="s">
        <v>25</v>
      </c>
    </row>
    <row r="78" spans="1:52">
      <c r="A78" s="20" t="s">
        <v>26</v>
      </c>
    </row>
    <row r="79" spans="1:52">
      <c r="A79" s="20" t="s">
        <v>27</v>
      </c>
    </row>
    <row r="80" spans="1:52">
      <c r="A80" s="20" t="s">
        <v>28</v>
      </c>
    </row>
    <row r="81" spans="1:52" ht="15.75" thickBot="1">
      <c r="A81" s="20" t="s">
        <v>29</v>
      </c>
    </row>
    <row r="82" spans="1:52">
      <c r="A82" s="25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</row>
    <row r="83" spans="1:52" ht="15.75" thickBot="1">
      <c r="A83" s="20" t="s">
        <v>91</v>
      </c>
    </row>
    <row r="84" spans="1:52" ht="15.75" thickBot="1">
      <c r="A84" s="22"/>
      <c r="B84" s="23" t="str">
        <f>B68</f>
        <v>2000</v>
      </c>
      <c r="C84" s="23" t="str">
        <f t="shared" ref="C84:AZ84" si="4">C68</f>
        <v>2001</v>
      </c>
      <c r="D84" s="23" t="str">
        <f t="shared" si="4"/>
        <v>2002</v>
      </c>
      <c r="E84" s="23" t="str">
        <f t="shared" si="4"/>
        <v>2003</v>
      </c>
      <c r="F84" s="23" t="str">
        <f t="shared" si="4"/>
        <v>2004</v>
      </c>
      <c r="G84" s="23" t="str">
        <f t="shared" si="4"/>
        <v>2005</v>
      </c>
      <c r="H84" s="23" t="str">
        <f t="shared" si="4"/>
        <v>2006</v>
      </c>
      <c r="I84" s="23" t="str">
        <f t="shared" si="4"/>
        <v>2007</v>
      </c>
      <c r="J84" s="23" t="str">
        <f t="shared" si="4"/>
        <v>2008</v>
      </c>
      <c r="K84" s="23" t="str">
        <f t="shared" si="4"/>
        <v>2009</v>
      </c>
      <c r="L84" s="23" t="str">
        <f t="shared" si="4"/>
        <v>2010</v>
      </c>
      <c r="M84" s="23" t="str">
        <f t="shared" si="4"/>
        <v>2011</v>
      </c>
      <c r="N84" s="23" t="str">
        <f t="shared" si="4"/>
        <v>2012</v>
      </c>
      <c r="O84" s="23" t="str">
        <f t="shared" si="4"/>
        <v>2013</v>
      </c>
      <c r="P84" s="23" t="str">
        <f t="shared" si="4"/>
        <v>2014</v>
      </c>
      <c r="Q84" s="23" t="str">
        <f t="shared" si="4"/>
        <v>2015</v>
      </c>
      <c r="R84" s="23" t="str">
        <f t="shared" si="4"/>
        <v>2016</v>
      </c>
      <c r="S84" s="23" t="str">
        <f t="shared" si="4"/>
        <v>2017</v>
      </c>
      <c r="T84" s="23" t="str">
        <f t="shared" si="4"/>
        <v>2018</v>
      </c>
      <c r="U84" s="23" t="str">
        <f t="shared" si="4"/>
        <v>2019</v>
      </c>
      <c r="V84" s="23" t="str">
        <f t="shared" si="4"/>
        <v>2020</v>
      </c>
      <c r="W84" s="23" t="str">
        <f t="shared" si="4"/>
        <v>2021</v>
      </c>
      <c r="X84" s="23" t="str">
        <f t="shared" si="4"/>
        <v>2022</v>
      </c>
      <c r="Y84" s="23" t="str">
        <f t="shared" si="4"/>
        <v>2023</v>
      </c>
      <c r="Z84" s="23" t="str">
        <f t="shared" si="4"/>
        <v>2024</v>
      </c>
      <c r="AA84" s="23" t="str">
        <f t="shared" si="4"/>
        <v>2025</v>
      </c>
      <c r="AB84" s="23" t="str">
        <f t="shared" si="4"/>
        <v>2026</v>
      </c>
      <c r="AC84" s="23" t="str">
        <f t="shared" si="4"/>
        <v>2027</v>
      </c>
      <c r="AD84" s="23" t="str">
        <f t="shared" si="4"/>
        <v>2028</v>
      </c>
      <c r="AE84" s="23" t="str">
        <f t="shared" si="4"/>
        <v>2029</v>
      </c>
      <c r="AF84" s="23" t="str">
        <f t="shared" si="4"/>
        <v>2030</v>
      </c>
      <c r="AG84" s="23" t="str">
        <f t="shared" si="4"/>
        <v>2031</v>
      </c>
      <c r="AH84" s="23" t="str">
        <f t="shared" si="4"/>
        <v>2032</v>
      </c>
      <c r="AI84" s="23" t="str">
        <f t="shared" si="4"/>
        <v>2033</v>
      </c>
      <c r="AJ84" s="23" t="str">
        <f t="shared" si="4"/>
        <v>2034</v>
      </c>
      <c r="AK84" s="23" t="str">
        <f t="shared" si="4"/>
        <v>2035</v>
      </c>
      <c r="AL84" s="23" t="str">
        <f t="shared" si="4"/>
        <v>2036</v>
      </c>
      <c r="AM84" s="23" t="str">
        <f t="shared" si="4"/>
        <v>2037</v>
      </c>
      <c r="AN84" s="23" t="str">
        <f t="shared" si="4"/>
        <v>2038</v>
      </c>
      <c r="AO84" s="23" t="str">
        <f t="shared" si="4"/>
        <v>2039</v>
      </c>
      <c r="AP84" s="23" t="str">
        <f t="shared" si="4"/>
        <v>2040</v>
      </c>
      <c r="AQ84" s="23" t="str">
        <f t="shared" si="4"/>
        <v>2041</v>
      </c>
      <c r="AR84" s="23" t="str">
        <f t="shared" si="4"/>
        <v>2042</v>
      </c>
      <c r="AS84" s="23" t="str">
        <f t="shared" si="4"/>
        <v>2043</v>
      </c>
      <c r="AT84" s="23" t="str">
        <f t="shared" si="4"/>
        <v>2044</v>
      </c>
      <c r="AU84" s="23" t="str">
        <f t="shared" si="4"/>
        <v>2045</v>
      </c>
      <c r="AV84" s="23" t="str">
        <f t="shared" si="4"/>
        <v>2046</v>
      </c>
      <c r="AW84" s="23" t="str">
        <f t="shared" si="4"/>
        <v>2047</v>
      </c>
      <c r="AX84" s="23" t="str">
        <f t="shared" si="4"/>
        <v>2048</v>
      </c>
      <c r="AY84" s="23" t="str">
        <f t="shared" si="4"/>
        <v>2049</v>
      </c>
      <c r="AZ84" s="23" t="str">
        <f t="shared" si="4"/>
        <v>2050</v>
      </c>
    </row>
    <row r="85" spans="1:52">
      <c r="A85" s="20" t="s">
        <v>17</v>
      </c>
    </row>
    <row r="86" spans="1:52">
      <c r="A86" s="20" t="s">
        <v>18</v>
      </c>
    </row>
    <row r="87" spans="1:52">
      <c r="A87" s="20" t="s">
        <v>19</v>
      </c>
    </row>
    <row r="88" spans="1:52">
      <c r="A88" s="20" t="s">
        <v>20</v>
      </c>
    </row>
    <row r="89" spans="1:52">
      <c r="A89" s="20" t="s">
        <v>21</v>
      </c>
    </row>
    <row r="90" spans="1:52">
      <c r="A90" s="20" t="s">
        <v>22</v>
      </c>
    </row>
    <row r="91" spans="1:52">
      <c r="A91" s="20" t="s">
        <v>23</v>
      </c>
    </row>
    <row r="92" spans="1:52">
      <c r="A92" s="20" t="s">
        <v>24</v>
      </c>
    </row>
    <row r="93" spans="1:52">
      <c r="A93" s="20" t="s">
        <v>25</v>
      </c>
    </row>
    <row r="94" spans="1:52">
      <c r="A94" s="20" t="s">
        <v>26</v>
      </c>
    </row>
    <row r="95" spans="1:52">
      <c r="A95" s="20" t="s">
        <v>27</v>
      </c>
    </row>
    <row r="96" spans="1:52">
      <c r="A96" s="20" t="s">
        <v>28</v>
      </c>
    </row>
    <row r="97" spans="1:52" ht="15.75" thickBot="1">
      <c r="A97" s="20" t="s">
        <v>29</v>
      </c>
    </row>
    <row r="98" spans="1:52">
      <c r="A98" s="25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</row>
    <row r="99" spans="1:52" ht="15.75" thickBot="1">
      <c r="A99" s="20" t="s">
        <v>92</v>
      </c>
    </row>
    <row r="100" spans="1:52" ht="15.75" thickBot="1">
      <c r="A100" s="22"/>
      <c r="B100" s="23" t="str">
        <f>B84</f>
        <v>2000</v>
      </c>
      <c r="C100" s="23" t="str">
        <f t="shared" ref="C100:AZ100" si="5">C84</f>
        <v>2001</v>
      </c>
      <c r="D100" s="23" t="str">
        <f t="shared" si="5"/>
        <v>2002</v>
      </c>
      <c r="E100" s="23" t="str">
        <f t="shared" si="5"/>
        <v>2003</v>
      </c>
      <c r="F100" s="23" t="str">
        <f t="shared" si="5"/>
        <v>2004</v>
      </c>
      <c r="G100" s="23" t="str">
        <f t="shared" si="5"/>
        <v>2005</v>
      </c>
      <c r="H100" s="23" t="str">
        <f t="shared" si="5"/>
        <v>2006</v>
      </c>
      <c r="I100" s="23" t="str">
        <f t="shared" si="5"/>
        <v>2007</v>
      </c>
      <c r="J100" s="23" t="str">
        <f t="shared" si="5"/>
        <v>2008</v>
      </c>
      <c r="K100" s="23" t="str">
        <f t="shared" si="5"/>
        <v>2009</v>
      </c>
      <c r="L100" s="23" t="str">
        <f t="shared" si="5"/>
        <v>2010</v>
      </c>
      <c r="M100" s="23" t="str">
        <f t="shared" si="5"/>
        <v>2011</v>
      </c>
      <c r="N100" s="23" t="str">
        <f t="shared" si="5"/>
        <v>2012</v>
      </c>
      <c r="O100" s="23" t="str">
        <f t="shared" si="5"/>
        <v>2013</v>
      </c>
      <c r="P100" s="23" t="str">
        <f t="shared" si="5"/>
        <v>2014</v>
      </c>
      <c r="Q100" s="23" t="str">
        <f t="shared" si="5"/>
        <v>2015</v>
      </c>
      <c r="R100" s="23" t="str">
        <f t="shared" si="5"/>
        <v>2016</v>
      </c>
      <c r="S100" s="23" t="str">
        <f t="shared" si="5"/>
        <v>2017</v>
      </c>
      <c r="T100" s="23" t="str">
        <f t="shared" si="5"/>
        <v>2018</v>
      </c>
      <c r="U100" s="23" t="str">
        <f t="shared" si="5"/>
        <v>2019</v>
      </c>
      <c r="V100" s="23" t="str">
        <f t="shared" si="5"/>
        <v>2020</v>
      </c>
      <c r="W100" s="23" t="str">
        <f t="shared" si="5"/>
        <v>2021</v>
      </c>
      <c r="X100" s="23" t="str">
        <f t="shared" si="5"/>
        <v>2022</v>
      </c>
      <c r="Y100" s="23" t="str">
        <f t="shared" si="5"/>
        <v>2023</v>
      </c>
      <c r="Z100" s="23" t="str">
        <f t="shared" si="5"/>
        <v>2024</v>
      </c>
      <c r="AA100" s="23" t="str">
        <f t="shared" si="5"/>
        <v>2025</v>
      </c>
      <c r="AB100" s="23" t="str">
        <f t="shared" si="5"/>
        <v>2026</v>
      </c>
      <c r="AC100" s="23" t="str">
        <f t="shared" si="5"/>
        <v>2027</v>
      </c>
      <c r="AD100" s="23" t="str">
        <f t="shared" si="5"/>
        <v>2028</v>
      </c>
      <c r="AE100" s="23" t="str">
        <f t="shared" si="5"/>
        <v>2029</v>
      </c>
      <c r="AF100" s="23" t="str">
        <f t="shared" si="5"/>
        <v>2030</v>
      </c>
      <c r="AG100" s="23" t="str">
        <f t="shared" si="5"/>
        <v>2031</v>
      </c>
      <c r="AH100" s="23" t="str">
        <f t="shared" si="5"/>
        <v>2032</v>
      </c>
      <c r="AI100" s="23" t="str">
        <f t="shared" si="5"/>
        <v>2033</v>
      </c>
      <c r="AJ100" s="23" t="str">
        <f t="shared" si="5"/>
        <v>2034</v>
      </c>
      <c r="AK100" s="23" t="str">
        <f t="shared" si="5"/>
        <v>2035</v>
      </c>
      <c r="AL100" s="23" t="str">
        <f t="shared" si="5"/>
        <v>2036</v>
      </c>
      <c r="AM100" s="23" t="str">
        <f t="shared" si="5"/>
        <v>2037</v>
      </c>
      <c r="AN100" s="23" t="str">
        <f t="shared" si="5"/>
        <v>2038</v>
      </c>
      <c r="AO100" s="23" t="str">
        <f t="shared" si="5"/>
        <v>2039</v>
      </c>
      <c r="AP100" s="23" t="str">
        <f t="shared" si="5"/>
        <v>2040</v>
      </c>
      <c r="AQ100" s="23" t="str">
        <f t="shared" si="5"/>
        <v>2041</v>
      </c>
      <c r="AR100" s="23" t="str">
        <f t="shared" si="5"/>
        <v>2042</v>
      </c>
      <c r="AS100" s="23" t="str">
        <f t="shared" si="5"/>
        <v>2043</v>
      </c>
      <c r="AT100" s="23" t="str">
        <f t="shared" si="5"/>
        <v>2044</v>
      </c>
      <c r="AU100" s="23" t="str">
        <f t="shared" si="5"/>
        <v>2045</v>
      </c>
      <c r="AV100" s="23" t="str">
        <f t="shared" si="5"/>
        <v>2046</v>
      </c>
      <c r="AW100" s="23" t="str">
        <f t="shared" si="5"/>
        <v>2047</v>
      </c>
      <c r="AX100" s="23" t="str">
        <f t="shared" si="5"/>
        <v>2048</v>
      </c>
      <c r="AY100" s="23" t="str">
        <f t="shared" si="5"/>
        <v>2049</v>
      </c>
      <c r="AZ100" s="23" t="str">
        <f t="shared" si="5"/>
        <v>2050</v>
      </c>
    </row>
    <row r="101" spans="1:52">
      <c r="A101" s="20" t="s">
        <v>17</v>
      </c>
    </row>
    <row r="102" spans="1:52">
      <c r="A102" s="20" t="s">
        <v>18</v>
      </c>
    </row>
    <row r="103" spans="1:52">
      <c r="A103" s="20" t="s">
        <v>19</v>
      </c>
    </row>
    <row r="104" spans="1:52">
      <c r="A104" s="20" t="s">
        <v>20</v>
      </c>
    </row>
    <row r="105" spans="1:52">
      <c r="A105" s="20" t="s">
        <v>21</v>
      </c>
    </row>
    <row r="106" spans="1:52">
      <c r="A106" s="20" t="s">
        <v>22</v>
      </c>
    </row>
    <row r="107" spans="1:52">
      <c r="A107" s="20" t="s">
        <v>23</v>
      </c>
    </row>
    <row r="108" spans="1:52">
      <c r="A108" s="20" t="s">
        <v>24</v>
      </c>
    </row>
    <row r="109" spans="1:52">
      <c r="A109" s="20" t="s">
        <v>25</v>
      </c>
    </row>
    <row r="110" spans="1:52">
      <c r="A110" s="20" t="s">
        <v>26</v>
      </c>
    </row>
    <row r="111" spans="1:52">
      <c r="A111" s="20" t="s">
        <v>27</v>
      </c>
    </row>
    <row r="112" spans="1:52">
      <c r="A112" s="20" t="s">
        <v>28</v>
      </c>
    </row>
    <row r="113" spans="1:52" ht="15.75" thickBot="1">
      <c r="A113" s="20" t="s">
        <v>29</v>
      </c>
    </row>
    <row r="114" spans="1:52">
      <c r="A114" s="25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</row>
    <row r="115" spans="1:52" ht="15.75" thickBot="1">
      <c r="A115" s="20" t="s">
        <v>93</v>
      </c>
    </row>
    <row r="116" spans="1:52" ht="15.75" thickBot="1">
      <c r="A116" s="22"/>
      <c r="B116" s="23" t="str">
        <f>B100</f>
        <v>2000</v>
      </c>
      <c r="C116" s="23" t="str">
        <f t="shared" ref="C116:AZ116" si="6">C100</f>
        <v>2001</v>
      </c>
      <c r="D116" s="23" t="str">
        <f t="shared" si="6"/>
        <v>2002</v>
      </c>
      <c r="E116" s="23" t="str">
        <f t="shared" si="6"/>
        <v>2003</v>
      </c>
      <c r="F116" s="23" t="str">
        <f t="shared" si="6"/>
        <v>2004</v>
      </c>
      <c r="G116" s="23" t="str">
        <f t="shared" si="6"/>
        <v>2005</v>
      </c>
      <c r="H116" s="23" t="str">
        <f t="shared" si="6"/>
        <v>2006</v>
      </c>
      <c r="I116" s="23" t="str">
        <f t="shared" si="6"/>
        <v>2007</v>
      </c>
      <c r="J116" s="23" t="str">
        <f t="shared" si="6"/>
        <v>2008</v>
      </c>
      <c r="K116" s="23" t="str">
        <f t="shared" si="6"/>
        <v>2009</v>
      </c>
      <c r="L116" s="23" t="str">
        <f t="shared" si="6"/>
        <v>2010</v>
      </c>
      <c r="M116" s="23" t="str">
        <f t="shared" si="6"/>
        <v>2011</v>
      </c>
      <c r="N116" s="23" t="str">
        <f t="shared" si="6"/>
        <v>2012</v>
      </c>
      <c r="O116" s="23" t="str">
        <f t="shared" si="6"/>
        <v>2013</v>
      </c>
      <c r="P116" s="23" t="str">
        <f t="shared" si="6"/>
        <v>2014</v>
      </c>
      <c r="Q116" s="23" t="str">
        <f t="shared" si="6"/>
        <v>2015</v>
      </c>
      <c r="R116" s="23" t="str">
        <f t="shared" si="6"/>
        <v>2016</v>
      </c>
      <c r="S116" s="23" t="str">
        <f t="shared" si="6"/>
        <v>2017</v>
      </c>
      <c r="T116" s="23" t="str">
        <f t="shared" si="6"/>
        <v>2018</v>
      </c>
      <c r="U116" s="23" t="str">
        <f t="shared" si="6"/>
        <v>2019</v>
      </c>
      <c r="V116" s="23" t="str">
        <f t="shared" si="6"/>
        <v>2020</v>
      </c>
      <c r="W116" s="23" t="str">
        <f t="shared" si="6"/>
        <v>2021</v>
      </c>
      <c r="X116" s="23" t="str">
        <f t="shared" si="6"/>
        <v>2022</v>
      </c>
      <c r="Y116" s="23" t="str">
        <f t="shared" si="6"/>
        <v>2023</v>
      </c>
      <c r="Z116" s="23" t="str">
        <f t="shared" si="6"/>
        <v>2024</v>
      </c>
      <c r="AA116" s="23" t="str">
        <f t="shared" si="6"/>
        <v>2025</v>
      </c>
      <c r="AB116" s="23" t="str">
        <f t="shared" si="6"/>
        <v>2026</v>
      </c>
      <c r="AC116" s="23" t="str">
        <f t="shared" si="6"/>
        <v>2027</v>
      </c>
      <c r="AD116" s="23" t="str">
        <f t="shared" si="6"/>
        <v>2028</v>
      </c>
      <c r="AE116" s="23" t="str">
        <f t="shared" si="6"/>
        <v>2029</v>
      </c>
      <c r="AF116" s="23" t="str">
        <f t="shared" si="6"/>
        <v>2030</v>
      </c>
      <c r="AG116" s="23" t="str">
        <f t="shared" si="6"/>
        <v>2031</v>
      </c>
      <c r="AH116" s="23" t="str">
        <f t="shared" si="6"/>
        <v>2032</v>
      </c>
      <c r="AI116" s="23" t="str">
        <f t="shared" si="6"/>
        <v>2033</v>
      </c>
      <c r="AJ116" s="23" t="str">
        <f t="shared" si="6"/>
        <v>2034</v>
      </c>
      <c r="AK116" s="23" t="str">
        <f t="shared" si="6"/>
        <v>2035</v>
      </c>
      <c r="AL116" s="23" t="str">
        <f t="shared" si="6"/>
        <v>2036</v>
      </c>
      <c r="AM116" s="23" t="str">
        <f t="shared" si="6"/>
        <v>2037</v>
      </c>
      <c r="AN116" s="23" t="str">
        <f t="shared" si="6"/>
        <v>2038</v>
      </c>
      <c r="AO116" s="23" t="str">
        <f t="shared" si="6"/>
        <v>2039</v>
      </c>
      <c r="AP116" s="23" t="str">
        <f t="shared" si="6"/>
        <v>2040</v>
      </c>
      <c r="AQ116" s="23" t="str">
        <f t="shared" si="6"/>
        <v>2041</v>
      </c>
      <c r="AR116" s="23" t="str">
        <f t="shared" si="6"/>
        <v>2042</v>
      </c>
      <c r="AS116" s="23" t="str">
        <f t="shared" si="6"/>
        <v>2043</v>
      </c>
      <c r="AT116" s="23" t="str">
        <f t="shared" si="6"/>
        <v>2044</v>
      </c>
      <c r="AU116" s="23" t="str">
        <f t="shared" si="6"/>
        <v>2045</v>
      </c>
      <c r="AV116" s="23" t="str">
        <f t="shared" si="6"/>
        <v>2046</v>
      </c>
      <c r="AW116" s="23" t="str">
        <f t="shared" si="6"/>
        <v>2047</v>
      </c>
      <c r="AX116" s="23" t="str">
        <f t="shared" si="6"/>
        <v>2048</v>
      </c>
      <c r="AY116" s="23" t="str">
        <f t="shared" si="6"/>
        <v>2049</v>
      </c>
      <c r="AZ116" s="23" t="str">
        <f t="shared" si="6"/>
        <v>2050</v>
      </c>
    </row>
    <row r="117" spans="1:52">
      <c r="A117" s="20" t="s">
        <v>17</v>
      </c>
    </row>
    <row r="118" spans="1:52">
      <c r="A118" s="20" t="s">
        <v>18</v>
      </c>
    </row>
    <row r="119" spans="1:52">
      <c r="A119" s="20" t="s">
        <v>19</v>
      </c>
    </row>
    <row r="120" spans="1:52">
      <c r="A120" s="20" t="s">
        <v>20</v>
      </c>
    </row>
    <row r="121" spans="1:52">
      <c r="A121" s="20" t="s">
        <v>21</v>
      </c>
    </row>
    <row r="122" spans="1:52">
      <c r="A122" s="20" t="s">
        <v>22</v>
      </c>
    </row>
    <row r="123" spans="1:52">
      <c r="A123" s="20" t="s">
        <v>23</v>
      </c>
    </row>
    <row r="124" spans="1:52">
      <c r="A124" s="20" t="s">
        <v>24</v>
      </c>
    </row>
    <row r="125" spans="1:52">
      <c r="A125" s="20" t="s">
        <v>25</v>
      </c>
    </row>
    <row r="126" spans="1:52">
      <c r="A126" s="20" t="s">
        <v>26</v>
      </c>
    </row>
    <row r="127" spans="1:52">
      <c r="A127" s="20" t="s">
        <v>27</v>
      </c>
    </row>
    <row r="128" spans="1:52">
      <c r="A128" s="20" t="s">
        <v>28</v>
      </c>
    </row>
    <row r="129" spans="1:52" ht="15.75" thickBot="1">
      <c r="A129" s="20" t="s">
        <v>29</v>
      </c>
    </row>
    <row r="130" spans="1:52">
      <c r="A130" s="25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</row>
    <row r="131" spans="1:52" ht="15.75" thickBot="1">
      <c r="A131" s="20" t="s">
        <v>94</v>
      </c>
    </row>
    <row r="132" spans="1:52" ht="15.75" thickBot="1">
      <c r="A132" s="22"/>
      <c r="B132" s="23" t="str">
        <f>B116</f>
        <v>2000</v>
      </c>
      <c r="C132" s="23" t="str">
        <f t="shared" ref="C132:AZ132" si="7">C116</f>
        <v>2001</v>
      </c>
      <c r="D132" s="23" t="str">
        <f t="shared" si="7"/>
        <v>2002</v>
      </c>
      <c r="E132" s="23" t="str">
        <f t="shared" si="7"/>
        <v>2003</v>
      </c>
      <c r="F132" s="23" t="str">
        <f t="shared" si="7"/>
        <v>2004</v>
      </c>
      <c r="G132" s="23" t="str">
        <f t="shared" si="7"/>
        <v>2005</v>
      </c>
      <c r="H132" s="23" t="str">
        <f t="shared" si="7"/>
        <v>2006</v>
      </c>
      <c r="I132" s="23" t="str">
        <f t="shared" si="7"/>
        <v>2007</v>
      </c>
      <c r="J132" s="23" t="str">
        <f t="shared" si="7"/>
        <v>2008</v>
      </c>
      <c r="K132" s="23" t="str">
        <f t="shared" si="7"/>
        <v>2009</v>
      </c>
      <c r="L132" s="23" t="str">
        <f t="shared" si="7"/>
        <v>2010</v>
      </c>
      <c r="M132" s="23" t="str">
        <f t="shared" si="7"/>
        <v>2011</v>
      </c>
      <c r="N132" s="23" t="str">
        <f t="shared" si="7"/>
        <v>2012</v>
      </c>
      <c r="O132" s="23" t="str">
        <f t="shared" si="7"/>
        <v>2013</v>
      </c>
      <c r="P132" s="23" t="str">
        <f t="shared" si="7"/>
        <v>2014</v>
      </c>
      <c r="Q132" s="23" t="str">
        <f t="shared" si="7"/>
        <v>2015</v>
      </c>
      <c r="R132" s="23" t="str">
        <f t="shared" si="7"/>
        <v>2016</v>
      </c>
      <c r="S132" s="23" t="str">
        <f t="shared" si="7"/>
        <v>2017</v>
      </c>
      <c r="T132" s="23" t="str">
        <f t="shared" si="7"/>
        <v>2018</v>
      </c>
      <c r="U132" s="23" t="str">
        <f t="shared" si="7"/>
        <v>2019</v>
      </c>
      <c r="V132" s="23" t="str">
        <f t="shared" si="7"/>
        <v>2020</v>
      </c>
      <c r="W132" s="23" t="str">
        <f t="shared" si="7"/>
        <v>2021</v>
      </c>
      <c r="X132" s="23" t="str">
        <f t="shared" si="7"/>
        <v>2022</v>
      </c>
      <c r="Y132" s="23" t="str">
        <f t="shared" si="7"/>
        <v>2023</v>
      </c>
      <c r="Z132" s="23" t="str">
        <f t="shared" si="7"/>
        <v>2024</v>
      </c>
      <c r="AA132" s="23" t="str">
        <f t="shared" si="7"/>
        <v>2025</v>
      </c>
      <c r="AB132" s="23" t="str">
        <f t="shared" si="7"/>
        <v>2026</v>
      </c>
      <c r="AC132" s="23" t="str">
        <f t="shared" si="7"/>
        <v>2027</v>
      </c>
      <c r="AD132" s="23" t="str">
        <f t="shared" si="7"/>
        <v>2028</v>
      </c>
      <c r="AE132" s="23" t="str">
        <f t="shared" si="7"/>
        <v>2029</v>
      </c>
      <c r="AF132" s="23" t="str">
        <f t="shared" si="7"/>
        <v>2030</v>
      </c>
      <c r="AG132" s="23" t="str">
        <f t="shared" si="7"/>
        <v>2031</v>
      </c>
      <c r="AH132" s="23" t="str">
        <f t="shared" si="7"/>
        <v>2032</v>
      </c>
      <c r="AI132" s="23" t="str">
        <f t="shared" si="7"/>
        <v>2033</v>
      </c>
      <c r="AJ132" s="23" t="str">
        <f t="shared" si="7"/>
        <v>2034</v>
      </c>
      <c r="AK132" s="23" t="str">
        <f t="shared" si="7"/>
        <v>2035</v>
      </c>
      <c r="AL132" s="23" t="str">
        <f t="shared" si="7"/>
        <v>2036</v>
      </c>
      <c r="AM132" s="23" t="str">
        <f t="shared" si="7"/>
        <v>2037</v>
      </c>
      <c r="AN132" s="23" t="str">
        <f t="shared" si="7"/>
        <v>2038</v>
      </c>
      <c r="AO132" s="23" t="str">
        <f t="shared" si="7"/>
        <v>2039</v>
      </c>
      <c r="AP132" s="23" t="str">
        <f t="shared" si="7"/>
        <v>2040</v>
      </c>
      <c r="AQ132" s="23" t="str">
        <f t="shared" si="7"/>
        <v>2041</v>
      </c>
      <c r="AR132" s="23" t="str">
        <f t="shared" si="7"/>
        <v>2042</v>
      </c>
      <c r="AS132" s="23" t="str">
        <f t="shared" si="7"/>
        <v>2043</v>
      </c>
      <c r="AT132" s="23" t="str">
        <f t="shared" si="7"/>
        <v>2044</v>
      </c>
      <c r="AU132" s="23" t="str">
        <f t="shared" si="7"/>
        <v>2045</v>
      </c>
      <c r="AV132" s="23" t="str">
        <f t="shared" si="7"/>
        <v>2046</v>
      </c>
      <c r="AW132" s="23" t="str">
        <f t="shared" si="7"/>
        <v>2047</v>
      </c>
      <c r="AX132" s="23" t="str">
        <f t="shared" si="7"/>
        <v>2048</v>
      </c>
      <c r="AY132" s="23" t="str">
        <f t="shared" si="7"/>
        <v>2049</v>
      </c>
      <c r="AZ132" s="23" t="str">
        <f t="shared" si="7"/>
        <v>2050</v>
      </c>
    </row>
    <row r="133" spans="1:52">
      <c r="A133" s="20" t="s">
        <v>17</v>
      </c>
    </row>
    <row r="134" spans="1:52">
      <c r="A134" s="20" t="s">
        <v>18</v>
      </c>
    </row>
    <row r="135" spans="1:52">
      <c r="A135" s="20" t="s">
        <v>19</v>
      </c>
    </row>
    <row r="136" spans="1:52">
      <c r="A136" s="20" t="s">
        <v>20</v>
      </c>
    </row>
    <row r="137" spans="1:52">
      <c r="A137" s="20" t="s">
        <v>21</v>
      </c>
    </row>
    <row r="138" spans="1:52">
      <c r="A138" s="20" t="s">
        <v>22</v>
      </c>
    </row>
    <row r="139" spans="1:52">
      <c r="A139" s="20" t="s">
        <v>23</v>
      </c>
    </row>
    <row r="140" spans="1:52">
      <c r="A140" s="20" t="s">
        <v>24</v>
      </c>
    </row>
    <row r="141" spans="1:52">
      <c r="A141" s="20" t="s">
        <v>25</v>
      </c>
    </row>
    <row r="142" spans="1:52">
      <c r="A142" s="20" t="s">
        <v>26</v>
      </c>
    </row>
    <row r="143" spans="1:52">
      <c r="A143" s="20" t="s">
        <v>27</v>
      </c>
    </row>
    <row r="144" spans="1:52">
      <c r="A144" s="20" t="s">
        <v>28</v>
      </c>
    </row>
    <row r="145" spans="1:52" ht="15.75" thickBot="1">
      <c r="A145" s="20" t="s">
        <v>29</v>
      </c>
    </row>
    <row r="146" spans="1:52">
      <c r="A146" s="25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</row>
    <row r="147" spans="1:52" ht="15.75" thickBot="1">
      <c r="A147" s="20" t="s">
        <v>95</v>
      </c>
    </row>
    <row r="148" spans="1:52" ht="15.75" thickBot="1">
      <c r="A148" s="22"/>
      <c r="B148" s="23" t="str">
        <f>B132</f>
        <v>2000</v>
      </c>
      <c r="C148" s="23" t="str">
        <f t="shared" ref="C148:AZ148" si="8">C132</f>
        <v>2001</v>
      </c>
      <c r="D148" s="23" t="str">
        <f t="shared" si="8"/>
        <v>2002</v>
      </c>
      <c r="E148" s="23" t="str">
        <f t="shared" si="8"/>
        <v>2003</v>
      </c>
      <c r="F148" s="23" t="str">
        <f t="shared" si="8"/>
        <v>2004</v>
      </c>
      <c r="G148" s="23" t="str">
        <f t="shared" si="8"/>
        <v>2005</v>
      </c>
      <c r="H148" s="23" t="str">
        <f t="shared" si="8"/>
        <v>2006</v>
      </c>
      <c r="I148" s="23" t="str">
        <f t="shared" si="8"/>
        <v>2007</v>
      </c>
      <c r="J148" s="23" t="str">
        <f t="shared" si="8"/>
        <v>2008</v>
      </c>
      <c r="K148" s="23" t="str">
        <f t="shared" si="8"/>
        <v>2009</v>
      </c>
      <c r="L148" s="23" t="str">
        <f t="shared" si="8"/>
        <v>2010</v>
      </c>
      <c r="M148" s="23" t="str">
        <f t="shared" si="8"/>
        <v>2011</v>
      </c>
      <c r="N148" s="23" t="str">
        <f t="shared" si="8"/>
        <v>2012</v>
      </c>
      <c r="O148" s="23" t="str">
        <f t="shared" si="8"/>
        <v>2013</v>
      </c>
      <c r="P148" s="23" t="str">
        <f t="shared" si="8"/>
        <v>2014</v>
      </c>
      <c r="Q148" s="23" t="str">
        <f t="shared" si="8"/>
        <v>2015</v>
      </c>
      <c r="R148" s="23" t="str">
        <f t="shared" si="8"/>
        <v>2016</v>
      </c>
      <c r="S148" s="23" t="str">
        <f t="shared" si="8"/>
        <v>2017</v>
      </c>
      <c r="T148" s="23" t="str">
        <f t="shared" si="8"/>
        <v>2018</v>
      </c>
      <c r="U148" s="23" t="str">
        <f t="shared" si="8"/>
        <v>2019</v>
      </c>
      <c r="V148" s="23" t="str">
        <f t="shared" si="8"/>
        <v>2020</v>
      </c>
      <c r="W148" s="23" t="str">
        <f t="shared" si="8"/>
        <v>2021</v>
      </c>
      <c r="X148" s="23" t="str">
        <f t="shared" si="8"/>
        <v>2022</v>
      </c>
      <c r="Y148" s="23" t="str">
        <f t="shared" si="8"/>
        <v>2023</v>
      </c>
      <c r="Z148" s="23" t="str">
        <f t="shared" si="8"/>
        <v>2024</v>
      </c>
      <c r="AA148" s="23" t="str">
        <f t="shared" si="8"/>
        <v>2025</v>
      </c>
      <c r="AB148" s="23" t="str">
        <f t="shared" si="8"/>
        <v>2026</v>
      </c>
      <c r="AC148" s="23" t="str">
        <f t="shared" si="8"/>
        <v>2027</v>
      </c>
      <c r="AD148" s="23" t="str">
        <f t="shared" si="8"/>
        <v>2028</v>
      </c>
      <c r="AE148" s="23" t="str">
        <f t="shared" si="8"/>
        <v>2029</v>
      </c>
      <c r="AF148" s="23" t="str">
        <f t="shared" si="8"/>
        <v>2030</v>
      </c>
      <c r="AG148" s="23" t="str">
        <f t="shared" si="8"/>
        <v>2031</v>
      </c>
      <c r="AH148" s="23" t="str">
        <f t="shared" si="8"/>
        <v>2032</v>
      </c>
      <c r="AI148" s="23" t="str">
        <f t="shared" si="8"/>
        <v>2033</v>
      </c>
      <c r="AJ148" s="23" t="str">
        <f t="shared" si="8"/>
        <v>2034</v>
      </c>
      <c r="AK148" s="23" t="str">
        <f t="shared" si="8"/>
        <v>2035</v>
      </c>
      <c r="AL148" s="23" t="str">
        <f t="shared" si="8"/>
        <v>2036</v>
      </c>
      <c r="AM148" s="23" t="str">
        <f t="shared" si="8"/>
        <v>2037</v>
      </c>
      <c r="AN148" s="23" t="str">
        <f t="shared" si="8"/>
        <v>2038</v>
      </c>
      <c r="AO148" s="23" t="str">
        <f t="shared" si="8"/>
        <v>2039</v>
      </c>
      <c r="AP148" s="23" t="str">
        <f t="shared" si="8"/>
        <v>2040</v>
      </c>
      <c r="AQ148" s="23" t="str">
        <f t="shared" si="8"/>
        <v>2041</v>
      </c>
      <c r="AR148" s="23" t="str">
        <f t="shared" si="8"/>
        <v>2042</v>
      </c>
      <c r="AS148" s="23" t="str">
        <f t="shared" si="8"/>
        <v>2043</v>
      </c>
      <c r="AT148" s="23" t="str">
        <f t="shared" si="8"/>
        <v>2044</v>
      </c>
      <c r="AU148" s="23" t="str">
        <f t="shared" si="8"/>
        <v>2045</v>
      </c>
      <c r="AV148" s="23" t="str">
        <f t="shared" si="8"/>
        <v>2046</v>
      </c>
      <c r="AW148" s="23" t="str">
        <f t="shared" si="8"/>
        <v>2047</v>
      </c>
      <c r="AX148" s="23" t="str">
        <f t="shared" si="8"/>
        <v>2048</v>
      </c>
      <c r="AY148" s="23" t="str">
        <f t="shared" si="8"/>
        <v>2049</v>
      </c>
      <c r="AZ148" s="23" t="str">
        <f t="shared" si="8"/>
        <v>2050</v>
      </c>
    </row>
    <row r="149" spans="1:52">
      <c r="A149" s="20" t="s">
        <v>17</v>
      </c>
    </row>
    <row r="150" spans="1:52">
      <c r="A150" s="20" t="s">
        <v>18</v>
      </c>
    </row>
    <row r="151" spans="1:52">
      <c r="A151" s="20" t="s">
        <v>19</v>
      </c>
    </row>
    <row r="152" spans="1:52">
      <c r="A152" s="20" t="s">
        <v>20</v>
      </c>
    </row>
    <row r="153" spans="1:52">
      <c r="A153" s="20" t="s">
        <v>21</v>
      </c>
    </row>
    <row r="154" spans="1:52">
      <c r="A154" s="20" t="s">
        <v>22</v>
      </c>
    </row>
    <row r="155" spans="1:52">
      <c r="A155" s="20" t="s">
        <v>23</v>
      </c>
    </row>
    <row r="156" spans="1:52">
      <c r="A156" s="20" t="s">
        <v>24</v>
      </c>
    </row>
    <row r="157" spans="1:52">
      <c r="A157" s="20" t="s">
        <v>25</v>
      </c>
    </row>
    <row r="158" spans="1:52">
      <c r="A158" s="20" t="s">
        <v>26</v>
      </c>
    </row>
    <row r="159" spans="1:52">
      <c r="A159" s="20" t="s">
        <v>27</v>
      </c>
    </row>
    <row r="160" spans="1:52" ht="15.75" thickBot="1">
      <c r="A160" s="20" t="s">
        <v>28</v>
      </c>
    </row>
    <row r="161" spans="1:52">
      <c r="A161" s="25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</row>
    <row r="162" spans="1:52" ht="15.75" thickBot="1">
      <c r="A162" s="20" t="s">
        <v>38</v>
      </c>
    </row>
    <row r="163" spans="1:52" ht="15.75" thickBot="1">
      <c r="A163" s="22"/>
      <c r="B163" s="23" t="str">
        <f>B148</f>
        <v>2000</v>
      </c>
      <c r="C163" s="23" t="str">
        <f t="shared" ref="C163:AZ163" si="9">C148</f>
        <v>2001</v>
      </c>
      <c r="D163" s="23" t="str">
        <f t="shared" si="9"/>
        <v>2002</v>
      </c>
      <c r="E163" s="23" t="str">
        <f t="shared" si="9"/>
        <v>2003</v>
      </c>
      <c r="F163" s="23" t="str">
        <f t="shared" si="9"/>
        <v>2004</v>
      </c>
      <c r="G163" s="23" t="str">
        <f t="shared" si="9"/>
        <v>2005</v>
      </c>
      <c r="H163" s="23" t="str">
        <f t="shared" si="9"/>
        <v>2006</v>
      </c>
      <c r="I163" s="23" t="str">
        <f t="shared" si="9"/>
        <v>2007</v>
      </c>
      <c r="J163" s="23" t="str">
        <f t="shared" si="9"/>
        <v>2008</v>
      </c>
      <c r="K163" s="23" t="str">
        <f t="shared" si="9"/>
        <v>2009</v>
      </c>
      <c r="L163" s="23" t="str">
        <f t="shared" si="9"/>
        <v>2010</v>
      </c>
      <c r="M163" s="23" t="str">
        <f t="shared" si="9"/>
        <v>2011</v>
      </c>
      <c r="N163" s="23" t="str">
        <f t="shared" si="9"/>
        <v>2012</v>
      </c>
      <c r="O163" s="23" t="str">
        <f t="shared" si="9"/>
        <v>2013</v>
      </c>
      <c r="P163" s="23" t="str">
        <f t="shared" si="9"/>
        <v>2014</v>
      </c>
      <c r="Q163" s="23" t="str">
        <f t="shared" si="9"/>
        <v>2015</v>
      </c>
      <c r="R163" s="23" t="str">
        <f t="shared" si="9"/>
        <v>2016</v>
      </c>
      <c r="S163" s="23" t="str">
        <f t="shared" si="9"/>
        <v>2017</v>
      </c>
      <c r="T163" s="23" t="str">
        <f t="shared" si="9"/>
        <v>2018</v>
      </c>
      <c r="U163" s="23" t="str">
        <f t="shared" si="9"/>
        <v>2019</v>
      </c>
      <c r="V163" s="23" t="str">
        <f t="shared" si="9"/>
        <v>2020</v>
      </c>
      <c r="W163" s="23" t="str">
        <f t="shared" si="9"/>
        <v>2021</v>
      </c>
      <c r="X163" s="23" t="str">
        <f t="shared" si="9"/>
        <v>2022</v>
      </c>
      <c r="Y163" s="23" t="str">
        <f t="shared" si="9"/>
        <v>2023</v>
      </c>
      <c r="Z163" s="23" t="str">
        <f t="shared" si="9"/>
        <v>2024</v>
      </c>
      <c r="AA163" s="23" t="str">
        <f t="shared" si="9"/>
        <v>2025</v>
      </c>
      <c r="AB163" s="23" t="str">
        <f t="shared" si="9"/>
        <v>2026</v>
      </c>
      <c r="AC163" s="23" t="str">
        <f t="shared" si="9"/>
        <v>2027</v>
      </c>
      <c r="AD163" s="23" t="str">
        <f t="shared" si="9"/>
        <v>2028</v>
      </c>
      <c r="AE163" s="23" t="str">
        <f t="shared" si="9"/>
        <v>2029</v>
      </c>
      <c r="AF163" s="23" t="str">
        <f t="shared" si="9"/>
        <v>2030</v>
      </c>
      <c r="AG163" s="23" t="str">
        <f t="shared" si="9"/>
        <v>2031</v>
      </c>
      <c r="AH163" s="23" t="str">
        <f t="shared" si="9"/>
        <v>2032</v>
      </c>
      <c r="AI163" s="23" t="str">
        <f t="shared" si="9"/>
        <v>2033</v>
      </c>
      <c r="AJ163" s="23" t="str">
        <f t="shared" si="9"/>
        <v>2034</v>
      </c>
      <c r="AK163" s="23" t="str">
        <f t="shared" si="9"/>
        <v>2035</v>
      </c>
      <c r="AL163" s="23" t="str">
        <f t="shared" si="9"/>
        <v>2036</v>
      </c>
      <c r="AM163" s="23" t="str">
        <f t="shared" si="9"/>
        <v>2037</v>
      </c>
      <c r="AN163" s="23" t="str">
        <f t="shared" si="9"/>
        <v>2038</v>
      </c>
      <c r="AO163" s="23" t="str">
        <f t="shared" si="9"/>
        <v>2039</v>
      </c>
      <c r="AP163" s="23" t="str">
        <f t="shared" si="9"/>
        <v>2040</v>
      </c>
      <c r="AQ163" s="23" t="str">
        <f t="shared" si="9"/>
        <v>2041</v>
      </c>
      <c r="AR163" s="23" t="str">
        <f t="shared" si="9"/>
        <v>2042</v>
      </c>
      <c r="AS163" s="23" t="str">
        <f t="shared" si="9"/>
        <v>2043</v>
      </c>
      <c r="AT163" s="23" t="str">
        <f t="shared" si="9"/>
        <v>2044</v>
      </c>
      <c r="AU163" s="23" t="str">
        <f t="shared" si="9"/>
        <v>2045</v>
      </c>
      <c r="AV163" s="23" t="str">
        <f t="shared" si="9"/>
        <v>2046</v>
      </c>
      <c r="AW163" s="23" t="str">
        <f t="shared" si="9"/>
        <v>2047</v>
      </c>
      <c r="AX163" s="23" t="str">
        <f t="shared" si="9"/>
        <v>2048</v>
      </c>
      <c r="AY163" s="23" t="str">
        <f t="shared" si="9"/>
        <v>2049</v>
      </c>
      <c r="AZ163" s="23" t="str">
        <f t="shared" si="9"/>
        <v>2050</v>
      </c>
    </row>
    <row r="164" spans="1:52">
      <c r="A164" s="20" t="s">
        <v>17</v>
      </c>
    </row>
    <row r="165" spans="1:52">
      <c r="A165" s="20" t="s">
        <v>18</v>
      </c>
    </row>
    <row r="166" spans="1:52">
      <c r="A166" s="20" t="s">
        <v>19</v>
      </c>
    </row>
    <row r="167" spans="1:52">
      <c r="A167" s="20" t="s">
        <v>20</v>
      </c>
    </row>
    <row r="168" spans="1:52">
      <c r="A168" s="20" t="s">
        <v>21</v>
      </c>
    </row>
    <row r="169" spans="1:52">
      <c r="A169" s="20" t="s">
        <v>22</v>
      </c>
    </row>
    <row r="170" spans="1:52">
      <c r="A170" s="20" t="s">
        <v>23</v>
      </c>
    </row>
    <row r="171" spans="1:52">
      <c r="A171" s="20" t="s">
        <v>24</v>
      </c>
    </row>
    <row r="172" spans="1:52">
      <c r="A172" s="20" t="s">
        <v>25</v>
      </c>
    </row>
    <row r="173" spans="1:52">
      <c r="A173" s="20" t="s">
        <v>26</v>
      </c>
    </row>
    <row r="174" spans="1:52">
      <c r="A174" s="20" t="s">
        <v>27</v>
      </c>
    </row>
    <row r="175" spans="1:52">
      <c r="A175" s="20" t="s">
        <v>28</v>
      </c>
    </row>
    <row r="176" spans="1:52" ht="15.75" thickBot="1">
      <c r="A176" s="20" t="s">
        <v>39</v>
      </c>
    </row>
    <row r="177" spans="1:52">
      <c r="A177" s="25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</row>
    <row r="178" spans="1:52" ht="15.75" thickBot="1">
      <c r="A178" s="20" t="s">
        <v>40</v>
      </c>
    </row>
    <row r="179" spans="1:52" ht="15.75" thickBot="1">
      <c r="A179" s="22"/>
      <c r="B179" s="23" t="str">
        <f>B163</f>
        <v>2000</v>
      </c>
      <c r="C179" s="23" t="str">
        <f t="shared" ref="C179:AZ179" si="10">C163</f>
        <v>2001</v>
      </c>
      <c r="D179" s="23" t="str">
        <f t="shared" si="10"/>
        <v>2002</v>
      </c>
      <c r="E179" s="23" t="str">
        <f t="shared" si="10"/>
        <v>2003</v>
      </c>
      <c r="F179" s="23" t="str">
        <f t="shared" si="10"/>
        <v>2004</v>
      </c>
      <c r="G179" s="23" t="str">
        <f t="shared" si="10"/>
        <v>2005</v>
      </c>
      <c r="H179" s="23" t="str">
        <f t="shared" si="10"/>
        <v>2006</v>
      </c>
      <c r="I179" s="23" t="str">
        <f t="shared" si="10"/>
        <v>2007</v>
      </c>
      <c r="J179" s="23" t="str">
        <f t="shared" si="10"/>
        <v>2008</v>
      </c>
      <c r="K179" s="23" t="str">
        <f t="shared" si="10"/>
        <v>2009</v>
      </c>
      <c r="L179" s="23" t="str">
        <f t="shared" si="10"/>
        <v>2010</v>
      </c>
      <c r="M179" s="23" t="str">
        <f t="shared" si="10"/>
        <v>2011</v>
      </c>
      <c r="N179" s="23" t="str">
        <f t="shared" si="10"/>
        <v>2012</v>
      </c>
      <c r="O179" s="23" t="str">
        <f t="shared" si="10"/>
        <v>2013</v>
      </c>
      <c r="P179" s="23" t="str">
        <f t="shared" si="10"/>
        <v>2014</v>
      </c>
      <c r="Q179" s="23" t="str">
        <f t="shared" si="10"/>
        <v>2015</v>
      </c>
      <c r="R179" s="23" t="str">
        <f t="shared" si="10"/>
        <v>2016</v>
      </c>
      <c r="S179" s="23" t="str">
        <f t="shared" si="10"/>
        <v>2017</v>
      </c>
      <c r="T179" s="23" t="str">
        <f t="shared" si="10"/>
        <v>2018</v>
      </c>
      <c r="U179" s="23" t="str">
        <f t="shared" si="10"/>
        <v>2019</v>
      </c>
      <c r="V179" s="23" t="str">
        <f t="shared" si="10"/>
        <v>2020</v>
      </c>
      <c r="W179" s="23" t="str">
        <f t="shared" si="10"/>
        <v>2021</v>
      </c>
      <c r="X179" s="23" t="str">
        <f t="shared" si="10"/>
        <v>2022</v>
      </c>
      <c r="Y179" s="23" t="str">
        <f t="shared" si="10"/>
        <v>2023</v>
      </c>
      <c r="Z179" s="23" t="str">
        <f t="shared" si="10"/>
        <v>2024</v>
      </c>
      <c r="AA179" s="23" t="str">
        <f t="shared" si="10"/>
        <v>2025</v>
      </c>
      <c r="AB179" s="23" t="str">
        <f t="shared" si="10"/>
        <v>2026</v>
      </c>
      <c r="AC179" s="23" t="str">
        <f t="shared" si="10"/>
        <v>2027</v>
      </c>
      <c r="AD179" s="23" t="str">
        <f t="shared" si="10"/>
        <v>2028</v>
      </c>
      <c r="AE179" s="23" t="str">
        <f t="shared" si="10"/>
        <v>2029</v>
      </c>
      <c r="AF179" s="23" t="str">
        <f t="shared" si="10"/>
        <v>2030</v>
      </c>
      <c r="AG179" s="23" t="str">
        <f t="shared" si="10"/>
        <v>2031</v>
      </c>
      <c r="AH179" s="23" t="str">
        <f t="shared" si="10"/>
        <v>2032</v>
      </c>
      <c r="AI179" s="23" t="str">
        <f t="shared" si="10"/>
        <v>2033</v>
      </c>
      <c r="AJ179" s="23" t="str">
        <f t="shared" si="10"/>
        <v>2034</v>
      </c>
      <c r="AK179" s="23" t="str">
        <f t="shared" si="10"/>
        <v>2035</v>
      </c>
      <c r="AL179" s="23" t="str">
        <f t="shared" si="10"/>
        <v>2036</v>
      </c>
      <c r="AM179" s="23" t="str">
        <f t="shared" si="10"/>
        <v>2037</v>
      </c>
      <c r="AN179" s="23" t="str">
        <f t="shared" si="10"/>
        <v>2038</v>
      </c>
      <c r="AO179" s="23" t="str">
        <f t="shared" si="10"/>
        <v>2039</v>
      </c>
      <c r="AP179" s="23" t="str">
        <f t="shared" si="10"/>
        <v>2040</v>
      </c>
      <c r="AQ179" s="23" t="str">
        <f t="shared" si="10"/>
        <v>2041</v>
      </c>
      <c r="AR179" s="23" t="str">
        <f t="shared" si="10"/>
        <v>2042</v>
      </c>
      <c r="AS179" s="23" t="str">
        <f t="shared" si="10"/>
        <v>2043</v>
      </c>
      <c r="AT179" s="23" t="str">
        <f t="shared" si="10"/>
        <v>2044</v>
      </c>
      <c r="AU179" s="23" t="str">
        <f t="shared" si="10"/>
        <v>2045</v>
      </c>
      <c r="AV179" s="23" t="str">
        <f t="shared" si="10"/>
        <v>2046</v>
      </c>
      <c r="AW179" s="23" t="str">
        <f t="shared" si="10"/>
        <v>2047</v>
      </c>
      <c r="AX179" s="23" t="str">
        <f t="shared" si="10"/>
        <v>2048</v>
      </c>
      <c r="AY179" s="23" t="str">
        <f t="shared" si="10"/>
        <v>2049</v>
      </c>
      <c r="AZ179" s="23" t="str">
        <f t="shared" si="10"/>
        <v>2050</v>
      </c>
    </row>
    <row r="180" spans="1:52">
      <c r="A180" s="20" t="s">
        <v>17</v>
      </c>
    </row>
    <row r="181" spans="1:52">
      <c r="A181" s="20" t="s">
        <v>18</v>
      </c>
    </row>
    <row r="182" spans="1:52">
      <c r="A182" s="20" t="s">
        <v>19</v>
      </c>
    </row>
    <row r="183" spans="1:52">
      <c r="A183" s="20" t="s">
        <v>20</v>
      </c>
    </row>
    <row r="184" spans="1:52">
      <c r="A184" s="20" t="s">
        <v>21</v>
      </c>
    </row>
    <row r="185" spans="1:52">
      <c r="A185" s="20" t="s">
        <v>22</v>
      </c>
    </row>
    <row r="186" spans="1:52">
      <c r="A186" s="20" t="s">
        <v>23</v>
      </c>
    </row>
    <row r="187" spans="1:52">
      <c r="A187" s="20" t="s">
        <v>24</v>
      </c>
    </row>
    <row r="188" spans="1:52">
      <c r="A188" s="20" t="s">
        <v>25</v>
      </c>
    </row>
    <row r="189" spans="1:52">
      <c r="A189" s="20" t="s">
        <v>26</v>
      </c>
    </row>
    <row r="190" spans="1:52">
      <c r="A190" s="20" t="s">
        <v>27</v>
      </c>
    </row>
    <row r="191" spans="1:52">
      <c r="A191" s="20" t="s">
        <v>28</v>
      </c>
    </row>
    <row r="192" spans="1:52" ht="15.75" thickBot="1">
      <c r="A192" s="20" t="s">
        <v>29</v>
      </c>
      <c r="B192" s="36">
        <v>31900000</v>
      </c>
      <c r="C192" s="36">
        <v>31150000</v>
      </c>
      <c r="D192" s="36">
        <v>30650000</v>
      </c>
      <c r="E192" s="36">
        <v>29900000</v>
      </c>
      <c r="F192" s="36">
        <v>29150000</v>
      </c>
      <c r="G192" s="36">
        <v>29149000</v>
      </c>
      <c r="H192" s="36">
        <v>29221000</v>
      </c>
      <c r="I192" s="36">
        <v>28712000</v>
      </c>
      <c r="J192" s="36">
        <v>28748000</v>
      </c>
      <c r="K192" s="36">
        <v>28541000</v>
      </c>
      <c r="L192" s="36">
        <v>27379000</v>
      </c>
      <c r="M192" s="36">
        <v>26229000</v>
      </c>
      <c r="N192" s="36">
        <v>26212000</v>
      </c>
      <c r="O192" s="36">
        <v>26529000</v>
      </c>
      <c r="P192" s="36">
        <v>27264000</v>
      </c>
      <c r="Q192" s="36">
        <v>27053000</v>
      </c>
      <c r="R192" s="36">
        <v>27353000</v>
      </c>
      <c r="S192" s="36">
        <v>26666000</v>
      </c>
      <c r="T192" s="36">
        <v>26043000</v>
      </c>
      <c r="U192" s="36">
        <v>26000000</v>
      </c>
      <c r="V192" s="37"/>
      <c r="W192" s="37"/>
      <c r="X192" s="37"/>
      <c r="Z192" s="37"/>
      <c r="AB192" s="37"/>
      <c r="AD192" s="37"/>
      <c r="AF192" s="37"/>
      <c r="AH192" s="37"/>
      <c r="AJ192" s="37"/>
      <c r="AL192" s="37"/>
      <c r="AN192" s="37"/>
      <c r="AP192" s="37"/>
    </row>
    <row r="193" spans="1:52">
      <c r="A193" s="25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</row>
    <row r="194" spans="1:52" ht="15.75" thickBot="1">
      <c r="A194" s="20" t="s">
        <v>96</v>
      </c>
    </row>
    <row r="195" spans="1:52" ht="15.75" thickBot="1">
      <c r="A195" s="22"/>
      <c r="B195" s="23" t="str">
        <f>B179</f>
        <v>2000</v>
      </c>
      <c r="C195" s="23" t="str">
        <f t="shared" ref="C195:AZ195" si="11">C179</f>
        <v>2001</v>
      </c>
      <c r="D195" s="23" t="str">
        <f t="shared" si="11"/>
        <v>2002</v>
      </c>
      <c r="E195" s="23" t="str">
        <f t="shared" si="11"/>
        <v>2003</v>
      </c>
      <c r="F195" s="23" t="str">
        <f t="shared" si="11"/>
        <v>2004</v>
      </c>
      <c r="G195" s="23" t="str">
        <f t="shared" si="11"/>
        <v>2005</v>
      </c>
      <c r="H195" s="23" t="str">
        <f t="shared" si="11"/>
        <v>2006</v>
      </c>
      <c r="I195" s="23" t="str">
        <f t="shared" si="11"/>
        <v>2007</v>
      </c>
      <c r="J195" s="23" t="str">
        <f t="shared" si="11"/>
        <v>2008</v>
      </c>
      <c r="K195" s="23" t="str">
        <f t="shared" si="11"/>
        <v>2009</v>
      </c>
      <c r="L195" s="23" t="str">
        <f t="shared" si="11"/>
        <v>2010</v>
      </c>
      <c r="M195" s="23" t="str">
        <f t="shared" si="11"/>
        <v>2011</v>
      </c>
      <c r="N195" s="23" t="str">
        <f t="shared" si="11"/>
        <v>2012</v>
      </c>
      <c r="O195" s="23" t="str">
        <f t="shared" si="11"/>
        <v>2013</v>
      </c>
      <c r="P195" s="23" t="str">
        <f t="shared" si="11"/>
        <v>2014</v>
      </c>
      <c r="Q195" s="23" t="str">
        <f t="shared" si="11"/>
        <v>2015</v>
      </c>
      <c r="R195" s="23" t="str">
        <f t="shared" si="11"/>
        <v>2016</v>
      </c>
      <c r="S195" s="23" t="str">
        <f t="shared" si="11"/>
        <v>2017</v>
      </c>
      <c r="T195" s="23" t="str">
        <f t="shared" si="11"/>
        <v>2018</v>
      </c>
      <c r="U195" s="23" t="str">
        <f t="shared" si="11"/>
        <v>2019</v>
      </c>
      <c r="V195" s="23" t="str">
        <f t="shared" si="11"/>
        <v>2020</v>
      </c>
      <c r="W195" s="23" t="str">
        <f t="shared" si="11"/>
        <v>2021</v>
      </c>
      <c r="X195" s="23" t="str">
        <f t="shared" si="11"/>
        <v>2022</v>
      </c>
      <c r="Y195" s="23" t="str">
        <f t="shared" si="11"/>
        <v>2023</v>
      </c>
      <c r="Z195" s="23" t="str">
        <f t="shared" si="11"/>
        <v>2024</v>
      </c>
      <c r="AA195" s="23" t="str">
        <f t="shared" si="11"/>
        <v>2025</v>
      </c>
      <c r="AB195" s="23" t="str">
        <f t="shared" si="11"/>
        <v>2026</v>
      </c>
      <c r="AC195" s="23" t="str">
        <f t="shared" si="11"/>
        <v>2027</v>
      </c>
      <c r="AD195" s="23" t="str">
        <f t="shared" si="11"/>
        <v>2028</v>
      </c>
      <c r="AE195" s="23" t="str">
        <f t="shared" si="11"/>
        <v>2029</v>
      </c>
      <c r="AF195" s="23" t="str">
        <f t="shared" si="11"/>
        <v>2030</v>
      </c>
      <c r="AG195" s="23" t="str">
        <f t="shared" si="11"/>
        <v>2031</v>
      </c>
      <c r="AH195" s="23" t="str">
        <f t="shared" si="11"/>
        <v>2032</v>
      </c>
      <c r="AI195" s="23" t="str">
        <f t="shared" si="11"/>
        <v>2033</v>
      </c>
      <c r="AJ195" s="23" t="str">
        <f t="shared" si="11"/>
        <v>2034</v>
      </c>
      <c r="AK195" s="23" t="str">
        <f t="shared" si="11"/>
        <v>2035</v>
      </c>
      <c r="AL195" s="23" t="str">
        <f t="shared" si="11"/>
        <v>2036</v>
      </c>
      <c r="AM195" s="23" t="str">
        <f t="shared" si="11"/>
        <v>2037</v>
      </c>
      <c r="AN195" s="23" t="str">
        <f t="shared" si="11"/>
        <v>2038</v>
      </c>
      <c r="AO195" s="23" t="str">
        <f t="shared" si="11"/>
        <v>2039</v>
      </c>
      <c r="AP195" s="23" t="str">
        <f t="shared" si="11"/>
        <v>2040</v>
      </c>
      <c r="AQ195" s="23" t="str">
        <f t="shared" si="11"/>
        <v>2041</v>
      </c>
      <c r="AR195" s="23" t="str">
        <f t="shared" si="11"/>
        <v>2042</v>
      </c>
      <c r="AS195" s="23" t="str">
        <f t="shared" si="11"/>
        <v>2043</v>
      </c>
      <c r="AT195" s="23" t="str">
        <f t="shared" si="11"/>
        <v>2044</v>
      </c>
      <c r="AU195" s="23" t="str">
        <f t="shared" si="11"/>
        <v>2045</v>
      </c>
      <c r="AV195" s="23" t="str">
        <f t="shared" si="11"/>
        <v>2046</v>
      </c>
      <c r="AW195" s="23" t="str">
        <f t="shared" si="11"/>
        <v>2047</v>
      </c>
      <c r="AX195" s="23" t="str">
        <f t="shared" si="11"/>
        <v>2048</v>
      </c>
      <c r="AY195" s="23" t="str">
        <f t="shared" si="11"/>
        <v>2049</v>
      </c>
      <c r="AZ195" s="23" t="str">
        <f t="shared" si="11"/>
        <v>2050</v>
      </c>
    </row>
    <row r="196" spans="1:52">
      <c r="A196" s="20" t="s">
        <v>17</v>
      </c>
    </row>
    <row r="197" spans="1:52">
      <c r="A197" s="20" t="s">
        <v>18</v>
      </c>
    </row>
    <row r="198" spans="1:52">
      <c r="A198" s="20" t="s">
        <v>19</v>
      </c>
    </row>
    <row r="199" spans="1:52">
      <c r="A199" s="20" t="s">
        <v>20</v>
      </c>
    </row>
    <row r="200" spans="1:52">
      <c r="A200" s="20" t="s">
        <v>21</v>
      </c>
    </row>
    <row r="201" spans="1:52">
      <c r="A201" s="20" t="s">
        <v>22</v>
      </c>
    </row>
    <row r="202" spans="1:52">
      <c r="A202" s="20" t="s">
        <v>23</v>
      </c>
    </row>
    <row r="203" spans="1:52">
      <c r="A203" s="20" t="s">
        <v>24</v>
      </c>
    </row>
    <row r="204" spans="1:52">
      <c r="A204" s="20" t="s">
        <v>25</v>
      </c>
    </row>
    <row r="205" spans="1:52">
      <c r="A205" s="20" t="s">
        <v>26</v>
      </c>
    </row>
    <row r="206" spans="1:52">
      <c r="A206" s="20" t="s">
        <v>27</v>
      </c>
    </row>
    <row r="207" spans="1:52">
      <c r="A207" s="20" t="s">
        <v>28</v>
      </c>
    </row>
    <row r="208" spans="1:52" ht="15.75" thickBot="1">
      <c r="A208" s="20" t="s">
        <v>29</v>
      </c>
      <c r="B208" s="36">
        <v>8325000</v>
      </c>
      <c r="C208" s="36">
        <v>8120000</v>
      </c>
      <c r="D208" s="36">
        <v>8310000</v>
      </c>
      <c r="E208" s="36">
        <v>8287000</v>
      </c>
      <c r="F208" s="36">
        <v>8350000</v>
      </c>
      <c r="G208" s="36">
        <v>8136000</v>
      </c>
      <c r="H208" s="36">
        <v>8191000</v>
      </c>
      <c r="I208" s="36">
        <v>8258000</v>
      </c>
      <c r="J208" s="36">
        <v>8130000</v>
      </c>
      <c r="K208" s="36">
        <v>7923000</v>
      </c>
      <c r="L208" s="36">
        <v>8101000</v>
      </c>
      <c r="M208" s="36">
        <v>8114000</v>
      </c>
      <c r="N208" s="36">
        <v>7708000</v>
      </c>
      <c r="O208" s="36">
        <v>7388000</v>
      </c>
      <c r="P208" s="36">
        <v>7443000</v>
      </c>
      <c r="Q208" s="36">
        <v>7684000</v>
      </c>
      <c r="R208" s="36">
        <v>7880000</v>
      </c>
      <c r="S208" s="36">
        <v>7869000</v>
      </c>
      <c r="T208" s="36">
        <v>8003000</v>
      </c>
      <c r="U208" s="36">
        <v>7878000</v>
      </c>
      <c r="V208" s="36">
        <v>7803000</v>
      </c>
      <c r="W208" s="36">
        <v>7750000</v>
      </c>
      <c r="X208" s="36">
        <v>7847363.6363636404</v>
      </c>
      <c r="Y208" s="36">
        <v>7859500</v>
      </c>
      <c r="Z208" s="36">
        <v>7871636.3636363596</v>
      </c>
      <c r="AA208" s="36">
        <v>7883772.7272727303</v>
      </c>
      <c r="AB208" s="36">
        <v>7895909.0909090899</v>
      </c>
      <c r="AC208" s="36">
        <v>7908045.4545454504</v>
      </c>
      <c r="AD208" s="36">
        <v>7920181.8181818202</v>
      </c>
      <c r="AE208" s="36">
        <v>7932318.1818181798</v>
      </c>
      <c r="AF208" s="36">
        <v>7944454.5454545403</v>
      </c>
      <c r="AG208" s="36">
        <v>7956590.9090909101</v>
      </c>
      <c r="AH208" s="36">
        <v>7968727.2727272697</v>
      </c>
      <c r="AI208" s="36">
        <v>7980863.6363636404</v>
      </c>
      <c r="AJ208" s="36">
        <v>7993000</v>
      </c>
      <c r="AK208" s="36">
        <v>8005136.3636363596</v>
      </c>
      <c r="AL208" s="36">
        <v>8017272.7272727303</v>
      </c>
      <c r="AM208" s="36">
        <v>8029409.0909090899</v>
      </c>
      <c r="AN208" s="36">
        <v>8041545.4545454504</v>
      </c>
      <c r="AO208" s="36">
        <v>8053681.8181818202</v>
      </c>
      <c r="AP208" s="36">
        <v>8065818.1818181798</v>
      </c>
      <c r="AQ208" s="36">
        <v>8077954.5454545403</v>
      </c>
      <c r="AR208" s="36">
        <v>8077955.5454545403</v>
      </c>
      <c r="AS208" s="36">
        <v>8077956.5454545403</v>
      </c>
      <c r="AT208" s="36">
        <v>8077957.5454545403</v>
      </c>
      <c r="AU208" s="36">
        <v>8077958.5454545403</v>
      </c>
      <c r="AV208" s="36">
        <v>8077959.5454545403</v>
      </c>
      <c r="AW208" s="36">
        <v>8077960.5454545403</v>
      </c>
      <c r="AX208" s="36">
        <v>8077961.5454545403</v>
      </c>
      <c r="AY208" s="36">
        <v>8077962.5454545403</v>
      </c>
      <c r="AZ208" s="36">
        <v>8077963.5454545403</v>
      </c>
    </row>
    <row r="209" spans="1:52">
      <c r="A209" s="25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</row>
    <row r="210" spans="1:52" ht="15.75" thickBot="1">
      <c r="A210" s="20" t="s">
        <v>42</v>
      </c>
    </row>
    <row r="211" spans="1:52" ht="15.75" thickBot="1">
      <c r="A211" s="22"/>
      <c r="B211" s="23" t="str">
        <f>B195</f>
        <v>2000</v>
      </c>
      <c r="C211" s="23" t="str">
        <f t="shared" ref="C211:AZ211" si="12">C195</f>
        <v>2001</v>
      </c>
      <c r="D211" s="23" t="str">
        <f t="shared" si="12"/>
        <v>2002</v>
      </c>
      <c r="E211" s="23" t="str">
        <f t="shared" si="12"/>
        <v>2003</v>
      </c>
      <c r="F211" s="23" t="str">
        <f t="shared" si="12"/>
        <v>2004</v>
      </c>
      <c r="G211" s="23" t="str">
        <f t="shared" si="12"/>
        <v>2005</v>
      </c>
      <c r="H211" s="23" t="str">
        <f t="shared" si="12"/>
        <v>2006</v>
      </c>
      <c r="I211" s="23" t="str">
        <f t="shared" si="12"/>
        <v>2007</v>
      </c>
      <c r="J211" s="23" t="str">
        <f t="shared" si="12"/>
        <v>2008</v>
      </c>
      <c r="K211" s="23" t="str">
        <f t="shared" si="12"/>
        <v>2009</v>
      </c>
      <c r="L211" s="23" t="str">
        <f t="shared" si="12"/>
        <v>2010</v>
      </c>
      <c r="M211" s="23" t="str">
        <f t="shared" si="12"/>
        <v>2011</v>
      </c>
      <c r="N211" s="23" t="str">
        <f t="shared" si="12"/>
        <v>2012</v>
      </c>
      <c r="O211" s="23" t="str">
        <f t="shared" si="12"/>
        <v>2013</v>
      </c>
      <c r="P211" s="23" t="str">
        <f t="shared" si="12"/>
        <v>2014</v>
      </c>
      <c r="Q211" s="23" t="str">
        <f t="shared" si="12"/>
        <v>2015</v>
      </c>
      <c r="R211" s="23" t="str">
        <f t="shared" si="12"/>
        <v>2016</v>
      </c>
      <c r="S211" s="23" t="str">
        <f t="shared" si="12"/>
        <v>2017</v>
      </c>
      <c r="T211" s="23" t="str">
        <f t="shared" si="12"/>
        <v>2018</v>
      </c>
      <c r="U211" s="23" t="str">
        <f t="shared" si="12"/>
        <v>2019</v>
      </c>
      <c r="V211" s="23" t="str">
        <f t="shared" si="12"/>
        <v>2020</v>
      </c>
      <c r="W211" s="23" t="str">
        <f t="shared" si="12"/>
        <v>2021</v>
      </c>
      <c r="X211" s="23" t="str">
        <f t="shared" si="12"/>
        <v>2022</v>
      </c>
      <c r="Y211" s="23" t="str">
        <f t="shared" si="12"/>
        <v>2023</v>
      </c>
      <c r="Z211" s="23" t="str">
        <f t="shared" si="12"/>
        <v>2024</v>
      </c>
      <c r="AA211" s="23" t="str">
        <f t="shared" si="12"/>
        <v>2025</v>
      </c>
      <c r="AB211" s="23" t="str">
        <f t="shared" si="12"/>
        <v>2026</v>
      </c>
      <c r="AC211" s="23" t="str">
        <f t="shared" si="12"/>
        <v>2027</v>
      </c>
      <c r="AD211" s="23" t="str">
        <f t="shared" si="12"/>
        <v>2028</v>
      </c>
      <c r="AE211" s="23" t="str">
        <f t="shared" si="12"/>
        <v>2029</v>
      </c>
      <c r="AF211" s="23" t="str">
        <f t="shared" si="12"/>
        <v>2030</v>
      </c>
      <c r="AG211" s="23" t="str">
        <f t="shared" si="12"/>
        <v>2031</v>
      </c>
      <c r="AH211" s="23" t="str">
        <f t="shared" si="12"/>
        <v>2032</v>
      </c>
      <c r="AI211" s="23" t="str">
        <f t="shared" si="12"/>
        <v>2033</v>
      </c>
      <c r="AJ211" s="23" t="str">
        <f t="shared" si="12"/>
        <v>2034</v>
      </c>
      <c r="AK211" s="23" t="str">
        <f t="shared" si="12"/>
        <v>2035</v>
      </c>
      <c r="AL211" s="23" t="str">
        <f t="shared" si="12"/>
        <v>2036</v>
      </c>
      <c r="AM211" s="23" t="str">
        <f t="shared" si="12"/>
        <v>2037</v>
      </c>
      <c r="AN211" s="23" t="str">
        <f t="shared" si="12"/>
        <v>2038</v>
      </c>
      <c r="AO211" s="23" t="str">
        <f t="shared" si="12"/>
        <v>2039</v>
      </c>
      <c r="AP211" s="23" t="str">
        <f t="shared" si="12"/>
        <v>2040</v>
      </c>
      <c r="AQ211" s="23" t="str">
        <f t="shared" si="12"/>
        <v>2041</v>
      </c>
      <c r="AR211" s="23" t="str">
        <f t="shared" si="12"/>
        <v>2042</v>
      </c>
      <c r="AS211" s="23" t="str">
        <f t="shared" si="12"/>
        <v>2043</v>
      </c>
      <c r="AT211" s="23" t="str">
        <f t="shared" si="12"/>
        <v>2044</v>
      </c>
      <c r="AU211" s="23" t="str">
        <f t="shared" si="12"/>
        <v>2045</v>
      </c>
      <c r="AV211" s="23" t="str">
        <f t="shared" si="12"/>
        <v>2046</v>
      </c>
      <c r="AW211" s="23" t="str">
        <f t="shared" si="12"/>
        <v>2047</v>
      </c>
      <c r="AX211" s="23" t="str">
        <f t="shared" si="12"/>
        <v>2048</v>
      </c>
      <c r="AY211" s="23" t="str">
        <f t="shared" si="12"/>
        <v>2049</v>
      </c>
      <c r="AZ211" s="23" t="str">
        <f t="shared" si="12"/>
        <v>2050</v>
      </c>
    </row>
    <row r="212" spans="1:52">
      <c r="A212" s="20" t="s">
        <v>17</v>
      </c>
    </row>
    <row r="213" spans="1:52">
      <c r="A213" s="20" t="s">
        <v>18</v>
      </c>
    </row>
    <row r="214" spans="1:52">
      <c r="A214" s="20" t="s">
        <v>19</v>
      </c>
    </row>
    <row r="215" spans="1:52">
      <c r="A215" s="20" t="s">
        <v>20</v>
      </c>
    </row>
    <row r="216" spans="1:52">
      <c r="A216" s="20" t="s">
        <v>21</v>
      </c>
    </row>
    <row r="217" spans="1:52">
      <c r="A217" s="20" t="s">
        <v>22</v>
      </c>
    </row>
    <row r="218" spans="1:52">
      <c r="A218" s="20" t="s">
        <v>23</v>
      </c>
    </row>
    <row r="219" spans="1:52">
      <c r="A219" s="20" t="s">
        <v>24</v>
      </c>
    </row>
    <row r="220" spans="1:52">
      <c r="A220" s="20" t="s">
        <v>25</v>
      </c>
    </row>
    <row r="221" spans="1:52">
      <c r="A221" s="20" t="s">
        <v>26</v>
      </c>
    </row>
    <row r="222" spans="1:52">
      <c r="A222" s="20" t="s">
        <v>27</v>
      </c>
    </row>
    <row r="223" spans="1:52">
      <c r="A223" s="20" t="s">
        <v>28</v>
      </c>
    </row>
    <row r="224" spans="1:52" ht="15.75" thickBot="1">
      <c r="A224" s="20" t="s">
        <v>29</v>
      </c>
    </row>
    <row r="225" spans="1:52">
      <c r="A225" s="25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5919-9F4D-4735-8B97-A2006D888104}">
  <dimension ref="A1:FO65"/>
  <sheetViews>
    <sheetView zoomScale="85" zoomScaleNormal="85" workbookViewId="0">
      <pane xSplit="1" ySplit="3" topLeftCell="FA36" activePane="bottomRight" state="frozen"/>
      <selection activeCell="AL31" sqref="AL31"/>
      <selection pane="topRight" activeCell="AL31" sqref="AL31"/>
      <selection pane="bottomLeft" activeCell="AL31" sqref="AL31"/>
      <selection pane="bottomRight" activeCell="AL31" sqref="AL31"/>
    </sheetView>
  </sheetViews>
  <sheetFormatPr defaultColWidth="13.7109375" defaultRowHeight="12.75"/>
  <cols>
    <col min="1" max="1" width="13.7109375" style="44"/>
    <col min="2" max="17" width="13.7109375" style="44" hidden="1" customWidth="1"/>
    <col min="18" max="20" width="0" style="44" hidden="1" customWidth="1"/>
    <col min="21" max="22" width="13.7109375" style="44"/>
    <col min="23" max="25" width="13.7109375" style="44" customWidth="1"/>
    <col min="26" max="44" width="13.7109375" style="44" hidden="1" customWidth="1"/>
    <col min="45" max="49" width="13.7109375" style="44"/>
    <col min="50" max="68" width="13.7109375" style="44" hidden="1" customWidth="1"/>
    <col min="69" max="73" width="13.7109375" style="44"/>
    <col min="74" max="92" width="13.7109375" style="44" hidden="1" customWidth="1"/>
    <col min="93" max="96" width="13.7109375" style="44"/>
    <col min="97" max="115" width="13.7109375" style="44" hidden="1" customWidth="1"/>
    <col min="116" max="119" width="13.7109375" style="44"/>
    <col min="120" max="120" width="13.7109375" style="44" customWidth="1"/>
    <col min="121" max="135" width="13.7109375" style="44" hidden="1" customWidth="1"/>
    <col min="136" max="138" width="13.7109375" style="44" customWidth="1"/>
    <col min="139" max="154" width="13.7109375" style="44"/>
    <col min="155" max="161" width="13.7109375" style="44" customWidth="1"/>
    <col min="162" max="16384" width="13.7109375" style="44"/>
  </cols>
  <sheetData>
    <row r="1" spans="1:170">
      <c r="A1" s="44" t="s">
        <v>112</v>
      </c>
      <c r="U1" s="45"/>
      <c r="V1" s="45"/>
      <c r="Y1" s="46"/>
      <c r="AW1" s="47"/>
      <c r="BU1" s="47"/>
      <c r="CR1" s="47"/>
      <c r="DP1" s="47"/>
    </row>
    <row r="2" spans="1:170">
      <c r="W2" s="48" t="s">
        <v>113</v>
      </c>
      <c r="X2" s="49"/>
      <c r="Y2" s="50"/>
      <c r="AU2" s="48" t="s">
        <v>114</v>
      </c>
      <c r="AV2" s="49"/>
      <c r="AW2" s="51"/>
      <c r="BS2" s="48" t="s">
        <v>115</v>
      </c>
      <c r="BT2" s="49"/>
      <c r="BU2" s="51"/>
      <c r="CP2" s="48" t="s">
        <v>116</v>
      </c>
      <c r="CQ2" s="49"/>
      <c r="CR2" s="51"/>
      <c r="DN2" s="48" t="s">
        <v>117</v>
      </c>
      <c r="DO2" s="49"/>
      <c r="DP2" s="51"/>
      <c r="EK2" s="48" t="s">
        <v>118</v>
      </c>
      <c r="EL2" s="49"/>
      <c r="EM2" s="49"/>
    </row>
    <row r="3" spans="1:170" ht="13.5" thickBot="1">
      <c r="B3" s="44">
        <v>2000</v>
      </c>
      <c r="C3" s="44">
        <v>2001</v>
      </c>
      <c r="D3" s="44">
        <v>2002</v>
      </c>
      <c r="E3" s="44">
        <v>2003</v>
      </c>
      <c r="F3" s="44">
        <v>2004</v>
      </c>
      <c r="G3" s="44">
        <v>2005</v>
      </c>
      <c r="H3" s="44">
        <v>2006</v>
      </c>
      <c r="I3" s="44">
        <v>2007</v>
      </c>
      <c r="J3" s="44">
        <v>2008</v>
      </c>
      <c r="K3" s="44">
        <v>2009</v>
      </c>
      <c r="L3" s="44">
        <v>2010</v>
      </c>
      <c r="M3" s="44">
        <v>2011</v>
      </c>
      <c r="N3" s="44">
        <v>2012</v>
      </c>
      <c r="O3" s="44">
        <v>2013</v>
      </c>
      <c r="P3" s="44">
        <v>2014</v>
      </c>
      <c r="Q3" s="44">
        <v>2015</v>
      </c>
      <c r="R3" s="44">
        <v>2016</v>
      </c>
      <c r="S3" s="44">
        <v>2017</v>
      </c>
      <c r="T3" s="44">
        <v>2018</v>
      </c>
      <c r="U3" s="52">
        <v>2019</v>
      </c>
      <c r="V3" s="44">
        <v>2020</v>
      </c>
      <c r="W3" s="52">
        <v>2021</v>
      </c>
      <c r="X3" s="47">
        <v>2022</v>
      </c>
      <c r="Y3" s="47">
        <v>2023</v>
      </c>
      <c r="Z3" s="44">
        <v>2000</v>
      </c>
      <c r="AA3" s="44">
        <v>2001</v>
      </c>
      <c r="AB3" s="44">
        <v>2002</v>
      </c>
      <c r="AC3" s="44">
        <v>2003</v>
      </c>
      <c r="AD3" s="44">
        <v>2004</v>
      </c>
      <c r="AE3" s="44">
        <v>2005</v>
      </c>
      <c r="AF3" s="44">
        <v>2006</v>
      </c>
      <c r="AG3" s="44">
        <v>2007</v>
      </c>
      <c r="AH3" s="44">
        <v>2008</v>
      </c>
      <c r="AI3" s="44">
        <v>2009</v>
      </c>
      <c r="AJ3" s="44">
        <v>2010</v>
      </c>
      <c r="AK3" s="44">
        <v>2011</v>
      </c>
      <c r="AL3" s="44">
        <v>2012</v>
      </c>
      <c r="AM3" s="44">
        <v>2013</v>
      </c>
      <c r="AN3" s="44">
        <v>2014</v>
      </c>
      <c r="AO3" s="44">
        <v>2015</v>
      </c>
      <c r="AP3" s="44">
        <v>2016</v>
      </c>
      <c r="AQ3" s="44">
        <v>2017</v>
      </c>
      <c r="AR3" s="44">
        <v>2018</v>
      </c>
      <c r="AS3" s="52">
        <v>2019</v>
      </c>
      <c r="AT3" s="44">
        <v>2020</v>
      </c>
      <c r="AU3" s="52">
        <v>2021</v>
      </c>
      <c r="AV3" s="44">
        <v>2022</v>
      </c>
      <c r="AW3" s="53">
        <v>2023</v>
      </c>
      <c r="AX3" s="44">
        <v>2000</v>
      </c>
      <c r="AY3" s="44">
        <v>2001</v>
      </c>
      <c r="AZ3" s="44">
        <v>2002</v>
      </c>
      <c r="BA3" s="44">
        <v>2003</v>
      </c>
      <c r="BB3" s="44">
        <v>2004</v>
      </c>
      <c r="BC3" s="44">
        <v>2005</v>
      </c>
      <c r="BD3" s="44">
        <v>2006</v>
      </c>
      <c r="BE3" s="44">
        <v>2007</v>
      </c>
      <c r="BF3" s="44">
        <v>2008</v>
      </c>
      <c r="BG3" s="44">
        <v>2009</v>
      </c>
      <c r="BH3" s="44">
        <v>2010</v>
      </c>
      <c r="BI3" s="44">
        <v>2011</v>
      </c>
      <c r="BJ3" s="44">
        <v>2012</v>
      </c>
      <c r="BK3" s="52">
        <v>2013</v>
      </c>
      <c r="BL3" s="52">
        <v>2014</v>
      </c>
      <c r="BM3" s="52">
        <v>2015</v>
      </c>
      <c r="BN3" s="52">
        <v>2016</v>
      </c>
      <c r="BO3" s="52">
        <v>2017</v>
      </c>
      <c r="BP3" s="52">
        <v>2018</v>
      </c>
      <c r="BQ3" s="52">
        <v>2019</v>
      </c>
      <c r="BR3" s="52">
        <v>2020</v>
      </c>
      <c r="BS3" s="52">
        <v>2021</v>
      </c>
      <c r="BT3" s="52">
        <v>2022</v>
      </c>
      <c r="BU3" s="53">
        <v>2023</v>
      </c>
      <c r="BV3" s="44">
        <v>2000</v>
      </c>
      <c r="BW3" s="44">
        <v>2001</v>
      </c>
      <c r="BX3" s="44">
        <v>2002</v>
      </c>
      <c r="BY3" s="44">
        <v>2003</v>
      </c>
      <c r="BZ3" s="44">
        <v>2004</v>
      </c>
      <c r="CA3" s="44">
        <v>2005</v>
      </c>
      <c r="CB3" s="44">
        <v>2006</v>
      </c>
      <c r="CC3" s="44">
        <v>2007</v>
      </c>
      <c r="CD3" s="44">
        <v>2008</v>
      </c>
      <c r="CE3" s="44">
        <v>2009</v>
      </c>
      <c r="CF3" s="44">
        <v>2010</v>
      </c>
      <c r="CG3" s="44">
        <v>2011</v>
      </c>
      <c r="CH3" s="44">
        <v>2012</v>
      </c>
      <c r="CI3" s="44">
        <v>2013</v>
      </c>
      <c r="CJ3" s="44">
        <v>2014</v>
      </c>
      <c r="CK3" s="44">
        <v>2015</v>
      </c>
      <c r="CL3" s="44">
        <v>2016</v>
      </c>
      <c r="CM3" s="44">
        <v>2017</v>
      </c>
      <c r="CN3" s="44">
        <v>2018</v>
      </c>
      <c r="CO3" s="44">
        <v>2019</v>
      </c>
      <c r="CP3" s="44">
        <v>2020</v>
      </c>
      <c r="CQ3" s="44">
        <v>2021</v>
      </c>
      <c r="CR3" s="47">
        <v>2022</v>
      </c>
      <c r="CS3" s="44">
        <v>2000</v>
      </c>
      <c r="CT3" s="44">
        <v>2001</v>
      </c>
      <c r="CU3" s="44">
        <v>2002</v>
      </c>
      <c r="CV3" s="44">
        <v>2003</v>
      </c>
      <c r="CW3" s="44">
        <v>2004</v>
      </c>
      <c r="CX3" s="44">
        <v>2005</v>
      </c>
      <c r="CY3" s="44">
        <v>2006</v>
      </c>
      <c r="CZ3" s="44">
        <v>2007</v>
      </c>
      <c r="DA3" s="44">
        <v>2008</v>
      </c>
      <c r="DB3" s="44">
        <v>2009</v>
      </c>
      <c r="DC3" s="44">
        <v>2010</v>
      </c>
      <c r="DD3" s="44">
        <v>2011</v>
      </c>
      <c r="DE3" s="44">
        <v>2012</v>
      </c>
      <c r="DF3" s="44">
        <v>2013</v>
      </c>
      <c r="DG3" s="44">
        <v>2014</v>
      </c>
      <c r="DH3" s="44">
        <v>2015</v>
      </c>
      <c r="DI3" s="52">
        <v>2016</v>
      </c>
      <c r="DJ3" s="52">
        <v>2017</v>
      </c>
      <c r="DK3" s="52">
        <v>2018</v>
      </c>
      <c r="DL3" s="52">
        <v>2019</v>
      </c>
      <c r="DM3" s="52">
        <v>2020</v>
      </c>
      <c r="DN3" s="52">
        <v>2021</v>
      </c>
      <c r="DO3" s="52">
        <v>2022</v>
      </c>
      <c r="DP3" s="53">
        <v>2023</v>
      </c>
      <c r="DQ3" s="44">
        <v>2001</v>
      </c>
      <c r="DR3" s="44">
        <v>2002</v>
      </c>
      <c r="DS3" s="44">
        <v>2003</v>
      </c>
      <c r="DT3" s="44">
        <v>2004</v>
      </c>
      <c r="DU3" s="44">
        <v>2005</v>
      </c>
      <c r="DV3" s="44">
        <v>2006</v>
      </c>
      <c r="DW3" s="44">
        <v>2007</v>
      </c>
      <c r="DX3" s="44">
        <v>2008</v>
      </c>
      <c r="DY3" s="44">
        <v>2009</v>
      </c>
      <c r="DZ3" s="44">
        <v>2010</v>
      </c>
      <c r="EA3" s="44">
        <v>2011</v>
      </c>
      <c r="EB3" s="44">
        <v>2012</v>
      </c>
      <c r="EC3" s="44">
        <v>2013</v>
      </c>
      <c r="ED3" s="44">
        <v>2014</v>
      </c>
      <c r="EE3" s="44">
        <v>2015</v>
      </c>
      <c r="EF3" s="52">
        <v>2016</v>
      </c>
      <c r="EG3" s="52">
        <v>2017</v>
      </c>
      <c r="EH3" s="52">
        <v>2018</v>
      </c>
      <c r="EI3" s="52">
        <v>2019</v>
      </c>
      <c r="EJ3" s="44">
        <v>2020</v>
      </c>
      <c r="EK3" s="44">
        <v>2021</v>
      </c>
      <c r="EL3" s="44">
        <v>2022</v>
      </c>
      <c r="EM3" s="44">
        <v>2023</v>
      </c>
      <c r="EN3" s="44">
        <v>2024</v>
      </c>
      <c r="EO3" s="44">
        <v>2025</v>
      </c>
      <c r="EP3" s="44">
        <v>2026</v>
      </c>
      <c r="EQ3" s="44">
        <v>2027</v>
      </c>
      <c r="ER3" s="44">
        <v>2028</v>
      </c>
      <c r="ES3" s="44">
        <v>2029</v>
      </c>
      <c r="ET3" s="44">
        <v>2030</v>
      </c>
      <c r="EU3" s="44">
        <v>2031</v>
      </c>
      <c r="EV3" s="44">
        <v>2032</v>
      </c>
      <c r="EW3" s="44">
        <v>2033</v>
      </c>
      <c r="EX3" s="44">
        <v>2034</v>
      </c>
      <c r="EY3" s="44">
        <v>2035</v>
      </c>
      <c r="EZ3" s="44">
        <v>2036</v>
      </c>
      <c r="FA3" s="44">
        <v>2037</v>
      </c>
      <c r="FB3" s="44">
        <v>2038</v>
      </c>
      <c r="FC3" s="44">
        <v>2039</v>
      </c>
      <c r="FD3" s="44">
        <v>2040</v>
      </c>
      <c r="FE3" s="44">
        <v>2041</v>
      </c>
      <c r="FF3" s="44">
        <v>2042</v>
      </c>
      <c r="FG3" s="44">
        <v>2043</v>
      </c>
      <c r="FH3" s="44">
        <v>2044</v>
      </c>
      <c r="FI3" s="44">
        <v>2045</v>
      </c>
      <c r="FJ3" s="44">
        <v>2046</v>
      </c>
      <c r="FK3" s="44">
        <v>2047</v>
      </c>
      <c r="FL3" s="44">
        <v>2048</v>
      </c>
      <c r="FM3" s="44">
        <v>2049</v>
      </c>
      <c r="FN3" s="44">
        <v>2050</v>
      </c>
    </row>
    <row r="4" spans="1:170">
      <c r="A4" s="54" t="s">
        <v>119</v>
      </c>
      <c r="B4" s="55">
        <f>'[2]Canada Tallow Exports'!I$4</f>
        <v>57673</v>
      </c>
      <c r="C4" s="55">
        <f>'[2]Canada Tallow Exports'!J$4</f>
        <v>60115</v>
      </c>
      <c r="D4" s="55">
        <f>'[2]Canada Tallow Exports'!K$4</f>
        <v>41082</v>
      </c>
      <c r="E4" s="55">
        <f>'[2]Canada Tallow Exports'!L$4</f>
        <v>2030</v>
      </c>
      <c r="F4" s="55">
        <f>'[2]Canada Tallow Exports'!M$4</f>
        <v>7494</v>
      </c>
      <c r="G4" s="55">
        <f>'[2]Canada Tallow Exports'!N$4</f>
        <v>98</v>
      </c>
      <c r="H4" s="55">
        <f>'[2]Canada Tallow Exports'!O$4</f>
        <v>9040</v>
      </c>
      <c r="I4" s="55">
        <f>'[2]Canada Tallow Exports'!P$4</f>
        <v>85</v>
      </c>
      <c r="J4" s="55">
        <f>'[2]Canada Tallow Exports'!Q$4</f>
        <v>0</v>
      </c>
      <c r="K4" s="55">
        <f>'[2]Canada Tallow Exports'!R$4</f>
        <v>0</v>
      </c>
      <c r="L4" s="55">
        <f>'[2]Canada Tallow Exports'!S$4</f>
        <v>0</v>
      </c>
      <c r="M4" s="55">
        <f>'[2]Canada Tallow Exports'!T$4</f>
        <v>0</v>
      </c>
      <c r="N4" s="55">
        <f>'[2]Canada Tallow Exports'!U$4</f>
        <v>0</v>
      </c>
      <c r="O4" s="55">
        <f>'[2]Canada Tallow Exports'!V$4</f>
        <v>0</v>
      </c>
      <c r="P4" s="55">
        <f>'[2]Canada Tallow Exports'!W$4</f>
        <v>0</v>
      </c>
      <c r="Q4" s="55">
        <f>'[2]Canada Tallow Exports'!X$4</f>
        <v>0</v>
      </c>
      <c r="R4" s="55">
        <f>'[2]Canada Tallow Exports'!Y$4</f>
        <v>0</v>
      </c>
      <c r="S4" s="55">
        <f>'[2]Canada Tallow Exports'!Z$4</f>
        <v>0</v>
      </c>
      <c r="T4" s="55">
        <f>'[2]Canada Tallow Exports'!AA$4</f>
        <v>0</v>
      </c>
      <c r="U4" s="55">
        <f>'[2]Canada Tallow Exports'!AB$4</f>
        <v>0</v>
      </c>
      <c r="V4" s="55">
        <f>'[2]Canada Tallow Exports'!AC$4</f>
        <v>0</v>
      </c>
      <c r="W4" s="55">
        <f>'[2]Canada Tallow Exports'!AD$4</f>
        <v>0</v>
      </c>
      <c r="X4" s="55">
        <f>'[2]Canada Tallow Exports'!AE$4</f>
        <v>0</v>
      </c>
      <c r="Y4" s="56">
        <f>'[2]Canada Tallow Exports'!AF$4</f>
        <v>0</v>
      </c>
      <c r="Z4" s="54"/>
      <c r="AA4" s="54"/>
      <c r="AB4" s="54"/>
      <c r="AC4" s="54"/>
      <c r="AD4" s="54"/>
      <c r="AE4" s="55">
        <f>'[2]Australia Tallow Exports'!N$4</f>
        <v>190</v>
      </c>
      <c r="AF4" s="55">
        <f>'[2]Australia Tallow Exports'!O$4</f>
        <v>0</v>
      </c>
      <c r="AG4" s="55">
        <f>'[2]Australia Tallow Exports'!P$4</f>
        <v>0</v>
      </c>
      <c r="AH4" s="55">
        <f>'[2]Australia Tallow Exports'!Q$4</f>
        <v>0</v>
      </c>
      <c r="AI4" s="55">
        <f>'[2]Australia Tallow Exports'!R$4</f>
        <v>3576</v>
      </c>
      <c r="AJ4" s="55">
        <f>'[2]Australia Tallow Exports'!S$4</f>
        <v>1910</v>
      </c>
      <c r="AK4" s="55">
        <f>'[2]Australia Tallow Exports'!T$4</f>
        <v>1314</v>
      </c>
      <c r="AL4" s="55">
        <f>'[2]Australia Tallow Exports'!U$4</f>
        <v>675</v>
      </c>
      <c r="AM4" s="55">
        <f>'[2]Australia Tallow Exports'!V$4</f>
        <v>626</v>
      </c>
      <c r="AN4" s="55">
        <f>'[2]Australia Tallow Exports'!W$4</f>
        <v>471</v>
      </c>
      <c r="AO4" s="55">
        <f>'[2]Australia Tallow Exports'!X$4</f>
        <v>49</v>
      </c>
      <c r="AP4" s="55">
        <f>'[2]Australia Tallow Exports'!Y$4</f>
        <v>76</v>
      </c>
      <c r="AQ4" s="55">
        <f>'[2]Australia Tallow Exports'!Z$4</f>
        <v>0</v>
      </c>
      <c r="AR4" s="55">
        <f>'[2]Australia Tallow Exports'!AA$4</f>
        <v>56</v>
      </c>
      <c r="AS4" s="55">
        <f>'[2]Australia Tallow Exports'!AB$4</f>
        <v>199</v>
      </c>
      <c r="AT4" s="55">
        <f>'[2]Australia Tallow Exports'!AC$4</f>
        <v>4</v>
      </c>
      <c r="AU4" s="55">
        <f>'[2]Australia Tallow Exports'!AD$4</f>
        <v>7</v>
      </c>
      <c r="AV4" s="55">
        <f>'[2]Australia Tallow Exports'!AE$4</f>
        <v>0</v>
      </c>
      <c r="AW4" s="56">
        <f>'[2]Australia Tallow Exports'!AF$4</f>
        <v>0</v>
      </c>
      <c r="AX4" s="54"/>
      <c r="AY4" s="54"/>
      <c r="AZ4" s="54"/>
      <c r="BA4" s="54"/>
      <c r="BB4" s="54"/>
      <c r="BC4" s="55">
        <f>'[2]New Zealand Tallow Exports'!N$4</f>
        <v>398</v>
      </c>
      <c r="BD4" s="55">
        <f>'[2]New Zealand Tallow Exports'!O$4</f>
        <v>181</v>
      </c>
      <c r="BE4" s="55">
        <f>'[2]New Zealand Tallow Exports'!P$4</f>
        <v>110</v>
      </c>
      <c r="BF4" s="55">
        <f>'[2]New Zealand Tallow Exports'!Q$4</f>
        <v>106</v>
      </c>
      <c r="BG4" s="55">
        <f>'[2]New Zealand Tallow Exports'!R$4</f>
        <v>327</v>
      </c>
      <c r="BH4" s="55">
        <f>'[2]New Zealand Tallow Exports'!S$4</f>
        <v>224</v>
      </c>
      <c r="BI4" s="55">
        <f>'[2]New Zealand Tallow Exports'!T$4</f>
        <v>142</v>
      </c>
      <c r="BJ4" s="55">
        <f>'[2]New Zealand Tallow Exports'!U$4</f>
        <v>14</v>
      </c>
      <c r="BK4" s="57">
        <f>'[2]New Zealand Tallow Exports'!V$4</f>
        <v>45</v>
      </c>
      <c r="BL4" s="57">
        <f>'[2]New Zealand Tallow Exports'!W$4</f>
        <v>0</v>
      </c>
      <c r="BM4" s="57">
        <f>'[2]New Zealand Tallow Exports'!X$4</f>
        <v>0</v>
      </c>
      <c r="BN4" s="57">
        <f>'[2]New Zealand Tallow Exports'!Y$4</f>
        <v>72</v>
      </c>
      <c r="BO4" s="57">
        <f>'[2]New Zealand Tallow Exports'!Z$4</f>
        <v>596</v>
      </c>
      <c r="BP4" s="57">
        <f>'[2]New Zealand Tallow Exports'!AA$4</f>
        <v>1383</v>
      </c>
      <c r="BQ4" s="57">
        <f>'[2]New Zealand Tallow Exports'!AB$4</f>
        <v>282</v>
      </c>
      <c r="BR4" s="57">
        <f>'[2]New Zealand Tallow Exports'!AC$4</f>
        <v>79</v>
      </c>
      <c r="BS4" s="57">
        <f>'[2]New Zealand Tallow Exports'!AD$4</f>
        <v>45</v>
      </c>
      <c r="BT4" s="57">
        <f>'[2]New Zealand Tallow Exports'!AE$4</f>
        <v>26</v>
      </c>
      <c r="BU4" s="58">
        <f>'[2]New Zealand Tallow Exports'!AF$4</f>
        <v>0</v>
      </c>
      <c r="BV4" s="54"/>
      <c r="BW4" s="54"/>
      <c r="BX4" s="55">
        <f>'[2]Paraguay Tallow Exports'!K$4</f>
        <v>0</v>
      </c>
      <c r="BY4" s="55">
        <f>'[2]Paraguay Tallow Exports'!L$4</f>
        <v>0</v>
      </c>
      <c r="BZ4" s="55">
        <f>'[2]Paraguay Tallow Exports'!M$4</f>
        <v>0</v>
      </c>
      <c r="CA4" s="55">
        <f>'[2]Paraguay Tallow Exports'!N$4</f>
        <v>0</v>
      </c>
      <c r="CB4" s="55">
        <f>'[2]Paraguay Tallow Exports'!O$4</f>
        <v>0</v>
      </c>
      <c r="CC4" s="55">
        <f>'[2]Paraguay Tallow Exports'!P$4</f>
        <v>0</v>
      </c>
      <c r="CD4" s="55">
        <f>'[2]Paraguay Tallow Exports'!Q$4</f>
        <v>0</v>
      </c>
      <c r="CE4" s="55">
        <f>'[2]Paraguay Tallow Exports'!R$4</f>
        <v>0</v>
      </c>
      <c r="CF4" s="55">
        <f>'[2]Paraguay Tallow Exports'!S$4</f>
        <v>0</v>
      </c>
      <c r="CG4" s="55">
        <f>'[2]Paraguay Tallow Exports'!T$4</f>
        <v>0</v>
      </c>
      <c r="CH4" s="55">
        <f>'[2]Paraguay Tallow Exports'!U$4</f>
        <v>0</v>
      </c>
      <c r="CI4" s="55">
        <f>'[2]Paraguay Tallow Exports'!V$4</f>
        <v>0</v>
      </c>
      <c r="CJ4" s="55">
        <f>'[2]Paraguay Tallow Exports'!W$4</f>
        <v>0</v>
      </c>
      <c r="CK4" s="55">
        <f>'[2]Paraguay Tallow Exports'!X$4</f>
        <v>0</v>
      </c>
      <c r="CL4" s="55">
        <f>'[2]Paraguay Tallow Exports'!Y$4</f>
        <v>1</v>
      </c>
      <c r="CM4" s="55">
        <f>'[2]Paraguay Tallow Exports'!Z$4</f>
        <v>0</v>
      </c>
      <c r="CN4" s="55">
        <f>'[2]Paraguay Tallow Exports'!AA$4</f>
        <v>0</v>
      </c>
      <c r="CO4" s="55">
        <f>'[2]Paraguay Tallow Exports'!AB$4</f>
        <v>0</v>
      </c>
      <c r="CP4" s="55">
        <f>'[2]Paraguay Tallow Exports'!AC$4</f>
        <v>0</v>
      </c>
      <c r="CQ4" s="55">
        <f>'[2]Paraguay Tallow Exports'!AD$4</f>
        <v>0</v>
      </c>
      <c r="CR4" s="56">
        <v>0</v>
      </c>
      <c r="CS4" s="54"/>
      <c r="CT4" s="54"/>
      <c r="CU4" s="54"/>
      <c r="CV4" s="54"/>
      <c r="CW4" s="54"/>
      <c r="CX4" s="54"/>
      <c r="CY4" s="54"/>
      <c r="CZ4" s="54"/>
      <c r="DA4" s="54"/>
      <c r="DB4" s="54"/>
      <c r="DC4" s="54"/>
      <c r="DD4" s="54"/>
      <c r="DE4" s="55">
        <f>'[2]Brazil Tallow Exports'!U$4</f>
        <v>0</v>
      </c>
      <c r="DF4" s="55">
        <f>'[2]Brazil Tallow Exports'!V$4</f>
        <v>0</v>
      </c>
      <c r="DG4" s="55">
        <f>'[2]Brazil Tallow Exports'!W$4</f>
        <v>0</v>
      </c>
      <c r="DH4" s="55">
        <f>'[2]Brazil Tallow Exports'!X$4</f>
        <v>0</v>
      </c>
      <c r="DI4" s="57">
        <f>'[2]Brazil Tallow Exports'!Y$4</f>
        <v>0</v>
      </c>
      <c r="DJ4" s="57">
        <f>'[2]Brazil Tallow Exports'!Z$4</f>
        <v>3627</v>
      </c>
      <c r="DK4" s="57">
        <f>'[2]Brazil Tallow Exports'!AA$4</f>
        <v>0</v>
      </c>
      <c r="DL4" s="57">
        <f>'[2]Brazil Tallow Exports'!AB$4</f>
        <v>0</v>
      </c>
      <c r="DM4" s="57">
        <f>'[2]Brazil Tallow Exports'!AC$4</f>
        <v>21</v>
      </c>
      <c r="DN4" s="57">
        <f>'[2]Brazil Tallow Exports'!AD$4</f>
        <v>7</v>
      </c>
      <c r="DO4" s="57">
        <f>'[2]Brazil Tallow Exports'!AE$4</f>
        <v>28</v>
      </c>
      <c r="DP4" s="58">
        <f>'[2]Brazil Tallow Exports'!AF$4</f>
        <v>0</v>
      </c>
      <c r="DQ4" s="54"/>
      <c r="DR4" s="54"/>
      <c r="DS4" s="54"/>
      <c r="DT4" s="54"/>
      <c r="DU4" s="54"/>
      <c r="DV4" s="54"/>
      <c r="DW4" s="54"/>
      <c r="DX4" s="54"/>
      <c r="DY4" s="54"/>
      <c r="DZ4" s="54"/>
      <c r="EA4" s="54"/>
      <c r="EB4" s="55">
        <f t="shared" ref="EB4:EM29" si="0">N4+AL4+CH4+DE4+BJ4</f>
        <v>689</v>
      </c>
      <c r="EC4" s="55">
        <f t="shared" si="0"/>
        <v>671</v>
      </c>
      <c r="ED4" s="55">
        <f t="shared" si="0"/>
        <v>471</v>
      </c>
      <c r="EE4" s="55">
        <f t="shared" si="0"/>
        <v>49</v>
      </c>
      <c r="EF4" s="55">
        <f t="shared" si="0"/>
        <v>149</v>
      </c>
      <c r="EG4" s="55">
        <f t="shared" si="0"/>
        <v>4223</v>
      </c>
      <c r="EH4" s="55">
        <f t="shared" si="0"/>
        <v>1439</v>
      </c>
      <c r="EI4" s="55">
        <f t="shared" si="0"/>
        <v>481</v>
      </c>
      <c r="EJ4" s="55">
        <f t="shared" si="0"/>
        <v>104</v>
      </c>
      <c r="EK4" s="55">
        <f t="shared" si="0"/>
        <v>59</v>
      </c>
      <c r="EL4" s="55">
        <f t="shared" si="0"/>
        <v>54</v>
      </c>
      <c r="EM4" s="55">
        <f t="shared" si="0"/>
        <v>0</v>
      </c>
      <c r="EN4" s="59">
        <f t="shared" ref="EN4:FN4" si="1">IF(FORECAST(EN$41,EI4:EM4,EI$41:EM$41)&lt;0,0,FORECAST(EN$41,EI4:EM4,EI$41:EM$41))*0.99</f>
        <v>0</v>
      </c>
      <c r="EO4" s="59">
        <f t="shared" si="1"/>
        <v>0</v>
      </c>
      <c r="EP4" s="59">
        <f t="shared" si="1"/>
        <v>0</v>
      </c>
      <c r="EQ4" s="59">
        <f t="shared" si="1"/>
        <v>0</v>
      </c>
      <c r="ER4" s="59">
        <f t="shared" si="1"/>
        <v>0</v>
      </c>
      <c r="ES4" s="59">
        <f t="shared" si="1"/>
        <v>0</v>
      </c>
      <c r="ET4" s="59">
        <f t="shared" si="1"/>
        <v>0</v>
      </c>
      <c r="EU4" s="59">
        <f t="shared" si="1"/>
        <v>0</v>
      </c>
      <c r="EV4" s="59">
        <f t="shared" si="1"/>
        <v>0</v>
      </c>
      <c r="EW4" s="59">
        <f t="shared" si="1"/>
        <v>0</v>
      </c>
      <c r="EX4" s="59">
        <f t="shared" si="1"/>
        <v>0</v>
      </c>
      <c r="EY4" s="59">
        <f t="shared" si="1"/>
        <v>0</v>
      </c>
      <c r="EZ4" s="59">
        <f t="shared" si="1"/>
        <v>0</v>
      </c>
      <c r="FA4" s="59">
        <f t="shared" si="1"/>
        <v>0</v>
      </c>
      <c r="FB4" s="59">
        <f t="shared" si="1"/>
        <v>0</v>
      </c>
      <c r="FC4" s="59">
        <f t="shared" si="1"/>
        <v>0</v>
      </c>
      <c r="FD4" s="59">
        <f t="shared" si="1"/>
        <v>0</v>
      </c>
      <c r="FE4" s="59">
        <f t="shared" si="1"/>
        <v>0</v>
      </c>
      <c r="FF4" s="59">
        <f t="shared" si="1"/>
        <v>0</v>
      </c>
      <c r="FG4" s="59">
        <f t="shared" si="1"/>
        <v>0</v>
      </c>
      <c r="FH4" s="59">
        <f t="shared" si="1"/>
        <v>0</v>
      </c>
      <c r="FI4" s="59">
        <f t="shared" si="1"/>
        <v>0</v>
      </c>
      <c r="FJ4" s="59">
        <f t="shared" si="1"/>
        <v>0</v>
      </c>
      <c r="FK4" s="59">
        <f t="shared" si="1"/>
        <v>0</v>
      </c>
      <c r="FL4" s="59">
        <f t="shared" si="1"/>
        <v>0</v>
      </c>
      <c r="FM4" s="59">
        <f t="shared" si="1"/>
        <v>0</v>
      </c>
      <c r="FN4" s="59">
        <f t="shared" si="1"/>
        <v>0</v>
      </c>
    </row>
    <row r="5" spans="1:170">
      <c r="A5" s="44" t="s">
        <v>120</v>
      </c>
      <c r="B5" s="57">
        <f>'[2]Canada Tallow Exports'!I$37</f>
        <v>0</v>
      </c>
      <c r="C5" s="57">
        <f>'[2]Canada Tallow Exports'!J$37</f>
        <v>0</v>
      </c>
      <c r="D5" s="57">
        <f>'[2]Canada Tallow Exports'!K$37</f>
        <v>0</v>
      </c>
      <c r="E5" s="57">
        <f>'[2]Canada Tallow Exports'!L$37</f>
        <v>0</v>
      </c>
      <c r="F5" s="57">
        <f>'[2]Canada Tallow Exports'!M$37</f>
        <v>0</v>
      </c>
      <c r="G5" s="57">
        <f>'[2]Canada Tallow Exports'!N$37</f>
        <v>0</v>
      </c>
      <c r="H5" s="57">
        <f>'[2]Canada Tallow Exports'!O$37</f>
        <v>0</v>
      </c>
      <c r="I5" s="57">
        <f>'[2]Canada Tallow Exports'!P$37</f>
        <v>0</v>
      </c>
      <c r="J5" s="57">
        <f>'[2]Canada Tallow Exports'!Q$37</f>
        <v>0</v>
      </c>
      <c r="K5" s="57">
        <f>'[2]Canada Tallow Exports'!R$37</f>
        <v>0</v>
      </c>
      <c r="L5" s="57">
        <f>'[2]Canada Tallow Exports'!S$37</f>
        <v>0</v>
      </c>
      <c r="M5" s="57">
        <f>'[2]Canada Tallow Exports'!T$37</f>
        <v>0</v>
      </c>
      <c r="N5" s="57">
        <f>'[2]Canada Tallow Exports'!U$37</f>
        <v>0</v>
      </c>
      <c r="O5" s="57">
        <f>'[2]Canada Tallow Exports'!V$37</f>
        <v>0</v>
      </c>
      <c r="P5" s="57">
        <f>'[2]Canada Tallow Exports'!W$37</f>
        <v>0</v>
      </c>
      <c r="Q5" s="57">
        <f>'[2]Canada Tallow Exports'!X$37</f>
        <v>0</v>
      </c>
      <c r="R5" s="57">
        <f>'[2]Canada Tallow Exports'!Y$37</f>
        <v>0</v>
      </c>
      <c r="S5" s="57">
        <f>'[2]Canada Tallow Exports'!Z$37</f>
        <v>0</v>
      </c>
      <c r="T5" s="57">
        <f>'[2]Canada Tallow Exports'!AA$37</f>
        <v>0</v>
      </c>
      <c r="U5" s="57">
        <f>'[2]Canada Tallow Exports'!AB$37</f>
        <v>0</v>
      </c>
      <c r="V5" s="57">
        <f>'[2]Canada Tallow Exports'!AC$37</f>
        <v>0</v>
      </c>
      <c r="W5" s="57">
        <f>'[2]Canada Tallow Exports'!AD$37</f>
        <v>0</v>
      </c>
      <c r="X5" s="57">
        <f>'[2]Canada Tallow Exports'!AE$37</f>
        <v>0</v>
      </c>
      <c r="Y5" s="58">
        <f>'[2]Canada Tallow Exports'!AF$37</f>
        <v>0</v>
      </c>
      <c r="AE5" s="57">
        <f>'[2]Australia Tallow Exports'!N$37</f>
        <v>0</v>
      </c>
      <c r="AF5" s="57">
        <f>'[2]Australia Tallow Exports'!O$37</f>
        <v>0</v>
      </c>
      <c r="AG5" s="57">
        <f>'[2]Australia Tallow Exports'!P$37</f>
        <v>0</v>
      </c>
      <c r="AH5" s="57">
        <f>'[2]Australia Tallow Exports'!Q$37</f>
        <v>170</v>
      </c>
      <c r="AI5" s="57">
        <f>'[2]Australia Tallow Exports'!R$37</f>
        <v>0</v>
      </c>
      <c r="AJ5" s="57">
        <f>'[2]Australia Tallow Exports'!S$37</f>
        <v>0</v>
      </c>
      <c r="AK5" s="57">
        <f>'[2]Australia Tallow Exports'!T$37</f>
        <v>0</v>
      </c>
      <c r="AL5" s="57">
        <f>'[2]Australia Tallow Exports'!U$37</f>
        <v>0</v>
      </c>
      <c r="AM5" s="57">
        <f>'[2]Australia Tallow Exports'!V$37</f>
        <v>0</v>
      </c>
      <c r="AN5" s="57">
        <f>'[2]Australia Tallow Exports'!W$37</f>
        <v>0</v>
      </c>
      <c r="AO5" s="57">
        <f>'[2]Australia Tallow Exports'!X$37</f>
        <v>0</v>
      </c>
      <c r="AP5" s="57">
        <f>'[2]Australia Tallow Exports'!Y$37</f>
        <v>0</v>
      </c>
      <c r="AQ5" s="57">
        <f>'[2]Australia Tallow Exports'!Z$37</f>
        <v>1</v>
      </c>
      <c r="AR5" s="57">
        <f>'[2]Australia Tallow Exports'!AA$37</f>
        <v>3</v>
      </c>
      <c r="AS5" s="57">
        <f>'[2]Australia Tallow Exports'!AB$37</f>
        <v>199</v>
      </c>
      <c r="AT5" s="57">
        <f>'[2]Australia Tallow Exports'!AC$37</f>
        <v>4</v>
      </c>
      <c r="AU5" s="57">
        <f>'[2]Australia Tallow Exports'!AD$37</f>
        <v>7</v>
      </c>
      <c r="AV5" s="57">
        <f>'[2]Australia Tallow Exports'!AE$37</f>
        <v>0</v>
      </c>
      <c r="AW5" s="58">
        <f>'[2]Australia Tallow Exports'!AF$37</f>
        <v>0</v>
      </c>
      <c r="BC5" s="57">
        <f>'[2]New Zealand Tallow Exports'!N$37</f>
        <v>0</v>
      </c>
      <c r="BD5" s="57">
        <f>'[2]New Zealand Tallow Exports'!O$37</f>
        <v>0</v>
      </c>
      <c r="BE5" s="57">
        <f>'[2]New Zealand Tallow Exports'!P$37</f>
        <v>0</v>
      </c>
      <c r="BF5" s="57">
        <f>'[2]New Zealand Tallow Exports'!Q$37</f>
        <v>0</v>
      </c>
      <c r="BG5" s="57">
        <f>'[2]New Zealand Tallow Exports'!R$37</f>
        <v>0</v>
      </c>
      <c r="BH5" s="57">
        <f>'[2]New Zealand Tallow Exports'!S$37</f>
        <v>43</v>
      </c>
      <c r="BI5" s="57">
        <f>'[2]New Zealand Tallow Exports'!T$37</f>
        <v>0</v>
      </c>
      <c r="BJ5" s="57">
        <f>'[2]New Zealand Tallow Exports'!U$37</f>
        <v>0</v>
      </c>
      <c r="BK5" s="57">
        <f>'[2]New Zealand Tallow Exports'!V$37</f>
        <v>0</v>
      </c>
      <c r="BL5" s="57">
        <f>'[2]New Zealand Tallow Exports'!W$37</f>
        <v>0</v>
      </c>
      <c r="BM5" s="57">
        <f>'[2]New Zealand Tallow Exports'!X$37</f>
        <v>0</v>
      </c>
      <c r="BN5" s="57">
        <f>'[2]New Zealand Tallow Exports'!Y$37</f>
        <v>0</v>
      </c>
      <c r="BO5" s="57">
        <f>'[2]New Zealand Tallow Exports'!Z$37</f>
        <v>0</v>
      </c>
      <c r="BP5" s="57">
        <f>'[2]New Zealand Tallow Exports'!AA$37</f>
        <v>0</v>
      </c>
      <c r="BQ5" s="57">
        <f>'[2]New Zealand Tallow Exports'!AB$37</f>
        <v>55</v>
      </c>
      <c r="BR5" s="57">
        <f>'[2]New Zealand Tallow Exports'!AC$37</f>
        <v>0</v>
      </c>
      <c r="BS5" s="57">
        <f>'[2]New Zealand Tallow Exports'!AD$37</f>
        <v>0</v>
      </c>
      <c r="BT5" s="57">
        <f>'[2]New Zealand Tallow Exports'!AE$37</f>
        <v>0</v>
      </c>
      <c r="BU5" s="58">
        <f>'[2]New Zealand Tallow Exports'!AF$37</f>
        <v>0</v>
      </c>
      <c r="BX5" s="57">
        <f>'[2]Paraguay Tallow Exports'!K$37</f>
        <v>0</v>
      </c>
      <c r="BY5" s="57">
        <f>'[2]Paraguay Tallow Exports'!L$37</f>
        <v>0</v>
      </c>
      <c r="BZ5" s="57">
        <f>'[2]Paraguay Tallow Exports'!M$37</f>
        <v>0</v>
      </c>
      <c r="CA5" s="57">
        <f>'[2]Paraguay Tallow Exports'!N$37</f>
        <v>0</v>
      </c>
      <c r="CB5" s="57">
        <f>'[2]Paraguay Tallow Exports'!O$37</f>
        <v>0</v>
      </c>
      <c r="CC5" s="57">
        <f>'[2]Paraguay Tallow Exports'!P$37</f>
        <v>0</v>
      </c>
      <c r="CD5" s="57">
        <f>'[2]Paraguay Tallow Exports'!Q$37</f>
        <v>0</v>
      </c>
      <c r="CE5" s="57">
        <f>'[2]Paraguay Tallow Exports'!R$37</f>
        <v>0</v>
      </c>
      <c r="CF5" s="57">
        <f>'[2]Paraguay Tallow Exports'!S$37</f>
        <v>0</v>
      </c>
      <c r="CG5" s="57">
        <f>'[2]Paraguay Tallow Exports'!T$37</f>
        <v>0</v>
      </c>
      <c r="CH5" s="57">
        <f>'[2]Paraguay Tallow Exports'!U$37</f>
        <v>0</v>
      </c>
      <c r="CI5" s="57">
        <f>'[2]Paraguay Tallow Exports'!V$37</f>
        <v>296</v>
      </c>
      <c r="CJ5" s="57">
        <f>'[2]Paraguay Tallow Exports'!W$37</f>
        <v>250</v>
      </c>
      <c r="CK5" s="57">
        <f>'[2]Paraguay Tallow Exports'!X$37</f>
        <v>0</v>
      </c>
      <c r="CL5" s="57">
        <f>'[2]Paraguay Tallow Exports'!Y$37</f>
        <v>80</v>
      </c>
      <c r="CM5" s="57">
        <f>'[2]Paraguay Tallow Exports'!Z$37</f>
        <v>0</v>
      </c>
      <c r="CN5" s="57">
        <f>'[2]Paraguay Tallow Exports'!AA$37</f>
        <v>0</v>
      </c>
      <c r="CO5" s="57">
        <f>'[2]Paraguay Tallow Exports'!AB$37</f>
        <v>56</v>
      </c>
      <c r="CP5" s="57">
        <f>'[2]Paraguay Tallow Exports'!AC$37</f>
        <v>0</v>
      </c>
      <c r="CQ5" s="57">
        <f>'[2]Paraguay Tallow Exports'!AD$37</f>
        <v>0</v>
      </c>
      <c r="CR5" s="58">
        <v>0</v>
      </c>
      <c r="DE5" s="57">
        <f>'[2]Brazil Tallow Exports'!U$37</f>
        <v>0</v>
      </c>
      <c r="DF5" s="57">
        <f>'[2]Brazil Tallow Exports'!V$37</f>
        <v>0</v>
      </c>
      <c r="DG5" s="57">
        <f>'[2]Brazil Tallow Exports'!W$37</f>
        <v>0</v>
      </c>
      <c r="DH5" s="57">
        <f>'[2]Brazil Tallow Exports'!X$37</f>
        <v>0</v>
      </c>
      <c r="DI5" s="57">
        <f>'[2]Brazil Tallow Exports'!Y$37</f>
        <v>0</v>
      </c>
      <c r="DJ5" s="57">
        <f>'[2]Brazil Tallow Exports'!Z$37</f>
        <v>0</v>
      </c>
      <c r="DK5" s="57">
        <f>'[2]Brazil Tallow Exports'!AA$37</f>
        <v>164</v>
      </c>
      <c r="DL5" s="57">
        <f>'[2]Brazil Tallow Exports'!AB$37</f>
        <v>401</v>
      </c>
      <c r="DM5" s="57">
        <f>'[2]Brazil Tallow Exports'!AC$37</f>
        <v>147</v>
      </c>
      <c r="DN5" s="57">
        <f>'[2]Brazil Tallow Exports'!AD$37</f>
        <v>101</v>
      </c>
      <c r="DO5" s="57">
        <f>'[2]Brazil Tallow Exports'!AE$37</f>
        <v>196</v>
      </c>
      <c r="DP5" s="58">
        <f>'[2]Brazil Tallow Exports'!AF$37</f>
        <v>350</v>
      </c>
      <c r="EB5" s="57">
        <f t="shared" si="0"/>
        <v>0</v>
      </c>
      <c r="EC5" s="57">
        <f t="shared" si="0"/>
        <v>296</v>
      </c>
      <c r="ED5" s="57">
        <f t="shared" si="0"/>
        <v>250</v>
      </c>
      <c r="EE5" s="57">
        <f t="shared" si="0"/>
        <v>0</v>
      </c>
      <c r="EF5" s="57">
        <f t="shared" si="0"/>
        <v>80</v>
      </c>
      <c r="EG5" s="57">
        <f t="shared" si="0"/>
        <v>1</v>
      </c>
      <c r="EH5" s="57">
        <f t="shared" si="0"/>
        <v>167</v>
      </c>
      <c r="EI5" s="57">
        <f t="shared" si="0"/>
        <v>711</v>
      </c>
      <c r="EJ5" s="57">
        <f t="shared" si="0"/>
        <v>151</v>
      </c>
      <c r="EK5" s="57">
        <f t="shared" si="0"/>
        <v>108</v>
      </c>
      <c r="EL5" s="57">
        <f t="shared" si="0"/>
        <v>196</v>
      </c>
      <c r="EM5" s="57">
        <f t="shared" si="0"/>
        <v>350</v>
      </c>
      <c r="EN5" s="60">
        <f>IF(FORECAST(EN$41,EI5:EM5,EI$41:EM$41)&lt;0,0,FORECAST(EN$41,EI5:EM5,EI$41:EM$41))</f>
        <v>191.83657524312011</v>
      </c>
      <c r="EO5" s="60">
        <f t="shared" ref="EO5:FN5" si="2">IF(FORECAST(EO$41,EJ5:EN5,EJ$41:EN$41)&lt;0,0,FORECAST(EO$41,EJ5:EN5,EJ$41:EN$41))*0.5</f>
        <v>139.22857229503353</v>
      </c>
      <c r="EP5" s="60">
        <f t="shared" si="2"/>
        <v>99.959619583681814</v>
      </c>
      <c r="EQ5" s="60">
        <f t="shared" si="2"/>
        <v>67.334705232424</v>
      </c>
      <c r="ER5" s="60">
        <f t="shared" si="2"/>
        <v>35.158512532581824</v>
      </c>
      <c r="ES5" s="60">
        <f t="shared" si="2"/>
        <v>19.354921232306424</v>
      </c>
      <c r="ET5" s="60">
        <f t="shared" si="2"/>
        <v>0</v>
      </c>
      <c r="EU5" s="60">
        <f t="shared" si="2"/>
        <v>0</v>
      </c>
      <c r="EV5" s="60">
        <f t="shared" si="2"/>
        <v>0</v>
      </c>
      <c r="EW5" s="60">
        <f t="shared" si="2"/>
        <v>0</v>
      </c>
      <c r="EX5" s="60">
        <f t="shared" si="2"/>
        <v>0</v>
      </c>
      <c r="EY5" s="60">
        <f t="shared" si="2"/>
        <v>0</v>
      </c>
      <c r="EZ5" s="60">
        <f t="shared" si="2"/>
        <v>0</v>
      </c>
      <c r="FA5" s="60">
        <f t="shared" si="2"/>
        <v>0</v>
      </c>
      <c r="FB5" s="60">
        <f t="shared" si="2"/>
        <v>0</v>
      </c>
      <c r="FC5" s="60">
        <f t="shared" si="2"/>
        <v>0</v>
      </c>
      <c r="FD5" s="60">
        <f t="shared" si="2"/>
        <v>0</v>
      </c>
      <c r="FE5" s="60">
        <f t="shared" si="2"/>
        <v>0</v>
      </c>
      <c r="FF5" s="60">
        <f t="shared" si="2"/>
        <v>0</v>
      </c>
      <c r="FG5" s="60">
        <f t="shared" si="2"/>
        <v>0</v>
      </c>
      <c r="FH5" s="60">
        <f t="shared" si="2"/>
        <v>0</v>
      </c>
      <c r="FI5" s="60">
        <f t="shared" si="2"/>
        <v>0</v>
      </c>
      <c r="FJ5" s="60">
        <f t="shared" si="2"/>
        <v>0</v>
      </c>
      <c r="FK5" s="60">
        <f t="shared" si="2"/>
        <v>0</v>
      </c>
      <c r="FL5" s="60">
        <f t="shared" si="2"/>
        <v>0</v>
      </c>
      <c r="FM5" s="60">
        <f t="shared" si="2"/>
        <v>0</v>
      </c>
      <c r="FN5" s="60">
        <f t="shared" si="2"/>
        <v>0</v>
      </c>
    </row>
    <row r="6" spans="1:170">
      <c r="A6" s="44" t="s">
        <v>121</v>
      </c>
      <c r="B6" s="57">
        <f>'[2]Canada Tallow Exports'!I$59</f>
        <v>0</v>
      </c>
      <c r="C6" s="57">
        <f>'[2]Canada Tallow Exports'!J$59</f>
        <v>0</v>
      </c>
      <c r="D6" s="57">
        <f>'[2]Canada Tallow Exports'!K$59</f>
        <v>0</v>
      </c>
      <c r="E6" s="57">
        <f>'[2]Canada Tallow Exports'!L$59</f>
        <v>0</v>
      </c>
      <c r="F6" s="57">
        <f>'[2]Canada Tallow Exports'!M$59</f>
        <v>0</v>
      </c>
      <c r="G6" s="57">
        <f>'[2]Canada Tallow Exports'!N$59</f>
        <v>0</v>
      </c>
      <c r="H6" s="57">
        <f>'[2]Canada Tallow Exports'!O$59</f>
        <v>0</v>
      </c>
      <c r="I6" s="57">
        <f>'[2]Canada Tallow Exports'!P$59</f>
        <v>0</v>
      </c>
      <c r="J6" s="57">
        <f>'[2]Canada Tallow Exports'!Q$59</f>
        <v>0</v>
      </c>
      <c r="K6" s="57">
        <f>'[2]Canada Tallow Exports'!R$59</f>
        <v>0</v>
      </c>
      <c r="L6" s="57">
        <f>'[2]Canada Tallow Exports'!S$59</f>
        <v>0</v>
      </c>
      <c r="M6" s="57">
        <f>'[2]Canada Tallow Exports'!T$59</f>
        <v>0</v>
      </c>
      <c r="N6" s="57">
        <f>'[2]Canada Tallow Exports'!U$59</f>
        <v>0</v>
      </c>
      <c r="O6" s="57">
        <f>'[2]Canada Tallow Exports'!V$59</f>
        <v>0</v>
      </c>
      <c r="P6" s="57">
        <f>'[2]Canada Tallow Exports'!W$59</f>
        <v>0</v>
      </c>
      <c r="Q6" s="57">
        <f>'[2]Canada Tallow Exports'!X$59</f>
        <v>0</v>
      </c>
      <c r="R6" s="57">
        <f>'[2]Canada Tallow Exports'!Y$59</f>
        <v>0</v>
      </c>
      <c r="S6" s="57">
        <f>'[2]Canada Tallow Exports'!Z$59</f>
        <v>0</v>
      </c>
      <c r="T6" s="57">
        <f>'[2]Canada Tallow Exports'!AA$59</f>
        <v>0</v>
      </c>
      <c r="U6" s="57">
        <f>'[2]Canada Tallow Exports'!AB$59</f>
        <v>0</v>
      </c>
      <c r="V6" s="57">
        <f>'[2]Canada Tallow Exports'!AC$59</f>
        <v>0</v>
      </c>
      <c r="W6" s="57">
        <f>'[2]Canada Tallow Exports'!AD$59</f>
        <v>0</v>
      </c>
      <c r="X6" s="57">
        <f>'[2]Canada Tallow Exports'!AE$59</f>
        <v>0</v>
      </c>
      <c r="Y6" s="58">
        <f>'[2]Canada Tallow Exports'!AF$59</f>
        <v>0</v>
      </c>
      <c r="AE6" s="57">
        <f>'[2]Australia Tallow Exports'!N$59</f>
        <v>0</v>
      </c>
      <c r="AF6" s="57">
        <f>'[2]Australia Tallow Exports'!O$59</f>
        <v>0</v>
      </c>
      <c r="AG6" s="57">
        <f>'[2]Australia Tallow Exports'!P$59</f>
        <v>122</v>
      </c>
      <c r="AH6" s="57">
        <f>'[2]Australia Tallow Exports'!Q$59</f>
        <v>295</v>
      </c>
      <c r="AI6" s="57">
        <f>'[2]Australia Tallow Exports'!R$59</f>
        <v>0</v>
      </c>
      <c r="AJ6" s="57">
        <f>'[2]Australia Tallow Exports'!S$59</f>
        <v>0</v>
      </c>
      <c r="AK6" s="57">
        <f>'[2]Australia Tallow Exports'!T$59</f>
        <v>0</v>
      </c>
      <c r="AL6" s="57">
        <f>'[2]Australia Tallow Exports'!U$59</f>
        <v>0</v>
      </c>
      <c r="AM6" s="57">
        <f>'[2]Australia Tallow Exports'!V$59</f>
        <v>0</v>
      </c>
      <c r="AN6" s="57">
        <f>'[2]Australia Tallow Exports'!W$59</f>
        <v>0</v>
      </c>
      <c r="AO6" s="57">
        <f>'[2]Australia Tallow Exports'!X$59</f>
        <v>0</v>
      </c>
      <c r="AP6" s="57">
        <f>'[2]Australia Tallow Exports'!Y$59</f>
        <v>0</v>
      </c>
      <c r="AQ6" s="57">
        <f>'[2]Australia Tallow Exports'!Z$59</f>
        <v>0</v>
      </c>
      <c r="AR6" s="57">
        <f>'[2]Australia Tallow Exports'!AA$59</f>
        <v>0</v>
      </c>
      <c r="AS6" s="57">
        <f>'[2]Australia Tallow Exports'!AB$59</f>
        <v>0</v>
      </c>
      <c r="AT6" s="57">
        <f>'[2]Australia Tallow Exports'!AC$59</f>
        <v>0</v>
      </c>
      <c r="AU6" s="57">
        <f>'[2]Australia Tallow Exports'!AD$59</f>
        <v>0</v>
      </c>
      <c r="AV6" s="57">
        <f>'[2]Australia Tallow Exports'!AE$59</f>
        <v>0</v>
      </c>
      <c r="AW6" s="58">
        <f>'[2]Australia Tallow Exports'!AF$59</f>
        <v>0</v>
      </c>
      <c r="BC6" s="57">
        <f>'[2]New Zealand Tallow Exports'!N$59</f>
        <v>0</v>
      </c>
      <c r="BD6" s="57">
        <f>'[2]New Zealand Tallow Exports'!O$59</f>
        <v>0</v>
      </c>
      <c r="BE6" s="57">
        <f>'[2]New Zealand Tallow Exports'!P$59</f>
        <v>0</v>
      </c>
      <c r="BF6" s="57">
        <f>'[2]New Zealand Tallow Exports'!Q$59</f>
        <v>0</v>
      </c>
      <c r="BG6" s="57">
        <f>'[2]New Zealand Tallow Exports'!R$59</f>
        <v>0</v>
      </c>
      <c r="BH6" s="57">
        <f>'[2]New Zealand Tallow Exports'!S$59</f>
        <v>0</v>
      </c>
      <c r="BI6" s="57">
        <f>'[2]New Zealand Tallow Exports'!T$59</f>
        <v>0</v>
      </c>
      <c r="BJ6" s="57">
        <f>'[2]New Zealand Tallow Exports'!U$59</f>
        <v>0</v>
      </c>
      <c r="BK6" s="57">
        <f>'[2]New Zealand Tallow Exports'!V$59</f>
        <v>0</v>
      </c>
      <c r="BL6" s="57">
        <f>'[2]New Zealand Tallow Exports'!W$59</f>
        <v>8</v>
      </c>
      <c r="BM6" s="57">
        <f>'[2]New Zealand Tallow Exports'!X$59</f>
        <v>0</v>
      </c>
      <c r="BN6" s="57">
        <f>'[2]New Zealand Tallow Exports'!Y$59</f>
        <v>0</v>
      </c>
      <c r="BO6" s="57">
        <f>'[2]New Zealand Tallow Exports'!Z$59</f>
        <v>0</v>
      </c>
      <c r="BP6" s="57">
        <f>'[2]New Zealand Tallow Exports'!AA$59</f>
        <v>0</v>
      </c>
      <c r="BQ6" s="57">
        <f>'[2]New Zealand Tallow Exports'!AB$59</f>
        <v>0</v>
      </c>
      <c r="BR6" s="57">
        <f>'[2]New Zealand Tallow Exports'!AC$59</f>
        <v>0</v>
      </c>
      <c r="BS6" s="57">
        <f>'[2]New Zealand Tallow Exports'!AD$59</f>
        <v>0</v>
      </c>
      <c r="BT6" s="57">
        <f>'[2]New Zealand Tallow Exports'!AE$59</f>
        <v>0</v>
      </c>
      <c r="BU6" s="58">
        <f>'[2]New Zealand Tallow Exports'!AF$59</f>
        <v>0</v>
      </c>
      <c r="BX6" s="57">
        <f>'[2]Paraguay Tallow Exports'!K$59</f>
        <v>0</v>
      </c>
      <c r="BY6" s="57">
        <f>'[2]Paraguay Tallow Exports'!L$59</f>
        <v>0</v>
      </c>
      <c r="BZ6" s="57">
        <f>'[2]Paraguay Tallow Exports'!M$59</f>
        <v>0</v>
      </c>
      <c r="CA6" s="57">
        <f>'[2]Paraguay Tallow Exports'!N$59</f>
        <v>0</v>
      </c>
      <c r="CB6" s="57">
        <f>'[2]Paraguay Tallow Exports'!O$59</f>
        <v>0</v>
      </c>
      <c r="CC6" s="57">
        <f>'[2]Paraguay Tallow Exports'!P$59</f>
        <v>0</v>
      </c>
      <c r="CD6" s="57">
        <f>'[2]Paraguay Tallow Exports'!Q$59</f>
        <v>29</v>
      </c>
      <c r="CE6" s="57">
        <f>'[2]Paraguay Tallow Exports'!R$59</f>
        <v>0</v>
      </c>
      <c r="CF6" s="57">
        <f>'[2]Paraguay Tallow Exports'!S$59</f>
        <v>0</v>
      </c>
      <c r="CG6" s="57">
        <f>'[2]Paraguay Tallow Exports'!T$59</f>
        <v>0</v>
      </c>
      <c r="CH6" s="57">
        <f>'[2]Paraguay Tallow Exports'!U$59</f>
        <v>313</v>
      </c>
      <c r="CI6" s="57">
        <f>'[2]Paraguay Tallow Exports'!V$59</f>
        <v>1080</v>
      </c>
      <c r="CJ6" s="57">
        <f>'[2]Paraguay Tallow Exports'!W$59</f>
        <v>1823</v>
      </c>
      <c r="CK6" s="57">
        <f>'[2]Paraguay Tallow Exports'!X$59</f>
        <v>2420</v>
      </c>
      <c r="CL6" s="57">
        <f>'[2]Paraguay Tallow Exports'!Y$59</f>
        <v>1265</v>
      </c>
      <c r="CM6" s="57">
        <f>'[2]Paraguay Tallow Exports'!Z$59</f>
        <v>2479</v>
      </c>
      <c r="CN6" s="57">
        <f>'[2]Paraguay Tallow Exports'!AA$59</f>
        <v>2677</v>
      </c>
      <c r="CO6" s="57">
        <f>'[2]Paraguay Tallow Exports'!AB$59</f>
        <v>3042</v>
      </c>
      <c r="CP6" s="57">
        <f>'[2]Paraguay Tallow Exports'!AC$59</f>
        <v>3468</v>
      </c>
      <c r="CQ6" s="57">
        <f>'[2]Paraguay Tallow Exports'!AD$59</f>
        <v>2518</v>
      </c>
      <c r="CR6" s="58">
        <f>FORECAST(CR$41,CM6:CQ6,CM$41:CQ$41)</f>
        <v>2656.1390544496089</v>
      </c>
      <c r="DE6" s="57">
        <f>'[2]Brazil Tallow Exports'!U$59</f>
        <v>0</v>
      </c>
      <c r="DF6" s="57">
        <f>'[2]Brazil Tallow Exports'!V$59</f>
        <v>0</v>
      </c>
      <c r="DG6" s="57">
        <f>'[2]Brazil Tallow Exports'!W$59</f>
        <v>0</v>
      </c>
      <c r="DH6" s="57">
        <f>'[2]Brazil Tallow Exports'!X$59</f>
        <v>0</v>
      </c>
      <c r="DI6" s="57">
        <f>'[2]Brazil Tallow Exports'!Y$59</f>
        <v>0</v>
      </c>
      <c r="DJ6" s="57">
        <f>'[2]Brazil Tallow Exports'!Z$59</f>
        <v>0</v>
      </c>
      <c r="DK6" s="57">
        <f>'[2]Brazil Tallow Exports'!AA$59</f>
        <v>0</v>
      </c>
      <c r="DL6" s="57">
        <f>'[2]Brazil Tallow Exports'!AB$59</f>
        <v>25</v>
      </c>
      <c r="DM6" s="57">
        <f>'[2]Brazil Tallow Exports'!AC$59</f>
        <v>15</v>
      </c>
      <c r="DN6" s="57">
        <f>'[2]Brazil Tallow Exports'!AD$59</f>
        <v>25</v>
      </c>
      <c r="DO6" s="57">
        <f>'[2]Brazil Tallow Exports'!AE$59</f>
        <v>125</v>
      </c>
      <c r="DP6" s="58">
        <f>'[2]Brazil Tallow Exports'!AF$59</f>
        <v>125</v>
      </c>
      <c r="EB6" s="57">
        <f t="shared" si="0"/>
        <v>313</v>
      </c>
      <c r="EC6" s="57">
        <f t="shared" si="0"/>
        <v>1080</v>
      </c>
      <c r="ED6" s="57">
        <f t="shared" si="0"/>
        <v>1831</v>
      </c>
      <c r="EE6" s="57">
        <f t="shared" si="0"/>
        <v>2420</v>
      </c>
      <c r="EF6" s="57">
        <f t="shared" si="0"/>
        <v>1265</v>
      </c>
      <c r="EG6" s="57">
        <f t="shared" si="0"/>
        <v>2479</v>
      </c>
      <c r="EH6" s="57">
        <f t="shared" si="0"/>
        <v>2677</v>
      </c>
      <c r="EI6" s="57">
        <f t="shared" si="0"/>
        <v>3067</v>
      </c>
      <c r="EJ6" s="57">
        <f t="shared" si="0"/>
        <v>3483</v>
      </c>
      <c r="EK6" s="57">
        <f t="shared" si="0"/>
        <v>2543</v>
      </c>
      <c r="EL6" s="57">
        <f t="shared" si="0"/>
        <v>2781.1390544496089</v>
      </c>
      <c r="EM6" s="57">
        <f t="shared" si="0"/>
        <v>125</v>
      </c>
      <c r="EN6" s="60">
        <f t="shared" ref="EN6:FN7" si="3">IF(FORECAST(EN$41,EI6:EM6,EI$41:EM$41)&lt;0,0,FORECAST(EN$41,EI6:EM6,EI$41:EM$41))</f>
        <v>0</v>
      </c>
      <c r="EO6" s="60">
        <f t="shared" si="3"/>
        <v>0</v>
      </c>
      <c r="EP6" s="60">
        <f t="shared" si="3"/>
        <v>0</v>
      </c>
      <c r="EQ6" s="60">
        <f t="shared" si="3"/>
        <v>0</v>
      </c>
      <c r="ER6" s="60">
        <f t="shared" si="3"/>
        <v>0</v>
      </c>
      <c r="ES6" s="60">
        <f t="shared" si="3"/>
        <v>0</v>
      </c>
      <c r="ET6" s="60">
        <f t="shared" si="3"/>
        <v>0</v>
      </c>
      <c r="EU6" s="60">
        <f t="shared" si="3"/>
        <v>0</v>
      </c>
      <c r="EV6" s="60">
        <f t="shared" si="3"/>
        <v>0</v>
      </c>
      <c r="EW6" s="60">
        <f t="shared" si="3"/>
        <v>0</v>
      </c>
      <c r="EX6" s="60">
        <f t="shared" si="3"/>
        <v>0</v>
      </c>
      <c r="EY6" s="60">
        <f t="shared" si="3"/>
        <v>0</v>
      </c>
      <c r="EZ6" s="60">
        <f t="shared" si="3"/>
        <v>0</v>
      </c>
      <c r="FA6" s="60">
        <f t="shared" si="3"/>
        <v>0</v>
      </c>
      <c r="FB6" s="60">
        <f t="shared" si="3"/>
        <v>0</v>
      </c>
      <c r="FC6" s="60">
        <f t="shared" si="3"/>
        <v>0</v>
      </c>
      <c r="FD6" s="60">
        <f t="shared" si="3"/>
        <v>0</v>
      </c>
      <c r="FE6" s="60">
        <f t="shared" si="3"/>
        <v>0</v>
      </c>
      <c r="FF6" s="60">
        <f t="shared" si="3"/>
        <v>0</v>
      </c>
      <c r="FG6" s="60">
        <f t="shared" si="3"/>
        <v>0</v>
      </c>
      <c r="FH6" s="60">
        <f t="shared" si="3"/>
        <v>0</v>
      </c>
      <c r="FI6" s="60">
        <f t="shared" si="3"/>
        <v>0</v>
      </c>
      <c r="FJ6" s="60">
        <f t="shared" si="3"/>
        <v>0</v>
      </c>
      <c r="FK6" s="60">
        <f t="shared" si="3"/>
        <v>0</v>
      </c>
      <c r="FL6" s="60">
        <f t="shared" si="3"/>
        <v>0</v>
      </c>
      <c r="FM6" s="60">
        <f t="shared" si="3"/>
        <v>0</v>
      </c>
      <c r="FN6" s="60">
        <f t="shared" si="3"/>
        <v>0</v>
      </c>
    </row>
    <row r="7" spans="1:170">
      <c r="A7" s="44" t="s">
        <v>122</v>
      </c>
      <c r="B7" s="57">
        <f>'[2]Canada Tallow Exports'!I$88</f>
        <v>68983</v>
      </c>
      <c r="C7" s="57">
        <f>'[2]Canada Tallow Exports'!J$88</f>
        <v>42854</v>
      </c>
      <c r="D7" s="57">
        <f>'[2]Canada Tallow Exports'!K$88</f>
        <v>82237</v>
      </c>
      <c r="E7" s="57">
        <f>'[2]Canada Tallow Exports'!L$88</f>
        <v>33000</v>
      </c>
      <c r="F7" s="57">
        <f>'[2]Canada Tallow Exports'!M$88</f>
        <v>0</v>
      </c>
      <c r="G7" s="57">
        <f>'[2]Canada Tallow Exports'!N$88</f>
        <v>0</v>
      </c>
      <c r="H7" s="57">
        <f>'[2]Canada Tallow Exports'!O$88</f>
        <v>0</v>
      </c>
      <c r="I7" s="57">
        <f>'[2]Canada Tallow Exports'!P$88</f>
        <v>0</v>
      </c>
      <c r="J7" s="57">
        <f>'[2]Canada Tallow Exports'!Q$88</f>
        <v>0</v>
      </c>
      <c r="K7" s="57">
        <f>'[2]Canada Tallow Exports'!R$88</f>
        <v>0</v>
      </c>
      <c r="L7" s="57">
        <f>'[2]Canada Tallow Exports'!S$88</f>
        <v>0</v>
      </c>
      <c r="M7" s="57">
        <f>'[2]Canada Tallow Exports'!T$88</f>
        <v>0</v>
      </c>
      <c r="N7" s="57">
        <f>'[2]Canada Tallow Exports'!U$88</f>
        <v>0</v>
      </c>
      <c r="O7" s="57">
        <f>'[2]Canada Tallow Exports'!V$88</f>
        <v>0</v>
      </c>
      <c r="P7" s="57">
        <f>'[2]Canada Tallow Exports'!W$88</f>
        <v>0</v>
      </c>
      <c r="Q7" s="57">
        <f>'[2]Canada Tallow Exports'!X$88</f>
        <v>0</v>
      </c>
      <c r="R7" s="57">
        <f>'[2]Canada Tallow Exports'!Y$88</f>
        <v>0</v>
      </c>
      <c r="S7" s="57">
        <f>'[2]Canada Tallow Exports'!Z$88</f>
        <v>0</v>
      </c>
      <c r="T7" s="57">
        <f>'[2]Canada Tallow Exports'!AA$88</f>
        <v>0</v>
      </c>
      <c r="U7" s="57">
        <f>'[2]Canada Tallow Exports'!AB$88</f>
        <v>0</v>
      </c>
      <c r="V7" s="57">
        <f>'[2]Canada Tallow Exports'!AC$88</f>
        <v>5</v>
      </c>
      <c r="W7" s="57">
        <f>'[2]Canada Tallow Exports'!AD$88</f>
        <v>0</v>
      </c>
      <c r="X7" s="57">
        <f>'[2]Canada Tallow Exports'!AE$88</f>
        <v>0</v>
      </c>
      <c r="Y7" s="58">
        <f>'[2]Canada Tallow Exports'!AF$88</f>
        <v>0</v>
      </c>
      <c r="AE7" s="57">
        <f>'[2]Australia Tallow Exports'!N$88</f>
        <v>207459</v>
      </c>
      <c r="AF7" s="57">
        <f>'[2]Australia Tallow Exports'!O$88</f>
        <v>199454</v>
      </c>
      <c r="AG7" s="57">
        <f>'[2]Australia Tallow Exports'!P$88</f>
        <v>242266</v>
      </c>
      <c r="AH7" s="57">
        <f>'[2]Australia Tallow Exports'!Q$88</f>
        <v>253296</v>
      </c>
      <c r="AI7" s="57">
        <f>'[2]Australia Tallow Exports'!R$88</f>
        <v>228605</v>
      </c>
      <c r="AJ7" s="57">
        <f>'[2]Australia Tallow Exports'!S$88</f>
        <v>216692</v>
      </c>
      <c r="AK7" s="57">
        <f>'[2]Australia Tallow Exports'!T$88</f>
        <v>181102</v>
      </c>
      <c r="AL7" s="57">
        <f>'[2]Australia Tallow Exports'!U$88</f>
        <v>108799</v>
      </c>
      <c r="AM7" s="57">
        <f>'[2]Australia Tallow Exports'!V$88</f>
        <v>58084</v>
      </c>
      <c r="AN7" s="57">
        <f>'[2]Australia Tallow Exports'!W$88</f>
        <v>71419</v>
      </c>
      <c r="AO7" s="57">
        <f>'[2]Australia Tallow Exports'!X$88</f>
        <v>44542</v>
      </c>
      <c r="AP7" s="57">
        <f>'[2]Australia Tallow Exports'!Y$88</f>
        <v>27947</v>
      </c>
      <c r="AQ7" s="57">
        <f>'[2]Australia Tallow Exports'!Z$88</f>
        <v>64167</v>
      </c>
      <c r="AR7" s="57">
        <f>'[2]Australia Tallow Exports'!AA$88</f>
        <v>51349</v>
      </c>
      <c r="AS7" s="57">
        <f>'[2]Australia Tallow Exports'!AB$88</f>
        <v>58770</v>
      </c>
      <c r="AT7" s="57">
        <f>'[2]Australia Tallow Exports'!AC$88</f>
        <v>66141</v>
      </c>
      <c r="AU7" s="57">
        <f>'[2]Australia Tallow Exports'!AD$88</f>
        <v>39983</v>
      </c>
      <c r="AV7" s="57">
        <f>'[2]Australia Tallow Exports'!AE$88</f>
        <v>15274</v>
      </c>
      <c r="AW7" s="58">
        <f>'[2]Australia Tallow Exports'!AF$88</f>
        <v>20000</v>
      </c>
      <c r="BC7" s="57">
        <f>'[2]New Zealand Tallow Exports'!N$88</f>
        <v>99548</v>
      </c>
      <c r="BD7" s="57">
        <f>'[2]New Zealand Tallow Exports'!O$88</f>
        <v>116521</v>
      </c>
      <c r="BE7" s="57">
        <f>'[2]New Zealand Tallow Exports'!P$88</f>
        <v>95738</v>
      </c>
      <c r="BF7" s="57">
        <f>'[2]New Zealand Tallow Exports'!Q$88</f>
        <v>122580</v>
      </c>
      <c r="BG7" s="57">
        <f>'[2]New Zealand Tallow Exports'!R$88</f>
        <v>103899</v>
      </c>
      <c r="BH7" s="57">
        <f>'[2]New Zealand Tallow Exports'!S$88</f>
        <v>106189</v>
      </c>
      <c r="BI7" s="57">
        <f>'[2]New Zealand Tallow Exports'!T$88</f>
        <v>71105</v>
      </c>
      <c r="BJ7" s="57">
        <f>'[2]New Zealand Tallow Exports'!U$88</f>
        <v>80115</v>
      </c>
      <c r="BK7" s="57">
        <f>'[2]New Zealand Tallow Exports'!V$88</f>
        <v>43390</v>
      </c>
      <c r="BL7" s="57">
        <f>'[2]New Zealand Tallow Exports'!W$88</f>
        <v>73732</v>
      </c>
      <c r="BM7" s="57">
        <f>'[2]New Zealand Tallow Exports'!X$88</f>
        <v>85471</v>
      </c>
      <c r="BN7" s="57">
        <f>'[2]New Zealand Tallow Exports'!Y$88</f>
        <v>40195</v>
      </c>
      <c r="BO7" s="57">
        <f>'[2]New Zealand Tallow Exports'!Z$88</f>
        <v>29446</v>
      </c>
      <c r="BP7" s="57">
        <f>'[2]New Zealand Tallow Exports'!AA$88</f>
        <v>62759</v>
      </c>
      <c r="BQ7" s="57">
        <f>'[2]New Zealand Tallow Exports'!AB$88</f>
        <v>47912</v>
      </c>
      <c r="BR7" s="57">
        <f>'[2]New Zealand Tallow Exports'!AC$88</f>
        <v>20494</v>
      </c>
      <c r="BS7" s="57">
        <f>'[2]New Zealand Tallow Exports'!AD$88</f>
        <v>19417</v>
      </c>
      <c r="BT7" s="57">
        <f>'[2]New Zealand Tallow Exports'!AE$88</f>
        <v>111</v>
      </c>
      <c r="BU7" s="58">
        <f>'[2]New Zealand Tallow Exports'!AF$88</f>
        <v>150</v>
      </c>
      <c r="BX7" s="57">
        <f>'[2]Paraguay Tallow Exports'!K$88</f>
        <v>0</v>
      </c>
      <c r="BY7" s="57">
        <f>'[2]Paraguay Tallow Exports'!L$88</f>
        <v>0</v>
      </c>
      <c r="BZ7" s="57">
        <f>'[2]Paraguay Tallow Exports'!M$88</f>
        <v>0</v>
      </c>
      <c r="CA7" s="57">
        <f>'[2]Paraguay Tallow Exports'!N$88</f>
        <v>0</v>
      </c>
      <c r="CB7" s="57">
        <f>'[2]Paraguay Tallow Exports'!O$88</f>
        <v>0</v>
      </c>
      <c r="CC7" s="57">
        <f>'[2]Paraguay Tallow Exports'!P$88</f>
        <v>0</v>
      </c>
      <c r="CD7" s="57">
        <f>'[2]Paraguay Tallow Exports'!Q$88</f>
        <v>0</v>
      </c>
      <c r="CE7" s="57">
        <f>'[2]Paraguay Tallow Exports'!R$88</f>
        <v>0</v>
      </c>
      <c r="CF7" s="57">
        <f>'[2]Paraguay Tallow Exports'!S$88</f>
        <v>0</v>
      </c>
      <c r="CG7" s="57">
        <f>'[2]Paraguay Tallow Exports'!T$88</f>
        <v>0</v>
      </c>
      <c r="CH7" s="57">
        <f>'[2]Paraguay Tallow Exports'!U$88</f>
        <v>0</v>
      </c>
      <c r="CI7" s="57">
        <f>'[2]Paraguay Tallow Exports'!V$88</f>
        <v>0</v>
      </c>
      <c r="CJ7" s="57">
        <f>'[2]Paraguay Tallow Exports'!W$88</f>
        <v>0</v>
      </c>
      <c r="CK7" s="57">
        <f>'[2]Paraguay Tallow Exports'!X$88</f>
        <v>0</v>
      </c>
      <c r="CL7" s="57">
        <f>'[2]Paraguay Tallow Exports'!Y$88</f>
        <v>0</v>
      </c>
      <c r="CM7" s="57">
        <f>'[2]Paraguay Tallow Exports'!Z$88</f>
        <v>0</v>
      </c>
      <c r="CN7" s="57">
        <f>'[2]Paraguay Tallow Exports'!AA$88</f>
        <v>0</v>
      </c>
      <c r="CO7" s="57">
        <f>'[2]Paraguay Tallow Exports'!AB$88</f>
        <v>0</v>
      </c>
      <c r="CP7" s="57">
        <f>'[2]Paraguay Tallow Exports'!AC$88</f>
        <v>0</v>
      </c>
      <c r="CQ7" s="57">
        <f>'[2]Paraguay Tallow Exports'!AD$88</f>
        <v>0</v>
      </c>
      <c r="CR7" s="58">
        <f t="shared" ref="CR7:CR39" si="4">FORECAST(CR$41,CM7:CQ7,CM$41:CQ$41)</f>
        <v>0</v>
      </c>
      <c r="DE7" s="57">
        <f>'[2]Brazil Tallow Exports'!U$88</f>
        <v>0</v>
      </c>
      <c r="DF7" s="57">
        <f>'[2]Brazil Tallow Exports'!V$88</f>
        <v>0</v>
      </c>
      <c r="DG7" s="57">
        <f>'[2]Brazil Tallow Exports'!W$88</f>
        <v>0</v>
      </c>
      <c r="DH7" s="57">
        <f>'[2]Brazil Tallow Exports'!X$88</f>
        <v>0</v>
      </c>
      <c r="DI7" s="57">
        <f>'[2]Brazil Tallow Exports'!Y$88</f>
        <v>0</v>
      </c>
      <c r="DJ7" s="57">
        <f>'[2]Brazil Tallow Exports'!Z$88</f>
        <v>0</v>
      </c>
      <c r="DK7" s="57">
        <f>'[2]Brazil Tallow Exports'!AA$88</f>
        <v>0</v>
      </c>
      <c r="DL7" s="57">
        <f>'[2]Brazil Tallow Exports'!AB$88</f>
        <v>399</v>
      </c>
      <c r="DM7" s="57">
        <f>'[2]Brazil Tallow Exports'!AC$88</f>
        <v>846</v>
      </c>
      <c r="DN7" s="57">
        <f>'[2]Brazil Tallow Exports'!AD$88</f>
        <v>5668</v>
      </c>
      <c r="DO7" s="57">
        <f>'[2]Brazil Tallow Exports'!AE$88</f>
        <v>10555</v>
      </c>
      <c r="DP7" s="58">
        <f>'[2]Brazil Tallow Exports'!AF$88</f>
        <v>12500</v>
      </c>
      <c r="EB7" s="57">
        <f t="shared" si="0"/>
        <v>188914</v>
      </c>
      <c r="EC7" s="57">
        <f t="shared" si="0"/>
        <v>101474</v>
      </c>
      <c r="ED7" s="57">
        <f t="shared" si="0"/>
        <v>145151</v>
      </c>
      <c r="EE7" s="57">
        <f t="shared" si="0"/>
        <v>130013</v>
      </c>
      <c r="EF7" s="57">
        <f t="shared" si="0"/>
        <v>68142</v>
      </c>
      <c r="EG7" s="57">
        <f t="shared" si="0"/>
        <v>93613</v>
      </c>
      <c r="EH7" s="57">
        <f t="shared" si="0"/>
        <v>114108</v>
      </c>
      <c r="EI7" s="57">
        <f t="shared" si="0"/>
        <v>107081</v>
      </c>
      <c r="EJ7" s="57">
        <f t="shared" si="0"/>
        <v>87486</v>
      </c>
      <c r="EK7" s="57">
        <f t="shared" si="0"/>
        <v>65068</v>
      </c>
      <c r="EL7" s="57">
        <f t="shared" si="0"/>
        <v>25940</v>
      </c>
      <c r="EM7" s="57">
        <f t="shared" si="0"/>
        <v>32650</v>
      </c>
      <c r="EN7" s="60">
        <f>IF(FORECAST(EN$41,EI7:EM7,EI$41:EM$41)&lt;0,0,FORECAST(EN$41,EI7:EM7,EI$41:EM$41))+25000</f>
        <v>25000</v>
      </c>
      <c r="EO7" s="60">
        <f t="shared" si="3"/>
        <v>7546.2251238795288</v>
      </c>
      <c r="EP7" s="60">
        <f t="shared" si="3"/>
        <v>8560.4822704569233</v>
      </c>
      <c r="EQ7" s="60">
        <f t="shared" si="3"/>
        <v>11022.91173103168</v>
      </c>
      <c r="ER7" s="60">
        <f t="shared" si="3"/>
        <v>7680.3030407357874</v>
      </c>
      <c r="ES7" s="60">
        <f t="shared" si="3"/>
        <v>4760.6924520835455</v>
      </c>
      <c r="ET7" s="60">
        <f t="shared" si="3"/>
        <v>6855.68628917147</v>
      </c>
      <c r="EU7" s="60">
        <f t="shared" si="3"/>
        <v>3979.4968524323995</v>
      </c>
      <c r="EV7" s="60">
        <f t="shared" si="3"/>
        <v>955.07044986149413</v>
      </c>
      <c r="EW7" s="60">
        <f t="shared" si="3"/>
        <v>0</v>
      </c>
      <c r="EX7" s="60">
        <f t="shared" si="3"/>
        <v>0</v>
      </c>
      <c r="EY7" s="60">
        <f t="shared" si="3"/>
        <v>0</v>
      </c>
      <c r="EZ7" s="60">
        <f t="shared" si="3"/>
        <v>0</v>
      </c>
      <c r="FA7" s="60">
        <f t="shared" si="3"/>
        <v>0</v>
      </c>
      <c r="FB7" s="60">
        <f t="shared" si="3"/>
        <v>0</v>
      </c>
      <c r="FC7" s="60">
        <f t="shared" si="3"/>
        <v>0</v>
      </c>
      <c r="FD7" s="60">
        <f t="shared" si="3"/>
        <v>0</v>
      </c>
      <c r="FE7" s="60">
        <f t="shared" si="3"/>
        <v>0</v>
      </c>
      <c r="FF7" s="60">
        <f t="shared" si="3"/>
        <v>0</v>
      </c>
      <c r="FG7" s="60">
        <f t="shared" si="3"/>
        <v>0</v>
      </c>
      <c r="FH7" s="60">
        <f t="shared" si="3"/>
        <v>0</v>
      </c>
      <c r="FI7" s="60">
        <f t="shared" si="3"/>
        <v>0</v>
      </c>
      <c r="FJ7" s="60">
        <f t="shared" si="3"/>
        <v>0</v>
      </c>
      <c r="FK7" s="60">
        <f t="shared" si="3"/>
        <v>0</v>
      </c>
      <c r="FL7" s="60">
        <f t="shared" si="3"/>
        <v>0</v>
      </c>
      <c r="FM7" s="60">
        <f t="shared" si="3"/>
        <v>0</v>
      </c>
      <c r="FN7" s="60">
        <f t="shared" si="3"/>
        <v>0</v>
      </c>
    </row>
    <row r="8" spans="1:170">
      <c r="A8" s="44" t="s">
        <v>123</v>
      </c>
      <c r="B8" s="57">
        <f>'[2]Canada Tallow Exports'!I$103</f>
        <v>0</v>
      </c>
      <c r="C8" s="57">
        <f>'[2]Canada Tallow Exports'!J$103</f>
        <v>0</v>
      </c>
      <c r="D8" s="57">
        <f>'[2]Canada Tallow Exports'!K$103</f>
        <v>0</v>
      </c>
      <c r="E8" s="57">
        <f>'[2]Canada Tallow Exports'!L$103</f>
        <v>0</v>
      </c>
      <c r="F8" s="57">
        <f>'[2]Canada Tallow Exports'!M$103</f>
        <v>0</v>
      </c>
      <c r="G8" s="57">
        <f>'[2]Canada Tallow Exports'!N$103</f>
        <v>0</v>
      </c>
      <c r="H8" s="57">
        <f>'[2]Canada Tallow Exports'!O$103</f>
        <v>0</v>
      </c>
      <c r="I8" s="57">
        <f>'[2]Canada Tallow Exports'!P$103</f>
        <v>0</v>
      </c>
      <c r="J8" s="57">
        <f>'[2]Canada Tallow Exports'!Q$103</f>
        <v>0</v>
      </c>
      <c r="K8" s="57">
        <f>'[2]Canada Tallow Exports'!R$103</f>
        <v>0</v>
      </c>
      <c r="L8" s="57">
        <f>'[2]Canada Tallow Exports'!S$103</f>
        <v>0</v>
      </c>
      <c r="M8" s="57">
        <f>'[2]Canada Tallow Exports'!T$103</f>
        <v>0</v>
      </c>
      <c r="N8" s="57">
        <f>'[2]Canada Tallow Exports'!U$103</f>
        <v>0</v>
      </c>
      <c r="O8" s="57">
        <f>'[2]Canada Tallow Exports'!V$103</f>
        <v>0</v>
      </c>
      <c r="P8" s="57">
        <f>'[2]Canada Tallow Exports'!W$103</f>
        <v>0</v>
      </c>
      <c r="Q8" s="57">
        <f>'[2]Canada Tallow Exports'!X$103</f>
        <v>0</v>
      </c>
      <c r="R8" s="57">
        <f>'[2]Canada Tallow Exports'!Y$103</f>
        <v>0</v>
      </c>
      <c r="S8" s="57">
        <f>'[2]Canada Tallow Exports'!Z$103</f>
        <v>0</v>
      </c>
      <c r="T8" s="57">
        <f>'[2]Canada Tallow Exports'!AA$103</f>
        <v>0</v>
      </c>
      <c r="U8" s="57">
        <f>'[2]Canada Tallow Exports'!AB$103</f>
        <v>0</v>
      </c>
      <c r="V8" s="57">
        <f>'[2]Canada Tallow Exports'!AC$103</f>
        <v>0</v>
      </c>
      <c r="W8" s="57">
        <f>'[2]Canada Tallow Exports'!AD$103</f>
        <v>0</v>
      </c>
      <c r="X8" s="57">
        <f>'[2]Canada Tallow Exports'!AE$103</f>
        <v>0</v>
      </c>
      <c r="Y8" s="58">
        <f>'[2]Canada Tallow Exports'!AF$103</f>
        <v>0</v>
      </c>
      <c r="AE8" s="57">
        <f>'[2]Australia Tallow Exports'!N$103</f>
        <v>213</v>
      </c>
      <c r="AF8" s="57">
        <f>'[2]Australia Tallow Exports'!O$103</f>
        <v>477</v>
      </c>
      <c r="AG8" s="57">
        <f>'[2]Australia Tallow Exports'!P$103</f>
        <v>2119</v>
      </c>
      <c r="AH8" s="57">
        <f>'[2]Australia Tallow Exports'!Q$103</f>
        <v>1701</v>
      </c>
      <c r="AI8" s="57">
        <f>'[2]Australia Tallow Exports'!R$103</f>
        <v>860</v>
      </c>
      <c r="AJ8" s="57">
        <f>'[2]Australia Tallow Exports'!S$103</f>
        <v>955</v>
      </c>
      <c r="AK8" s="57">
        <f>'[2]Australia Tallow Exports'!T$103</f>
        <v>863</v>
      </c>
      <c r="AL8" s="57">
        <f>'[2]Australia Tallow Exports'!U$103</f>
        <v>304</v>
      </c>
      <c r="AM8" s="57">
        <f>'[2]Australia Tallow Exports'!V$103</f>
        <v>94</v>
      </c>
      <c r="AN8" s="57">
        <f>'[2]Australia Tallow Exports'!W$103</f>
        <v>42</v>
      </c>
      <c r="AO8" s="57">
        <f>'[2]Australia Tallow Exports'!X$103</f>
        <v>603</v>
      </c>
      <c r="AP8" s="57">
        <f>'[2]Australia Tallow Exports'!Y$103</f>
        <v>468</v>
      </c>
      <c r="AQ8" s="57">
        <f>'[2]Australia Tallow Exports'!Z$103</f>
        <v>383</v>
      </c>
      <c r="AR8" s="57">
        <f>'[2]Australia Tallow Exports'!AA$103</f>
        <v>511</v>
      </c>
      <c r="AS8" s="57">
        <f>'[2]Australia Tallow Exports'!AB$103</f>
        <v>57</v>
      </c>
      <c r="AT8" s="57">
        <f>'[2]Australia Tallow Exports'!AC$103</f>
        <v>16</v>
      </c>
      <c r="AU8" s="57">
        <f>'[2]Australia Tallow Exports'!AD$103</f>
        <v>19</v>
      </c>
      <c r="AV8" s="57">
        <f>'[2]Australia Tallow Exports'!AE$103</f>
        <v>23</v>
      </c>
      <c r="AW8" s="58">
        <f>'[2]Australia Tallow Exports'!AF$103</f>
        <v>0</v>
      </c>
      <c r="BC8" s="57">
        <f>'[2]New Zealand Tallow Exports'!N$103</f>
        <v>181</v>
      </c>
      <c r="BD8" s="57">
        <f>'[2]New Zealand Tallow Exports'!O$103</f>
        <v>305</v>
      </c>
      <c r="BE8" s="57">
        <f>'[2]New Zealand Tallow Exports'!P$103</f>
        <v>168</v>
      </c>
      <c r="BF8" s="57">
        <f>'[2]New Zealand Tallow Exports'!Q$103</f>
        <v>216</v>
      </c>
      <c r="BG8" s="57">
        <f>'[2]New Zealand Tallow Exports'!R$103</f>
        <v>0</v>
      </c>
      <c r="BH8" s="57">
        <f>'[2]New Zealand Tallow Exports'!S$103</f>
        <v>12</v>
      </c>
      <c r="BI8" s="57">
        <f>'[2]New Zealand Tallow Exports'!T$103</f>
        <v>53</v>
      </c>
      <c r="BJ8" s="57">
        <f>'[2]New Zealand Tallow Exports'!U$103</f>
        <v>74</v>
      </c>
      <c r="BK8" s="57">
        <f>'[2]New Zealand Tallow Exports'!V$103</f>
        <v>77</v>
      </c>
      <c r="BL8" s="57">
        <f>'[2]New Zealand Tallow Exports'!W$103</f>
        <v>40</v>
      </c>
      <c r="BM8" s="57">
        <f>'[2]New Zealand Tallow Exports'!X$103</f>
        <v>153</v>
      </c>
      <c r="BN8" s="57">
        <f>'[2]New Zealand Tallow Exports'!Y$103</f>
        <v>4</v>
      </c>
      <c r="BO8" s="57">
        <f>'[2]New Zealand Tallow Exports'!Z$103</f>
        <v>21</v>
      </c>
      <c r="BP8" s="57">
        <f>'[2]New Zealand Tallow Exports'!AA$103</f>
        <v>17</v>
      </c>
      <c r="BQ8" s="57">
        <f>'[2]New Zealand Tallow Exports'!AB$103</f>
        <v>550</v>
      </c>
      <c r="BR8" s="57">
        <f>'[2]New Zealand Tallow Exports'!AC$103</f>
        <v>116</v>
      </c>
      <c r="BS8" s="57">
        <f>'[2]New Zealand Tallow Exports'!AD$103</f>
        <v>651</v>
      </c>
      <c r="BT8" s="57">
        <f>'[2]New Zealand Tallow Exports'!AE$103</f>
        <v>249</v>
      </c>
      <c r="BU8" s="58">
        <f>'[2]New Zealand Tallow Exports'!AF$103</f>
        <v>0</v>
      </c>
      <c r="BX8" s="57">
        <f>'[2]Paraguay Tallow Exports'!K$103</f>
        <v>0</v>
      </c>
      <c r="BY8" s="57">
        <f>'[2]Paraguay Tallow Exports'!L$103</f>
        <v>0</v>
      </c>
      <c r="BZ8" s="57">
        <f>'[2]Paraguay Tallow Exports'!M$103</f>
        <v>0</v>
      </c>
      <c r="CA8" s="57">
        <f>'[2]Paraguay Tallow Exports'!N$103</f>
        <v>0</v>
      </c>
      <c r="CB8" s="57">
        <f>'[2]Paraguay Tallow Exports'!O$103</f>
        <v>0</v>
      </c>
      <c r="CC8" s="57">
        <f>'[2]Paraguay Tallow Exports'!P$103</f>
        <v>0</v>
      </c>
      <c r="CD8" s="57">
        <f>'[2]Paraguay Tallow Exports'!Q$103</f>
        <v>0</v>
      </c>
      <c r="CE8" s="57">
        <f>'[2]Paraguay Tallow Exports'!R$103</f>
        <v>0</v>
      </c>
      <c r="CF8" s="57">
        <f>'[2]Paraguay Tallow Exports'!S$103</f>
        <v>0</v>
      </c>
      <c r="CG8" s="57">
        <f>'[2]Paraguay Tallow Exports'!T$103</f>
        <v>0</v>
      </c>
      <c r="CH8" s="57">
        <f>'[2]Paraguay Tallow Exports'!U$103</f>
        <v>0</v>
      </c>
      <c r="CI8" s="57">
        <f>'[2]Paraguay Tallow Exports'!V$103</f>
        <v>0</v>
      </c>
      <c r="CJ8" s="57">
        <f>'[2]Paraguay Tallow Exports'!W$103</f>
        <v>0</v>
      </c>
      <c r="CK8" s="57">
        <f>'[2]Paraguay Tallow Exports'!X$103</f>
        <v>0</v>
      </c>
      <c r="CL8" s="57">
        <f>'[2]Paraguay Tallow Exports'!Y$103</f>
        <v>0</v>
      </c>
      <c r="CM8" s="57">
        <f>'[2]Paraguay Tallow Exports'!Z$103</f>
        <v>0</v>
      </c>
      <c r="CN8" s="57">
        <f>'[2]Paraguay Tallow Exports'!AA$103</f>
        <v>0</v>
      </c>
      <c r="CO8" s="57">
        <f>'[2]Paraguay Tallow Exports'!AB$103</f>
        <v>0</v>
      </c>
      <c r="CP8" s="57">
        <f>'[2]Paraguay Tallow Exports'!AC$103</f>
        <v>0</v>
      </c>
      <c r="CQ8" s="57">
        <f>'[2]Paraguay Tallow Exports'!AD$103</f>
        <v>0</v>
      </c>
      <c r="CR8" s="58">
        <f t="shared" si="4"/>
        <v>0</v>
      </c>
      <c r="DE8" s="57">
        <f>'[2]Brazil Tallow Exports'!U$103</f>
        <v>0</v>
      </c>
      <c r="DF8" s="57">
        <f>'[2]Brazil Tallow Exports'!V$103</f>
        <v>0</v>
      </c>
      <c r="DG8" s="57">
        <f>'[2]Brazil Tallow Exports'!W$103</f>
        <v>0</v>
      </c>
      <c r="DH8" s="57">
        <f>'[2]Brazil Tallow Exports'!X$103</f>
        <v>0</v>
      </c>
      <c r="DI8" s="57">
        <f>'[2]Brazil Tallow Exports'!Y$103</f>
        <v>0</v>
      </c>
      <c r="DJ8" s="57">
        <f>'[2]Brazil Tallow Exports'!Z$103</f>
        <v>0</v>
      </c>
      <c r="DK8" s="57">
        <f>'[2]Brazil Tallow Exports'!AA$103</f>
        <v>0</v>
      </c>
      <c r="DL8" s="57">
        <f>'[2]Brazil Tallow Exports'!AB$103</f>
        <v>0</v>
      </c>
      <c r="DM8" s="57">
        <f>'[2]Brazil Tallow Exports'!AC$103</f>
        <v>0</v>
      </c>
      <c r="DN8" s="57">
        <f>'[2]Brazil Tallow Exports'!AD$103</f>
        <v>0</v>
      </c>
      <c r="DO8" s="57">
        <f>'[2]Brazil Tallow Exports'!AE$103</f>
        <v>0</v>
      </c>
      <c r="DP8" s="58">
        <f>'[2]Brazil Tallow Exports'!AF$103</f>
        <v>0</v>
      </c>
      <c r="EB8" s="57">
        <f t="shared" si="0"/>
        <v>378</v>
      </c>
      <c r="EC8" s="57">
        <f t="shared" si="0"/>
        <v>171</v>
      </c>
      <c r="ED8" s="57">
        <f t="shared" si="0"/>
        <v>82</v>
      </c>
      <c r="EE8" s="57">
        <f t="shared" si="0"/>
        <v>756</v>
      </c>
      <c r="EF8" s="57">
        <f t="shared" si="0"/>
        <v>472</v>
      </c>
      <c r="EG8" s="57">
        <f t="shared" si="0"/>
        <v>404</v>
      </c>
      <c r="EH8" s="57">
        <f t="shared" si="0"/>
        <v>528</v>
      </c>
      <c r="EI8" s="57">
        <f t="shared" si="0"/>
        <v>607</v>
      </c>
      <c r="EJ8" s="57">
        <f t="shared" si="0"/>
        <v>132</v>
      </c>
      <c r="EK8" s="57">
        <f t="shared" si="0"/>
        <v>670</v>
      </c>
      <c r="EL8" s="57">
        <f t="shared" si="0"/>
        <v>272</v>
      </c>
      <c r="EM8" s="57">
        <f t="shared" si="0"/>
        <v>0</v>
      </c>
      <c r="EN8" s="60">
        <f t="shared" ref="EN8:FN8" si="5">IF(FORECAST(EN$41,EI8:EM8,EI$41:EM$41)&lt;0,0,FORECAST(EN$41,EI8:EM8,EI$41:EM$41))*0.5</f>
        <v>0</v>
      </c>
      <c r="EO8" s="60">
        <f t="shared" si="5"/>
        <v>0</v>
      </c>
      <c r="EP8" s="60">
        <f t="shared" si="5"/>
        <v>0</v>
      </c>
      <c r="EQ8" s="60">
        <f t="shared" si="5"/>
        <v>0</v>
      </c>
      <c r="ER8" s="60">
        <f t="shared" si="5"/>
        <v>0</v>
      </c>
      <c r="ES8" s="60">
        <f t="shared" si="5"/>
        <v>0</v>
      </c>
      <c r="ET8" s="60">
        <f t="shared" si="5"/>
        <v>0</v>
      </c>
      <c r="EU8" s="60">
        <f t="shared" si="5"/>
        <v>0</v>
      </c>
      <c r="EV8" s="60">
        <f t="shared" si="5"/>
        <v>0</v>
      </c>
      <c r="EW8" s="60">
        <f t="shared" si="5"/>
        <v>0</v>
      </c>
      <c r="EX8" s="60">
        <f t="shared" si="5"/>
        <v>0</v>
      </c>
      <c r="EY8" s="60">
        <f t="shared" si="5"/>
        <v>0</v>
      </c>
      <c r="EZ8" s="60">
        <f t="shared" si="5"/>
        <v>0</v>
      </c>
      <c r="FA8" s="60">
        <f t="shared" si="5"/>
        <v>0</v>
      </c>
      <c r="FB8" s="60">
        <f t="shared" si="5"/>
        <v>0</v>
      </c>
      <c r="FC8" s="60">
        <f t="shared" si="5"/>
        <v>0</v>
      </c>
      <c r="FD8" s="60">
        <f t="shared" si="5"/>
        <v>0</v>
      </c>
      <c r="FE8" s="60">
        <f t="shared" si="5"/>
        <v>0</v>
      </c>
      <c r="FF8" s="60">
        <f t="shared" si="5"/>
        <v>0</v>
      </c>
      <c r="FG8" s="60">
        <f t="shared" si="5"/>
        <v>0</v>
      </c>
      <c r="FH8" s="60">
        <f t="shared" si="5"/>
        <v>0</v>
      </c>
      <c r="FI8" s="60">
        <f t="shared" si="5"/>
        <v>0</v>
      </c>
      <c r="FJ8" s="60">
        <f t="shared" si="5"/>
        <v>0</v>
      </c>
      <c r="FK8" s="60">
        <f t="shared" si="5"/>
        <v>0</v>
      </c>
      <c r="FL8" s="60">
        <f t="shared" si="5"/>
        <v>0</v>
      </c>
      <c r="FM8" s="60">
        <f t="shared" si="5"/>
        <v>0</v>
      </c>
      <c r="FN8" s="60">
        <f t="shared" si="5"/>
        <v>0</v>
      </c>
    </row>
    <row r="9" spans="1:170">
      <c r="A9" s="44" t="s">
        <v>124</v>
      </c>
      <c r="B9" s="57">
        <f>'[2]Canada Tallow Exports'!I$104</f>
        <v>0</v>
      </c>
      <c r="C9" s="57">
        <f>'[2]Canada Tallow Exports'!J$104</f>
        <v>0</v>
      </c>
      <c r="D9" s="57">
        <f>'[2]Canada Tallow Exports'!K$104</f>
        <v>0</v>
      </c>
      <c r="E9" s="57">
        <f>'[2]Canada Tallow Exports'!L$104</f>
        <v>0</v>
      </c>
      <c r="F9" s="57">
        <f>'[2]Canada Tallow Exports'!M$104</f>
        <v>0</v>
      </c>
      <c r="G9" s="57">
        <f>'[2]Canada Tallow Exports'!N$104</f>
        <v>14</v>
      </c>
      <c r="H9" s="57">
        <f>'[2]Canada Tallow Exports'!O$104</f>
        <v>0</v>
      </c>
      <c r="I9" s="57">
        <f>'[2]Canada Tallow Exports'!P$104</f>
        <v>0</v>
      </c>
      <c r="J9" s="57">
        <f>'[2]Canada Tallow Exports'!Q$104</f>
        <v>0</v>
      </c>
      <c r="K9" s="57">
        <f>'[2]Canada Tallow Exports'!R$104</f>
        <v>0</v>
      </c>
      <c r="L9" s="57">
        <f>'[2]Canada Tallow Exports'!S$104</f>
        <v>0</v>
      </c>
      <c r="M9" s="57">
        <f>'[2]Canada Tallow Exports'!T$104</f>
        <v>0</v>
      </c>
      <c r="N9" s="57">
        <f>'[2]Canada Tallow Exports'!U$104</f>
        <v>0</v>
      </c>
      <c r="O9" s="57">
        <f>'[2]Canada Tallow Exports'!V$104</f>
        <v>0</v>
      </c>
      <c r="P9" s="57">
        <f>'[2]Canada Tallow Exports'!W$104</f>
        <v>0</v>
      </c>
      <c r="Q9" s="57">
        <f>'[2]Canada Tallow Exports'!X$104</f>
        <v>0</v>
      </c>
      <c r="R9" s="57">
        <f>'[2]Canada Tallow Exports'!Y$104</f>
        <v>0</v>
      </c>
      <c r="S9" s="57">
        <f>'[2]Canada Tallow Exports'!Z$104</f>
        <v>0</v>
      </c>
      <c r="T9" s="57">
        <f>'[2]Canada Tallow Exports'!AA$104</f>
        <v>0</v>
      </c>
      <c r="U9" s="57">
        <f>'[2]Canada Tallow Exports'!AB$104</f>
        <v>0</v>
      </c>
      <c r="V9" s="57">
        <f>'[2]Canada Tallow Exports'!AC$104</f>
        <v>0</v>
      </c>
      <c r="W9" s="57">
        <f>'[2]Canada Tallow Exports'!AD$104</f>
        <v>0</v>
      </c>
      <c r="X9" s="57">
        <f>'[2]Canada Tallow Exports'!AE$104</f>
        <v>0</v>
      </c>
      <c r="Y9" s="58">
        <f>'[2]Canada Tallow Exports'!AF$104</f>
        <v>0</v>
      </c>
      <c r="AE9" s="57">
        <f>'[2]Australia Tallow Exports'!N$104</f>
        <v>7615</v>
      </c>
      <c r="AF9" s="57">
        <f>'[2]Australia Tallow Exports'!O$104</f>
        <v>4518</v>
      </c>
      <c r="AG9" s="57">
        <f>'[2]Australia Tallow Exports'!P$104</f>
        <v>2010</v>
      </c>
      <c r="AH9" s="57">
        <f>'[2]Australia Tallow Exports'!Q$104</f>
        <v>4111</v>
      </c>
      <c r="AI9" s="57">
        <f>'[2]Australia Tallow Exports'!R$104</f>
        <v>819</v>
      </c>
      <c r="AJ9" s="57">
        <f>'[2]Australia Tallow Exports'!S$104</f>
        <v>450</v>
      </c>
      <c r="AK9" s="57">
        <f>'[2]Australia Tallow Exports'!T$104</f>
        <v>20</v>
      </c>
      <c r="AL9" s="57">
        <f>'[2]Australia Tallow Exports'!U$104</f>
        <v>0</v>
      </c>
      <c r="AM9" s="57">
        <f>'[2]Australia Tallow Exports'!V$104</f>
        <v>0</v>
      </c>
      <c r="AN9" s="57">
        <f>'[2]Australia Tallow Exports'!W$104</f>
        <v>0</v>
      </c>
      <c r="AO9" s="57">
        <f>'[2]Australia Tallow Exports'!X$104</f>
        <v>0</v>
      </c>
      <c r="AP9" s="57">
        <f>'[2]Australia Tallow Exports'!Y$104</f>
        <v>0</v>
      </c>
      <c r="AQ9" s="57">
        <f>'[2]Australia Tallow Exports'!Z$104</f>
        <v>0</v>
      </c>
      <c r="AR9" s="57">
        <f>'[2]Australia Tallow Exports'!AA$104</f>
        <v>0</v>
      </c>
      <c r="AS9" s="57">
        <f>'[2]Australia Tallow Exports'!AB$104</f>
        <v>0</v>
      </c>
      <c r="AT9" s="57">
        <f>'[2]Australia Tallow Exports'!AC$104</f>
        <v>0</v>
      </c>
      <c r="AU9" s="57">
        <f>'[2]Australia Tallow Exports'!AD$104</f>
        <v>0</v>
      </c>
      <c r="AV9" s="57">
        <f>'[2]Australia Tallow Exports'!AE$104</f>
        <v>0</v>
      </c>
      <c r="AW9" s="58">
        <f>'[2]Australia Tallow Exports'!AF$104</f>
        <v>0</v>
      </c>
      <c r="BC9" s="57">
        <f>'[2]New Zealand Tallow Exports'!N$104</f>
        <v>0</v>
      </c>
      <c r="BD9" s="57">
        <f>'[2]New Zealand Tallow Exports'!O$104</f>
        <v>0</v>
      </c>
      <c r="BE9" s="57">
        <f>'[2]New Zealand Tallow Exports'!P$104</f>
        <v>0</v>
      </c>
      <c r="BF9" s="57">
        <f>'[2]New Zealand Tallow Exports'!Q$104</f>
        <v>0</v>
      </c>
      <c r="BG9" s="57">
        <f>'[2]New Zealand Tallow Exports'!R$104</f>
        <v>0</v>
      </c>
      <c r="BH9" s="57">
        <f>'[2]New Zealand Tallow Exports'!S$104</f>
        <v>0</v>
      </c>
      <c r="BI9" s="57">
        <f>'[2]New Zealand Tallow Exports'!T$104</f>
        <v>0</v>
      </c>
      <c r="BJ9" s="57">
        <f>'[2]New Zealand Tallow Exports'!U$104</f>
        <v>0</v>
      </c>
      <c r="BK9" s="57">
        <f>'[2]New Zealand Tallow Exports'!V$104</f>
        <v>0</v>
      </c>
      <c r="BL9" s="57">
        <f>'[2]New Zealand Tallow Exports'!W$104</f>
        <v>0</v>
      </c>
      <c r="BM9" s="57">
        <f>'[2]New Zealand Tallow Exports'!X$104</f>
        <v>0</v>
      </c>
      <c r="BN9" s="57">
        <f>'[2]New Zealand Tallow Exports'!Y$104</f>
        <v>0</v>
      </c>
      <c r="BO9" s="57">
        <f>'[2]New Zealand Tallow Exports'!Z$104</f>
        <v>0</v>
      </c>
      <c r="BP9" s="57">
        <f>'[2]New Zealand Tallow Exports'!AA$104</f>
        <v>0</v>
      </c>
      <c r="BQ9" s="57">
        <f>'[2]New Zealand Tallow Exports'!AB$104</f>
        <v>0</v>
      </c>
      <c r="BR9" s="57">
        <f>'[2]New Zealand Tallow Exports'!AC$104</f>
        <v>0</v>
      </c>
      <c r="BS9" s="57">
        <f>'[2]New Zealand Tallow Exports'!AD$104</f>
        <v>0</v>
      </c>
      <c r="BT9" s="57">
        <f>'[2]New Zealand Tallow Exports'!AE$104</f>
        <v>0</v>
      </c>
      <c r="BU9" s="58">
        <f>'[2]New Zealand Tallow Exports'!AF$104</f>
        <v>0</v>
      </c>
      <c r="BX9" s="57">
        <f>'[2]Paraguay Tallow Exports'!K$104</f>
        <v>0</v>
      </c>
      <c r="BY9" s="57">
        <f>'[2]Paraguay Tallow Exports'!L$104</f>
        <v>0</v>
      </c>
      <c r="BZ9" s="57">
        <f>'[2]Paraguay Tallow Exports'!M$104</f>
        <v>0</v>
      </c>
      <c r="CA9" s="57">
        <f>'[2]Paraguay Tallow Exports'!N$104</f>
        <v>0</v>
      </c>
      <c r="CB9" s="57">
        <f>'[2]Paraguay Tallow Exports'!O$104</f>
        <v>0</v>
      </c>
      <c r="CC9" s="57">
        <f>'[2]Paraguay Tallow Exports'!P$104</f>
        <v>0</v>
      </c>
      <c r="CD9" s="57">
        <f>'[2]Paraguay Tallow Exports'!Q$104</f>
        <v>0</v>
      </c>
      <c r="CE9" s="57">
        <f>'[2]Paraguay Tallow Exports'!R$104</f>
        <v>0</v>
      </c>
      <c r="CF9" s="57">
        <f>'[2]Paraguay Tallow Exports'!S$104</f>
        <v>0</v>
      </c>
      <c r="CG9" s="57">
        <f>'[2]Paraguay Tallow Exports'!T$104</f>
        <v>0</v>
      </c>
      <c r="CH9" s="57">
        <f>'[2]Paraguay Tallow Exports'!U$104</f>
        <v>0</v>
      </c>
      <c r="CI9" s="57">
        <f>'[2]Paraguay Tallow Exports'!V$104</f>
        <v>0</v>
      </c>
      <c r="CJ9" s="57">
        <f>'[2]Paraguay Tallow Exports'!W$104</f>
        <v>0</v>
      </c>
      <c r="CK9" s="57">
        <f>'[2]Paraguay Tallow Exports'!X$104</f>
        <v>0</v>
      </c>
      <c r="CL9" s="57">
        <f>'[2]Paraguay Tallow Exports'!Y$104</f>
        <v>101</v>
      </c>
      <c r="CM9" s="57">
        <f>'[2]Paraguay Tallow Exports'!Z$104</f>
        <v>0</v>
      </c>
      <c r="CN9" s="57">
        <f>'[2]Paraguay Tallow Exports'!AA$104</f>
        <v>0</v>
      </c>
      <c r="CO9" s="57">
        <f>'[2]Paraguay Tallow Exports'!AB$104</f>
        <v>0</v>
      </c>
      <c r="CP9" s="57">
        <f>'[2]Paraguay Tallow Exports'!AC$104</f>
        <v>0</v>
      </c>
      <c r="CQ9" s="57">
        <f>'[2]Paraguay Tallow Exports'!AD$104</f>
        <v>0</v>
      </c>
      <c r="CR9" s="58">
        <v>0</v>
      </c>
      <c r="DE9" s="57">
        <f>'[2]Brazil Tallow Exports'!U$104</f>
        <v>0</v>
      </c>
      <c r="DF9" s="57">
        <f>'[2]Brazil Tallow Exports'!V$104</f>
        <v>0</v>
      </c>
      <c r="DG9" s="57">
        <f>'[2]Brazil Tallow Exports'!W$104</f>
        <v>0</v>
      </c>
      <c r="DH9" s="57">
        <f>'[2]Brazil Tallow Exports'!X$104</f>
        <v>0</v>
      </c>
      <c r="DI9" s="57">
        <f>'[2]Brazil Tallow Exports'!Y$104</f>
        <v>0</v>
      </c>
      <c r="DJ9" s="57">
        <f>'[2]Brazil Tallow Exports'!Z$104</f>
        <v>0</v>
      </c>
      <c r="DK9" s="57">
        <f>'[2]Brazil Tallow Exports'!AA$104</f>
        <v>0</v>
      </c>
      <c r="DL9" s="57">
        <f>'[2]Brazil Tallow Exports'!AB$104</f>
        <v>0</v>
      </c>
      <c r="DM9" s="57">
        <f>'[2]Brazil Tallow Exports'!AC$104</f>
        <v>0</v>
      </c>
      <c r="DN9" s="57">
        <f>'[2]Brazil Tallow Exports'!AD$104</f>
        <v>0</v>
      </c>
      <c r="DO9" s="57">
        <f>'[2]Brazil Tallow Exports'!AE$104</f>
        <v>0</v>
      </c>
      <c r="DP9" s="58">
        <f>'[2]Brazil Tallow Exports'!AF$104</f>
        <v>0</v>
      </c>
      <c r="EB9" s="57">
        <f t="shared" si="0"/>
        <v>0</v>
      </c>
      <c r="EC9" s="57">
        <f t="shared" si="0"/>
        <v>0</v>
      </c>
      <c r="ED9" s="57">
        <f t="shared" si="0"/>
        <v>0</v>
      </c>
      <c r="EE9" s="57">
        <f t="shared" si="0"/>
        <v>0</v>
      </c>
      <c r="EF9" s="57">
        <f t="shared" si="0"/>
        <v>101</v>
      </c>
      <c r="EG9" s="57">
        <f t="shared" si="0"/>
        <v>0</v>
      </c>
      <c r="EH9" s="57">
        <f t="shared" si="0"/>
        <v>0</v>
      </c>
      <c r="EI9" s="57">
        <f t="shared" si="0"/>
        <v>0</v>
      </c>
      <c r="EJ9" s="57">
        <f t="shared" si="0"/>
        <v>0</v>
      </c>
      <c r="EK9" s="57">
        <f t="shared" si="0"/>
        <v>0</v>
      </c>
      <c r="EL9" s="57">
        <f t="shared" si="0"/>
        <v>0</v>
      </c>
      <c r="EM9" s="57">
        <f t="shared" si="0"/>
        <v>0</v>
      </c>
      <c r="EN9" s="60">
        <f t="shared" ref="EN9:FN9" si="6">IF(FORECAST(EN$41,EI9:EM9,EI$41:EM$41)&lt;0,0,FORECAST(EN$41,EI9:EM9,EI$41:EM$41))*0</f>
        <v>0</v>
      </c>
      <c r="EO9" s="60">
        <f t="shared" si="6"/>
        <v>0</v>
      </c>
      <c r="EP9" s="60">
        <f t="shared" si="6"/>
        <v>0</v>
      </c>
      <c r="EQ9" s="60">
        <f t="shared" si="6"/>
        <v>0</v>
      </c>
      <c r="ER9" s="60">
        <f t="shared" si="6"/>
        <v>0</v>
      </c>
      <c r="ES9" s="60">
        <f t="shared" si="6"/>
        <v>0</v>
      </c>
      <c r="ET9" s="60">
        <f t="shared" si="6"/>
        <v>0</v>
      </c>
      <c r="EU9" s="60">
        <f t="shared" si="6"/>
        <v>0</v>
      </c>
      <c r="EV9" s="60">
        <f t="shared" si="6"/>
        <v>0</v>
      </c>
      <c r="EW9" s="60">
        <f t="shared" si="6"/>
        <v>0</v>
      </c>
      <c r="EX9" s="60">
        <f t="shared" si="6"/>
        <v>0</v>
      </c>
      <c r="EY9" s="60">
        <f t="shared" si="6"/>
        <v>0</v>
      </c>
      <c r="EZ9" s="60">
        <f t="shared" si="6"/>
        <v>0</v>
      </c>
      <c r="FA9" s="60">
        <f t="shared" si="6"/>
        <v>0</v>
      </c>
      <c r="FB9" s="60">
        <f t="shared" si="6"/>
        <v>0</v>
      </c>
      <c r="FC9" s="60">
        <f t="shared" si="6"/>
        <v>0</v>
      </c>
      <c r="FD9" s="60">
        <f t="shared" si="6"/>
        <v>0</v>
      </c>
      <c r="FE9" s="60">
        <f t="shared" si="6"/>
        <v>0</v>
      </c>
      <c r="FF9" s="60">
        <f t="shared" si="6"/>
        <v>0</v>
      </c>
      <c r="FG9" s="60">
        <f t="shared" si="6"/>
        <v>0</v>
      </c>
      <c r="FH9" s="60">
        <f t="shared" si="6"/>
        <v>0</v>
      </c>
      <c r="FI9" s="60">
        <f t="shared" si="6"/>
        <v>0</v>
      </c>
      <c r="FJ9" s="60">
        <f t="shared" si="6"/>
        <v>0</v>
      </c>
      <c r="FK9" s="60">
        <f t="shared" si="6"/>
        <v>0</v>
      </c>
      <c r="FL9" s="60">
        <f t="shared" si="6"/>
        <v>0</v>
      </c>
      <c r="FM9" s="60">
        <f t="shared" si="6"/>
        <v>0</v>
      </c>
      <c r="FN9" s="60">
        <f t="shared" si="6"/>
        <v>0</v>
      </c>
    </row>
    <row r="10" spans="1:170">
      <c r="A10" s="44" t="s">
        <v>125</v>
      </c>
      <c r="B10" s="57">
        <f>'[2]Canada Tallow Exports'!I$107</f>
        <v>0</v>
      </c>
      <c r="C10" s="57">
        <f>'[2]Canada Tallow Exports'!J$107</f>
        <v>0</v>
      </c>
      <c r="D10" s="57">
        <f>'[2]Canada Tallow Exports'!K$107</f>
        <v>83</v>
      </c>
      <c r="E10" s="57">
        <f>'[2]Canada Tallow Exports'!L$107</f>
        <v>160</v>
      </c>
      <c r="F10" s="57">
        <f>'[2]Canada Tallow Exports'!M$107</f>
        <v>0</v>
      </c>
      <c r="G10" s="57">
        <f>'[2]Canada Tallow Exports'!N$107</f>
        <v>0</v>
      </c>
      <c r="H10" s="57">
        <f>'[2]Canada Tallow Exports'!O$107</f>
        <v>0</v>
      </c>
      <c r="I10" s="57">
        <f>'[2]Canada Tallow Exports'!P$107</f>
        <v>0</v>
      </c>
      <c r="J10" s="57">
        <f>'[2]Canada Tallow Exports'!Q$107</f>
        <v>0</v>
      </c>
      <c r="K10" s="57">
        <f>'[2]Canada Tallow Exports'!R$107</f>
        <v>0</v>
      </c>
      <c r="L10" s="57">
        <f>'[2]Canada Tallow Exports'!S$107</f>
        <v>0</v>
      </c>
      <c r="M10" s="57">
        <f>'[2]Canada Tallow Exports'!T$107</f>
        <v>0</v>
      </c>
      <c r="N10" s="57">
        <f>'[2]Canada Tallow Exports'!U$107</f>
        <v>0</v>
      </c>
      <c r="O10" s="57">
        <f>'[2]Canada Tallow Exports'!V$107</f>
        <v>0</v>
      </c>
      <c r="P10" s="57">
        <f>'[2]Canada Tallow Exports'!W$107</f>
        <v>0</v>
      </c>
      <c r="Q10" s="57">
        <f>'[2]Canada Tallow Exports'!X$107</f>
        <v>0</v>
      </c>
      <c r="R10" s="57">
        <f>'[2]Canada Tallow Exports'!Y$107</f>
        <v>0</v>
      </c>
      <c r="S10" s="57">
        <f>'[2]Canada Tallow Exports'!Z$107</f>
        <v>0</v>
      </c>
      <c r="T10" s="57">
        <f>'[2]Canada Tallow Exports'!AA$107</f>
        <v>0</v>
      </c>
      <c r="U10" s="57">
        <f>'[2]Canada Tallow Exports'!AB$107</f>
        <v>0</v>
      </c>
      <c r="V10" s="57">
        <f>'[2]Canada Tallow Exports'!AC$107</f>
        <v>0</v>
      </c>
      <c r="W10" s="57">
        <f>'[2]Canada Tallow Exports'!AD$107</f>
        <v>0</v>
      </c>
      <c r="X10" s="57">
        <f>'[2]Canada Tallow Exports'!AE$107</f>
        <v>0</v>
      </c>
      <c r="Y10" s="58">
        <f>'[2]Canada Tallow Exports'!AF$107</f>
        <v>0</v>
      </c>
      <c r="AE10" s="57">
        <f>'[2]Australia Tallow Exports'!N$107</f>
        <v>0</v>
      </c>
      <c r="AF10" s="57">
        <f>'[2]Australia Tallow Exports'!O$107</f>
        <v>0</v>
      </c>
      <c r="AG10" s="57">
        <f>'[2]Australia Tallow Exports'!P$107</f>
        <v>0</v>
      </c>
      <c r="AH10" s="57">
        <f>'[2]Australia Tallow Exports'!Q$107</f>
        <v>0</v>
      </c>
      <c r="AI10" s="57">
        <f>'[2]Australia Tallow Exports'!R$107</f>
        <v>0</v>
      </c>
      <c r="AJ10" s="57">
        <f>'[2]Australia Tallow Exports'!S$107</f>
        <v>0</v>
      </c>
      <c r="AK10" s="57">
        <f>'[2]Australia Tallow Exports'!T$107</f>
        <v>0</v>
      </c>
      <c r="AL10" s="57">
        <f>'[2]Australia Tallow Exports'!U$107</f>
        <v>0</v>
      </c>
      <c r="AM10" s="57">
        <f>'[2]Australia Tallow Exports'!V$107</f>
        <v>0</v>
      </c>
      <c r="AN10" s="57">
        <f>'[2]Australia Tallow Exports'!W$107</f>
        <v>0</v>
      </c>
      <c r="AO10" s="57">
        <f>'[2]Australia Tallow Exports'!X$107</f>
        <v>0</v>
      </c>
      <c r="AP10" s="57">
        <f>'[2]Australia Tallow Exports'!Y$107</f>
        <v>0</v>
      </c>
      <c r="AQ10" s="57">
        <f>'[2]Australia Tallow Exports'!Z$107</f>
        <v>0</v>
      </c>
      <c r="AR10" s="57">
        <f>'[2]Australia Tallow Exports'!AA$107</f>
        <v>0</v>
      </c>
      <c r="AS10" s="57">
        <f>'[2]Australia Tallow Exports'!AB$107</f>
        <v>0</v>
      </c>
      <c r="AT10" s="57">
        <f>'[2]Australia Tallow Exports'!AC$107</f>
        <v>0</v>
      </c>
      <c r="AU10" s="57">
        <f>'[2]Australia Tallow Exports'!AD$107</f>
        <v>5</v>
      </c>
      <c r="AV10" s="57">
        <f>'[2]Australia Tallow Exports'!AE$107</f>
        <v>0</v>
      </c>
      <c r="AW10" s="58">
        <f>'[2]Australia Tallow Exports'!AF$107</f>
        <v>0</v>
      </c>
      <c r="BC10" s="57">
        <f>'[2]New Zealand Tallow Exports'!N$107</f>
        <v>0</v>
      </c>
      <c r="BD10" s="57">
        <f>'[2]New Zealand Tallow Exports'!O$107</f>
        <v>0</v>
      </c>
      <c r="BE10" s="57">
        <f>'[2]New Zealand Tallow Exports'!P$107</f>
        <v>0</v>
      </c>
      <c r="BF10" s="57">
        <f>'[2]New Zealand Tallow Exports'!Q$107</f>
        <v>0</v>
      </c>
      <c r="BG10" s="57">
        <f>'[2]New Zealand Tallow Exports'!R$107</f>
        <v>0</v>
      </c>
      <c r="BH10" s="57">
        <f>'[2]New Zealand Tallow Exports'!S$107</f>
        <v>0</v>
      </c>
      <c r="BI10" s="57">
        <f>'[2]New Zealand Tallow Exports'!T$107</f>
        <v>0</v>
      </c>
      <c r="BJ10" s="57">
        <f>'[2]New Zealand Tallow Exports'!U$107</f>
        <v>0</v>
      </c>
      <c r="BK10" s="57">
        <f>'[2]New Zealand Tallow Exports'!V$107</f>
        <v>0</v>
      </c>
      <c r="BL10" s="57">
        <f>'[2]New Zealand Tallow Exports'!W$107</f>
        <v>0</v>
      </c>
      <c r="BM10" s="57">
        <f>'[2]New Zealand Tallow Exports'!X$107</f>
        <v>0</v>
      </c>
      <c r="BN10" s="57">
        <f>'[2]New Zealand Tallow Exports'!Y$107</f>
        <v>0</v>
      </c>
      <c r="BO10" s="57">
        <f>'[2]New Zealand Tallow Exports'!Z$107</f>
        <v>0</v>
      </c>
      <c r="BP10" s="57">
        <f>'[2]New Zealand Tallow Exports'!AA$107</f>
        <v>0</v>
      </c>
      <c r="BQ10" s="57">
        <f>'[2]New Zealand Tallow Exports'!AB$107</f>
        <v>0</v>
      </c>
      <c r="BR10" s="57">
        <f>'[2]New Zealand Tallow Exports'!AC$107</f>
        <v>0</v>
      </c>
      <c r="BS10" s="57">
        <f>'[2]New Zealand Tallow Exports'!AD$107</f>
        <v>0</v>
      </c>
      <c r="BT10" s="57">
        <f>'[2]New Zealand Tallow Exports'!AE$107</f>
        <v>0</v>
      </c>
      <c r="BU10" s="58">
        <f>'[2]New Zealand Tallow Exports'!AF$107</f>
        <v>0</v>
      </c>
      <c r="BX10" s="57">
        <f>'[2]Paraguay Tallow Exports'!K$107</f>
        <v>0</v>
      </c>
      <c r="BY10" s="57">
        <f>'[2]Paraguay Tallow Exports'!L$107</f>
        <v>0</v>
      </c>
      <c r="BZ10" s="57">
        <f>'[2]Paraguay Tallow Exports'!M$107</f>
        <v>0</v>
      </c>
      <c r="CA10" s="57">
        <f>'[2]Paraguay Tallow Exports'!N$107</f>
        <v>44</v>
      </c>
      <c r="CB10" s="57">
        <f>'[2]Paraguay Tallow Exports'!O$107</f>
        <v>89</v>
      </c>
      <c r="CC10" s="57">
        <f>'[2]Paraguay Tallow Exports'!P$107</f>
        <v>28</v>
      </c>
      <c r="CD10" s="57">
        <f>'[2]Paraguay Tallow Exports'!Q$107</f>
        <v>112</v>
      </c>
      <c r="CE10" s="57">
        <f>'[2]Paraguay Tallow Exports'!R$107</f>
        <v>164</v>
      </c>
      <c r="CF10" s="57">
        <f>'[2]Paraguay Tallow Exports'!S$107</f>
        <v>193</v>
      </c>
      <c r="CG10" s="57">
        <f>'[2]Paraguay Tallow Exports'!T$107</f>
        <v>274</v>
      </c>
      <c r="CH10" s="57">
        <f>'[2]Paraguay Tallow Exports'!U$107</f>
        <v>137</v>
      </c>
      <c r="CI10" s="57">
        <f>'[2]Paraguay Tallow Exports'!V$107</f>
        <v>620</v>
      </c>
      <c r="CJ10" s="57">
        <f>'[2]Paraguay Tallow Exports'!W$107</f>
        <v>513</v>
      </c>
      <c r="CK10" s="57">
        <f>'[2]Paraguay Tallow Exports'!X$107</f>
        <v>501</v>
      </c>
      <c r="CL10" s="57">
        <f>'[2]Paraguay Tallow Exports'!Y$107</f>
        <v>627</v>
      </c>
      <c r="CM10" s="57">
        <f>'[2]Paraguay Tallow Exports'!Z$107</f>
        <v>535</v>
      </c>
      <c r="CN10" s="57">
        <f>'[2]Paraguay Tallow Exports'!AA$107</f>
        <v>446</v>
      </c>
      <c r="CO10" s="57">
        <f>'[2]Paraguay Tallow Exports'!AB$107</f>
        <v>892</v>
      </c>
      <c r="CP10" s="57">
        <f>'[2]Paraguay Tallow Exports'!AC$107</f>
        <v>716</v>
      </c>
      <c r="CQ10" s="57">
        <f>'[2]Paraguay Tallow Exports'!AD$107</f>
        <v>477</v>
      </c>
      <c r="CR10" s="58">
        <f>FORECAST(CR$41,CM10:CQ10,CM$41:CQ$41)</f>
        <v>539.79429241027674</v>
      </c>
      <c r="DE10" s="57">
        <f>'[2]Brazil Tallow Exports'!U$107</f>
        <v>69</v>
      </c>
      <c r="DF10" s="57">
        <f>'[2]Brazil Tallow Exports'!V$107</f>
        <v>99</v>
      </c>
      <c r="DG10" s="57">
        <f>'[2]Brazil Tallow Exports'!W$107</f>
        <v>79</v>
      </c>
      <c r="DH10" s="57">
        <f>'[2]Brazil Tallow Exports'!X$107</f>
        <v>171</v>
      </c>
      <c r="DI10" s="57">
        <f>'[2]Brazil Tallow Exports'!Y$107</f>
        <v>229</v>
      </c>
      <c r="DJ10" s="57">
        <f>'[2]Brazil Tallow Exports'!Z$107</f>
        <v>264</v>
      </c>
      <c r="DK10" s="57">
        <f>'[2]Brazil Tallow Exports'!AA$107</f>
        <v>138</v>
      </c>
      <c r="DL10" s="57">
        <f>'[2]Brazil Tallow Exports'!AB$107</f>
        <v>371</v>
      </c>
      <c r="DM10" s="57">
        <f>'[2]Brazil Tallow Exports'!AC$107</f>
        <v>480</v>
      </c>
      <c r="DN10" s="57">
        <f>'[2]Brazil Tallow Exports'!AD$107</f>
        <v>254</v>
      </c>
      <c r="DO10" s="57">
        <f>'[2]Brazil Tallow Exports'!AE$107</f>
        <v>653</v>
      </c>
      <c r="DP10" s="58">
        <f>'[2]Brazil Tallow Exports'!AF$107</f>
        <v>500</v>
      </c>
      <c r="EB10" s="57">
        <f t="shared" si="0"/>
        <v>206</v>
      </c>
      <c r="EC10" s="57">
        <f t="shared" si="0"/>
        <v>719</v>
      </c>
      <c r="ED10" s="57">
        <f t="shared" si="0"/>
        <v>592</v>
      </c>
      <c r="EE10" s="57">
        <f t="shared" si="0"/>
        <v>672</v>
      </c>
      <c r="EF10" s="57">
        <f t="shared" si="0"/>
        <v>856</v>
      </c>
      <c r="EG10" s="57">
        <f t="shared" si="0"/>
        <v>799</v>
      </c>
      <c r="EH10" s="57">
        <f t="shared" si="0"/>
        <v>584</v>
      </c>
      <c r="EI10" s="57">
        <f t="shared" si="0"/>
        <v>1263</v>
      </c>
      <c r="EJ10" s="57">
        <f t="shared" si="0"/>
        <v>1196</v>
      </c>
      <c r="EK10" s="57">
        <f t="shared" si="0"/>
        <v>736</v>
      </c>
      <c r="EL10" s="57">
        <f t="shared" si="0"/>
        <v>1192.7942924102767</v>
      </c>
      <c r="EM10" s="57">
        <f t="shared" si="0"/>
        <v>500</v>
      </c>
      <c r="EN10" s="60">
        <f>IF(FORECAST(EN$41,EI10:EM10,EI$41:EM$41)&lt;0,0,FORECAST(EN$41,EI10:EM10,EI$41:EM$41))*1.25</f>
        <v>109.84089022069327</v>
      </c>
      <c r="EO10" s="60">
        <f>IF(FORECAST(EO$41,EJ10:EN10,EJ$41:EN$41)&lt;0,0,FORECAST(EO$41,EJ10:EN10,EJ$41:EN$41))</f>
        <v>0</v>
      </c>
      <c r="EP10" s="60">
        <f t="shared" ref="EP10:FN10" si="7">IF(FORECAST(EP$41,EK10:EO10,EK$41:EO$41)&lt;0,0,FORECAST(EP$41,EK10:EO10,EK$41:EO$41))</f>
        <v>0</v>
      </c>
      <c r="EQ10" s="60">
        <f t="shared" si="7"/>
        <v>0</v>
      </c>
      <c r="ER10" s="60">
        <f t="shared" si="7"/>
        <v>0</v>
      </c>
      <c r="ES10" s="60">
        <f t="shared" si="7"/>
        <v>0</v>
      </c>
      <c r="ET10" s="60">
        <f t="shared" si="7"/>
        <v>0</v>
      </c>
      <c r="EU10" s="60">
        <f t="shared" si="7"/>
        <v>0</v>
      </c>
      <c r="EV10" s="60">
        <f t="shared" si="7"/>
        <v>0</v>
      </c>
      <c r="EW10" s="60">
        <f t="shared" si="7"/>
        <v>0</v>
      </c>
      <c r="EX10" s="60">
        <f t="shared" si="7"/>
        <v>0</v>
      </c>
      <c r="EY10" s="60">
        <f t="shared" si="7"/>
        <v>0</v>
      </c>
      <c r="EZ10" s="60">
        <f t="shared" si="7"/>
        <v>0</v>
      </c>
      <c r="FA10" s="60">
        <f t="shared" si="7"/>
        <v>0</v>
      </c>
      <c r="FB10" s="60">
        <f t="shared" si="7"/>
        <v>0</v>
      </c>
      <c r="FC10" s="60">
        <f t="shared" si="7"/>
        <v>0</v>
      </c>
      <c r="FD10" s="60">
        <f t="shared" si="7"/>
        <v>0</v>
      </c>
      <c r="FE10" s="60">
        <f t="shared" si="7"/>
        <v>0</v>
      </c>
      <c r="FF10" s="60">
        <f t="shared" si="7"/>
        <v>0</v>
      </c>
      <c r="FG10" s="60">
        <f t="shared" si="7"/>
        <v>0</v>
      </c>
      <c r="FH10" s="60">
        <f t="shared" si="7"/>
        <v>0</v>
      </c>
      <c r="FI10" s="60">
        <f t="shared" si="7"/>
        <v>0</v>
      </c>
      <c r="FJ10" s="60">
        <f t="shared" si="7"/>
        <v>0</v>
      </c>
      <c r="FK10" s="60">
        <f t="shared" si="7"/>
        <v>0</v>
      </c>
      <c r="FL10" s="60">
        <f t="shared" si="7"/>
        <v>0</v>
      </c>
      <c r="FM10" s="60">
        <f t="shared" si="7"/>
        <v>0</v>
      </c>
      <c r="FN10" s="60">
        <f t="shared" si="7"/>
        <v>0</v>
      </c>
    </row>
    <row r="11" spans="1:170">
      <c r="A11" s="44" t="s">
        <v>126</v>
      </c>
      <c r="B11" s="57">
        <f>'[2]Canada Tallow Exports'!I$108</f>
        <v>31744</v>
      </c>
      <c r="C11" s="57">
        <f>'[2]Canada Tallow Exports'!J$108</f>
        <v>44674</v>
      </c>
      <c r="D11" s="57">
        <f>'[2]Canada Tallow Exports'!K$108</f>
        <v>35863</v>
      </c>
      <c r="E11" s="57">
        <f>'[2]Canada Tallow Exports'!L$108</f>
        <v>48973</v>
      </c>
      <c r="F11" s="57">
        <f>'[2]Canada Tallow Exports'!M$108</f>
        <v>57152</v>
      </c>
      <c r="G11" s="57">
        <f>'[2]Canada Tallow Exports'!N$108</f>
        <v>45713</v>
      </c>
      <c r="H11" s="57">
        <f>'[2]Canada Tallow Exports'!O$108</f>
        <v>48141</v>
      </c>
      <c r="I11" s="57">
        <f>'[2]Canada Tallow Exports'!P$108</f>
        <v>42517</v>
      </c>
      <c r="J11" s="57">
        <f>'[2]Canada Tallow Exports'!Q$108</f>
        <v>44220</v>
      </c>
      <c r="K11" s="57">
        <f>'[2]Canada Tallow Exports'!R$108</f>
        <v>34617</v>
      </c>
      <c r="L11" s="57">
        <f>'[2]Canada Tallow Exports'!S$108</f>
        <v>54219</v>
      </c>
      <c r="M11" s="57">
        <f>'[2]Canada Tallow Exports'!T$108</f>
        <v>47197</v>
      </c>
      <c r="N11" s="57">
        <f>'[2]Canada Tallow Exports'!U$108</f>
        <v>46596</v>
      </c>
      <c r="O11" s="57">
        <f>'[2]Canada Tallow Exports'!V$108</f>
        <v>41762</v>
      </c>
      <c r="P11" s="57">
        <f>'[2]Canada Tallow Exports'!W$108</f>
        <v>39248</v>
      </c>
      <c r="Q11" s="57">
        <f>'[2]Canada Tallow Exports'!X$108</f>
        <v>32121</v>
      </c>
      <c r="R11" s="57">
        <f>'[2]Canada Tallow Exports'!Y$108</f>
        <v>25348</v>
      </c>
      <c r="S11" s="57">
        <f>'[2]Canada Tallow Exports'!Z$108</f>
        <v>18238</v>
      </c>
      <c r="T11" s="57">
        <f>'[2]Canada Tallow Exports'!AA$108</f>
        <v>19459</v>
      </c>
      <c r="U11" s="57">
        <f>'[2]Canada Tallow Exports'!AB$108</f>
        <v>17111</v>
      </c>
      <c r="V11" s="57">
        <f>'[2]Canada Tallow Exports'!AC$108</f>
        <v>8019</v>
      </c>
      <c r="W11" s="57">
        <f>'[2]Canada Tallow Exports'!AD$108</f>
        <v>13395</v>
      </c>
      <c r="X11" s="57">
        <f>'[2]Canada Tallow Exports'!AE$108</f>
        <v>15971</v>
      </c>
      <c r="Y11" s="58">
        <f>'[2]Canada Tallow Exports'!AF$108</f>
        <v>0</v>
      </c>
      <c r="AE11" s="57">
        <f>'[2]Australia Tallow Exports'!N$108</f>
        <v>2987</v>
      </c>
      <c r="AF11" s="57">
        <f>'[2]Australia Tallow Exports'!O$108</f>
        <v>8325</v>
      </c>
      <c r="AG11" s="57">
        <f>'[2]Australia Tallow Exports'!P$108</f>
        <v>1189</v>
      </c>
      <c r="AH11" s="57">
        <f>'[2]Australia Tallow Exports'!Q$108</f>
        <v>305</v>
      </c>
      <c r="AI11" s="57">
        <f>'[2]Australia Tallow Exports'!R$108</f>
        <v>580</v>
      </c>
      <c r="AJ11" s="57">
        <f>'[2]Australia Tallow Exports'!S$108</f>
        <v>87</v>
      </c>
      <c r="AK11" s="57">
        <f>'[2]Australia Tallow Exports'!T$108</f>
        <v>105</v>
      </c>
      <c r="AL11" s="57">
        <f>'[2]Australia Tallow Exports'!U$108</f>
        <v>3466</v>
      </c>
      <c r="AM11" s="57">
        <f>'[2]Australia Tallow Exports'!V$108</f>
        <v>0</v>
      </c>
      <c r="AN11" s="57">
        <f>'[2]Australia Tallow Exports'!W$108</f>
        <v>1961</v>
      </c>
      <c r="AO11" s="57">
        <f>'[2]Australia Tallow Exports'!X$108</f>
        <v>2728</v>
      </c>
      <c r="AP11" s="57">
        <f>'[2]Australia Tallow Exports'!Y$108</f>
        <v>1056</v>
      </c>
      <c r="AQ11" s="57">
        <f>'[2]Australia Tallow Exports'!Z$108</f>
        <v>1124</v>
      </c>
      <c r="AR11" s="57">
        <f>'[2]Australia Tallow Exports'!AA$108</f>
        <v>1417</v>
      </c>
      <c r="AS11" s="57">
        <f>'[2]Australia Tallow Exports'!AB$108</f>
        <v>1013</v>
      </c>
      <c r="AT11" s="57">
        <f>'[2]Australia Tallow Exports'!AC$108</f>
        <v>770</v>
      </c>
      <c r="AU11" s="57">
        <f>'[2]Australia Tallow Exports'!AD$108</f>
        <v>150</v>
      </c>
      <c r="AV11" s="57">
        <f>'[2]Australia Tallow Exports'!AE$108</f>
        <v>78</v>
      </c>
      <c r="AW11" s="58">
        <f>'[2]Australia Tallow Exports'!AF$108</f>
        <v>50</v>
      </c>
      <c r="BC11" s="57">
        <f>'[2]New Zealand Tallow Exports'!N$108</f>
        <v>0</v>
      </c>
      <c r="BD11" s="57">
        <f>'[2]New Zealand Tallow Exports'!O$108</f>
        <v>4</v>
      </c>
      <c r="BE11" s="57">
        <f>'[2]New Zealand Tallow Exports'!P$108</f>
        <v>7</v>
      </c>
      <c r="BF11" s="57">
        <f>'[2]New Zealand Tallow Exports'!Q$108</f>
        <v>57</v>
      </c>
      <c r="BG11" s="57">
        <f>'[2]New Zealand Tallow Exports'!R$108</f>
        <v>29</v>
      </c>
      <c r="BH11" s="57">
        <f>'[2]New Zealand Tallow Exports'!S$108</f>
        <v>24</v>
      </c>
      <c r="BI11" s="57">
        <f>'[2]New Zealand Tallow Exports'!T$108</f>
        <v>12</v>
      </c>
      <c r="BJ11" s="57">
        <f>'[2]New Zealand Tallow Exports'!U$108</f>
        <v>16</v>
      </c>
      <c r="BK11" s="57">
        <f>'[2]New Zealand Tallow Exports'!V$108</f>
        <v>27</v>
      </c>
      <c r="BL11" s="57">
        <f>'[2]New Zealand Tallow Exports'!W$108</f>
        <v>52</v>
      </c>
      <c r="BM11" s="57">
        <f>'[2]New Zealand Tallow Exports'!X$108</f>
        <v>25</v>
      </c>
      <c r="BN11" s="57">
        <f>'[2]New Zealand Tallow Exports'!Y$108</f>
        <v>57</v>
      </c>
      <c r="BO11" s="57">
        <f>'[2]New Zealand Tallow Exports'!Z$108</f>
        <v>8</v>
      </c>
      <c r="BP11" s="57">
        <f>'[2]New Zealand Tallow Exports'!AA$108</f>
        <v>26</v>
      </c>
      <c r="BQ11" s="57">
        <f>'[2]New Zealand Tallow Exports'!AB$108</f>
        <v>26</v>
      </c>
      <c r="BR11" s="57">
        <f>'[2]New Zealand Tallow Exports'!AC$108</f>
        <v>34</v>
      </c>
      <c r="BS11" s="57">
        <f>'[2]New Zealand Tallow Exports'!AD$108</f>
        <v>11</v>
      </c>
      <c r="BT11" s="57">
        <f>'[2]New Zealand Tallow Exports'!AE$108</f>
        <v>0</v>
      </c>
      <c r="BU11" s="58">
        <f>'[2]New Zealand Tallow Exports'!AF$108</f>
        <v>0</v>
      </c>
      <c r="BX11" s="57">
        <f>'[2]Paraguay Tallow Exports'!K$108</f>
        <v>0</v>
      </c>
      <c r="BY11" s="57">
        <f>'[2]Paraguay Tallow Exports'!L$108</f>
        <v>0</v>
      </c>
      <c r="BZ11" s="57">
        <f>'[2]Paraguay Tallow Exports'!M$108</f>
        <v>0</v>
      </c>
      <c r="CA11" s="57">
        <f>'[2]Paraguay Tallow Exports'!N$108</f>
        <v>0</v>
      </c>
      <c r="CB11" s="57">
        <f>'[2]Paraguay Tallow Exports'!O$108</f>
        <v>0</v>
      </c>
      <c r="CC11" s="57">
        <f>'[2]Paraguay Tallow Exports'!P$108</f>
        <v>0</v>
      </c>
      <c r="CD11" s="57">
        <f>'[2]Paraguay Tallow Exports'!Q$108</f>
        <v>0</v>
      </c>
      <c r="CE11" s="57">
        <f>'[2]Paraguay Tallow Exports'!R$108</f>
        <v>0</v>
      </c>
      <c r="CF11" s="57">
        <f>'[2]Paraguay Tallow Exports'!S$108</f>
        <v>0</v>
      </c>
      <c r="CG11" s="57">
        <f>'[2]Paraguay Tallow Exports'!T$108</f>
        <v>0</v>
      </c>
      <c r="CH11" s="57">
        <f>'[2]Paraguay Tallow Exports'!U$108</f>
        <v>0</v>
      </c>
      <c r="CI11" s="57">
        <f>'[2]Paraguay Tallow Exports'!V$108</f>
        <v>0</v>
      </c>
      <c r="CJ11" s="57">
        <f>'[2]Paraguay Tallow Exports'!W$108</f>
        <v>0</v>
      </c>
      <c r="CK11" s="57">
        <f>'[2]Paraguay Tallow Exports'!X$108</f>
        <v>0</v>
      </c>
      <c r="CL11" s="57">
        <f>'[2]Paraguay Tallow Exports'!Y$108</f>
        <v>0</v>
      </c>
      <c r="CM11" s="57">
        <f>'[2]Paraguay Tallow Exports'!Z$108</f>
        <v>0</v>
      </c>
      <c r="CN11" s="57">
        <f>'[2]Paraguay Tallow Exports'!AA$108</f>
        <v>0</v>
      </c>
      <c r="CO11" s="57">
        <f>'[2]Paraguay Tallow Exports'!AB$108</f>
        <v>0</v>
      </c>
      <c r="CP11" s="57">
        <f>'[2]Paraguay Tallow Exports'!AC$108</f>
        <v>0</v>
      </c>
      <c r="CQ11" s="57">
        <f>'[2]Paraguay Tallow Exports'!AD$108</f>
        <v>0</v>
      </c>
      <c r="CR11" s="58">
        <f t="shared" si="4"/>
        <v>0</v>
      </c>
      <c r="DE11" s="57">
        <f>'[2]Brazil Tallow Exports'!U$108</f>
        <v>0</v>
      </c>
      <c r="DF11" s="57">
        <f>'[2]Brazil Tallow Exports'!V$108</f>
        <v>0</v>
      </c>
      <c r="DG11" s="57">
        <f>'[2]Brazil Tallow Exports'!W$108</f>
        <v>0</v>
      </c>
      <c r="DH11" s="57">
        <f>'[2]Brazil Tallow Exports'!X$108</f>
        <v>0</v>
      </c>
      <c r="DI11" s="57">
        <f>'[2]Brazil Tallow Exports'!Y$108</f>
        <v>0</v>
      </c>
      <c r="DJ11" s="57">
        <f>'[2]Brazil Tallow Exports'!Z$108</f>
        <v>0</v>
      </c>
      <c r="DK11" s="57">
        <f>'[2]Brazil Tallow Exports'!AA$108</f>
        <v>0</v>
      </c>
      <c r="DL11" s="57">
        <f>'[2]Brazil Tallow Exports'!AB$108</f>
        <v>0</v>
      </c>
      <c r="DM11" s="57">
        <f>'[2]Brazil Tallow Exports'!AC$108</f>
        <v>0</v>
      </c>
      <c r="DN11" s="57">
        <f>'[2]Brazil Tallow Exports'!AD$108</f>
        <v>0</v>
      </c>
      <c r="DO11" s="57">
        <f>'[2]Brazil Tallow Exports'!AE$108</f>
        <v>0</v>
      </c>
      <c r="DP11" s="58">
        <f>'[2]Brazil Tallow Exports'!AF$108</f>
        <v>0</v>
      </c>
      <c r="EB11" s="57">
        <f t="shared" si="0"/>
        <v>50078</v>
      </c>
      <c r="EC11" s="57">
        <f t="shared" si="0"/>
        <v>41789</v>
      </c>
      <c r="ED11" s="57">
        <f t="shared" si="0"/>
        <v>41261</v>
      </c>
      <c r="EE11" s="57">
        <f t="shared" si="0"/>
        <v>34874</v>
      </c>
      <c r="EF11" s="57">
        <f t="shared" si="0"/>
        <v>26461</v>
      </c>
      <c r="EG11" s="57">
        <f t="shared" si="0"/>
        <v>19370</v>
      </c>
      <c r="EH11" s="57">
        <f t="shared" si="0"/>
        <v>20902</v>
      </c>
      <c r="EI11" s="57">
        <f t="shared" si="0"/>
        <v>18150</v>
      </c>
      <c r="EJ11" s="57">
        <f t="shared" si="0"/>
        <v>8823</v>
      </c>
      <c r="EK11" s="57">
        <f t="shared" si="0"/>
        <v>13556</v>
      </c>
      <c r="EL11" s="57">
        <f t="shared" si="0"/>
        <v>16049</v>
      </c>
      <c r="EM11" s="57">
        <f t="shared" si="0"/>
        <v>50</v>
      </c>
      <c r="EN11" s="60">
        <f>IF(FORECAST(EN$41,EI11:EM11,EI$41:EM$41)&lt;0,0,FORECAST(EN$41,EI11:EM11,EI$41:EM$41))*0.5</f>
        <v>0</v>
      </c>
      <c r="EO11" s="60">
        <f t="shared" ref="EO11:FN11" si="8">IF(FORECAST(EO$41,EJ11:EN11,EJ$41:EN$41)&lt;0,0,FORECAST(EO$41,EJ11:EN11,EJ$41:EN$41))*0.5</f>
        <v>0</v>
      </c>
      <c r="EP11" s="60">
        <f t="shared" si="8"/>
        <v>0</v>
      </c>
      <c r="EQ11" s="60">
        <f t="shared" si="8"/>
        <v>0</v>
      </c>
      <c r="ER11" s="60">
        <f t="shared" si="8"/>
        <v>0</v>
      </c>
      <c r="ES11" s="60">
        <f t="shared" si="8"/>
        <v>0</v>
      </c>
      <c r="ET11" s="60">
        <f t="shared" si="8"/>
        <v>0</v>
      </c>
      <c r="EU11" s="60">
        <f t="shared" si="8"/>
        <v>0</v>
      </c>
      <c r="EV11" s="60">
        <f t="shared" si="8"/>
        <v>0</v>
      </c>
      <c r="EW11" s="60">
        <f t="shared" si="8"/>
        <v>0</v>
      </c>
      <c r="EX11" s="60">
        <f t="shared" si="8"/>
        <v>0</v>
      </c>
      <c r="EY11" s="60">
        <f t="shared" si="8"/>
        <v>0</v>
      </c>
      <c r="EZ11" s="60">
        <f t="shared" si="8"/>
        <v>0</v>
      </c>
      <c r="FA11" s="60">
        <f t="shared" si="8"/>
        <v>0</v>
      </c>
      <c r="FB11" s="60">
        <f t="shared" si="8"/>
        <v>0</v>
      </c>
      <c r="FC11" s="60">
        <f t="shared" si="8"/>
        <v>0</v>
      </c>
      <c r="FD11" s="60">
        <f t="shared" si="8"/>
        <v>0</v>
      </c>
      <c r="FE11" s="60">
        <f t="shared" si="8"/>
        <v>0</v>
      </c>
      <c r="FF11" s="60">
        <f t="shared" si="8"/>
        <v>0</v>
      </c>
      <c r="FG11" s="60">
        <f t="shared" si="8"/>
        <v>0</v>
      </c>
      <c r="FH11" s="60">
        <f t="shared" si="8"/>
        <v>0</v>
      </c>
      <c r="FI11" s="60">
        <f t="shared" si="8"/>
        <v>0</v>
      </c>
      <c r="FJ11" s="60">
        <f t="shared" si="8"/>
        <v>0</v>
      </c>
      <c r="FK11" s="60">
        <f t="shared" si="8"/>
        <v>0</v>
      </c>
      <c r="FL11" s="60">
        <f t="shared" si="8"/>
        <v>0</v>
      </c>
      <c r="FM11" s="60">
        <f t="shared" si="8"/>
        <v>0</v>
      </c>
      <c r="FN11" s="60">
        <f t="shared" si="8"/>
        <v>0</v>
      </c>
    </row>
    <row r="12" spans="1:170">
      <c r="A12" s="44" t="s">
        <v>127</v>
      </c>
      <c r="B12" s="57">
        <f>'[2]Canada Tallow Exports'!I$109</f>
        <v>0</v>
      </c>
      <c r="C12" s="57">
        <f>'[2]Canada Tallow Exports'!J$109</f>
        <v>0</v>
      </c>
      <c r="D12" s="57">
        <f>'[2]Canada Tallow Exports'!K$109</f>
        <v>0</v>
      </c>
      <c r="E12" s="57">
        <f>'[2]Canada Tallow Exports'!L$109</f>
        <v>0</v>
      </c>
      <c r="F12" s="57">
        <f>'[2]Canada Tallow Exports'!M$109</f>
        <v>0</v>
      </c>
      <c r="G12" s="57">
        <f>'[2]Canada Tallow Exports'!N$109</f>
        <v>0</v>
      </c>
      <c r="H12" s="57">
        <f>'[2]Canada Tallow Exports'!O$109</f>
        <v>0</v>
      </c>
      <c r="I12" s="57">
        <f>'[2]Canada Tallow Exports'!P$109</f>
        <v>0</v>
      </c>
      <c r="J12" s="57">
        <f>'[2]Canada Tallow Exports'!Q$109</f>
        <v>0</v>
      </c>
      <c r="K12" s="57">
        <f>'[2]Canada Tallow Exports'!R$109</f>
        <v>0</v>
      </c>
      <c r="L12" s="57">
        <f>'[2]Canada Tallow Exports'!S$109</f>
        <v>0</v>
      </c>
      <c r="M12" s="57">
        <f>'[2]Canada Tallow Exports'!T$109</f>
        <v>0</v>
      </c>
      <c r="N12" s="57">
        <f>'[2]Canada Tallow Exports'!U$109</f>
        <v>0</v>
      </c>
      <c r="O12" s="57">
        <f>'[2]Canada Tallow Exports'!V$109</f>
        <v>0</v>
      </c>
      <c r="P12" s="57">
        <f>'[2]Canada Tallow Exports'!W$109</f>
        <v>0</v>
      </c>
      <c r="Q12" s="57">
        <f>'[2]Canada Tallow Exports'!X$109</f>
        <v>0</v>
      </c>
      <c r="R12" s="57">
        <f>'[2]Canada Tallow Exports'!Y$109</f>
        <v>0</v>
      </c>
      <c r="S12" s="57">
        <f>'[2]Canada Tallow Exports'!Z$109</f>
        <v>0</v>
      </c>
      <c r="T12" s="57">
        <f>'[2]Canada Tallow Exports'!AA$109</f>
        <v>0</v>
      </c>
      <c r="U12" s="57">
        <f>'[2]Canada Tallow Exports'!AB$109</f>
        <v>0</v>
      </c>
      <c r="V12" s="57">
        <f>'[2]Canada Tallow Exports'!AC$109</f>
        <v>0</v>
      </c>
      <c r="W12" s="57">
        <f>'[2]Canada Tallow Exports'!AD$109</f>
        <v>0</v>
      </c>
      <c r="X12" s="57">
        <f>'[2]Canada Tallow Exports'!AE$109</f>
        <v>0</v>
      </c>
      <c r="Y12" s="58">
        <f>'[2]Canada Tallow Exports'!AF$109</f>
        <v>0</v>
      </c>
      <c r="AE12" s="57">
        <f>'[2]Australia Tallow Exports'!N$109</f>
        <v>0</v>
      </c>
      <c r="AF12" s="57">
        <f>'[2]Australia Tallow Exports'!O$109</f>
        <v>0</v>
      </c>
      <c r="AG12" s="57">
        <f>'[2]Australia Tallow Exports'!P$109</f>
        <v>0</v>
      </c>
      <c r="AH12" s="57">
        <f>'[2]Australia Tallow Exports'!Q$109</f>
        <v>0</v>
      </c>
      <c r="AI12" s="57">
        <f>'[2]Australia Tallow Exports'!R$109</f>
        <v>0</v>
      </c>
      <c r="AJ12" s="57">
        <f>'[2]Australia Tallow Exports'!S$109</f>
        <v>25</v>
      </c>
      <c r="AK12" s="57">
        <f>'[2]Australia Tallow Exports'!T$109</f>
        <v>99</v>
      </c>
      <c r="AL12" s="57">
        <f>'[2]Australia Tallow Exports'!U$109</f>
        <v>25</v>
      </c>
      <c r="AM12" s="57">
        <f>'[2]Australia Tallow Exports'!V$109</f>
        <v>0</v>
      </c>
      <c r="AN12" s="57">
        <f>'[2]Australia Tallow Exports'!W$109</f>
        <v>0</v>
      </c>
      <c r="AO12" s="57">
        <f>'[2]Australia Tallow Exports'!X$109</f>
        <v>0</v>
      </c>
      <c r="AP12" s="57">
        <f>'[2]Australia Tallow Exports'!Y$109</f>
        <v>0</v>
      </c>
      <c r="AQ12" s="57">
        <f>'[2]Australia Tallow Exports'!Z$109</f>
        <v>0</v>
      </c>
      <c r="AR12" s="57">
        <f>'[2]Australia Tallow Exports'!AA$109</f>
        <v>0</v>
      </c>
      <c r="AS12" s="57">
        <f>'[2]Australia Tallow Exports'!AB$109</f>
        <v>0</v>
      </c>
      <c r="AT12" s="57">
        <f>'[2]Australia Tallow Exports'!AC$109</f>
        <v>56</v>
      </c>
      <c r="AU12" s="57">
        <f>'[2]Australia Tallow Exports'!AD$109</f>
        <v>32</v>
      </c>
      <c r="AV12" s="57">
        <f>'[2]Australia Tallow Exports'!AE$109</f>
        <v>0</v>
      </c>
      <c r="AW12" s="58">
        <f>'[2]Australia Tallow Exports'!AF$109</f>
        <v>0</v>
      </c>
      <c r="BC12" s="57">
        <f>'[2]New Zealand Tallow Exports'!N$109</f>
        <v>32</v>
      </c>
      <c r="BD12" s="57">
        <f>'[2]New Zealand Tallow Exports'!O$109</f>
        <v>0</v>
      </c>
      <c r="BE12" s="57">
        <f>'[2]New Zealand Tallow Exports'!P$109</f>
        <v>0</v>
      </c>
      <c r="BF12" s="57">
        <f>'[2]New Zealand Tallow Exports'!Q$109</f>
        <v>0</v>
      </c>
      <c r="BG12" s="57">
        <f>'[2]New Zealand Tallow Exports'!R$109</f>
        <v>0</v>
      </c>
      <c r="BH12" s="57">
        <f>'[2]New Zealand Tallow Exports'!S$109</f>
        <v>0</v>
      </c>
      <c r="BI12" s="57">
        <f>'[2]New Zealand Tallow Exports'!T$109</f>
        <v>0</v>
      </c>
      <c r="BJ12" s="57">
        <f>'[2]New Zealand Tallow Exports'!U$109</f>
        <v>0</v>
      </c>
      <c r="BK12" s="57">
        <f>'[2]New Zealand Tallow Exports'!V$109</f>
        <v>0</v>
      </c>
      <c r="BL12" s="57">
        <f>'[2]New Zealand Tallow Exports'!W$109</f>
        <v>0</v>
      </c>
      <c r="BM12" s="57">
        <f>'[2]New Zealand Tallow Exports'!X$109</f>
        <v>0</v>
      </c>
      <c r="BN12" s="57">
        <f>'[2]New Zealand Tallow Exports'!Y$109</f>
        <v>0</v>
      </c>
      <c r="BO12" s="57">
        <f>'[2]New Zealand Tallow Exports'!Z$109</f>
        <v>0</v>
      </c>
      <c r="BP12" s="57">
        <f>'[2]New Zealand Tallow Exports'!AA$109</f>
        <v>0</v>
      </c>
      <c r="BQ12" s="57">
        <f>'[2]New Zealand Tallow Exports'!AB$109</f>
        <v>0</v>
      </c>
      <c r="BR12" s="57">
        <f>'[2]New Zealand Tallow Exports'!AC$109</f>
        <v>0</v>
      </c>
      <c r="BS12" s="57">
        <f>'[2]New Zealand Tallow Exports'!AD$109</f>
        <v>0</v>
      </c>
      <c r="BT12" s="57">
        <f>'[2]New Zealand Tallow Exports'!AE$109</f>
        <v>0</v>
      </c>
      <c r="BU12" s="58">
        <f>'[2]New Zealand Tallow Exports'!AF$109</f>
        <v>0</v>
      </c>
      <c r="BX12" s="57">
        <f>'[2]Paraguay Tallow Exports'!K$109</f>
        <v>0</v>
      </c>
      <c r="BY12" s="57">
        <f>'[2]Paraguay Tallow Exports'!L$109</f>
        <v>0</v>
      </c>
      <c r="BZ12" s="57">
        <f>'[2]Paraguay Tallow Exports'!M$109</f>
        <v>0</v>
      </c>
      <c r="CA12" s="57">
        <f>'[2]Paraguay Tallow Exports'!N$109</f>
        <v>120</v>
      </c>
      <c r="CB12" s="57">
        <f>'[2]Paraguay Tallow Exports'!O$109</f>
        <v>60</v>
      </c>
      <c r="CC12" s="57">
        <f>'[2]Paraguay Tallow Exports'!P$109</f>
        <v>29</v>
      </c>
      <c r="CD12" s="57">
        <f>'[2]Paraguay Tallow Exports'!Q$109</f>
        <v>314</v>
      </c>
      <c r="CE12" s="57">
        <f>'[2]Paraguay Tallow Exports'!R$109</f>
        <v>349</v>
      </c>
      <c r="CF12" s="57">
        <f>'[2]Paraguay Tallow Exports'!S$109</f>
        <v>170</v>
      </c>
      <c r="CG12" s="57">
        <f>'[2]Paraguay Tallow Exports'!T$109</f>
        <v>0</v>
      </c>
      <c r="CH12" s="57">
        <f>'[2]Paraguay Tallow Exports'!U$109</f>
        <v>0</v>
      </c>
      <c r="CI12" s="57">
        <f>'[2]Paraguay Tallow Exports'!V$109</f>
        <v>218</v>
      </c>
      <c r="CJ12" s="57">
        <f>'[2]Paraguay Tallow Exports'!W$109</f>
        <v>0</v>
      </c>
      <c r="CK12" s="57">
        <f>'[2]Paraguay Tallow Exports'!X$109</f>
        <v>0</v>
      </c>
      <c r="CL12" s="57">
        <f>'[2]Paraguay Tallow Exports'!Y$109</f>
        <v>249</v>
      </c>
      <c r="CM12" s="57">
        <f>'[2]Paraguay Tallow Exports'!Z$109</f>
        <v>269</v>
      </c>
      <c r="CN12" s="57">
        <f>'[2]Paraguay Tallow Exports'!AA$109</f>
        <v>468</v>
      </c>
      <c r="CO12" s="57">
        <f>'[2]Paraguay Tallow Exports'!AB$109</f>
        <v>327</v>
      </c>
      <c r="CP12" s="57">
        <f>'[2]Paraguay Tallow Exports'!AC$109</f>
        <v>349</v>
      </c>
      <c r="CQ12" s="57">
        <f>'[2]Paraguay Tallow Exports'!AD$109</f>
        <v>91</v>
      </c>
      <c r="CR12" s="58">
        <f>FORECAST(CR$41,CM12:CQ12,CM$41:CQ$41)</f>
        <v>65.305823791375133</v>
      </c>
      <c r="DE12" s="57">
        <f>'[2]Brazil Tallow Exports'!U$109</f>
        <v>0</v>
      </c>
      <c r="DF12" s="57">
        <f>'[2]Brazil Tallow Exports'!V$109</f>
        <v>80</v>
      </c>
      <c r="DG12" s="57">
        <f>'[2]Brazil Tallow Exports'!W$109</f>
        <v>0</v>
      </c>
      <c r="DH12" s="57">
        <f>'[2]Brazil Tallow Exports'!X$109</f>
        <v>54</v>
      </c>
      <c r="DI12" s="57">
        <f>'[2]Brazil Tallow Exports'!Y$109</f>
        <v>0</v>
      </c>
      <c r="DJ12" s="57">
        <f>'[2]Brazil Tallow Exports'!Z$109</f>
        <v>0</v>
      </c>
      <c r="DK12" s="57">
        <f>'[2]Brazil Tallow Exports'!AA$109</f>
        <v>0</v>
      </c>
      <c r="DL12" s="57">
        <f>'[2]Brazil Tallow Exports'!AB$109</f>
        <v>196</v>
      </c>
      <c r="DM12" s="57">
        <f>'[2]Brazil Tallow Exports'!AC$109</f>
        <v>142</v>
      </c>
      <c r="DN12" s="57">
        <f>'[2]Brazil Tallow Exports'!AD$109</f>
        <v>412</v>
      </c>
      <c r="DO12" s="57">
        <f>'[2]Brazil Tallow Exports'!AE$109</f>
        <v>495</v>
      </c>
      <c r="DP12" s="58">
        <f>'[2]Brazil Tallow Exports'!AF$109</f>
        <v>500</v>
      </c>
      <c r="EB12" s="57">
        <f t="shared" si="0"/>
        <v>25</v>
      </c>
      <c r="EC12" s="57">
        <f t="shared" si="0"/>
        <v>298</v>
      </c>
      <c r="ED12" s="57">
        <f t="shared" si="0"/>
        <v>0</v>
      </c>
      <c r="EE12" s="57">
        <f t="shared" si="0"/>
        <v>54</v>
      </c>
      <c r="EF12" s="57">
        <f t="shared" si="0"/>
        <v>249</v>
      </c>
      <c r="EG12" s="57">
        <f t="shared" si="0"/>
        <v>269</v>
      </c>
      <c r="EH12" s="57">
        <f t="shared" si="0"/>
        <v>468</v>
      </c>
      <c r="EI12" s="57">
        <f t="shared" si="0"/>
        <v>523</v>
      </c>
      <c r="EJ12" s="57">
        <f t="shared" si="0"/>
        <v>547</v>
      </c>
      <c r="EK12" s="57">
        <f t="shared" si="0"/>
        <v>535</v>
      </c>
      <c r="EL12" s="57">
        <f t="shared" si="0"/>
        <v>560.30582379137513</v>
      </c>
      <c r="EM12" s="57">
        <f t="shared" si="0"/>
        <v>500</v>
      </c>
      <c r="EN12" s="60">
        <f t="shared" ref="EN12:FC14" si="9">IF(FORECAST(EN$41,EI12:EM12,EI$41:EM$41)&lt;0,0,FORECAST(EN$41,EI12:EM12,EI$41:EM$41))</f>
        <v>491.15926381650803</v>
      </c>
      <c r="EO12" s="60">
        <f t="shared" si="9"/>
        <v>477.34108603168909</v>
      </c>
      <c r="EP12" s="60">
        <f t="shared" si="9"/>
        <v>472.2148402185843</v>
      </c>
      <c r="EQ12" s="60">
        <f t="shared" si="9"/>
        <v>467.02965716058156</v>
      </c>
      <c r="ER12" s="60">
        <f t="shared" si="9"/>
        <v>470.02484478203178</v>
      </c>
      <c r="ES12" s="60">
        <f t="shared" si="9"/>
        <v>465.02108691709407</v>
      </c>
      <c r="ET12" s="60">
        <f t="shared" si="9"/>
        <v>463.77450926821035</v>
      </c>
      <c r="EU12" s="60">
        <f t="shared" si="9"/>
        <v>460.33557437355518</v>
      </c>
      <c r="EV12" s="60">
        <f t="shared" si="9"/>
        <v>457.38008174950153</v>
      </c>
      <c r="EW12" s="60">
        <f t="shared" si="9"/>
        <v>453.2208016731521</v>
      </c>
      <c r="EX12" s="60">
        <f t="shared" si="9"/>
        <v>451.11362195996878</v>
      </c>
      <c r="EY12" s="60">
        <f t="shared" si="9"/>
        <v>448.43410586228401</v>
      </c>
      <c r="EZ12" s="60">
        <f t="shared" si="9"/>
        <v>445.10568931015268</v>
      </c>
      <c r="FA12" s="60">
        <f t="shared" si="9"/>
        <v>441.44576370457651</v>
      </c>
      <c r="FB12" s="60">
        <f t="shared" si="9"/>
        <v>438.32336156943563</v>
      </c>
      <c r="FC12" s="60">
        <f t="shared" si="9"/>
        <v>434.42645202637175</v>
      </c>
      <c r="FD12" s="60">
        <f t="shared" ref="FD12:FN15" si="10">IF(FORECAST(FD$41,EY12:FC12,EY$41:FC$41)&lt;0,0,FORECAST(FD$41,EY12:FC12,EY$41:FC$41))</f>
        <v>430.48797887657173</v>
      </c>
      <c r="FE12" s="60">
        <f t="shared" si="10"/>
        <v>430.39591154112554</v>
      </c>
      <c r="FF12" s="60">
        <f t="shared" si="10"/>
        <v>466.8951693852166</v>
      </c>
      <c r="FG12" s="60">
        <f t="shared" si="10"/>
        <v>465.6026532732958</v>
      </c>
      <c r="FH12" s="60">
        <f t="shared" si="10"/>
        <v>465.60194767489634</v>
      </c>
      <c r="FI12" s="60">
        <f t="shared" si="10"/>
        <v>465.60965559811189</v>
      </c>
      <c r="FJ12" s="60">
        <f t="shared" si="10"/>
        <v>465.61101492763828</v>
      </c>
      <c r="FK12" s="60">
        <f t="shared" si="10"/>
        <v>465.61093010498359</v>
      </c>
      <c r="FL12" s="60">
        <f t="shared" si="10"/>
        <v>465.6075085269859</v>
      </c>
      <c r="FM12" s="60">
        <f t="shared" si="10"/>
        <v>465.60554363209752</v>
      </c>
      <c r="FN12" s="60">
        <f t="shared" si="10"/>
        <v>465.6080592556317</v>
      </c>
    </row>
    <row r="13" spans="1:170">
      <c r="A13" s="44" t="s">
        <v>128</v>
      </c>
      <c r="B13" s="57">
        <f>'[2]Canada Tallow Exports'!I$117</f>
        <v>0</v>
      </c>
      <c r="C13" s="57">
        <f>'[2]Canada Tallow Exports'!J$117</f>
        <v>0</v>
      </c>
      <c r="D13" s="57">
        <f>'[2]Canada Tallow Exports'!K$117</f>
        <v>0</v>
      </c>
      <c r="E13" s="57">
        <f>'[2]Canada Tallow Exports'!L$117</f>
        <v>0</v>
      </c>
      <c r="F13" s="57">
        <f>'[2]Canada Tallow Exports'!M$117</f>
        <v>6399</v>
      </c>
      <c r="G13" s="57">
        <f>'[2]Canada Tallow Exports'!N$117</f>
        <v>0</v>
      </c>
      <c r="H13" s="57">
        <f>'[2]Canada Tallow Exports'!O$117</f>
        <v>0</v>
      </c>
      <c r="I13" s="57">
        <f>'[2]Canada Tallow Exports'!P$117</f>
        <v>0</v>
      </c>
      <c r="J13" s="57">
        <f>'[2]Canada Tallow Exports'!Q$117</f>
        <v>0</v>
      </c>
      <c r="K13" s="57">
        <f>'[2]Canada Tallow Exports'!R$117</f>
        <v>0</v>
      </c>
      <c r="L13" s="57">
        <f>'[2]Canada Tallow Exports'!S$117</f>
        <v>0</v>
      </c>
      <c r="M13" s="57">
        <f>'[2]Canada Tallow Exports'!T$117</f>
        <v>0</v>
      </c>
      <c r="N13" s="57">
        <f>'[2]Canada Tallow Exports'!U$117</f>
        <v>0</v>
      </c>
      <c r="O13" s="57">
        <f>'[2]Canada Tallow Exports'!V$117</f>
        <v>0</v>
      </c>
      <c r="P13" s="57">
        <f>'[2]Canada Tallow Exports'!W$117</f>
        <v>0</v>
      </c>
      <c r="Q13" s="57">
        <f>'[2]Canada Tallow Exports'!X$117</f>
        <v>0</v>
      </c>
      <c r="R13" s="57">
        <f>'[2]Canada Tallow Exports'!Y$117</f>
        <v>0</v>
      </c>
      <c r="S13" s="57">
        <f>'[2]Canada Tallow Exports'!Z$117</f>
        <v>0</v>
      </c>
      <c r="T13" s="57">
        <f>'[2]Canada Tallow Exports'!AA$117</f>
        <v>0</v>
      </c>
      <c r="U13" s="57">
        <f>'[2]Canada Tallow Exports'!AB$117</f>
        <v>0</v>
      </c>
      <c r="V13" s="57">
        <f>'[2]Canada Tallow Exports'!AC$117</f>
        <v>0</v>
      </c>
      <c r="W13" s="57">
        <f>'[2]Canada Tallow Exports'!AD$117</f>
        <v>0</v>
      </c>
      <c r="X13" s="57">
        <f>'[2]Canada Tallow Exports'!AE$117</f>
        <v>0</v>
      </c>
      <c r="Y13" s="58">
        <f>'[2]Canada Tallow Exports'!AF$117</f>
        <v>0</v>
      </c>
      <c r="AE13" s="57">
        <f>'[2]Australia Tallow Exports'!N$117</f>
        <v>295</v>
      </c>
      <c r="AF13" s="57">
        <f>'[2]Australia Tallow Exports'!O$117</f>
        <v>471</v>
      </c>
      <c r="AG13" s="57">
        <f>'[2]Australia Tallow Exports'!P$117</f>
        <v>1441</v>
      </c>
      <c r="AH13" s="57">
        <f>'[2]Australia Tallow Exports'!Q$117</f>
        <v>2259</v>
      </c>
      <c r="AI13" s="57">
        <f>'[2]Australia Tallow Exports'!R$117</f>
        <v>36</v>
      </c>
      <c r="AJ13" s="57">
        <f>'[2]Australia Tallow Exports'!S$117</f>
        <v>127</v>
      </c>
      <c r="AK13" s="57">
        <f>'[2]Australia Tallow Exports'!T$117</f>
        <v>154</v>
      </c>
      <c r="AL13" s="57">
        <f>'[2]Australia Tallow Exports'!U$117</f>
        <v>0</v>
      </c>
      <c r="AM13" s="57">
        <f>'[2]Australia Tallow Exports'!V$117</f>
        <v>84</v>
      </c>
      <c r="AN13" s="57">
        <f>'[2]Australia Tallow Exports'!W$117</f>
        <v>21</v>
      </c>
      <c r="AO13" s="57">
        <f>'[2]Australia Tallow Exports'!X$117</f>
        <v>1015</v>
      </c>
      <c r="AP13" s="57">
        <f>'[2]Australia Tallow Exports'!Y$117</f>
        <v>104</v>
      </c>
      <c r="AQ13" s="57">
        <f>'[2]Australia Tallow Exports'!Z$117</f>
        <v>18</v>
      </c>
      <c r="AR13" s="57">
        <f>'[2]Australia Tallow Exports'!AA$117</f>
        <v>3295</v>
      </c>
      <c r="AS13" s="57">
        <f>'[2]Australia Tallow Exports'!AB$117</f>
        <v>0</v>
      </c>
      <c r="AT13" s="57">
        <f>'[2]Australia Tallow Exports'!AC$117</f>
        <v>740</v>
      </c>
      <c r="AU13" s="57">
        <f>'[2]Australia Tallow Exports'!AD$117</f>
        <v>1520</v>
      </c>
      <c r="AV13" s="57">
        <f>'[2]Australia Tallow Exports'!AE$117</f>
        <v>11758</v>
      </c>
      <c r="AW13" s="58">
        <f>'[2]Australia Tallow Exports'!AF$117</f>
        <v>750</v>
      </c>
      <c r="BC13" s="57">
        <f>'[2]New Zealand Tallow Exports'!N$117</f>
        <v>167</v>
      </c>
      <c r="BD13" s="57">
        <f>'[2]New Zealand Tallow Exports'!O$117</f>
        <v>0</v>
      </c>
      <c r="BE13" s="57">
        <f>'[2]New Zealand Tallow Exports'!P$117</f>
        <v>0</v>
      </c>
      <c r="BF13" s="57">
        <f>'[2]New Zealand Tallow Exports'!Q$117</f>
        <v>0</v>
      </c>
      <c r="BG13" s="57">
        <f>'[2]New Zealand Tallow Exports'!R$117</f>
        <v>0</v>
      </c>
      <c r="BH13" s="57">
        <f>'[2]New Zealand Tallow Exports'!S$117</f>
        <v>117</v>
      </c>
      <c r="BI13" s="57">
        <f>'[2]New Zealand Tallow Exports'!T$117</f>
        <v>328</v>
      </c>
      <c r="BJ13" s="57">
        <f>'[2]New Zealand Tallow Exports'!U$117</f>
        <v>993</v>
      </c>
      <c r="BK13" s="57">
        <f>'[2]New Zealand Tallow Exports'!V$117</f>
        <v>1062</v>
      </c>
      <c r="BL13" s="57">
        <f>'[2]New Zealand Tallow Exports'!W$117</f>
        <v>1112</v>
      </c>
      <c r="BM13" s="57">
        <f>'[2]New Zealand Tallow Exports'!X$117</f>
        <v>872</v>
      </c>
      <c r="BN13" s="57">
        <f>'[2]New Zealand Tallow Exports'!Y$117</f>
        <v>784</v>
      </c>
      <c r="BO13" s="57">
        <f>'[2]New Zealand Tallow Exports'!Z$117</f>
        <v>691</v>
      </c>
      <c r="BP13" s="57">
        <f>'[2]New Zealand Tallow Exports'!AA$117</f>
        <v>788</v>
      </c>
      <c r="BQ13" s="57">
        <f>'[2]New Zealand Tallow Exports'!AB$117</f>
        <v>1262</v>
      </c>
      <c r="BR13" s="57">
        <f>'[2]New Zealand Tallow Exports'!AC$117</f>
        <v>1435</v>
      </c>
      <c r="BS13" s="57">
        <f>'[2]New Zealand Tallow Exports'!AD$117</f>
        <v>1323</v>
      </c>
      <c r="BT13" s="57">
        <f>'[2]New Zealand Tallow Exports'!AE$117</f>
        <v>1554</v>
      </c>
      <c r="BU13" s="58">
        <f>'[2]New Zealand Tallow Exports'!AF$117</f>
        <v>1750</v>
      </c>
      <c r="BX13" s="57">
        <f>'[2]Paraguay Tallow Exports'!K$117</f>
        <v>0</v>
      </c>
      <c r="BY13" s="57">
        <f>'[2]Paraguay Tallow Exports'!L$117</f>
        <v>0</v>
      </c>
      <c r="BZ13" s="57">
        <f>'[2]Paraguay Tallow Exports'!M$117</f>
        <v>0</v>
      </c>
      <c r="CA13" s="57">
        <f>'[2]Paraguay Tallow Exports'!N$117</f>
        <v>0</v>
      </c>
      <c r="CB13" s="57">
        <f>'[2]Paraguay Tallow Exports'!O$117</f>
        <v>0</v>
      </c>
      <c r="CC13" s="57">
        <f>'[2]Paraguay Tallow Exports'!P$117</f>
        <v>0</v>
      </c>
      <c r="CD13" s="57">
        <f>'[2]Paraguay Tallow Exports'!Q$117</f>
        <v>0</v>
      </c>
      <c r="CE13" s="57">
        <f>'[2]Paraguay Tallow Exports'!R$117</f>
        <v>0</v>
      </c>
      <c r="CF13" s="57">
        <f>'[2]Paraguay Tallow Exports'!S$117</f>
        <v>0</v>
      </c>
      <c r="CG13" s="57">
        <f>'[2]Paraguay Tallow Exports'!T$117</f>
        <v>0</v>
      </c>
      <c r="CH13" s="57">
        <f>'[2]Paraguay Tallow Exports'!U$117</f>
        <v>0</v>
      </c>
      <c r="CI13" s="57">
        <f>'[2]Paraguay Tallow Exports'!V$117</f>
        <v>0</v>
      </c>
      <c r="CJ13" s="57">
        <f>'[2]Paraguay Tallow Exports'!W$117</f>
        <v>0</v>
      </c>
      <c r="CK13" s="57">
        <f>'[2]Paraguay Tallow Exports'!X$117</f>
        <v>0</v>
      </c>
      <c r="CL13" s="57">
        <f>'[2]Paraguay Tallow Exports'!Y$117</f>
        <v>0</v>
      </c>
      <c r="CM13" s="57">
        <f>'[2]Paraguay Tallow Exports'!Z$117</f>
        <v>0</v>
      </c>
      <c r="CN13" s="57">
        <f>'[2]Paraguay Tallow Exports'!AA$117</f>
        <v>0</v>
      </c>
      <c r="CO13" s="57">
        <f>'[2]Paraguay Tallow Exports'!AB$117</f>
        <v>0</v>
      </c>
      <c r="CP13" s="57">
        <f>'[2]Paraguay Tallow Exports'!AC$117</f>
        <v>0</v>
      </c>
      <c r="CQ13" s="57">
        <f>'[2]Paraguay Tallow Exports'!AD$117</f>
        <v>0</v>
      </c>
      <c r="CR13" s="58">
        <f t="shared" si="4"/>
        <v>0</v>
      </c>
      <c r="DE13" s="57">
        <f>'[2]Brazil Tallow Exports'!U$117</f>
        <v>0</v>
      </c>
      <c r="DF13" s="57">
        <f>'[2]Brazil Tallow Exports'!V$117</f>
        <v>0</v>
      </c>
      <c r="DG13" s="57">
        <f>'[2]Brazil Tallow Exports'!W$117</f>
        <v>8</v>
      </c>
      <c r="DH13" s="57">
        <f>'[2]Brazil Tallow Exports'!X$117</f>
        <v>27</v>
      </c>
      <c r="DI13" s="57">
        <f>'[2]Brazil Tallow Exports'!Y$117</f>
        <v>56</v>
      </c>
      <c r="DJ13" s="57">
        <f>'[2]Brazil Tallow Exports'!Z$117</f>
        <v>0</v>
      </c>
      <c r="DK13" s="57">
        <f>'[2]Brazil Tallow Exports'!AA$117</f>
        <v>28</v>
      </c>
      <c r="DL13" s="57">
        <f>'[2]Brazil Tallow Exports'!AB$117</f>
        <v>524</v>
      </c>
      <c r="DM13" s="57">
        <f>'[2]Brazil Tallow Exports'!AC$117</f>
        <v>313</v>
      </c>
      <c r="DN13" s="57">
        <f>'[2]Brazil Tallow Exports'!AD$117</f>
        <v>489</v>
      </c>
      <c r="DO13" s="57">
        <f>'[2]Brazil Tallow Exports'!AE$117</f>
        <v>411</v>
      </c>
      <c r="DP13" s="58">
        <f>'[2]Brazil Tallow Exports'!AF$117</f>
        <v>2000</v>
      </c>
      <c r="EB13" s="57">
        <f t="shared" si="0"/>
        <v>993</v>
      </c>
      <c r="EC13" s="57">
        <f t="shared" si="0"/>
        <v>1146</v>
      </c>
      <c r="ED13" s="57">
        <f t="shared" si="0"/>
        <v>1141</v>
      </c>
      <c r="EE13" s="57">
        <f t="shared" si="0"/>
        <v>1914</v>
      </c>
      <c r="EF13" s="57">
        <f t="shared" si="0"/>
        <v>944</v>
      </c>
      <c r="EG13" s="57">
        <f t="shared" si="0"/>
        <v>709</v>
      </c>
      <c r="EH13" s="57">
        <f t="shared" si="0"/>
        <v>4111</v>
      </c>
      <c r="EI13" s="57">
        <f t="shared" si="0"/>
        <v>1786</v>
      </c>
      <c r="EJ13" s="57">
        <f t="shared" si="0"/>
        <v>2488</v>
      </c>
      <c r="EK13" s="57">
        <f t="shared" si="0"/>
        <v>3332</v>
      </c>
      <c r="EL13" s="57">
        <f t="shared" si="0"/>
        <v>13723</v>
      </c>
      <c r="EM13" s="57">
        <f t="shared" si="0"/>
        <v>4500</v>
      </c>
      <c r="EN13" s="60">
        <f>IF(FORECAST(EN$41,EI13:EM13,EI$41:EM$41)&lt;0,0,FORECAST(EN$41,EI13:EM13,EI$41:EM$41))</f>
        <v>11225.507149009674</v>
      </c>
      <c r="EO13" s="60">
        <f t="shared" si="9"/>
        <v>11851.468692140843</v>
      </c>
      <c r="EP13" s="60">
        <f t="shared" si="9"/>
        <v>11793.564353435053</v>
      </c>
      <c r="EQ13" s="60">
        <f t="shared" si="9"/>
        <v>11151.76579399583</v>
      </c>
      <c r="ER13" s="60">
        <f t="shared" si="9"/>
        <v>12766.288026348155</v>
      </c>
      <c r="ES13" s="60">
        <f t="shared" si="9"/>
        <v>12157.710606085704</v>
      </c>
      <c r="ET13" s="60">
        <f t="shared" si="9"/>
        <v>12280.217213600439</v>
      </c>
      <c r="EU13" s="60">
        <f t="shared" si="9"/>
        <v>12869.547786909548</v>
      </c>
      <c r="EV13" s="60">
        <f t="shared" si="9"/>
        <v>13480.776180547733</v>
      </c>
      <c r="EW13" s="60">
        <f t="shared" si="9"/>
        <v>13613.355087659969</v>
      </c>
      <c r="EX13" s="60">
        <f t="shared" si="9"/>
        <v>14093.953539855294</v>
      </c>
      <c r="EY13" s="60">
        <f t="shared" si="9"/>
        <v>14449.552994651547</v>
      </c>
      <c r="EZ13" s="60">
        <f t="shared" si="9"/>
        <v>14826.91104668106</v>
      </c>
      <c r="FA13" s="60">
        <f>IF(FORECAST(FA$41,EV13:EZ13,EV$41:EZ$41)&lt;0,0,FORECAST(FA$41,EV13:EZ13,EV$41:EZ$41))</f>
        <v>15241.091890435024</v>
      </c>
      <c r="FB13" s="60">
        <f t="shared" si="9"/>
        <v>15722.584574303584</v>
      </c>
      <c r="FC13" s="60">
        <f t="shared" si="9"/>
        <v>16166.951738510137</v>
      </c>
      <c r="FD13" s="60">
        <f t="shared" si="10"/>
        <v>16657.596855510055</v>
      </c>
      <c r="FE13" s="60">
        <f t="shared" si="10"/>
        <v>16679.027370648328</v>
      </c>
      <c r="FF13" s="60">
        <f t="shared" si="10"/>
        <v>12037.640172390937</v>
      </c>
      <c r="FG13" s="60">
        <f t="shared" si="10"/>
        <v>12210.283719895882</v>
      </c>
      <c r="FH13" s="60">
        <f t="shared" si="10"/>
        <v>12206.17746646567</v>
      </c>
      <c r="FI13" s="60">
        <f t="shared" si="10"/>
        <v>12205.070383750064</v>
      </c>
      <c r="FJ13" s="60">
        <f t="shared" si="10"/>
        <v>12204.946848686133</v>
      </c>
      <c r="FK13" s="60">
        <f t="shared" si="10"/>
        <v>12206.024215273254</v>
      </c>
      <c r="FL13" s="60">
        <f t="shared" si="10"/>
        <v>12206.355313066761</v>
      </c>
      <c r="FM13" s="60">
        <f t="shared" si="10"/>
        <v>12206.124245339202</v>
      </c>
      <c r="FN13" s="60">
        <f t="shared" si="10"/>
        <v>12205.940775577932</v>
      </c>
    </row>
    <row r="14" spans="1:170">
      <c r="A14" s="44" t="s">
        <v>129</v>
      </c>
      <c r="B14" s="57">
        <f>'[2]Canada Tallow Exports'!I$136</f>
        <v>0</v>
      </c>
      <c r="C14" s="57">
        <f>'[2]Canada Tallow Exports'!J$136</f>
        <v>0</v>
      </c>
      <c r="D14" s="57">
        <f>'[2]Canada Tallow Exports'!K$136</f>
        <v>0</v>
      </c>
      <c r="E14" s="57">
        <f>'[2]Canada Tallow Exports'!L$136</f>
        <v>49</v>
      </c>
      <c r="F14" s="57">
        <f>'[2]Canada Tallow Exports'!M$136</f>
        <v>0</v>
      </c>
      <c r="G14" s="57">
        <f>'[2]Canada Tallow Exports'!N$136</f>
        <v>0</v>
      </c>
      <c r="H14" s="57">
        <f>'[2]Canada Tallow Exports'!O$136</f>
        <v>0</v>
      </c>
      <c r="I14" s="57">
        <f>'[2]Canada Tallow Exports'!P$136</f>
        <v>0</v>
      </c>
      <c r="J14" s="57">
        <f>'[2]Canada Tallow Exports'!Q$136</f>
        <v>0</v>
      </c>
      <c r="K14" s="57">
        <f>'[2]Canada Tallow Exports'!R$136</f>
        <v>0</v>
      </c>
      <c r="L14" s="57">
        <f>'[2]Canada Tallow Exports'!S$136</f>
        <v>0</v>
      </c>
      <c r="M14" s="57">
        <f>'[2]Canada Tallow Exports'!T$136</f>
        <v>0</v>
      </c>
      <c r="N14" s="57">
        <f>'[2]Canada Tallow Exports'!U$136</f>
        <v>0</v>
      </c>
      <c r="O14" s="57">
        <f>'[2]Canada Tallow Exports'!V$136</f>
        <v>0</v>
      </c>
      <c r="P14" s="57">
        <f>'[2]Canada Tallow Exports'!W$136</f>
        <v>0</v>
      </c>
      <c r="Q14" s="57">
        <f>'[2]Canada Tallow Exports'!X$136</f>
        <v>0</v>
      </c>
      <c r="R14" s="57">
        <f>'[2]Canada Tallow Exports'!Y$136</f>
        <v>0</v>
      </c>
      <c r="S14" s="57">
        <f>'[2]Canada Tallow Exports'!Z$136</f>
        <v>0</v>
      </c>
      <c r="T14" s="57">
        <f>'[2]Canada Tallow Exports'!AA$136</f>
        <v>0</v>
      </c>
      <c r="U14" s="57">
        <f>'[2]Canada Tallow Exports'!AB$136</f>
        <v>0</v>
      </c>
      <c r="V14" s="57">
        <f>'[2]Canada Tallow Exports'!AC$136</f>
        <v>68</v>
      </c>
      <c r="W14" s="57">
        <f>'[2]Canada Tallow Exports'!AD$136</f>
        <v>166</v>
      </c>
      <c r="X14" s="57">
        <f>'[2]Canada Tallow Exports'!AE$136</f>
        <v>0</v>
      </c>
      <c r="Y14" s="58">
        <f>'[2]Canada Tallow Exports'!AF$136</f>
        <v>0</v>
      </c>
      <c r="AE14" s="57">
        <f>'[2]Australia Tallow Exports'!N$136</f>
        <v>1350</v>
      </c>
      <c r="AF14" s="57">
        <f>'[2]Australia Tallow Exports'!O$136</f>
        <v>1290</v>
      </c>
      <c r="AG14" s="57">
        <f>'[2]Australia Tallow Exports'!P$136</f>
        <v>1045</v>
      </c>
      <c r="AH14" s="57">
        <f>'[2]Australia Tallow Exports'!Q$136</f>
        <v>1460</v>
      </c>
      <c r="AI14" s="57">
        <f>'[2]Australia Tallow Exports'!R$136</f>
        <v>815</v>
      </c>
      <c r="AJ14" s="57">
        <f>'[2]Australia Tallow Exports'!S$136</f>
        <v>705</v>
      </c>
      <c r="AK14" s="57">
        <f>'[2]Australia Tallow Exports'!T$136</f>
        <v>777</v>
      </c>
      <c r="AL14" s="57">
        <f>'[2]Australia Tallow Exports'!U$136</f>
        <v>0</v>
      </c>
      <c r="AM14" s="57">
        <f>'[2]Australia Tallow Exports'!V$136</f>
        <v>0</v>
      </c>
      <c r="AN14" s="57">
        <f>'[2]Australia Tallow Exports'!W$136</f>
        <v>240</v>
      </c>
      <c r="AO14" s="57">
        <f>'[2]Australia Tallow Exports'!X$136</f>
        <v>313</v>
      </c>
      <c r="AP14" s="57">
        <f>'[2]Australia Tallow Exports'!Y$136</f>
        <v>557</v>
      </c>
      <c r="AQ14" s="57">
        <f>'[2]Australia Tallow Exports'!Z$136</f>
        <v>489</v>
      </c>
      <c r="AR14" s="57">
        <f>'[2]Australia Tallow Exports'!AA$136</f>
        <v>565</v>
      </c>
      <c r="AS14" s="57">
        <f>'[2]Australia Tallow Exports'!AB$136</f>
        <v>144</v>
      </c>
      <c r="AT14" s="57">
        <f>'[2]Australia Tallow Exports'!AC$136</f>
        <v>25002</v>
      </c>
      <c r="AU14" s="57">
        <f>'[2]Australia Tallow Exports'!AD$136</f>
        <v>50</v>
      </c>
      <c r="AV14" s="57">
        <f>'[2]Australia Tallow Exports'!AE$136</f>
        <v>603</v>
      </c>
      <c r="AW14" s="58">
        <f>'[2]Australia Tallow Exports'!AF$136</f>
        <v>175</v>
      </c>
      <c r="BC14" s="57">
        <f>'[2]New Zealand Tallow Exports'!N$136</f>
        <v>1716</v>
      </c>
      <c r="BD14" s="57">
        <f>'[2]New Zealand Tallow Exports'!O$136</f>
        <v>2917</v>
      </c>
      <c r="BE14" s="57">
        <f>'[2]New Zealand Tallow Exports'!P$136</f>
        <v>4108</v>
      </c>
      <c r="BF14" s="57">
        <f>'[2]New Zealand Tallow Exports'!Q$136</f>
        <v>3349</v>
      </c>
      <c r="BG14" s="57">
        <f>'[2]New Zealand Tallow Exports'!R$136</f>
        <v>2994</v>
      </c>
      <c r="BH14" s="57">
        <f>'[2]New Zealand Tallow Exports'!S$136</f>
        <v>4690</v>
      </c>
      <c r="BI14" s="57">
        <f>'[2]New Zealand Tallow Exports'!T$136</f>
        <v>4443</v>
      </c>
      <c r="BJ14" s="57">
        <f>'[2]New Zealand Tallow Exports'!U$136</f>
        <v>2932</v>
      </c>
      <c r="BK14" s="57">
        <f>'[2]New Zealand Tallow Exports'!V$136</f>
        <v>1389</v>
      </c>
      <c r="BL14" s="57">
        <f>'[2]New Zealand Tallow Exports'!W$136</f>
        <v>1194</v>
      </c>
      <c r="BM14" s="57">
        <f>'[2]New Zealand Tallow Exports'!X$136</f>
        <v>2118</v>
      </c>
      <c r="BN14" s="57">
        <f>'[2]New Zealand Tallow Exports'!Y$136</f>
        <v>2441</v>
      </c>
      <c r="BO14" s="57">
        <f>'[2]New Zealand Tallow Exports'!Z$136</f>
        <v>1175</v>
      </c>
      <c r="BP14" s="57">
        <f>'[2]New Zealand Tallow Exports'!AA$136</f>
        <v>2336</v>
      </c>
      <c r="BQ14" s="57">
        <f>'[2]New Zealand Tallow Exports'!AB$136</f>
        <v>2555</v>
      </c>
      <c r="BR14" s="57">
        <f>'[2]New Zealand Tallow Exports'!AC$136</f>
        <v>1211</v>
      </c>
      <c r="BS14" s="57">
        <f>'[2]New Zealand Tallow Exports'!AD$136</f>
        <v>1043</v>
      </c>
      <c r="BT14" s="57">
        <f>'[2]New Zealand Tallow Exports'!AE$136</f>
        <v>987</v>
      </c>
      <c r="BU14" s="58">
        <f>'[2]New Zealand Tallow Exports'!AF$136</f>
        <v>1200</v>
      </c>
      <c r="BX14" s="57">
        <f>'[2]Paraguay Tallow Exports'!K$136</f>
        <v>0</v>
      </c>
      <c r="BY14" s="57">
        <f>'[2]Paraguay Tallow Exports'!L$136</f>
        <v>0</v>
      </c>
      <c r="BZ14" s="57">
        <f>'[2]Paraguay Tallow Exports'!M$136</f>
        <v>0</v>
      </c>
      <c r="CA14" s="57">
        <f>'[2]Paraguay Tallow Exports'!N$136</f>
        <v>0</v>
      </c>
      <c r="CB14" s="57">
        <f>'[2]Paraguay Tallow Exports'!O$136</f>
        <v>0</v>
      </c>
      <c r="CC14" s="57">
        <f>'[2]Paraguay Tallow Exports'!P$136</f>
        <v>0</v>
      </c>
      <c r="CD14" s="57">
        <f>'[2]Paraguay Tallow Exports'!Q$136</f>
        <v>0</v>
      </c>
      <c r="CE14" s="57">
        <f>'[2]Paraguay Tallow Exports'!R$136</f>
        <v>0</v>
      </c>
      <c r="CF14" s="57">
        <f>'[2]Paraguay Tallow Exports'!S$136</f>
        <v>0</v>
      </c>
      <c r="CG14" s="57">
        <f>'[2]Paraguay Tallow Exports'!T$136</f>
        <v>0</v>
      </c>
      <c r="CH14" s="57">
        <f>'[2]Paraguay Tallow Exports'!U$136</f>
        <v>0</v>
      </c>
      <c r="CI14" s="57">
        <f>'[2]Paraguay Tallow Exports'!V$136</f>
        <v>0</v>
      </c>
      <c r="CJ14" s="57">
        <f>'[2]Paraguay Tallow Exports'!W$136</f>
        <v>0</v>
      </c>
      <c r="CK14" s="57">
        <f>'[2]Paraguay Tallow Exports'!X$136</f>
        <v>0</v>
      </c>
      <c r="CL14" s="57">
        <f>'[2]Paraguay Tallow Exports'!Y$136</f>
        <v>0</v>
      </c>
      <c r="CM14" s="57">
        <f>'[2]Paraguay Tallow Exports'!Z$136</f>
        <v>0</v>
      </c>
      <c r="CN14" s="57">
        <f>'[2]Paraguay Tallow Exports'!AA$136</f>
        <v>0</v>
      </c>
      <c r="CO14" s="57">
        <f>'[2]Paraguay Tallow Exports'!AB$136</f>
        <v>0</v>
      </c>
      <c r="CP14" s="57">
        <f>'[2]Paraguay Tallow Exports'!AC$136</f>
        <v>0</v>
      </c>
      <c r="CQ14" s="57">
        <f>'[2]Paraguay Tallow Exports'!AD$136</f>
        <v>0</v>
      </c>
      <c r="CR14" s="58">
        <f t="shared" si="4"/>
        <v>0</v>
      </c>
      <c r="DE14" s="57">
        <f>'[2]Brazil Tallow Exports'!U$136</f>
        <v>7</v>
      </c>
      <c r="DF14" s="57">
        <f>'[2]Brazil Tallow Exports'!V$136</f>
        <v>534</v>
      </c>
      <c r="DG14" s="57">
        <f>'[2]Brazil Tallow Exports'!W$136</f>
        <v>0</v>
      </c>
      <c r="DH14" s="57">
        <f>'[2]Brazil Tallow Exports'!X$136</f>
        <v>0</v>
      </c>
      <c r="DI14" s="57">
        <f>'[2]Brazil Tallow Exports'!Y$136</f>
        <v>0</v>
      </c>
      <c r="DJ14" s="57">
        <f>'[2]Brazil Tallow Exports'!Z$136</f>
        <v>0</v>
      </c>
      <c r="DK14" s="57">
        <f>'[2]Brazil Tallow Exports'!AA$136</f>
        <v>0</v>
      </c>
      <c r="DL14" s="57">
        <f>'[2]Brazil Tallow Exports'!AB$136</f>
        <v>0</v>
      </c>
      <c r="DM14" s="57">
        <f>'[2]Brazil Tallow Exports'!AC$136</f>
        <v>0</v>
      </c>
      <c r="DN14" s="57">
        <f>'[2]Brazil Tallow Exports'!AD$136</f>
        <v>0</v>
      </c>
      <c r="DO14" s="57">
        <f>'[2]Brazil Tallow Exports'!AE$136</f>
        <v>0</v>
      </c>
      <c r="DP14" s="58">
        <f>'[2]Brazil Tallow Exports'!AF$136</f>
        <v>0</v>
      </c>
      <c r="EB14" s="57">
        <f t="shared" si="0"/>
        <v>2939</v>
      </c>
      <c r="EC14" s="57">
        <f t="shared" si="0"/>
        <v>1923</v>
      </c>
      <c r="ED14" s="57">
        <f t="shared" si="0"/>
        <v>1434</v>
      </c>
      <c r="EE14" s="57">
        <f t="shared" si="0"/>
        <v>2431</v>
      </c>
      <c r="EF14" s="57">
        <f t="shared" si="0"/>
        <v>2998</v>
      </c>
      <c r="EG14" s="57">
        <f t="shared" si="0"/>
        <v>1664</v>
      </c>
      <c r="EH14" s="57">
        <f t="shared" si="0"/>
        <v>2901</v>
      </c>
      <c r="EI14" s="57">
        <f t="shared" si="0"/>
        <v>2699</v>
      </c>
      <c r="EJ14" s="57">
        <f t="shared" si="0"/>
        <v>26281</v>
      </c>
      <c r="EK14" s="57">
        <f t="shared" si="0"/>
        <v>1259</v>
      </c>
      <c r="EL14" s="57">
        <f t="shared" si="0"/>
        <v>1590</v>
      </c>
      <c r="EM14" s="57">
        <f t="shared" si="0"/>
        <v>1375</v>
      </c>
      <c r="EN14" s="60">
        <f>IF(FORECAST(EN$41,EI14:EM14,EI$41:EM$41)&lt;0,0,FORECAST(EN$41,EI14:EM14,EI$41:EM$41))</f>
        <v>0</v>
      </c>
      <c r="EO14" s="60">
        <f>IF(FORECAST(EO$41,EJ14:EN14,EJ$41:EN$41)&lt;0,0,FORECAST(EO$41,EJ14:EN14,EJ$41:EN$41))</f>
        <v>0</v>
      </c>
      <c r="EP14" s="60">
        <f>IF(FORECAST(EP$41,EK14:EO14,EK$41:EO$41)&lt;0,0,FORECAST(EP$41,EK14:EO14,EK$41:EO$41))</f>
        <v>0</v>
      </c>
      <c r="EQ14" s="60">
        <f t="shared" si="9"/>
        <v>0</v>
      </c>
      <c r="ER14" s="60">
        <f t="shared" si="9"/>
        <v>0</v>
      </c>
      <c r="ES14" s="60">
        <f t="shared" si="9"/>
        <v>0</v>
      </c>
      <c r="ET14" s="60">
        <f t="shared" si="9"/>
        <v>0</v>
      </c>
      <c r="EU14" s="60">
        <f t="shared" si="9"/>
        <v>0</v>
      </c>
      <c r="EV14" s="60">
        <f t="shared" si="9"/>
        <v>0</v>
      </c>
      <c r="EW14" s="60">
        <f t="shared" si="9"/>
        <v>0</v>
      </c>
      <c r="EX14" s="60">
        <f t="shared" si="9"/>
        <v>0</v>
      </c>
      <c r="EY14" s="60">
        <f t="shared" si="9"/>
        <v>0</v>
      </c>
      <c r="EZ14" s="60">
        <f t="shared" si="9"/>
        <v>0</v>
      </c>
      <c r="FA14" s="60">
        <f>IF(FORECAST(FA$41,EV14:EZ14,EV$41:EZ$41)&lt;0,0,FORECAST(FA$41,EV14:EZ14,EV$41:EZ$41))</f>
        <v>0</v>
      </c>
      <c r="FB14" s="60">
        <f t="shared" si="9"/>
        <v>0</v>
      </c>
      <c r="FC14" s="60">
        <f t="shared" si="9"/>
        <v>0</v>
      </c>
      <c r="FD14" s="60">
        <f t="shared" si="10"/>
        <v>0</v>
      </c>
      <c r="FE14" s="60">
        <f t="shared" si="10"/>
        <v>0</v>
      </c>
      <c r="FF14" s="60">
        <f t="shared" si="10"/>
        <v>0</v>
      </c>
      <c r="FG14" s="60">
        <f t="shared" si="10"/>
        <v>0</v>
      </c>
      <c r="FH14" s="60">
        <f t="shared" si="10"/>
        <v>0</v>
      </c>
      <c r="FI14" s="60">
        <f t="shared" si="10"/>
        <v>0</v>
      </c>
      <c r="FJ14" s="60">
        <f t="shared" si="10"/>
        <v>0</v>
      </c>
      <c r="FK14" s="60">
        <f t="shared" si="10"/>
        <v>0</v>
      </c>
      <c r="FL14" s="60">
        <f t="shared" si="10"/>
        <v>0</v>
      </c>
      <c r="FM14" s="60">
        <f t="shared" si="10"/>
        <v>0</v>
      </c>
      <c r="FN14" s="60">
        <f t="shared" si="10"/>
        <v>0</v>
      </c>
    </row>
    <row r="15" spans="1:170">
      <c r="A15" s="44" t="s">
        <v>130</v>
      </c>
      <c r="B15" s="57">
        <f>'[2]Canada Tallow Exports'!I$140</f>
        <v>0</v>
      </c>
      <c r="C15" s="57">
        <f>'[2]Canada Tallow Exports'!J$140</f>
        <v>0</v>
      </c>
      <c r="D15" s="57">
        <f>'[2]Canada Tallow Exports'!K$140</f>
        <v>0</v>
      </c>
      <c r="E15" s="57">
        <f>'[2]Canada Tallow Exports'!L$140</f>
        <v>0</v>
      </c>
      <c r="F15" s="57">
        <f>'[2]Canada Tallow Exports'!M$140</f>
        <v>0</v>
      </c>
      <c r="G15" s="57">
        <f>'[2]Canada Tallow Exports'!N$140</f>
        <v>0</v>
      </c>
      <c r="H15" s="57">
        <f>'[2]Canada Tallow Exports'!O$140</f>
        <v>0</v>
      </c>
      <c r="I15" s="57">
        <f>'[2]Canada Tallow Exports'!P$140</f>
        <v>0</v>
      </c>
      <c r="J15" s="57">
        <f>'[2]Canada Tallow Exports'!Q$140</f>
        <v>0</v>
      </c>
      <c r="K15" s="57">
        <f>'[2]Canada Tallow Exports'!R$140</f>
        <v>0</v>
      </c>
      <c r="L15" s="57">
        <f>'[2]Canada Tallow Exports'!S$140</f>
        <v>0</v>
      </c>
      <c r="M15" s="57">
        <f>'[2]Canada Tallow Exports'!T$140</f>
        <v>0</v>
      </c>
      <c r="N15" s="57">
        <f>'[2]Canada Tallow Exports'!U$140</f>
        <v>0</v>
      </c>
      <c r="O15" s="57">
        <f>'[2]Canada Tallow Exports'!V$140</f>
        <v>0</v>
      </c>
      <c r="P15" s="57">
        <f>'[2]Canada Tallow Exports'!W$140</f>
        <v>0</v>
      </c>
      <c r="Q15" s="57">
        <f>'[2]Canada Tallow Exports'!X$140</f>
        <v>0</v>
      </c>
      <c r="R15" s="57">
        <f>'[2]Canada Tallow Exports'!Y$140</f>
        <v>0</v>
      </c>
      <c r="S15" s="57">
        <f>'[2]Canada Tallow Exports'!Z$140</f>
        <v>0</v>
      </c>
      <c r="T15" s="57">
        <f>'[2]Canada Tallow Exports'!AA$140</f>
        <v>0</v>
      </c>
      <c r="U15" s="57">
        <f>'[2]Canada Tallow Exports'!AB$140</f>
        <v>0</v>
      </c>
      <c r="V15" s="57">
        <f>'[2]Canada Tallow Exports'!AC$140</f>
        <v>0</v>
      </c>
      <c r="W15" s="57">
        <f>'[2]Canada Tallow Exports'!AD$140</f>
        <v>0</v>
      </c>
      <c r="X15" s="57">
        <f>'[2]Canada Tallow Exports'!AE$140</f>
        <v>0</v>
      </c>
      <c r="Y15" s="58">
        <f>'[2]Canada Tallow Exports'!AF$140</f>
        <v>0</v>
      </c>
      <c r="AE15" s="57">
        <f>'[2]Australia Tallow Exports'!N$140</f>
        <v>1645</v>
      </c>
      <c r="AF15" s="57">
        <f>'[2]Australia Tallow Exports'!O$140</f>
        <v>0</v>
      </c>
      <c r="AG15" s="57">
        <f>'[2]Australia Tallow Exports'!P$140</f>
        <v>55</v>
      </c>
      <c r="AH15" s="57">
        <f>'[2]Australia Tallow Exports'!Q$140</f>
        <v>42</v>
      </c>
      <c r="AI15" s="57">
        <f>'[2]Australia Tallow Exports'!R$140</f>
        <v>0</v>
      </c>
      <c r="AJ15" s="57">
        <f>'[2]Australia Tallow Exports'!S$140</f>
        <v>0</v>
      </c>
      <c r="AK15" s="57">
        <f>'[2]Australia Tallow Exports'!T$140</f>
        <v>51</v>
      </c>
      <c r="AL15" s="57">
        <f>'[2]Australia Tallow Exports'!U$140</f>
        <v>0</v>
      </c>
      <c r="AM15" s="57">
        <f>'[2]Australia Tallow Exports'!V$140</f>
        <v>0</v>
      </c>
      <c r="AN15" s="57">
        <f>'[2]Australia Tallow Exports'!W$140</f>
        <v>0</v>
      </c>
      <c r="AO15" s="57">
        <f>'[2]Australia Tallow Exports'!X$140</f>
        <v>0</v>
      </c>
      <c r="AP15" s="57">
        <f>'[2]Australia Tallow Exports'!Y$140</f>
        <v>0</v>
      </c>
      <c r="AQ15" s="57">
        <f>'[2]Australia Tallow Exports'!Z$140</f>
        <v>0</v>
      </c>
      <c r="AR15" s="57">
        <f>'[2]Australia Tallow Exports'!AA$140</f>
        <v>0</v>
      </c>
      <c r="AS15" s="57">
        <f>'[2]Australia Tallow Exports'!AB$140</f>
        <v>2</v>
      </c>
      <c r="AT15" s="57">
        <f>'[2]Australia Tallow Exports'!AC$140</f>
        <v>28</v>
      </c>
      <c r="AU15" s="57">
        <f>'[2]Australia Tallow Exports'!AD$140</f>
        <v>8</v>
      </c>
      <c r="AV15" s="57">
        <f>'[2]Australia Tallow Exports'!AE$140</f>
        <v>37</v>
      </c>
      <c r="AW15" s="58">
        <f>'[2]Australia Tallow Exports'!AF$140</f>
        <v>10</v>
      </c>
      <c r="BC15" s="57">
        <f>'[2]New Zealand Tallow Exports'!N$140</f>
        <v>0</v>
      </c>
      <c r="BD15" s="57">
        <f>'[2]New Zealand Tallow Exports'!O$140</f>
        <v>0</v>
      </c>
      <c r="BE15" s="57">
        <f>'[2]New Zealand Tallow Exports'!P$140</f>
        <v>0</v>
      </c>
      <c r="BF15" s="57">
        <f>'[2]New Zealand Tallow Exports'!Q$140</f>
        <v>0</v>
      </c>
      <c r="BG15" s="57">
        <f>'[2]New Zealand Tallow Exports'!R$140</f>
        <v>0</v>
      </c>
      <c r="BH15" s="57">
        <f>'[2]New Zealand Tallow Exports'!S$140</f>
        <v>0</v>
      </c>
      <c r="BI15" s="57">
        <f>'[2]New Zealand Tallow Exports'!T$140</f>
        <v>50</v>
      </c>
      <c r="BJ15" s="57">
        <f>'[2]New Zealand Tallow Exports'!U$140</f>
        <v>0</v>
      </c>
      <c r="BK15" s="57">
        <f>'[2]New Zealand Tallow Exports'!V$140</f>
        <v>0</v>
      </c>
      <c r="BL15" s="57">
        <f>'[2]New Zealand Tallow Exports'!W$140</f>
        <v>0</v>
      </c>
      <c r="BM15" s="57">
        <f>'[2]New Zealand Tallow Exports'!X$140</f>
        <v>0</v>
      </c>
      <c r="BN15" s="57">
        <f>'[2]New Zealand Tallow Exports'!Y$140</f>
        <v>0</v>
      </c>
      <c r="BO15" s="57">
        <f>'[2]New Zealand Tallow Exports'!Z$140</f>
        <v>0</v>
      </c>
      <c r="BP15" s="57">
        <f>'[2]New Zealand Tallow Exports'!AA$140</f>
        <v>0</v>
      </c>
      <c r="BQ15" s="57">
        <f>'[2]New Zealand Tallow Exports'!AB$140</f>
        <v>0</v>
      </c>
      <c r="BR15" s="57">
        <f>'[2]New Zealand Tallow Exports'!AC$140</f>
        <v>0</v>
      </c>
      <c r="BS15" s="57">
        <f>'[2]New Zealand Tallow Exports'!AD$140</f>
        <v>0</v>
      </c>
      <c r="BT15" s="57">
        <f>'[2]New Zealand Tallow Exports'!AE$140</f>
        <v>0</v>
      </c>
      <c r="BU15" s="58">
        <f>'[2]New Zealand Tallow Exports'!AF$140</f>
        <v>0</v>
      </c>
      <c r="BX15" s="57">
        <f>'[2]Paraguay Tallow Exports'!K$140</f>
        <v>0</v>
      </c>
      <c r="BY15" s="57">
        <f>'[2]Paraguay Tallow Exports'!L$140</f>
        <v>0</v>
      </c>
      <c r="BZ15" s="57">
        <f>'[2]Paraguay Tallow Exports'!M$140</f>
        <v>0</v>
      </c>
      <c r="CA15" s="57">
        <f>'[2]Paraguay Tallow Exports'!N$140</f>
        <v>171</v>
      </c>
      <c r="CB15" s="57">
        <f>'[2]Paraguay Tallow Exports'!O$140</f>
        <v>110</v>
      </c>
      <c r="CC15" s="57">
        <f>'[2]Paraguay Tallow Exports'!P$140</f>
        <v>0</v>
      </c>
      <c r="CD15" s="57">
        <f>'[2]Paraguay Tallow Exports'!Q$140</f>
        <v>166</v>
      </c>
      <c r="CE15" s="57">
        <f>'[2]Paraguay Tallow Exports'!R$140</f>
        <v>201</v>
      </c>
      <c r="CF15" s="57">
        <f>'[2]Paraguay Tallow Exports'!S$140</f>
        <v>113</v>
      </c>
      <c r="CG15" s="57">
        <f>'[2]Paraguay Tallow Exports'!T$140</f>
        <v>456</v>
      </c>
      <c r="CH15" s="57">
        <f>'[2]Paraguay Tallow Exports'!U$140</f>
        <v>0</v>
      </c>
      <c r="CI15" s="57">
        <f>'[2]Paraguay Tallow Exports'!V$140</f>
        <v>0</v>
      </c>
      <c r="CJ15" s="57">
        <f>'[2]Paraguay Tallow Exports'!W$140</f>
        <v>0</v>
      </c>
      <c r="CK15" s="57">
        <f>'[2]Paraguay Tallow Exports'!X$140</f>
        <v>0</v>
      </c>
      <c r="CL15" s="57">
        <f>'[2]Paraguay Tallow Exports'!Y$140</f>
        <v>0</v>
      </c>
      <c r="CM15" s="57">
        <f>'[2]Paraguay Tallow Exports'!Z$140</f>
        <v>0</v>
      </c>
      <c r="CN15" s="57">
        <f>'[2]Paraguay Tallow Exports'!AA$140</f>
        <v>0</v>
      </c>
      <c r="CO15" s="57">
        <f>'[2]Paraguay Tallow Exports'!AB$140</f>
        <v>0</v>
      </c>
      <c r="CP15" s="57">
        <f>'[2]Paraguay Tallow Exports'!AC$140</f>
        <v>54</v>
      </c>
      <c r="CQ15" s="57">
        <f>'[2]Paraguay Tallow Exports'!AD$140</f>
        <v>297</v>
      </c>
      <c r="CR15" s="58">
        <f>FORECAST(CR$41,CM15:CQ15,CM$41:CQ$41)</f>
        <v>294.05755153554662</v>
      </c>
      <c r="DE15" s="57">
        <f>'[2]Brazil Tallow Exports'!U$140</f>
        <v>207</v>
      </c>
      <c r="DF15" s="57">
        <f>'[2]Brazil Tallow Exports'!V$140</f>
        <v>0</v>
      </c>
      <c r="DG15" s="57">
        <f>'[2]Brazil Tallow Exports'!W$140</f>
        <v>0</v>
      </c>
      <c r="DH15" s="57">
        <f>'[2]Brazil Tallow Exports'!X$140</f>
        <v>0</v>
      </c>
      <c r="DI15" s="57">
        <f>'[2]Brazil Tallow Exports'!Y$140</f>
        <v>359</v>
      </c>
      <c r="DJ15" s="57">
        <f>'[2]Brazil Tallow Exports'!Z$140</f>
        <v>25</v>
      </c>
      <c r="DK15" s="57">
        <f>'[2]Brazil Tallow Exports'!AA$140</f>
        <v>270</v>
      </c>
      <c r="DL15" s="57">
        <f>'[2]Brazil Tallow Exports'!AB$140</f>
        <v>411</v>
      </c>
      <c r="DM15" s="57">
        <f>'[2]Brazil Tallow Exports'!AC$140</f>
        <v>370</v>
      </c>
      <c r="DN15" s="57">
        <f>'[2]Brazil Tallow Exports'!AD$140</f>
        <v>811</v>
      </c>
      <c r="DO15" s="57">
        <f>'[2]Brazil Tallow Exports'!AE$140</f>
        <v>1243</v>
      </c>
      <c r="DP15" s="58">
        <f>'[2]Brazil Tallow Exports'!AF$140</f>
        <v>1250</v>
      </c>
      <c r="EB15" s="57">
        <f t="shared" si="0"/>
        <v>207</v>
      </c>
      <c r="EC15" s="57">
        <f t="shared" si="0"/>
        <v>0</v>
      </c>
      <c r="ED15" s="57">
        <f t="shared" si="0"/>
        <v>0</v>
      </c>
      <c r="EE15" s="57">
        <f t="shared" si="0"/>
        <v>0</v>
      </c>
      <c r="EF15" s="57">
        <f t="shared" si="0"/>
        <v>359</v>
      </c>
      <c r="EG15" s="57">
        <f t="shared" si="0"/>
        <v>25</v>
      </c>
      <c r="EH15" s="57">
        <f t="shared" si="0"/>
        <v>270</v>
      </c>
      <c r="EI15" s="57">
        <f t="shared" si="0"/>
        <v>413</v>
      </c>
      <c r="EJ15" s="57">
        <f t="shared" si="0"/>
        <v>452</v>
      </c>
      <c r="EK15" s="57">
        <f t="shared" si="0"/>
        <v>1116</v>
      </c>
      <c r="EL15" s="57">
        <f t="shared" si="0"/>
        <v>1574.0575515355467</v>
      </c>
      <c r="EM15" s="57">
        <f t="shared" si="0"/>
        <v>1260</v>
      </c>
      <c r="EN15" s="60">
        <f t="shared" ref="EN15:FE15" si="11">IF(FORECAST(EN$41,EI15:EM15,EI$41:EM$41)&lt;0,0,FORECAST(EN$41,EI15:EM15,EI$41:EM$41))</f>
        <v>2208.3002841368816</v>
      </c>
      <c r="EO15" s="60">
        <f t="shared" si="11"/>
        <v>2377.9677043973561</v>
      </c>
      <c r="EP15" s="60">
        <f t="shared" si="11"/>
        <v>2394.1473124776385</v>
      </c>
      <c r="EQ15" s="60">
        <f t="shared" si="11"/>
        <v>2428.1958705536767</v>
      </c>
      <c r="ER15" s="60">
        <f t="shared" si="11"/>
        <v>2571.7069198851409</v>
      </c>
      <c r="ES15" s="60">
        <f t="shared" si="11"/>
        <v>2535.2384690235567</v>
      </c>
      <c r="ET15" s="60">
        <f t="shared" si="11"/>
        <v>2574.6495636729355</v>
      </c>
      <c r="EU15" s="60">
        <f t="shared" si="11"/>
        <v>2692.3686189949299</v>
      </c>
      <c r="EV15" s="60">
        <f t="shared" si="11"/>
        <v>2783.4790503120521</v>
      </c>
      <c r="EW15" s="60">
        <f t="shared" si="11"/>
        <v>2849.2659582613878</v>
      </c>
      <c r="EX15" s="60">
        <f t="shared" si="11"/>
        <v>2932.6978658857834</v>
      </c>
      <c r="EY15" s="60">
        <f t="shared" si="11"/>
        <v>3001.9756151408565</v>
      </c>
      <c r="EZ15" s="60">
        <f t="shared" si="11"/>
        <v>3081.0062877823721</v>
      </c>
      <c r="FA15" s="60">
        <f t="shared" si="11"/>
        <v>3173.6755191119669</v>
      </c>
      <c r="FB15" s="60">
        <f t="shared" si="11"/>
        <v>3263.9093581735046</v>
      </c>
      <c r="FC15" s="60">
        <f t="shared" si="11"/>
        <v>3358.6385093957915</v>
      </c>
      <c r="FD15" s="60">
        <f t="shared" si="11"/>
        <v>3460.6692713268085</v>
      </c>
      <c r="FE15" s="60">
        <f t="shared" si="11"/>
        <v>3464.4329209910006</v>
      </c>
      <c r="FF15" s="60">
        <f t="shared" si="10"/>
        <v>2516.077007682964</v>
      </c>
      <c r="FG15" s="60">
        <f t="shared" si="10"/>
        <v>2550.5033723960773</v>
      </c>
      <c r="FH15" s="60">
        <f t="shared" si="10"/>
        <v>2550.048300611998</v>
      </c>
      <c r="FI15" s="60">
        <f t="shared" si="10"/>
        <v>2549.8638155542421</v>
      </c>
      <c r="FJ15" s="60">
        <f t="shared" si="10"/>
        <v>2549.8354117568329</v>
      </c>
      <c r="FK15" s="60">
        <f t="shared" si="10"/>
        <v>2549.9420804253791</v>
      </c>
      <c r="FL15" s="60">
        <f t="shared" si="10"/>
        <v>2550.01999931616</v>
      </c>
      <c r="FM15" s="60">
        <f t="shared" si="10"/>
        <v>2550.0100539546324</v>
      </c>
      <c r="FN15" s="60">
        <f t="shared" si="10"/>
        <v>2549.96758021304</v>
      </c>
    </row>
    <row r="16" spans="1:170">
      <c r="A16" s="44" t="s">
        <v>131</v>
      </c>
      <c r="B16" s="57">
        <f>'[2]Canada Tallow Exports'!I$112</f>
        <v>5485</v>
      </c>
      <c r="C16" s="57">
        <f>'[2]Canada Tallow Exports'!J$112</f>
        <v>11825</v>
      </c>
      <c r="D16" s="57">
        <f>'[2]Canada Tallow Exports'!K$112</f>
        <v>33837</v>
      </c>
      <c r="E16" s="57">
        <f>'[2]Canada Tallow Exports'!L$112</f>
        <v>8936</v>
      </c>
      <c r="F16" s="57">
        <f>'[2]Canada Tallow Exports'!M$112</f>
        <v>44045</v>
      </c>
      <c r="G16" s="57">
        <f>'[2]Canada Tallow Exports'!N$112</f>
        <v>43246</v>
      </c>
      <c r="H16" s="57">
        <f>'[2]Canada Tallow Exports'!O$112</f>
        <v>74406</v>
      </c>
      <c r="I16" s="57">
        <f>'[2]Canada Tallow Exports'!P$112</f>
        <v>46284</v>
      </c>
      <c r="J16" s="57">
        <f>'[2]Canada Tallow Exports'!Q$112</f>
        <v>30773</v>
      </c>
      <c r="K16" s="57">
        <f>'[2]Canada Tallow Exports'!R$112</f>
        <v>44372</v>
      </c>
      <c r="L16" s="57">
        <f>'[2]Canada Tallow Exports'!S$112</f>
        <v>31276</v>
      </c>
      <c r="M16" s="57">
        <f>'[2]Canada Tallow Exports'!T$112</f>
        <v>14911</v>
      </c>
      <c r="N16" s="57">
        <f>'[2]Canada Tallow Exports'!U$112</f>
        <v>5602</v>
      </c>
      <c r="O16" s="57">
        <f>'[2]Canada Tallow Exports'!V$112</f>
        <v>0</v>
      </c>
      <c r="P16" s="57">
        <f>'[2]Canada Tallow Exports'!W$112</f>
        <v>0</v>
      </c>
      <c r="Q16" s="57">
        <f>'[2]Canada Tallow Exports'!X$112</f>
        <v>0</v>
      </c>
      <c r="R16" s="57">
        <f>'[2]Canada Tallow Exports'!Y$112</f>
        <v>0</v>
      </c>
      <c r="S16" s="57">
        <f>'[2]Canada Tallow Exports'!Z$112</f>
        <v>0</v>
      </c>
      <c r="T16" s="57">
        <f>'[2]Canada Tallow Exports'!AA$112</f>
        <v>4000</v>
      </c>
      <c r="U16" s="57">
        <f>'[2]Canada Tallow Exports'!AB$112</f>
        <v>3000</v>
      </c>
      <c r="V16" s="57">
        <f>'[2]Canada Tallow Exports'!AC$112</f>
        <v>0</v>
      </c>
      <c r="W16" s="57">
        <f>'[2]Canada Tallow Exports'!AD$112</f>
        <v>4003</v>
      </c>
      <c r="X16" s="57">
        <f>'[2]Canada Tallow Exports'!AE$112</f>
        <v>0</v>
      </c>
      <c r="Y16" s="58">
        <f>'[2]Canada Tallow Exports'!AF$112</f>
        <v>0</v>
      </c>
      <c r="AE16" s="57">
        <f>'[2]Australia Tallow Exports'!N$112</f>
        <v>11072</v>
      </c>
      <c r="AF16" s="57">
        <f>'[2]Australia Tallow Exports'!O$112</f>
        <v>15632</v>
      </c>
      <c r="AG16" s="57">
        <f>'[2]Australia Tallow Exports'!P$112</f>
        <v>12570</v>
      </c>
      <c r="AH16" s="57">
        <f>'[2]Australia Tallow Exports'!Q$112</f>
        <v>14266</v>
      </c>
      <c r="AI16" s="57">
        <f>'[2]Australia Tallow Exports'!R$112</f>
        <v>8695</v>
      </c>
      <c r="AJ16" s="57">
        <f>'[2]Australia Tallow Exports'!S$112</f>
        <v>17220</v>
      </c>
      <c r="AK16" s="57">
        <f>'[2]Australia Tallow Exports'!T$112</f>
        <v>11551</v>
      </c>
      <c r="AL16" s="57">
        <f>'[2]Australia Tallow Exports'!U$112</f>
        <v>21196</v>
      </c>
      <c r="AM16" s="57">
        <f>'[2]Australia Tallow Exports'!V$112</f>
        <v>13766</v>
      </c>
      <c r="AN16" s="57">
        <f>'[2]Australia Tallow Exports'!W$112</f>
        <v>31019</v>
      </c>
      <c r="AO16" s="57">
        <f>'[2]Australia Tallow Exports'!X$112</f>
        <v>13631</v>
      </c>
      <c r="AP16" s="57">
        <f>'[2]Australia Tallow Exports'!Y$112</f>
        <v>11342</v>
      </c>
      <c r="AQ16" s="57">
        <f>'[2]Australia Tallow Exports'!Z$112</f>
        <v>14933</v>
      </c>
      <c r="AR16" s="57">
        <f>'[2]Australia Tallow Exports'!AA$112</f>
        <v>16804</v>
      </c>
      <c r="AS16" s="57">
        <f>'[2]Australia Tallow Exports'!AB$112</f>
        <v>8302</v>
      </c>
      <c r="AT16" s="57">
        <f>'[2]Australia Tallow Exports'!AC$112</f>
        <v>6446</v>
      </c>
      <c r="AU16" s="57">
        <f>'[2]Australia Tallow Exports'!AD$112</f>
        <v>9676</v>
      </c>
      <c r="AV16" s="57">
        <f>'[2]Australia Tallow Exports'!AE$112</f>
        <v>7969</v>
      </c>
      <c r="AW16" s="58">
        <f>'[2]Australia Tallow Exports'!AF$112</f>
        <v>5000</v>
      </c>
      <c r="BC16" s="57">
        <f>'[2]New Zealand Tallow Exports'!N$112</f>
        <v>1378</v>
      </c>
      <c r="BD16" s="57">
        <f>'[2]New Zealand Tallow Exports'!O$112</f>
        <v>4768</v>
      </c>
      <c r="BE16" s="57">
        <f>'[2]New Zealand Tallow Exports'!P$112</f>
        <v>5083</v>
      </c>
      <c r="BF16" s="57">
        <f>'[2]New Zealand Tallow Exports'!Q$112</f>
        <v>3981</v>
      </c>
      <c r="BG16" s="57">
        <f>'[2]New Zealand Tallow Exports'!R$112</f>
        <v>3855</v>
      </c>
      <c r="BH16" s="57">
        <f>'[2]New Zealand Tallow Exports'!S$112</f>
        <v>2000</v>
      </c>
      <c r="BI16" s="57">
        <f>'[2]New Zealand Tallow Exports'!T$112</f>
        <v>1500</v>
      </c>
      <c r="BJ16" s="57">
        <f>'[2]New Zealand Tallow Exports'!U$112</f>
        <v>3558</v>
      </c>
      <c r="BK16" s="57">
        <f>'[2]New Zealand Tallow Exports'!V$112</f>
        <v>0</v>
      </c>
      <c r="BL16" s="57">
        <f>'[2]New Zealand Tallow Exports'!W$112</f>
        <v>21</v>
      </c>
      <c r="BM16" s="57">
        <f>'[2]New Zealand Tallow Exports'!X$112</f>
        <v>105</v>
      </c>
      <c r="BN16" s="57">
        <f>'[2]New Zealand Tallow Exports'!Y$112</f>
        <v>0</v>
      </c>
      <c r="BO16" s="57">
        <f>'[2]New Zealand Tallow Exports'!Z$112</f>
        <v>0</v>
      </c>
      <c r="BP16" s="57">
        <f>'[2]New Zealand Tallow Exports'!AA$112</f>
        <v>1535</v>
      </c>
      <c r="BQ16" s="57">
        <f>'[2]New Zealand Tallow Exports'!AB$112</f>
        <v>418</v>
      </c>
      <c r="BR16" s="57">
        <f>'[2]New Zealand Tallow Exports'!AC$112</f>
        <v>0</v>
      </c>
      <c r="BS16" s="57">
        <f>'[2]New Zealand Tallow Exports'!AD$112</f>
        <v>0</v>
      </c>
      <c r="BT16" s="57">
        <f>'[2]New Zealand Tallow Exports'!AE$112</f>
        <v>0</v>
      </c>
      <c r="BU16" s="58">
        <f>'[2]New Zealand Tallow Exports'!AF$112</f>
        <v>0</v>
      </c>
      <c r="BX16" s="57">
        <f>'[2]Paraguay Tallow Exports'!K$112</f>
        <v>0</v>
      </c>
      <c r="BY16" s="57">
        <f>'[2]Paraguay Tallow Exports'!L$112</f>
        <v>0</v>
      </c>
      <c r="BZ16" s="57">
        <f>'[2]Paraguay Tallow Exports'!M$112</f>
        <v>0</v>
      </c>
      <c r="CA16" s="57">
        <f>'[2]Paraguay Tallow Exports'!N$112</f>
        <v>0</v>
      </c>
      <c r="CB16" s="57">
        <f>'[2]Paraguay Tallow Exports'!O$112</f>
        <v>0</v>
      </c>
      <c r="CC16" s="57">
        <f>'[2]Paraguay Tallow Exports'!P$112</f>
        <v>0</v>
      </c>
      <c r="CD16" s="57">
        <f>'[2]Paraguay Tallow Exports'!Q$112</f>
        <v>0</v>
      </c>
      <c r="CE16" s="57">
        <f>'[2]Paraguay Tallow Exports'!R$112</f>
        <v>0</v>
      </c>
      <c r="CF16" s="57">
        <f>'[2]Paraguay Tallow Exports'!S$112</f>
        <v>0</v>
      </c>
      <c r="CG16" s="57">
        <f>'[2]Paraguay Tallow Exports'!T$112</f>
        <v>0</v>
      </c>
      <c r="CH16" s="57">
        <f>'[2]Paraguay Tallow Exports'!U$112</f>
        <v>0</v>
      </c>
      <c r="CI16" s="57">
        <f>'[2]Paraguay Tallow Exports'!V$112</f>
        <v>0</v>
      </c>
      <c r="CJ16" s="57">
        <f>'[2]Paraguay Tallow Exports'!W$112</f>
        <v>0</v>
      </c>
      <c r="CK16" s="57">
        <f>'[2]Paraguay Tallow Exports'!X$112</f>
        <v>0</v>
      </c>
      <c r="CL16" s="57">
        <f>'[2]Paraguay Tallow Exports'!Y$112</f>
        <v>0</v>
      </c>
      <c r="CM16" s="57">
        <f>'[2]Paraguay Tallow Exports'!Z$112</f>
        <v>0</v>
      </c>
      <c r="CN16" s="57">
        <f>'[2]Paraguay Tallow Exports'!AA$112</f>
        <v>0</v>
      </c>
      <c r="CO16" s="57">
        <f>'[2]Paraguay Tallow Exports'!AB$112</f>
        <v>0</v>
      </c>
      <c r="CP16" s="57">
        <f>'[2]Paraguay Tallow Exports'!AC$112</f>
        <v>0</v>
      </c>
      <c r="CQ16" s="57">
        <f>'[2]Paraguay Tallow Exports'!AD$112</f>
        <v>0</v>
      </c>
      <c r="CR16" s="58">
        <f t="shared" si="4"/>
        <v>0</v>
      </c>
      <c r="DE16" s="57">
        <f>'[2]Brazil Tallow Exports'!U$112</f>
        <v>0</v>
      </c>
      <c r="DF16" s="57">
        <f>'[2]Brazil Tallow Exports'!V$112</f>
        <v>0</v>
      </c>
      <c r="DG16" s="57">
        <f>'[2]Brazil Tallow Exports'!W$112</f>
        <v>0</v>
      </c>
      <c r="DH16" s="57">
        <f>'[2]Brazil Tallow Exports'!X$112</f>
        <v>0</v>
      </c>
      <c r="DI16" s="57">
        <f>'[2]Brazil Tallow Exports'!Y$112</f>
        <v>0</v>
      </c>
      <c r="DJ16" s="57">
        <f>'[2]Brazil Tallow Exports'!Z$112</f>
        <v>0</v>
      </c>
      <c r="DK16" s="57">
        <f>'[2]Brazil Tallow Exports'!AA$112</f>
        <v>0</v>
      </c>
      <c r="DL16" s="57">
        <f>'[2]Brazil Tallow Exports'!AB$112</f>
        <v>0</v>
      </c>
      <c r="DM16" s="57">
        <f>'[2]Brazil Tallow Exports'!AC$112</f>
        <v>0</v>
      </c>
      <c r="DN16" s="57">
        <f>'[2]Brazil Tallow Exports'!AD$112</f>
        <v>0</v>
      </c>
      <c r="DO16" s="57">
        <f>'[2]Brazil Tallow Exports'!AE$112</f>
        <v>0</v>
      </c>
      <c r="DP16" s="58">
        <f>'[2]Brazil Tallow Exports'!AF$112</f>
        <v>0</v>
      </c>
      <c r="EB16" s="57">
        <f t="shared" si="0"/>
        <v>30356</v>
      </c>
      <c r="EC16" s="57">
        <f t="shared" si="0"/>
        <v>13766</v>
      </c>
      <c r="ED16" s="57">
        <f t="shared" si="0"/>
        <v>31040</v>
      </c>
      <c r="EE16" s="57">
        <f t="shared" si="0"/>
        <v>13736</v>
      </c>
      <c r="EF16" s="57">
        <f t="shared" si="0"/>
        <v>11342</v>
      </c>
      <c r="EG16" s="57">
        <f t="shared" si="0"/>
        <v>14933</v>
      </c>
      <c r="EH16" s="57">
        <f t="shared" si="0"/>
        <v>22339</v>
      </c>
      <c r="EI16" s="57">
        <f t="shared" si="0"/>
        <v>11720</v>
      </c>
      <c r="EJ16" s="57">
        <f t="shared" si="0"/>
        <v>6446</v>
      </c>
      <c r="EK16" s="57">
        <f t="shared" si="0"/>
        <v>13679</v>
      </c>
      <c r="EL16" s="57">
        <f t="shared" si="0"/>
        <v>7969</v>
      </c>
      <c r="EM16" s="57">
        <f t="shared" si="0"/>
        <v>5000</v>
      </c>
      <c r="EN16" s="60">
        <f t="shared" ref="EN16:FN16" si="12">IF(FORECAST(EN$41,EI16:EM16,EI$41:EM$41)&lt;0,0,FORECAST(EN$41,EI16:EM16,EI$41:EM$41))*0.5</f>
        <v>263.21604860075786</v>
      </c>
      <c r="EO16" s="60">
        <f t="shared" si="12"/>
        <v>0</v>
      </c>
      <c r="EP16" s="60">
        <f t="shared" si="12"/>
        <v>0</v>
      </c>
      <c r="EQ16" s="60">
        <f t="shared" si="12"/>
        <v>0</v>
      </c>
      <c r="ER16" s="60">
        <f t="shared" si="12"/>
        <v>0</v>
      </c>
      <c r="ES16" s="60">
        <f t="shared" si="12"/>
        <v>0</v>
      </c>
      <c r="ET16" s="60">
        <f t="shared" si="12"/>
        <v>0</v>
      </c>
      <c r="EU16" s="60">
        <f t="shared" si="12"/>
        <v>0</v>
      </c>
      <c r="EV16" s="60">
        <f t="shared" si="12"/>
        <v>0</v>
      </c>
      <c r="EW16" s="60">
        <f t="shared" si="12"/>
        <v>0</v>
      </c>
      <c r="EX16" s="60">
        <f t="shared" si="12"/>
        <v>0</v>
      </c>
      <c r="EY16" s="60">
        <f t="shared" si="12"/>
        <v>0</v>
      </c>
      <c r="EZ16" s="60">
        <f t="shared" si="12"/>
        <v>0</v>
      </c>
      <c r="FA16" s="60">
        <f t="shared" si="12"/>
        <v>0</v>
      </c>
      <c r="FB16" s="60">
        <f t="shared" si="12"/>
        <v>0</v>
      </c>
      <c r="FC16" s="60">
        <f t="shared" si="12"/>
        <v>0</v>
      </c>
      <c r="FD16" s="60">
        <f t="shared" si="12"/>
        <v>0</v>
      </c>
      <c r="FE16" s="60">
        <f t="shared" si="12"/>
        <v>0</v>
      </c>
      <c r="FF16" s="60">
        <f t="shared" si="12"/>
        <v>0</v>
      </c>
      <c r="FG16" s="60">
        <f t="shared" si="12"/>
        <v>0</v>
      </c>
      <c r="FH16" s="60">
        <f t="shared" si="12"/>
        <v>0</v>
      </c>
      <c r="FI16" s="60">
        <f t="shared" si="12"/>
        <v>0</v>
      </c>
      <c r="FJ16" s="60">
        <f t="shared" si="12"/>
        <v>0</v>
      </c>
      <c r="FK16" s="60">
        <f t="shared" si="12"/>
        <v>0</v>
      </c>
      <c r="FL16" s="60">
        <f t="shared" si="12"/>
        <v>0</v>
      </c>
      <c r="FM16" s="60">
        <f t="shared" si="12"/>
        <v>0</v>
      </c>
      <c r="FN16" s="60">
        <f t="shared" si="12"/>
        <v>0</v>
      </c>
    </row>
    <row r="17" spans="1:170">
      <c r="A17" s="44" t="s">
        <v>132</v>
      </c>
      <c r="B17" s="57">
        <f>'[2]Canada Tallow Exports'!I$141</f>
        <v>0</v>
      </c>
      <c r="C17" s="57">
        <f>'[2]Canada Tallow Exports'!J$141</f>
        <v>0</v>
      </c>
      <c r="D17" s="57">
        <f>'[2]Canada Tallow Exports'!K$141</f>
        <v>0</v>
      </c>
      <c r="E17" s="57">
        <f>'[2]Canada Tallow Exports'!L$141</f>
        <v>0</v>
      </c>
      <c r="F17" s="57">
        <f>'[2]Canada Tallow Exports'!M$141</f>
        <v>0</v>
      </c>
      <c r="G17" s="57">
        <f>'[2]Canada Tallow Exports'!N$141</f>
        <v>0</v>
      </c>
      <c r="H17" s="57">
        <f>'[2]Canada Tallow Exports'!O$141</f>
        <v>0</v>
      </c>
      <c r="I17" s="57">
        <f>'[2]Canada Tallow Exports'!P$141</f>
        <v>0</v>
      </c>
      <c r="J17" s="57">
        <f>'[2]Canada Tallow Exports'!Q$141</f>
        <v>0</v>
      </c>
      <c r="K17" s="57">
        <f>'[2]Canada Tallow Exports'!R$141</f>
        <v>0</v>
      </c>
      <c r="L17" s="57">
        <f>'[2]Canada Tallow Exports'!S$141</f>
        <v>0</v>
      </c>
      <c r="M17" s="57">
        <f>'[2]Canada Tallow Exports'!T$141</f>
        <v>5090</v>
      </c>
      <c r="N17" s="57">
        <f>'[2]Canada Tallow Exports'!U$141</f>
        <v>14237</v>
      </c>
      <c r="O17" s="57">
        <f>'[2]Canada Tallow Exports'!V$141</f>
        <v>26268</v>
      </c>
      <c r="P17" s="57">
        <f>'[2]Canada Tallow Exports'!W$141</f>
        <v>15067</v>
      </c>
      <c r="Q17" s="57">
        <f>'[2]Canada Tallow Exports'!X$141</f>
        <v>18109</v>
      </c>
      <c r="R17" s="57">
        <f>'[2]Canada Tallow Exports'!Y$141</f>
        <v>50243</v>
      </c>
      <c r="S17" s="57">
        <f>'[2]Canada Tallow Exports'!Z$141</f>
        <v>47781</v>
      </c>
      <c r="T17" s="57">
        <f>'[2]Canada Tallow Exports'!AA$141</f>
        <v>12150</v>
      </c>
      <c r="U17" s="57">
        <f>'[2]Canada Tallow Exports'!AB$141</f>
        <v>13179</v>
      </c>
      <c r="V17" s="57">
        <f>'[2]Canada Tallow Exports'!AC$141</f>
        <v>0</v>
      </c>
      <c r="W17" s="57">
        <f>'[2]Canada Tallow Exports'!AD$141</f>
        <v>21421</v>
      </c>
      <c r="X17" s="57">
        <f>'[2]Canada Tallow Exports'!AE$141</f>
        <v>0</v>
      </c>
      <c r="Y17" s="58">
        <f>'[2]Canada Tallow Exports'!AF$141</f>
        <v>0</v>
      </c>
      <c r="AE17" s="57">
        <f>'[2]Australia Tallow Exports'!N$141</f>
        <v>440</v>
      </c>
      <c r="AF17" s="57">
        <f>'[2]Australia Tallow Exports'!O$141</f>
        <v>128</v>
      </c>
      <c r="AG17" s="57">
        <f>'[2]Australia Tallow Exports'!P$141</f>
        <v>543</v>
      </c>
      <c r="AH17" s="57">
        <f>'[2]Australia Tallow Exports'!Q$141</f>
        <v>706</v>
      </c>
      <c r="AI17" s="57">
        <f>'[2]Australia Tallow Exports'!R$141</f>
        <v>39</v>
      </c>
      <c r="AJ17" s="57">
        <f>'[2]Australia Tallow Exports'!S$141</f>
        <v>36</v>
      </c>
      <c r="AK17" s="57">
        <f>'[2]Australia Tallow Exports'!T$141</f>
        <v>96945</v>
      </c>
      <c r="AL17" s="57">
        <f>'[2]Australia Tallow Exports'!U$141</f>
        <v>122890</v>
      </c>
      <c r="AM17" s="57">
        <f>'[2]Australia Tallow Exports'!V$141</f>
        <v>308867</v>
      </c>
      <c r="AN17" s="57">
        <f>'[2]Australia Tallow Exports'!W$141</f>
        <v>281467</v>
      </c>
      <c r="AO17" s="57">
        <f>'[2]Australia Tallow Exports'!X$141</f>
        <v>312220</v>
      </c>
      <c r="AP17" s="57">
        <f>'[2]Australia Tallow Exports'!Y$141</f>
        <v>365506</v>
      </c>
      <c r="AQ17" s="57">
        <f>'[2]Australia Tallow Exports'!Z$141</f>
        <v>268565</v>
      </c>
      <c r="AR17" s="57">
        <f>'[2]Australia Tallow Exports'!AA$141</f>
        <v>312632</v>
      </c>
      <c r="AS17" s="57">
        <f>'[2]Australia Tallow Exports'!AB$141</f>
        <v>280225</v>
      </c>
      <c r="AT17" s="57">
        <f>'[2]Australia Tallow Exports'!AC$141</f>
        <v>285943</v>
      </c>
      <c r="AU17" s="57">
        <f>'[2]Australia Tallow Exports'!AD$141</f>
        <v>224161</v>
      </c>
      <c r="AV17" s="57">
        <f>'[2]Australia Tallow Exports'!AE$141</f>
        <v>173234</v>
      </c>
      <c r="AW17" s="58">
        <f>'[2]Australia Tallow Exports'!AF$141</f>
        <v>225000</v>
      </c>
      <c r="BC17" s="57">
        <f>'[2]New Zealand Tallow Exports'!N$141</f>
        <v>3</v>
      </c>
      <c r="BD17" s="57">
        <f>'[2]New Zealand Tallow Exports'!O$141</f>
        <v>7</v>
      </c>
      <c r="BE17" s="57">
        <f>'[2]New Zealand Tallow Exports'!P$141</f>
        <v>0</v>
      </c>
      <c r="BF17" s="57">
        <f>'[2]New Zealand Tallow Exports'!Q$141</f>
        <v>0</v>
      </c>
      <c r="BG17" s="57">
        <f>'[2]New Zealand Tallow Exports'!R$141</f>
        <v>0</v>
      </c>
      <c r="BH17" s="57">
        <f>'[2]New Zealand Tallow Exports'!S$141</f>
        <v>7</v>
      </c>
      <c r="BI17" s="57">
        <f>'[2]New Zealand Tallow Exports'!T$141</f>
        <v>23694</v>
      </c>
      <c r="BJ17" s="57">
        <f>'[2]New Zealand Tallow Exports'!U$141</f>
        <v>26607</v>
      </c>
      <c r="BK17" s="57">
        <f>'[2]New Zealand Tallow Exports'!V$141</f>
        <v>66353</v>
      </c>
      <c r="BL17" s="57">
        <f>'[2]New Zealand Tallow Exports'!W$141</f>
        <v>48034</v>
      </c>
      <c r="BM17" s="57">
        <f>'[2]New Zealand Tallow Exports'!X$141</f>
        <v>44873</v>
      </c>
      <c r="BN17" s="57">
        <f>'[2]New Zealand Tallow Exports'!Y$141</f>
        <v>109713</v>
      </c>
      <c r="BO17" s="57">
        <f>'[2]New Zealand Tallow Exports'!Z$141</f>
        <v>84859</v>
      </c>
      <c r="BP17" s="57">
        <f>'[2]New Zealand Tallow Exports'!AA$141</f>
        <v>73835</v>
      </c>
      <c r="BQ17" s="57">
        <f>'[2]New Zealand Tallow Exports'!AB$141</f>
        <v>61431</v>
      </c>
      <c r="BR17" s="57">
        <f>'[2]New Zealand Tallow Exports'!AC$141</f>
        <v>89239</v>
      </c>
      <c r="BS17" s="57">
        <f>'[2]New Zealand Tallow Exports'!AD$141</f>
        <v>76825</v>
      </c>
      <c r="BT17" s="57">
        <f>'[2]New Zealand Tallow Exports'!AE$141</f>
        <v>28077</v>
      </c>
      <c r="BU17" s="58">
        <f>'[2]New Zealand Tallow Exports'!AF$141</f>
        <v>30000</v>
      </c>
      <c r="BX17" s="57">
        <f>'[2]Paraguay Tallow Exports'!K$141</f>
        <v>0</v>
      </c>
      <c r="BY17" s="57">
        <f>'[2]Paraguay Tallow Exports'!L$141</f>
        <v>0</v>
      </c>
      <c r="BZ17" s="57">
        <f>'[2]Paraguay Tallow Exports'!M$141</f>
        <v>0</v>
      </c>
      <c r="CA17" s="57">
        <f>'[2]Paraguay Tallow Exports'!N$141</f>
        <v>0</v>
      </c>
      <c r="CB17" s="57">
        <f>'[2]Paraguay Tallow Exports'!O$141</f>
        <v>0</v>
      </c>
      <c r="CC17" s="57">
        <f>'[2]Paraguay Tallow Exports'!P$141</f>
        <v>0</v>
      </c>
      <c r="CD17" s="57">
        <f>'[2]Paraguay Tallow Exports'!Q$141</f>
        <v>0</v>
      </c>
      <c r="CE17" s="57">
        <f>'[2]Paraguay Tallow Exports'!R$141</f>
        <v>0</v>
      </c>
      <c r="CF17" s="57">
        <f>'[2]Paraguay Tallow Exports'!S$141</f>
        <v>0</v>
      </c>
      <c r="CG17" s="57">
        <f>'[2]Paraguay Tallow Exports'!T$141</f>
        <v>0</v>
      </c>
      <c r="CH17" s="57">
        <f>'[2]Paraguay Tallow Exports'!U$141</f>
        <v>0</v>
      </c>
      <c r="CI17" s="57">
        <f>'[2]Paraguay Tallow Exports'!V$141</f>
        <v>0</v>
      </c>
      <c r="CJ17" s="57">
        <f>'[2]Paraguay Tallow Exports'!W$141</f>
        <v>0</v>
      </c>
      <c r="CK17" s="57">
        <f>'[2]Paraguay Tallow Exports'!X$141</f>
        <v>0</v>
      </c>
      <c r="CL17" s="57">
        <f>'[2]Paraguay Tallow Exports'!Y$141</f>
        <v>0</v>
      </c>
      <c r="CM17" s="57">
        <f>'[2]Paraguay Tallow Exports'!Z$141</f>
        <v>0</v>
      </c>
      <c r="CN17" s="57">
        <f>'[2]Paraguay Tallow Exports'!AA$141</f>
        <v>0</v>
      </c>
      <c r="CO17" s="57">
        <f>'[2]Paraguay Tallow Exports'!AB$141</f>
        <v>0</v>
      </c>
      <c r="CP17" s="57">
        <f>'[2]Paraguay Tallow Exports'!AC$141</f>
        <v>0</v>
      </c>
      <c r="CQ17" s="57">
        <f>'[2]Paraguay Tallow Exports'!AD$141</f>
        <v>0</v>
      </c>
      <c r="CR17" s="58">
        <f t="shared" si="4"/>
        <v>0</v>
      </c>
      <c r="DE17" s="57">
        <f>'[2]Brazil Tallow Exports'!U$141</f>
        <v>3363</v>
      </c>
      <c r="DF17" s="57">
        <f>'[2]Brazil Tallow Exports'!V$141</f>
        <v>6280</v>
      </c>
      <c r="DG17" s="57">
        <f>'[2]Brazil Tallow Exports'!W$141</f>
        <v>0</v>
      </c>
      <c r="DH17" s="57">
        <f>'[2]Brazil Tallow Exports'!X$141</f>
        <v>0</v>
      </c>
      <c r="DI17" s="57">
        <f>'[2]Brazil Tallow Exports'!Y$141</f>
        <v>0</v>
      </c>
      <c r="DJ17" s="57">
        <f>'[2]Brazil Tallow Exports'!Z$141</f>
        <v>0</v>
      </c>
      <c r="DK17" s="57">
        <f>'[2]Brazil Tallow Exports'!AA$141</f>
        <v>0</v>
      </c>
      <c r="DL17" s="57">
        <f>'[2]Brazil Tallow Exports'!AB$141</f>
        <v>0</v>
      </c>
      <c r="DM17" s="57">
        <f>'[2]Brazil Tallow Exports'!AC$141</f>
        <v>0</v>
      </c>
      <c r="DN17" s="57">
        <f>'[2]Brazil Tallow Exports'!AD$141</f>
        <v>0</v>
      </c>
      <c r="DO17" s="57">
        <f>'[2]Brazil Tallow Exports'!AE$141</f>
        <v>0</v>
      </c>
      <c r="DP17" s="58">
        <f>'[2]Brazil Tallow Exports'!AF$141</f>
        <v>0</v>
      </c>
      <c r="EB17" s="57">
        <f t="shared" si="0"/>
        <v>167097</v>
      </c>
      <c r="EC17" s="57">
        <f t="shared" si="0"/>
        <v>407768</v>
      </c>
      <c r="ED17" s="57">
        <f t="shared" si="0"/>
        <v>344568</v>
      </c>
      <c r="EE17" s="57">
        <f t="shared" si="0"/>
        <v>375202</v>
      </c>
      <c r="EF17" s="57">
        <f t="shared" si="0"/>
        <v>525462</v>
      </c>
      <c r="EG17" s="57">
        <f t="shared" si="0"/>
        <v>401205</v>
      </c>
      <c r="EH17" s="57">
        <f t="shared" si="0"/>
        <v>398617</v>
      </c>
      <c r="EI17" s="57">
        <f t="shared" si="0"/>
        <v>354835</v>
      </c>
      <c r="EJ17" s="57">
        <f t="shared" si="0"/>
        <v>375182</v>
      </c>
      <c r="EK17" s="57">
        <f t="shared" si="0"/>
        <v>322407</v>
      </c>
      <c r="EL17" s="57">
        <f t="shared" si="0"/>
        <v>201311</v>
      </c>
      <c r="EM17" s="57">
        <f t="shared" si="0"/>
        <v>255000</v>
      </c>
      <c r="EN17" s="60">
        <f>IF(FORECAST(EN$41,EI17:EM17,EI$41:EM$41)&lt;0,0,FORECAST(EN$41,EI17:EM17,EI$41:EM$41))*3</f>
        <v>352459.27984543238</v>
      </c>
      <c r="EO17" s="60">
        <f t="shared" ref="EO17:FC17" si="13">IF(FORECAST(EO$41,EJ17:EN17,EJ$41:EN$41)&lt;0,0,FORECAST(EO$41,EJ17:EN17,EJ$41:EN$41))</f>
        <v>307987.20745027607</v>
      </c>
      <c r="EP17" s="60">
        <f t="shared" si="13"/>
        <v>325142.02060439577</v>
      </c>
      <c r="EQ17" s="60">
        <f t="shared" si="13"/>
        <v>343713.66316496884</v>
      </c>
      <c r="ER17" s="60">
        <f t="shared" si="13"/>
        <v>344101.21813966311</v>
      </c>
      <c r="ES17" s="60">
        <f t="shared" si="13"/>
        <v>331953.14142062602</v>
      </c>
      <c r="ET17" s="60">
        <f t="shared" si="13"/>
        <v>348723.50124310667</v>
      </c>
      <c r="EU17" s="60">
        <f t="shared" si="13"/>
        <v>353352.60110160505</v>
      </c>
      <c r="EV17" s="60">
        <f t="shared" si="13"/>
        <v>355314.98557043425</v>
      </c>
      <c r="EW17" s="60">
        <f t="shared" si="13"/>
        <v>362293.5604632569</v>
      </c>
      <c r="EX17" s="60">
        <f t="shared" si="13"/>
        <v>369026.20659640979</v>
      </c>
      <c r="EY17" s="60">
        <f t="shared" si="13"/>
        <v>370914.46416357131</v>
      </c>
      <c r="EZ17" s="60">
        <f t="shared" si="13"/>
        <v>376690.61710619455</v>
      </c>
      <c r="FA17" s="60">
        <f t="shared" si="13"/>
        <v>383667.31837397802</v>
      </c>
      <c r="FB17" s="60">
        <f t="shared" si="13"/>
        <v>388797.73722345755</v>
      </c>
      <c r="FC17" s="60">
        <f t="shared" si="13"/>
        <v>394711.79253092036</v>
      </c>
      <c r="FD17" s="60">
        <f>IF(FORECAST(FD$41,EY17:FC17,EY$41:FC$41)&lt;0,0,FORECAST(FD$41,EY17:FC17,EY$41:FC$41))*0.9</f>
        <v>361726.16933367128</v>
      </c>
      <c r="FE17" s="60">
        <f>IF(FORECAST(FE$41,EZ17:FD17,EZ$41:FD$41)&lt;0,0,FORECAST(FE$41,EZ17:FD17,EZ$41:FD$41))*0.9</f>
        <v>339064.36426524806</v>
      </c>
      <c r="FF17" s="60">
        <f t="shared" ref="FF17:FN17" si="14">IF(FORECAST(FF$41,FA17:FE17,FA$41:FE$41)&lt;0,0,FORECAST(FF$41,FA17:FE17,FA$41:FE$41))*0.9</f>
        <v>431820.91295014299</v>
      </c>
      <c r="FG17" s="60">
        <f t="shared" si="14"/>
        <v>390344.67581151938</v>
      </c>
      <c r="FH17" s="60">
        <f t="shared" si="14"/>
        <v>370843.22573859745</v>
      </c>
      <c r="FI17" s="60">
        <f t="shared" si="14"/>
        <v>357758.34787745599</v>
      </c>
      <c r="FJ17" s="60">
        <f t="shared" si="14"/>
        <v>348868.40628735541</v>
      </c>
      <c r="FK17" s="60">
        <f t="shared" si="14"/>
        <v>330546.48697935726</v>
      </c>
      <c r="FL17" s="60">
        <f t="shared" si="14"/>
        <v>322507.18382320408</v>
      </c>
      <c r="FM17" s="60">
        <f t="shared" si="14"/>
        <v>314220.52814278903</v>
      </c>
      <c r="FN17" s="60">
        <f t="shared" si="14"/>
        <v>295235.39497153758</v>
      </c>
    </row>
    <row r="18" spans="1:170">
      <c r="A18" s="44" t="s">
        <v>133</v>
      </c>
      <c r="B18" s="57">
        <f>'[2]Canada Tallow Exports'!I$147</f>
        <v>3101</v>
      </c>
      <c r="C18" s="57">
        <f>'[2]Canada Tallow Exports'!J$147</f>
        <v>1003</v>
      </c>
      <c r="D18" s="57">
        <f>'[2]Canada Tallow Exports'!K$147</f>
        <v>2990</v>
      </c>
      <c r="E18" s="57">
        <f>'[2]Canada Tallow Exports'!L$147</f>
        <v>2241</v>
      </c>
      <c r="F18" s="57">
        <f>'[2]Canada Tallow Exports'!M$147</f>
        <v>0</v>
      </c>
      <c r="G18" s="57">
        <f>'[2]Canada Tallow Exports'!N$147</f>
        <v>0</v>
      </c>
      <c r="H18" s="57">
        <f>'[2]Canada Tallow Exports'!O$147</f>
        <v>0</v>
      </c>
      <c r="I18" s="57">
        <f>'[2]Canada Tallow Exports'!P$147</f>
        <v>0</v>
      </c>
      <c r="J18" s="57">
        <f>'[2]Canada Tallow Exports'!Q$147</f>
        <v>1149</v>
      </c>
      <c r="K18" s="57">
        <f>'[2]Canada Tallow Exports'!R$147</f>
        <v>1097</v>
      </c>
      <c r="L18" s="57">
        <f>'[2]Canada Tallow Exports'!S$147</f>
        <v>1000</v>
      </c>
      <c r="M18" s="57">
        <f>'[2]Canada Tallow Exports'!T$147</f>
        <v>0</v>
      </c>
      <c r="N18" s="57">
        <f>'[2]Canada Tallow Exports'!U$147</f>
        <v>0</v>
      </c>
      <c r="O18" s="57">
        <f>'[2]Canada Tallow Exports'!V$147</f>
        <v>0</v>
      </c>
      <c r="P18" s="57">
        <f>'[2]Canada Tallow Exports'!W$147</f>
        <v>0</v>
      </c>
      <c r="Q18" s="57">
        <f>'[2]Canada Tallow Exports'!X$147</f>
        <v>0</v>
      </c>
      <c r="R18" s="57">
        <f>'[2]Canada Tallow Exports'!Y$147</f>
        <v>0</v>
      </c>
      <c r="S18" s="57">
        <f>'[2]Canada Tallow Exports'!Z$147</f>
        <v>0</v>
      </c>
      <c r="T18" s="57">
        <f>'[2]Canada Tallow Exports'!AA$147</f>
        <v>0</v>
      </c>
      <c r="U18" s="57">
        <f>'[2]Canada Tallow Exports'!AB$147</f>
        <v>0</v>
      </c>
      <c r="V18" s="57">
        <f>'[2]Canada Tallow Exports'!AC$147</f>
        <v>0</v>
      </c>
      <c r="W18" s="57">
        <f>'[2]Canada Tallow Exports'!AD$147</f>
        <v>0</v>
      </c>
      <c r="X18" s="57">
        <f>'[2]Canada Tallow Exports'!AE$147</f>
        <v>0</v>
      </c>
      <c r="Y18" s="58">
        <f>'[2]Canada Tallow Exports'!AF$147</f>
        <v>0</v>
      </c>
      <c r="AE18" s="57">
        <f>'[2]Australia Tallow Exports'!N$147</f>
        <v>55588</v>
      </c>
      <c r="AF18" s="57">
        <f>'[2]Australia Tallow Exports'!O$147</f>
        <v>47437</v>
      </c>
      <c r="AG18" s="57">
        <f>'[2]Australia Tallow Exports'!P$147</f>
        <v>44393</v>
      </c>
      <c r="AH18" s="57">
        <f>'[2]Australia Tallow Exports'!Q$147</f>
        <v>52373</v>
      </c>
      <c r="AI18" s="57">
        <f>'[2]Australia Tallow Exports'!R$147</f>
        <v>49159</v>
      </c>
      <c r="AJ18" s="57">
        <f>'[2]Australia Tallow Exports'!S$147</f>
        <v>38072</v>
      </c>
      <c r="AK18" s="57">
        <f>'[2]Australia Tallow Exports'!T$147</f>
        <v>39460</v>
      </c>
      <c r="AL18" s="57">
        <f>'[2]Australia Tallow Exports'!U$147</f>
        <v>45647</v>
      </c>
      <c r="AM18" s="57">
        <f>'[2]Australia Tallow Exports'!V$147</f>
        <v>23021</v>
      </c>
      <c r="AN18" s="57">
        <f>'[2]Australia Tallow Exports'!W$147</f>
        <v>30869</v>
      </c>
      <c r="AO18" s="57">
        <f>'[2]Australia Tallow Exports'!X$147</f>
        <v>45199</v>
      </c>
      <c r="AP18" s="57">
        <f>'[2]Australia Tallow Exports'!Y$147</f>
        <v>22911</v>
      </c>
      <c r="AQ18" s="57">
        <f>'[2]Australia Tallow Exports'!Z$147</f>
        <v>21997</v>
      </c>
      <c r="AR18" s="57">
        <f>'[2]Australia Tallow Exports'!AA$147</f>
        <v>22650</v>
      </c>
      <c r="AS18" s="57">
        <f>'[2]Australia Tallow Exports'!AB$147</f>
        <v>17721</v>
      </c>
      <c r="AT18" s="57">
        <f>'[2]Australia Tallow Exports'!AC$147</f>
        <v>17927</v>
      </c>
      <c r="AU18" s="57">
        <f>'[2]Australia Tallow Exports'!AD$147</f>
        <v>10576</v>
      </c>
      <c r="AV18" s="57">
        <f>'[2]Australia Tallow Exports'!AE$147</f>
        <v>5277</v>
      </c>
      <c r="AW18" s="58">
        <f>'[2]Australia Tallow Exports'!AF$147</f>
        <v>2500</v>
      </c>
      <c r="BC18" s="57">
        <f>'[2]New Zealand Tallow Exports'!N$147</f>
        <v>22890</v>
      </c>
      <c r="BD18" s="57">
        <f>'[2]New Zealand Tallow Exports'!O$147</f>
        <v>16674</v>
      </c>
      <c r="BE18" s="57">
        <f>'[2]New Zealand Tallow Exports'!P$147</f>
        <v>12465</v>
      </c>
      <c r="BF18" s="57">
        <f>'[2]New Zealand Tallow Exports'!Q$147</f>
        <v>12611</v>
      </c>
      <c r="BG18" s="57">
        <f>'[2]New Zealand Tallow Exports'!R$147</f>
        <v>5540</v>
      </c>
      <c r="BH18" s="57">
        <f>'[2]New Zealand Tallow Exports'!S$147</f>
        <v>12223</v>
      </c>
      <c r="BI18" s="57">
        <f>'[2]New Zealand Tallow Exports'!T$147</f>
        <v>2267</v>
      </c>
      <c r="BJ18" s="57">
        <f>'[2]New Zealand Tallow Exports'!U$147</f>
        <v>0</v>
      </c>
      <c r="BK18" s="57">
        <f>'[2]New Zealand Tallow Exports'!V$147</f>
        <v>425</v>
      </c>
      <c r="BL18" s="57">
        <f>'[2]New Zealand Tallow Exports'!W$147</f>
        <v>43</v>
      </c>
      <c r="BM18" s="57">
        <f>'[2]New Zealand Tallow Exports'!X$147</f>
        <v>0</v>
      </c>
      <c r="BN18" s="57">
        <f>'[2]New Zealand Tallow Exports'!Y$147</f>
        <v>0</v>
      </c>
      <c r="BO18" s="57">
        <f>'[2]New Zealand Tallow Exports'!Z$147</f>
        <v>0</v>
      </c>
      <c r="BP18" s="57">
        <f>'[2]New Zealand Tallow Exports'!AA$147</f>
        <v>133</v>
      </c>
      <c r="BQ18" s="57">
        <f>'[2]New Zealand Tallow Exports'!AB$147</f>
        <v>178</v>
      </c>
      <c r="BR18" s="57">
        <f>'[2]New Zealand Tallow Exports'!AC$147</f>
        <v>49</v>
      </c>
      <c r="BS18" s="57">
        <f>'[2]New Zealand Tallow Exports'!AD$147</f>
        <v>131</v>
      </c>
      <c r="BT18" s="57">
        <f>'[2]New Zealand Tallow Exports'!AE$147</f>
        <v>118</v>
      </c>
      <c r="BU18" s="58">
        <f>'[2]New Zealand Tallow Exports'!AF$147</f>
        <v>0</v>
      </c>
      <c r="BX18" s="57">
        <f>'[2]Paraguay Tallow Exports'!K$147</f>
        <v>0</v>
      </c>
      <c r="BY18" s="57">
        <f>'[2]Paraguay Tallow Exports'!L$147</f>
        <v>0</v>
      </c>
      <c r="BZ18" s="57">
        <f>'[2]Paraguay Tallow Exports'!M$147</f>
        <v>0</v>
      </c>
      <c r="CA18" s="57">
        <f>'[2]Paraguay Tallow Exports'!N$147</f>
        <v>0</v>
      </c>
      <c r="CB18" s="57">
        <f>'[2]Paraguay Tallow Exports'!O$147</f>
        <v>0</v>
      </c>
      <c r="CC18" s="57">
        <f>'[2]Paraguay Tallow Exports'!P$147</f>
        <v>0</v>
      </c>
      <c r="CD18" s="57">
        <f>'[2]Paraguay Tallow Exports'!Q$147</f>
        <v>0</v>
      </c>
      <c r="CE18" s="57">
        <f>'[2]Paraguay Tallow Exports'!R$147</f>
        <v>0</v>
      </c>
      <c r="CF18" s="57">
        <f>'[2]Paraguay Tallow Exports'!S$147</f>
        <v>0</v>
      </c>
      <c r="CG18" s="57">
        <f>'[2]Paraguay Tallow Exports'!T$147</f>
        <v>0</v>
      </c>
      <c r="CH18" s="57">
        <f>'[2]Paraguay Tallow Exports'!U$147</f>
        <v>0</v>
      </c>
      <c r="CI18" s="57">
        <f>'[2]Paraguay Tallow Exports'!V$147</f>
        <v>0</v>
      </c>
      <c r="CJ18" s="57">
        <f>'[2]Paraguay Tallow Exports'!W$147</f>
        <v>0</v>
      </c>
      <c r="CK18" s="57">
        <f>'[2]Paraguay Tallow Exports'!X$147</f>
        <v>0</v>
      </c>
      <c r="CL18" s="57">
        <f>'[2]Paraguay Tallow Exports'!Y$147</f>
        <v>0</v>
      </c>
      <c r="CM18" s="57">
        <f>'[2]Paraguay Tallow Exports'!Z$147</f>
        <v>0</v>
      </c>
      <c r="CN18" s="57">
        <f>'[2]Paraguay Tallow Exports'!AA$147</f>
        <v>0</v>
      </c>
      <c r="CO18" s="57">
        <f>'[2]Paraguay Tallow Exports'!AB$147</f>
        <v>0</v>
      </c>
      <c r="CP18" s="57">
        <f>'[2]Paraguay Tallow Exports'!AC$147</f>
        <v>0</v>
      </c>
      <c r="CQ18" s="57">
        <f>'[2]Paraguay Tallow Exports'!AD$147</f>
        <v>0</v>
      </c>
      <c r="CR18" s="58">
        <f t="shared" si="4"/>
        <v>0</v>
      </c>
      <c r="DE18" s="57">
        <f>'[2]Brazil Tallow Exports'!U$147</f>
        <v>0</v>
      </c>
      <c r="DF18" s="57">
        <f>'[2]Brazil Tallow Exports'!V$147</f>
        <v>0</v>
      </c>
      <c r="DG18" s="57">
        <f>'[2]Brazil Tallow Exports'!W$147</f>
        <v>0</v>
      </c>
      <c r="DH18" s="57">
        <f>'[2]Brazil Tallow Exports'!X$147</f>
        <v>0</v>
      </c>
      <c r="DI18" s="57">
        <f>'[2]Brazil Tallow Exports'!Y$147</f>
        <v>0</v>
      </c>
      <c r="DJ18" s="57">
        <f>'[2]Brazil Tallow Exports'!Z$147</f>
        <v>0</v>
      </c>
      <c r="DK18" s="57">
        <f>'[2]Brazil Tallow Exports'!AA$147</f>
        <v>0</v>
      </c>
      <c r="DL18" s="57">
        <f>'[2]Brazil Tallow Exports'!AB$147</f>
        <v>0</v>
      </c>
      <c r="DM18" s="57">
        <f>'[2]Brazil Tallow Exports'!AC$147</f>
        <v>0</v>
      </c>
      <c r="DN18" s="57">
        <f>'[2]Brazil Tallow Exports'!AD$147</f>
        <v>0</v>
      </c>
      <c r="DO18" s="57">
        <f>'[2]Brazil Tallow Exports'!AE$147</f>
        <v>0</v>
      </c>
      <c r="DP18" s="58">
        <f>'[2]Brazil Tallow Exports'!AF$147</f>
        <v>0</v>
      </c>
      <c r="EB18" s="57">
        <f t="shared" si="0"/>
        <v>45647</v>
      </c>
      <c r="EC18" s="57">
        <f t="shared" si="0"/>
        <v>23446</v>
      </c>
      <c r="ED18" s="57">
        <f t="shared" si="0"/>
        <v>30912</v>
      </c>
      <c r="EE18" s="57">
        <f t="shared" si="0"/>
        <v>45199</v>
      </c>
      <c r="EF18" s="57">
        <f t="shared" si="0"/>
        <v>22911</v>
      </c>
      <c r="EG18" s="57">
        <f t="shared" si="0"/>
        <v>21997</v>
      </c>
      <c r="EH18" s="57">
        <f t="shared" si="0"/>
        <v>22783</v>
      </c>
      <c r="EI18" s="57">
        <f t="shared" si="0"/>
        <v>17899</v>
      </c>
      <c r="EJ18" s="57">
        <f t="shared" si="0"/>
        <v>17976</v>
      </c>
      <c r="EK18" s="57">
        <f t="shared" si="0"/>
        <v>10707</v>
      </c>
      <c r="EL18" s="57">
        <f t="shared" si="0"/>
        <v>5395</v>
      </c>
      <c r="EM18" s="57">
        <f t="shared" si="0"/>
        <v>2500</v>
      </c>
      <c r="EN18" s="60">
        <f t="shared" ref="EN18:FN18" si="15">IF(FORECAST(EN$41,EI18:EM18,EI$41:EM$41)&lt;0,0,FORECAST(EN$41,EI18:EM18,EI$41:EM$41))*0.85</f>
        <v>0</v>
      </c>
      <c r="EO18" s="60">
        <f t="shared" si="15"/>
        <v>0</v>
      </c>
      <c r="EP18" s="60">
        <f t="shared" si="15"/>
        <v>0</v>
      </c>
      <c r="EQ18" s="60">
        <f t="shared" si="15"/>
        <v>0</v>
      </c>
      <c r="ER18" s="60">
        <f t="shared" si="15"/>
        <v>0</v>
      </c>
      <c r="ES18" s="60">
        <f t="shared" si="15"/>
        <v>0</v>
      </c>
      <c r="ET18" s="60">
        <f t="shared" si="15"/>
        <v>0</v>
      </c>
      <c r="EU18" s="60">
        <f t="shared" si="15"/>
        <v>0</v>
      </c>
      <c r="EV18" s="60">
        <f t="shared" si="15"/>
        <v>0</v>
      </c>
      <c r="EW18" s="60">
        <f t="shared" si="15"/>
        <v>0</v>
      </c>
      <c r="EX18" s="60">
        <f t="shared" si="15"/>
        <v>0</v>
      </c>
      <c r="EY18" s="60">
        <f t="shared" si="15"/>
        <v>0</v>
      </c>
      <c r="EZ18" s="60">
        <f t="shared" si="15"/>
        <v>0</v>
      </c>
      <c r="FA18" s="60">
        <f t="shared" si="15"/>
        <v>0</v>
      </c>
      <c r="FB18" s="60">
        <f t="shared" si="15"/>
        <v>0</v>
      </c>
      <c r="FC18" s="60">
        <f t="shared" si="15"/>
        <v>0</v>
      </c>
      <c r="FD18" s="60">
        <f t="shared" si="15"/>
        <v>0</v>
      </c>
      <c r="FE18" s="60">
        <f t="shared" si="15"/>
        <v>0</v>
      </c>
      <c r="FF18" s="60">
        <f t="shared" si="15"/>
        <v>0</v>
      </c>
      <c r="FG18" s="60">
        <f t="shared" si="15"/>
        <v>0</v>
      </c>
      <c r="FH18" s="60">
        <f t="shared" si="15"/>
        <v>0</v>
      </c>
      <c r="FI18" s="60">
        <f t="shared" si="15"/>
        <v>0</v>
      </c>
      <c r="FJ18" s="60">
        <f t="shared" si="15"/>
        <v>0</v>
      </c>
      <c r="FK18" s="60">
        <f t="shared" si="15"/>
        <v>0</v>
      </c>
      <c r="FL18" s="60">
        <f t="shared" si="15"/>
        <v>0</v>
      </c>
      <c r="FM18" s="60">
        <f t="shared" si="15"/>
        <v>0</v>
      </c>
      <c r="FN18" s="60">
        <f t="shared" si="15"/>
        <v>0</v>
      </c>
    </row>
    <row r="19" spans="1:170">
      <c r="A19" s="44" t="s">
        <v>134</v>
      </c>
      <c r="B19" s="57">
        <f>'[2]Canada Tallow Exports'!I$148</f>
        <v>0</v>
      </c>
      <c r="C19" s="57">
        <f>'[2]Canada Tallow Exports'!J$148</f>
        <v>0</v>
      </c>
      <c r="D19" s="57">
        <f>'[2]Canada Tallow Exports'!K$148</f>
        <v>0</v>
      </c>
      <c r="E19" s="57">
        <f>'[2]Canada Tallow Exports'!L$148</f>
        <v>0</v>
      </c>
      <c r="F19" s="57">
        <f>'[2]Canada Tallow Exports'!M$148</f>
        <v>0</v>
      </c>
      <c r="G19" s="57">
        <f>'[2]Canada Tallow Exports'!N$148</f>
        <v>0</v>
      </c>
      <c r="H19" s="57">
        <f>'[2]Canada Tallow Exports'!O$148</f>
        <v>0</v>
      </c>
      <c r="I19" s="57">
        <f>'[2]Canada Tallow Exports'!P$148</f>
        <v>0</v>
      </c>
      <c r="J19" s="57">
        <f>'[2]Canada Tallow Exports'!Q$148</f>
        <v>0</v>
      </c>
      <c r="K19" s="57">
        <f>'[2]Canada Tallow Exports'!R$148</f>
        <v>0</v>
      </c>
      <c r="L19" s="57">
        <f>'[2]Canada Tallow Exports'!S$148</f>
        <v>0</v>
      </c>
      <c r="M19" s="57">
        <f>'[2]Canada Tallow Exports'!T$148</f>
        <v>0</v>
      </c>
      <c r="N19" s="57">
        <f>'[2]Canada Tallow Exports'!U$148</f>
        <v>0</v>
      </c>
      <c r="O19" s="57">
        <f>'[2]Canada Tallow Exports'!V$148</f>
        <v>0</v>
      </c>
      <c r="P19" s="57">
        <f>'[2]Canada Tallow Exports'!W$148</f>
        <v>0</v>
      </c>
      <c r="Q19" s="57">
        <f>'[2]Canada Tallow Exports'!X$148</f>
        <v>0</v>
      </c>
      <c r="R19" s="57">
        <f>'[2]Canada Tallow Exports'!Y$148</f>
        <v>0</v>
      </c>
      <c r="S19" s="57">
        <f>'[2]Canada Tallow Exports'!Z$148</f>
        <v>0</v>
      </c>
      <c r="T19" s="57">
        <f>'[2]Canada Tallow Exports'!AA$148</f>
        <v>0</v>
      </c>
      <c r="U19" s="57">
        <f>'[2]Canada Tallow Exports'!AB$148</f>
        <v>0</v>
      </c>
      <c r="V19" s="57">
        <f>'[2]Canada Tallow Exports'!AC$148</f>
        <v>0</v>
      </c>
      <c r="W19" s="57">
        <f>'[2]Canada Tallow Exports'!AD$148</f>
        <v>0</v>
      </c>
      <c r="X19" s="57">
        <f>'[2]Canada Tallow Exports'!AE$148</f>
        <v>0</v>
      </c>
      <c r="Y19" s="58">
        <f>'[2]Canada Tallow Exports'!AF$148</f>
        <v>0</v>
      </c>
      <c r="AE19" s="57">
        <f>'[2]Australia Tallow Exports'!N$148</f>
        <v>20</v>
      </c>
      <c r="AF19" s="57">
        <f>'[2]Australia Tallow Exports'!O$148</f>
        <v>99</v>
      </c>
      <c r="AG19" s="57">
        <f>'[2]Australia Tallow Exports'!P$148</f>
        <v>93</v>
      </c>
      <c r="AH19" s="57">
        <f>'[2]Australia Tallow Exports'!Q$148</f>
        <v>70</v>
      </c>
      <c r="AI19" s="57">
        <f>'[2]Australia Tallow Exports'!R$148</f>
        <v>50</v>
      </c>
      <c r="AJ19" s="57">
        <f>'[2]Australia Tallow Exports'!S$148</f>
        <v>197</v>
      </c>
      <c r="AK19" s="57">
        <f>'[2]Australia Tallow Exports'!T$148</f>
        <v>610</v>
      </c>
      <c r="AL19" s="57">
        <f>'[2]Australia Tallow Exports'!U$148</f>
        <v>820</v>
      </c>
      <c r="AM19" s="57">
        <f>'[2]Australia Tallow Exports'!V$148</f>
        <v>604</v>
      </c>
      <c r="AN19" s="57">
        <f>'[2]Australia Tallow Exports'!W$148</f>
        <v>386</v>
      </c>
      <c r="AO19" s="57">
        <f>'[2]Australia Tallow Exports'!X$148</f>
        <v>320</v>
      </c>
      <c r="AP19" s="57">
        <f>'[2]Australia Tallow Exports'!Y$148</f>
        <v>270</v>
      </c>
      <c r="AQ19" s="57">
        <f>'[2]Australia Tallow Exports'!Z$148</f>
        <v>195</v>
      </c>
      <c r="AR19" s="57">
        <f>'[2]Australia Tallow Exports'!AA$148</f>
        <v>187</v>
      </c>
      <c r="AS19" s="57">
        <f>'[2]Australia Tallow Exports'!AB$148</f>
        <v>1350</v>
      </c>
      <c r="AT19" s="57">
        <f>'[2]Australia Tallow Exports'!AC$148</f>
        <v>1057</v>
      </c>
      <c r="AU19" s="57">
        <f>'[2]Australia Tallow Exports'!AD$148</f>
        <v>1548</v>
      </c>
      <c r="AV19" s="57">
        <f>'[2]Australia Tallow Exports'!AE$148</f>
        <v>1123</v>
      </c>
      <c r="AW19" s="58">
        <f>'[2]Australia Tallow Exports'!AF$148</f>
        <v>1750</v>
      </c>
      <c r="BC19" s="57">
        <f>'[2]New Zealand Tallow Exports'!N$148</f>
        <v>719</v>
      </c>
      <c r="BD19" s="57">
        <f>'[2]New Zealand Tallow Exports'!O$148</f>
        <v>1067</v>
      </c>
      <c r="BE19" s="57">
        <f>'[2]New Zealand Tallow Exports'!P$148</f>
        <v>1399</v>
      </c>
      <c r="BF19" s="57">
        <f>'[2]New Zealand Tallow Exports'!Q$148</f>
        <v>1436</v>
      </c>
      <c r="BG19" s="57">
        <f>'[2]New Zealand Tallow Exports'!R$148</f>
        <v>675</v>
      </c>
      <c r="BH19" s="57">
        <f>'[2]New Zealand Tallow Exports'!S$148</f>
        <v>1388</v>
      </c>
      <c r="BI19" s="57">
        <f>'[2]New Zealand Tallow Exports'!T$148</f>
        <v>1598</v>
      </c>
      <c r="BJ19" s="57">
        <f>'[2]New Zealand Tallow Exports'!U$148</f>
        <v>797</v>
      </c>
      <c r="BK19" s="57">
        <f>'[2]New Zealand Tallow Exports'!V$148</f>
        <v>600</v>
      </c>
      <c r="BL19" s="57">
        <f>'[2]New Zealand Tallow Exports'!W$148</f>
        <v>629</v>
      </c>
      <c r="BM19" s="57">
        <f>'[2]New Zealand Tallow Exports'!X$148</f>
        <v>720</v>
      </c>
      <c r="BN19" s="57">
        <f>'[2]New Zealand Tallow Exports'!Y$148</f>
        <v>520</v>
      </c>
      <c r="BO19" s="57">
        <f>'[2]New Zealand Tallow Exports'!Z$148</f>
        <v>414</v>
      </c>
      <c r="BP19" s="57">
        <f>'[2]New Zealand Tallow Exports'!AA$148</f>
        <v>396</v>
      </c>
      <c r="BQ19" s="57">
        <f>'[2]New Zealand Tallow Exports'!AB$148</f>
        <v>478</v>
      </c>
      <c r="BR19" s="57">
        <f>'[2]New Zealand Tallow Exports'!AC$148</f>
        <v>373</v>
      </c>
      <c r="BS19" s="57">
        <f>'[2]New Zealand Tallow Exports'!AD$148</f>
        <v>230</v>
      </c>
      <c r="BT19" s="57">
        <f>'[2]New Zealand Tallow Exports'!AE$148</f>
        <v>43</v>
      </c>
      <c r="BU19" s="58">
        <f>'[2]New Zealand Tallow Exports'!AF$148</f>
        <v>0</v>
      </c>
      <c r="BX19" s="57">
        <f>'[2]Paraguay Tallow Exports'!K$148</f>
        <v>0</v>
      </c>
      <c r="BY19" s="57">
        <f>'[2]Paraguay Tallow Exports'!L$148</f>
        <v>0</v>
      </c>
      <c r="BZ19" s="57">
        <f>'[2]Paraguay Tallow Exports'!M$148</f>
        <v>0</v>
      </c>
      <c r="CA19" s="57">
        <f>'[2]Paraguay Tallow Exports'!N$148</f>
        <v>0</v>
      </c>
      <c r="CB19" s="57">
        <f>'[2]Paraguay Tallow Exports'!O$148</f>
        <v>0</v>
      </c>
      <c r="CC19" s="57">
        <f>'[2]Paraguay Tallow Exports'!P$148</f>
        <v>0</v>
      </c>
      <c r="CD19" s="57">
        <f>'[2]Paraguay Tallow Exports'!Q$148</f>
        <v>0</v>
      </c>
      <c r="CE19" s="57">
        <f>'[2]Paraguay Tallow Exports'!R$148</f>
        <v>0</v>
      </c>
      <c r="CF19" s="57">
        <f>'[2]Paraguay Tallow Exports'!S$148</f>
        <v>0</v>
      </c>
      <c r="CG19" s="57">
        <f>'[2]Paraguay Tallow Exports'!T$148</f>
        <v>0</v>
      </c>
      <c r="CH19" s="57">
        <f>'[2]Paraguay Tallow Exports'!U$148</f>
        <v>0</v>
      </c>
      <c r="CI19" s="57">
        <f>'[2]Paraguay Tallow Exports'!V$148</f>
        <v>0</v>
      </c>
      <c r="CJ19" s="57">
        <f>'[2]Paraguay Tallow Exports'!W$148</f>
        <v>0</v>
      </c>
      <c r="CK19" s="57">
        <f>'[2]Paraguay Tallow Exports'!X$148</f>
        <v>0</v>
      </c>
      <c r="CL19" s="57">
        <f>'[2]Paraguay Tallow Exports'!Y$148</f>
        <v>0</v>
      </c>
      <c r="CM19" s="57">
        <f>'[2]Paraguay Tallow Exports'!Z$148</f>
        <v>0</v>
      </c>
      <c r="CN19" s="57">
        <f>'[2]Paraguay Tallow Exports'!AA$148</f>
        <v>0</v>
      </c>
      <c r="CO19" s="57">
        <f>'[2]Paraguay Tallow Exports'!AB$148</f>
        <v>0</v>
      </c>
      <c r="CP19" s="57">
        <f>'[2]Paraguay Tallow Exports'!AC$148</f>
        <v>0</v>
      </c>
      <c r="CQ19" s="57">
        <f>'[2]Paraguay Tallow Exports'!AD$148</f>
        <v>0</v>
      </c>
      <c r="CR19" s="58">
        <f t="shared" si="4"/>
        <v>0</v>
      </c>
      <c r="DE19" s="57">
        <f>'[2]Brazil Tallow Exports'!U$148</f>
        <v>0</v>
      </c>
      <c r="DF19" s="57">
        <f>'[2]Brazil Tallow Exports'!V$148</f>
        <v>0</v>
      </c>
      <c r="DG19" s="57">
        <f>'[2]Brazil Tallow Exports'!W$148</f>
        <v>0</v>
      </c>
      <c r="DH19" s="57">
        <f>'[2]Brazil Tallow Exports'!X$148</f>
        <v>0</v>
      </c>
      <c r="DI19" s="57">
        <f>'[2]Brazil Tallow Exports'!Y$148</f>
        <v>0</v>
      </c>
      <c r="DJ19" s="57">
        <f>'[2]Brazil Tallow Exports'!Z$148</f>
        <v>0</v>
      </c>
      <c r="DK19" s="57">
        <f>'[2]Brazil Tallow Exports'!AA$148</f>
        <v>0</v>
      </c>
      <c r="DL19" s="57">
        <f>'[2]Brazil Tallow Exports'!AB$148</f>
        <v>0</v>
      </c>
      <c r="DM19" s="57">
        <f>'[2]Brazil Tallow Exports'!AC$148</f>
        <v>0</v>
      </c>
      <c r="DN19" s="57">
        <f>'[2]Brazil Tallow Exports'!AD$148</f>
        <v>0</v>
      </c>
      <c r="DO19" s="57">
        <f>'[2]Brazil Tallow Exports'!AE$148</f>
        <v>0</v>
      </c>
      <c r="DP19" s="58">
        <f>'[2]Brazil Tallow Exports'!AF$148</f>
        <v>5</v>
      </c>
      <c r="EB19" s="57">
        <f t="shared" si="0"/>
        <v>1617</v>
      </c>
      <c r="EC19" s="57">
        <f t="shared" si="0"/>
        <v>1204</v>
      </c>
      <c r="ED19" s="57">
        <f t="shared" si="0"/>
        <v>1015</v>
      </c>
      <c r="EE19" s="57">
        <f t="shared" si="0"/>
        <v>1040</v>
      </c>
      <c r="EF19" s="57">
        <f t="shared" si="0"/>
        <v>790</v>
      </c>
      <c r="EG19" s="57">
        <f t="shared" si="0"/>
        <v>609</v>
      </c>
      <c r="EH19" s="57">
        <f t="shared" si="0"/>
        <v>583</v>
      </c>
      <c r="EI19" s="57">
        <f t="shared" si="0"/>
        <v>1828</v>
      </c>
      <c r="EJ19" s="57">
        <f t="shared" si="0"/>
        <v>1430</v>
      </c>
      <c r="EK19" s="57">
        <f t="shared" si="0"/>
        <v>1778</v>
      </c>
      <c r="EL19" s="57">
        <f t="shared" si="0"/>
        <v>1166</v>
      </c>
      <c r="EM19" s="57">
        <f t="shared" si="0"/>
        <v>1755</v>
      </c>
      <c r="EN19" s="60">
        <f t="shared" ref="EN19:FN30" si="16">IF(FORECAST(EN$41,EI19:EM19,EI$41:EM$41)&lt;0,0,FORECAST(EN$41,EI19:EM19,EI$41:EM$41))</f>
        <v>1560.0455422369112</v>
      </c>
      <c r="EO19" s="60">
        <f t="shared" si="16"/>
        <v>1619.0022631154943</v>
      </c>
      <c r="EP19" s="60">
        <f t="shared" si="16"/>
        <v>1611.4664956169747</v>
      </c>
      <c r="EQ19" s="60">
        <f t="shared" si="16"/>
        <v>1671.7321926273121</v>
      </c>
      <c r="ER19" s="60">
        <f t="shared" si="16"/>
        <v>1602.1121199232252</v>
      </c>
      <c r="ES19" s="60">
        <f t="shared" si="16"/>
        <v>1643.7778337783152</v>
      </c>
      <c r="ET19" s="60">
        <f t="shared" si="16"/>
        <v>1638.680793564107</v>
      </c>
      <c r="EU19" s="60">
        <f t="shared" si="16"/>
        <v>1642.0263653668035</v>
      </c>
      <c r="EV19" s="60">
        <f t="shared" si="16"/>
        <v>1630.1208815474795</v>
      </c>
      <c r="EW19" s="60">
        <f t="shared" si="16"/>
        <v>1644.2789948463942</v>
      </c>
      <c r="EX19" s="60">
        <f t="shared" si="16"/>
        <v>1637.8082932102093</v>
      </c>
      <c r="EY19" s="60">
        <f t="shared" si="16"/>
        <v>1638.6340902968263</v>
      </c>
      <c r="EZ19" s="60">
        <f t="shared" si="16"/>
        <v>1638.7614650670575</v>
      </c>
      <c r="FA19" s="60">
        <f t="shared" si="16"/>
        <v>1641.9287324091001</v>
      </c>
      <c r="FB19" s="60">
        <f t="shared" si="16"/>
        <v>1639.3659623867547</v>
      </c>
      <c r="FC19" s="60">
        <f t="shared" si="16"/>
        <v>1641.3526063695679</v>
      </c>
      <c r="FD19" s="60">
        <f t="shared" si="16"/>
        <v>1641.9468821213084</v>
      </c>
      <c r="FE19" s="60">
        <f t="shared" si="16"/>
        <v>1641.896624232764</v>
      </c>
      <c r="FF19" s="60">
        <f t="shared" si="16"/>
        <v>1638.6798194304281</v>
      </c>
      <c r="FG19" s="60">
        <f t="shared" si="16"/>
        <v>1638.5090251173065</v>
      </c>
      <c r="FH19" s="60">
        <f t="shared" si="16"/>
        <v>1638.6483246309115</v>
      </c>
      <c r="FI19" s="60">
        <f t="shared" si="16"/>
        <v>1638.6535653283327</v>
      </c>
      <c r="FJ19" s="60">
        <f t="shared" si="16"/>
        <v>1638.653121442647</v>
      </c>
      <c r="FK19" s="60">
        <f t="shared" si="16"/>
        <v>1638.6159225031358</v>
      </c>
      <c r="FL19" s="60">
        <f t="shared" si="16"/>
        <v>1638.6197266055494</v>
      </c>
      <c r="FM19" s="60">
        <f t="shared" si="16"/>
        <v>1638.6352992648199</v>
      </c>
      <c r="FN19" s="60">
        <f t="shared" si="16"/>
        <v>1638.6311270985261</v>
      </c>
    </row>
    <row r="20" spans="1:170">
      <c r="A20" s="44" t="s">
        <v>135</v>
      </c>
      <c r="B20" s="57">
        <f>'[2]Canada Tallow Exports'!I$151</f>
        <v>0</v>
      </c>
      <c r="C20" s="57">
        <f>'[2]Canada Tallow Exports'!J$151</f>
        <v>0</v>
      </c>
      <c r="D20" s="57">
        <f>'[2]Canada Tallow Exports'!K$151</f>
        <v>0</v>
      </c>
      <c r="E20" s="57">
        <f>'[2]Canada Tallow Exports'!L$151</f>
        <v>701</v>
      </c>
      <c r="F20" s="57">
        <f>'[2]Canada Tallow Exports'!M$151</f>
        <v>0</v>
      </c>
      <c r="G20" s="57">
        <f>'[2]Canada Tallow Exports'!N$151</f>
        <v>0</v>
      </c>
      <c r="H20" s="57">
        <f>'[2]Canada Tallow Exports'!O$151</f>
        <v>0</v>
      </c>
      <c r="I20" s="57">
        <f>'[2]Canada Tallow Exports'!P$151</f>
        <v>0</v>
      </c>
      <c r="J20" s="57">
        <f>'[2]Canada Tallow Exports'!Q$151</f>
        <v>0</v>
      </c>
      <c r="K20" s="57">
        <f>'[2]Canada Tallow Exports'!R$151</f>
        <v>0</v>
      </c>
      <c r="L20" s="57">
        <f>'[2]Canada Tallow Exports'!S$151</f>
        <v>0</v>
      </c>
      <c r="M20" s="57">
        <f>'[2]Canada Tallow Exports'!T$151</f>
        <v>0</v>
      </c>
      <c r="N20" s="57">
        <f>'[2]Canada Tallow Exports'!U$151</f>
        <v>0</v>
      </c>
      <c r="O20" s="57">
        <f>'[2]Canada Tallow Exports'!V$151</f>
        <v>0</v>
      </c>
      <c r="P20" s="57">
        <f>'[2]Canada Tallow Exports'!W$151</f>
        <v>0</v>
      </c>
      <c r="Q20" s="57">
        <f>'[2]Canada Tallow Exports'!X$151</f>
        <v>0</v>
      </c>
      <c r="R20" s="57">
        <f>'[2]Canada Tallow Exports'!Y$151</f>
        <v>0</v>
      </c>
      <c r="S20" s="57">
        <f>'[2]Canada Tallow Exports'!Z$151</f>
        <v>0</v>
      </c>
      <c r="T20" s="57">
        <f>'[2]Canada Tallow Exports'!AA$151</f>
        <v>0</v>
      </c>
      <c r="U20" s="57">
        <f>'[2]Canada Tallow Exports'!AB$151</f>
        <v>0</v>
      </c>
      <c r="V20" s="57">
        <f>'[2]Canada Tallow Exports'!AC$151</f>
        <v>0</v>
      </c>
      <c r="W20" s="57">
        <f>'[2]Canada Tallow Exports'!AD$151</f>
        <v>0</v>
      </c>
      <c r="X20" s="57">
        <f>'[2]Canada Tallow Exports'!AE$151</f>
        <v>0</v>
      </c>
      <c r="Y20" s="58">
        <f>'[2]Canada Tallow Exports'!AF$151</f>
        <v>0</v>
      </c>
      <c r="AE20" s="57">
        <f>'[2]Australia Tallow Exports'!N$151</f>
        <v>0</v>
      </c>
      <c r="AF20" s="57">
        <f>'[2]Australia Tallow Exports'!O$151</f>
        <v>0</v>
      </c>
      <c r="AG20" s="57">
        <f>'[2]Australia Tallow Exports'!P$151</f>
        <v>0</v>
      </c>
      <c r="AH20" s="57">
        <f>'[2]Australia Tallow Exports'!Q$151</f>
        <v>0</v>
      </c>
      <c r="AI20" s="57">
        <f>'[2]Australia Tallow Exports'!R$151</f>
        <v>0</v>
      </c>
      <c r="AJ20" s="57">
        <f>'[2]Australia Tallow Exports'!S$151</f>
        <v>0</v>
      </c>
      <c r="AK20" s="57">
        <f>'[2]Australia Tallow Exports'!T$151</f>
        <v>0</v>
      </c>
      <c r="AL20" s="57">
        <f>'[2]Australia Tallow Exports'!U$151</f>
        <v>14000</v>
      </c>
      <c r="AM20" s="57">
        <f>'[2]Australia Tallow Exports'!V$151</f>
        <v>7056</v>
      </c>
      <c r="AN20" s="57">
        <f>'[2]Australia Tallow Exports'!W$151</f>
        <v>0</v>
      </c>
      <c r="AO20" s="57">
        <f>'[2]Australia Tallow Exports'!X$151</f>
        <v>0</v>
      </c>
      <c r="AP20" s="57">
        <f>'[2]Australia Tallow Exports'!Y$151</f>
        <v>0</v>
      </c>
      <c r="AQ20" s="57">
        <f>'[2]Australia Tallow Exports'!Z$151</f>
        <v>0</v>
      </c>
      <c r="AR20" s="57">
        <f>'[2]Australia Tallow Exports'!AA$151</f>
        <v>0</v>
      </c>
      <c r="AS20" s="57">
        <f>'[2]Australia Tallow Exports'!AB$151</f>
        <v>0</v>
      </c>
      <c r="AT20" s="57">
        <f>'[2]Australia Tallow Exports'!AC$151</f>
        <v>0</v>
      </c>
      <c r="AU20" s="57">
        <f>'[2]Australia Tallow Exports'!AD$151</f>
        <v>0</v>
      </c>
      <c r="AV20" s="57">
        <f>'[2]Australia Tallow Exports'!AE$151</f>
        <v>0</v>
      </c>
      <c r="AW20" s="58">
        <f>'[2]Australia Tallow Exports'!AF$151</f>
        <v>0</v>
      </c>
      <c r="BC20" s="57">
        <f>'[2]New Zealand Tallow Exports'!N$151</f>
        <v>0</v>
      </c>
      <c r="BD20" s="57">
        <f>'[2]New Zealand Tallow Exports'!O$151</f>
        <v>0</v>
      </c>
      <c r="BE20" s="57">
        <f>'[2]New Zealand Tallow Exports'!P$151</f>
        <v>0</v>
      </c>
      <c r="BF20" s="57">
        <f>'[2]New Zealand Tallow Exports'!Q$151</f>
        <v>0</v>
      </c>
      <c r="BG20" s="57">
        <f>'[2]New Zealand Tallow Exports'!R$151</f>
        <v>0</v>
      </c>
      <c r="BH20" s="57">
        <f>'[2]New Zealand Tallow Exports'!S$151</f>
        <v>0</v>
      </c>
      <c r="BI20" s="57">
        <f>'[2]New Zealand Tallow Exports'!T$151</f>
        <v>63</v>
      </c>
      <c r="BJ20" s="57">
        <f>'[2]New Zealand Tallow Exports'!U$151</f>
        <v>0</v>
      </c>
      <c r="BK20" s="57">
        <f>'[2]New Zealand Tallow Exports'!V$151</f>
        <v>0</v>
      </c>
      <c r="BL20" s="57">
        <f>'[2]New Zealand Tallow Exports'!W$151</f>
        <v>0</v>
      </c>
      <c r="BM20" s="57">
        <f>'[2]New Zealand Tallow Exports'!X$151</f>
        <v>26</v>
      </c>
      <c r="BN20" s="57">
        <f>'[2]New Zealand Tallow Exports'!Y$151</f>
        <v>0</v>
      </c>
      <c r="BO20" s="57">
        <f>'[2]New Zealand Tallow Exports'!Z$151</f>
        <v>0</v>
      </c>
      <c r="BP20" s="57">
        <f>'[2]New Zealand Tallow Exports'!AA$151</f>
        <v>0</v>
      </c>
      <c r="BQ20" s="57">
        <f>'[2]New Zealand Tallow Exports'!AB$151</f>
        <v>0</v>
      </c>
      <c r="BR20" s="57">
        <f>'[2]New Zealand Tallow Exports'!AC$151</f>
        <v>0</v>
      </c>
      <c r="BS20" s="57">
        <f>'[2]New Zealand Tallow Exports'!AD$151</f>
        <v>0</v>
      </c>
      <c r="BT20" s="57">
        <f>'[2]New Zealand Tallow Exports'!AE$151</f>
        <v>0</v>
      </c>
      <c r="BU20" s="58">
        <f>'[2]New Zealand Tallow Exports'!AF$151</f>
        <v>0</v>
      </c>
      <c r="BX20" s="57">
        <f>'[2]Paraguay Tallow Exports'!K$151</f>
        <v>0</v>
      </c>
      <c r="BY20" s="57">
        <f>'[2]Paraguay Tallow Exports'!L$151</f>
        <v>0</v>
      </c>
      <c r="BZ20" s="57">
        <f>'[2]Paraguay Tallow Exports'!M$151</f>
        <v>0</v>
      </c>
      <c r="CA20" s="57">
        <f>'[2]Paraguay Tallow Exports'!N$151</f>
        <v>0</v>
      </c>
      <c r="CB20" s="57">
        <f>'[2]Paraguay Tallow Exports'!O$151</f>
        <v>0</v>
      </c>
      <c r="CC20" s="57">
        <f>'[2]Paraguay Tallow Exports'!P$151</f>
        <v>0</v>
      </c>
      <c r="CD20" s="57">
        <f>'[2]Paraguay Tallow Exports'!Q$151</f>
        <v>0</v>
      </c>
      <c r="CE20" s="57">
        <f>'[2]Paraguay Tallow Exports'!R$151</f>
        <v>0</v>
      </c>
      <c r="CF20" s="57">
        <f>'[2]Paraguay Tallow Exports'!S$151</f>
        <v>0</v>
      </c>
      <c r="CG20" s="57">
        <f>'[2]Paraguay Tallow Exports'!T$151</f>
        <v>0</v>
      </c>
      <c r="CH20" s="57">
        <f>'[2]Paraguay Tallow Exports'!U$151</f>
        <v>0</v>
      </c>
      <c r="CI20" s="57">
        <f>'[2]Paraguay Tallow Exports'!V$151</f>
        <v>0</v>
      </c>
      <c r="CJ20" s="57">
        <f>'[2]Paraguay Tallow Exports'!W$151</f>
        <v>0</v>
      </c>
      <c r="CK20" s="57">
        <f>'[2]Paraguay Tallow Exports'!X$151</f>
        <v>0</v>
      </c>
      <c r="CL20" s="57">
        <f>'[2]Paraguay Tallow Exports'!Y$151</f>
        <v>0</v>
      </c>
      <c r="CM20" s="57">
        <f>'[2]Paraguay Tallow Exports'!Z$151</f>
        <v>0</v>
      </c>
      <c r="CN20" s="57">
        <f>'[2]Paraguay Tallow Exports'!AA$151</f>
        <v>0</v>
      </c>
      <c r="CO20" s="57">
        <f>'[2]Paraguay Tallow Exports'!AB$151</f>
        <v>0</v>
      </c>
      <c r="CP20" s="57">
        <f>'[2]Paraguay Tallow Exports'!AC$151</f>
        <v>0</v>
      </c>
      <c r="CQ20" s="57">
        <f>'[2]Paraguay Tallow Exports'!AD$151</f>
        <v>0</v>
      </c>
      <c r="CR20" s="58">
        <f t="shared" si="4"/>
        <v>0</v>
      </c>
      <c r="DE20" s="57">
        <f>'[2]Brazil Tallow Exports'!U$151</f>
        <v>0</v>
      </c>
      <c r="DF20" s="57">
        <f>'[2]Brazil Tallow Exports'!V$151</f>
        <v>0</v>
      </c>
      <c r="DG20" s="57">
        <f>'[2]Brazil Tallow Exports'!W$151</f>
        <v>0</v>
      </c>
      <c r="DH20" s="57">
        <f>'[2]Brazil Tallow Exports'!X$151</f>
        <v>0</v>
      </c>
      <c r="DI20" s="57">
        <f>'[2]Brazil Tallow Exports'!Y$151</f>
        <v>0</v>
      </c>
      <c r="DJ20" s="57">
        <f>'[2]Brazil Tallow Exports'!Z$151</f>
        <v>0</v>
      </c>
      <c r="DK20" s="57">
        <f>'[2]Brazil Tallow Exports'!AA$151</f>
        <v>0</v>
      </c>
      <c r="DL20" s="57">
        <f>'[2]Brazil Tallow Exports'!AB$151</f>
        <v>0</v>
      </c>
      <c r="DM20" s="57">
        <f>'[2]Brazil Tallow Exports'!AC$151</f>
        <v>0</v>
      </c>
      <c r="DN20" s="57">
        <f>'[2]Brazil Tallow Exports'!AD$151</f>
        <v>0</v>
      </c>
      <c r="DO20" s="57">
        <f>'[2]Brazil Tallow Exports'!AE$151</f>
        <v>0</v>
      </c>
      <c r="DP20" s="58">
        <f>'[2]Brazil Tallow Exports'!AF$151</f>
        <v>0</v>
      </c>
      <c r="EB20" s="57">
        <f t="shared" si="0"/>
        <v>14000</v>
      </c>
      <c r="EC20" s="57">
        <f t="shared" si="0"/>
        <v>7056</v>
      </c>
      <c r="ED20" s="57">
        <f t="shared" si="0"/>
        <v>0</v>
      </c>
      <c r="EE20" s="57">
        <f t="shared" si="0"/>
        <v>26</v>
      </c>
      <c r="EF20" s="57">
        <f t="shared" si="0"/>
        <v>0</v>
      </c>
      <c r="EG20" s="57">
        <f t="shared" si="0"/>
        <v>0</v>
      </c>
      <c r="EH20" s="57">
        <f t="shared" si="0"/>
        <v>0</v>
      </c>
      <c r="EI20" s="57">
        <f t="shared" si="0"/>
        <v>0</v>
      </c>
      <c r="EJ20" s="57">
        <f t="shared" si="0"/>
        <v>0</v>
      </c>
      <c r="EK20" s="57">
        <f t="shared" si="0"/>
        <v>0</v>
      </c>
      <c r="EL20" s="57">
        <f t="shared" si="0"/>
        <v>0</v>
      </c>
      <c r="EM20" s="57">
        <f t="shared" si="0"/>
        <v>0</v>
      </c>
      <c r="EN20" s="60">
        <f t="shared" si="16"/>
        <v>0</v>
      </c>
      <c r="EO20" s="60">
        <f t="shared" si="16"/>
        <v>0</v>
      </c>
      <c r="EP20" s="60">
        <f t="shared" si="16"/>
        <v>0</v>
      </c>
      <c r="EQ20" s="60">
        <f t="shared" si="16"/>
        <v>0</v>
      </c>
      <c r="ER20" s="60">
        <f t="shared" si="16"/>
        <v>0</v>
      </c>
      <c r="ES20" s="60">
        <f t="shared" si="16"/>
        <v>0</v>
      </c>
      <c r="ET20" s="60">
        <f t="shared" si="16"/>
        <v>0</v>
      </c>
      <c r="EU20" s="60">
        <f t="shared" si="16"/>
        <v>0</v>
      </c>
      <c r="EV20" s="60">
        <f t="shared" si="16"/>
        <v>0</v>
      </c>
      <c r="EW20" s="60">
        <f t="shared" si="16"/>
        <v>0</v>
      </c>
      <c r="EX20" s="60">
        <f t="shared" si="16"/>
        <v>0</v>
      </c>
      <c r="EY20" s="60">
        <f t="shared" si="16"/>
        <v>0</v>
      </c>
      <c r="EZ20" s="60">
        <f t="shared" si="16"/>
        <v>0</v>
      </c>
      <c r="FA20" s="60">
        <f t="shared" si="16"/>
        <v>0</v>
      </c>
      <c r="FB20" s="60">
        <f t="shared" si="16"/>
        <v>0</v>
      </c>
      <c r="FC20" s="60">
        <f t="shared" si="16"/>
        <v>0</v>
      </c>
      <c r="FD20" s="60">
        <f t="shared" si="16"/>
        <v>0</v>
      </c>
      <c r="FE20" s="60">
        <f t="shared" si="16"/>
        <v>0</v>
      </c>
      <c r="FF20" s="60">
        <f t="shared" si="16"/>
        <v>0</v>
      </c>
      <c r="FG20" s="60">
        <f t="shared" si="16"/>
        <v>0</v>
      </c>
      <c r="FH20" s="60">
        <f t="shared" si="16"/>
        <v>0</v>
      </c>
      <c r="FI20" s="60">
        <f t="shared" si="16"/>
        <v>0</v>
      </c>
      <c r="FJ20" s="60">
        <f t="shared" si="16"/>
        <v>0</v>
      </c>
      <c r="FK20" s="60">
        <f t="shared" si="16"/>
        <v>0</v>
      </c>
      <c r="FL20" s="60">
        <f t="shared" si="16"/>
        <v>0</v>
      </c>
      <c r="FM20" s="60">
        <f t="shared" si="16"/>
        <v>0</v>
      </c>
      <c r="FN20" s="60">
        <f t="shared" si="16"/>
        <v>0</v>
      </c>
    </row>
    <row r="21" spans="1:170">
      <c r="A21" s="44" t="s">
        <v>136</v>
      </c>
      <c r="B21" s="57">
        <f>'[2]Canada Tallow Exports'!I$156</f>
        <v>0</v>
      </c>
      <c r="C21" s="57">
        <f>'[2]Canada Tallow Exports'!J$156</f>
        <v>0</v>
      </c>
      <c r="D21" s="57">
        <f>'[2]Canada Tallow Exports'!K$156</f>
        <v>0</v>
      </c>
      <c r="E21" s="57">
        <f>'[2]Canada Tallow Exports'!L$156</f>
        <v>0</v>
      </c>
      <c r="F21" s="57">
        <f>'[2]Canada Tallow Exports'!M$156</f>
        <v>0</v>
      </c>
      <c r="G21" s="57">
        <f>'[2]Canada Tallow Exports'!N$156</f>
        <v>0</v>
      </c>
      <c r="H21" s="57">
        <f>'[2]Canada Tallow Exports'!O$156</f>
        <v>0</v>
      </c>
      <c r="I21" s="57">
        <f>'[2]Canada Tallow Exports'!P$156</f>
        <v>0</v>
      </c>
      <c r="J21" s="57">
        <f>'[2]Canada Tallow Exports'!Q$156</f>
        <v>0</v>
      </c>
      <c r="K21" s="57">
        <f>'[2]Canada Tallow Exports'!R$156</f>
        <v>0</v>
      </c>
      <c r="L21" s="57">
        <f>'[2]Canada Tallow Exports'!S$156</f>
        <v>0</v>
      </c>
      <c r="M21" s="57">
        <f>'[2]Canada Tallow Exports'!T$156</f>
        <v>0</v>
      </c>
      <c r="N21" s="57">
        <f>'[2]Canada Tallow Exports'!U$156</f>
        <v>0</v>
      </c>
      <c r="O21" s="57">
        <f>'[2]Canada Tallow Exports'!V$156</f>
        <v>0</v>
      </c>
      <c r="P21" s="57">
        <f>'[2]Canada Tallow Exports'!W$156</f>
        <v>0</v>
      </c>
      <c r="Q21" s="57">
        <f>'[2]Canada Tallow Exports'!X$156</f>
        <v>0</v>
      </c>
      <c r="R21" s="57">
        <f>'[2]Canada Tallow Exports'!Y$156</f>
        <v>0</v>
      </c>
      <c r="S21" s="57">
        <f>'[2]Canada Tallow Exports'!Z$156</f>
        <v>0</v>
      </c>
      <c r="T21" s="57">
        <f>'[2]Canada Tallow Exports'!AA$156</f>
        <v>0</v>
      </c>
      <c r="U21" s="57">
        <f>'[2]Canada Tallow Exports'!AB$156</f>
        <v>0</v>
      </c>
      <c r="V21" s="57">
        <f>'[2]Canada Tallow Exports'!AC$156</f>
        <v>0</v>
      </c>
      <c r="W21" s="57">
        <f>'[2]Canada Tallow Exports'!AD$156</f>
        <v>0</v>
      </c>
      <c r="X21" s="57">
        <f>'[2]Canada Tallow Exports'!AE$156</f>
        <v>0</v>
      </c>
      <c r="Y21" s="58">
        <f>'[2]Canada Tallow Exports'!AF$156</f>
        <v>0</v>
      </c>
      <c r="AE21" s="57">
        <f>'[2]Australia Tallow Exports'!N$156</f>
        <v>0</v>
      </c>
      <c r="AF21" s="57">
        <f>'[2]Australia Tallow Exports'!O$156</f>
        <v>100</v>
      </c>
      <c r="AG21" s="57">
        <f>'[2]Australia Tallow Exports'!P$156</f>
        <v>0</v>
      </c>
      <c r="AH21" s="57">
        <f>'[2]Australia Tallow Exports'!Q$156</f>
        <v>0</v>
      </c>
      <c r="AI21" s="57">
        <f>'[2]Australia Tallow Exports'!R$156</f>
        <v>0</v>
      </c>
      <c r="AJ21" s="57">
        <f>'[2]Australia Tallow Exports'!S$156</f>
        <v>0</v>
      </c>
      <c r="AK21" s="57">
        <f>'[2]Australia Tallow Exports'!T$156</f>
        <v>0</v>
      </c>
      <c r="AL21" s="57">
        <f>'[2]Australia Tallow Exports'!U$156</f>
        <v>0</v>
      </c>
      <c r="AM21" s="57">
        <f>'[2]Australia Tallow Exports'!V$156</f>
        <v>0</v>
      </c>
      <c r="AN21" s="57">
        <f>'[2]Australia Tallow Exports'!W$156</f>
        <v>0</v>
      </c>
      <c r="AO21" s="57">
        <f>'[2]Australia Tallow Exports'!X$156</f>
        <v>0</v>
      </c>
      <c r="AP21" s="57">
        <f>'[2]Australia Tallow Exports'!Y$156</f>
        <v>0</v>
      </c>
      <c r="AQ21" s="57">
        <f>'[2]Australia Tallow Exports'!Z$156</f>
        <v>0</v>
      </c>
      <c r="AR21" s="57">
        <f>'[2]Australia Tallow Exports'!AA$156</f>
        <v>64</v>
      </c>
      <c r="AS21" s="57">
        <f>'[2]Australia Tallow Exports'!AB$156</f>
        <v>0</v>
      </c>
      <c r="AT21" s="57">
        <f>'[2]Australia Tallow Exports'!AC$156</f>
        <v>0</v>
      </c>
      <c r="AU21" s="57">
        <f>'[2]Australia Tallow Exports'!AD$156</f>
        <v>5</v>
      </c>
      <c r="AV21" s="57">
        <f>'[2]Australia Tallow Exports'!AE$156</f>
        <v>0</v>
      </c>
      <c r="AW21" s="58">
        <f>'[2]Australia Tallow Exports'!AF$156</f>
        <v>0</v>
      </c>
      <c r="BC21" s="57">
        <f>'[2]New Zealand Tallow Exports'!N$156</f>
        <v>0</v>
      </c>
      <c r="BD21" s="57">
        <f>'[2]New Zealand Tallow Exports'!O$156</f>
        <v>74</v>
      </c>
      <c r="BE21" s="57">
        <f>'[2]New Zealand Tallow Exports'!P$156</f>
        <v>41</v>
      </c>
      <c r="BF21" s="57">
        <f>'[2]New Zealand Tallow Exports'!Q$156</f>
        <v>19</v>
      </c>
      <c r="BG21" s="57">
        <f>'[2]New Zealand Tallow Exports'!R$156</f>
        <v>52</v>
      </c>
      <c r="BH21" s="57">
        <f>'[2]New Zealand Tallow Exports'!S$156</f>
        <v>0</v>
      </c>
      <c r="BI21" s="57">
        <f>'[2]New Zealand Tallow Exports'!T$156</f>
        <v>126</v>
      </c>
      <c r="BJ21" s="57">
        <f>'[2]New Zealand Tallow Exports'!U$156</f>
        <v>0</v>
      </c>
      <c r="BK21" s="57">
        <f>'[2]New Zealand Tallow Exports'!V$156</f>
        <v>32</v>
      </c>
      <c r="BL21" s="57">
        <f>'[2]New Zealand Tallow Exports'!W$156</f>
        <v>0</v>
      </c>
      <c r="BM21" s="57">
        <f>'[2]New Zealand Tallow Exports'!X$156</f>
        <v>0</v>
      </c>
      <c r="BN21" s="57">
        <f>'[2]New Zealand Tallow Exports'!Y$156</f>
        <v>0</v>
      </c>
      <c r="BO21" s="57">
        <f>'[2]New Zealand Tallow Exports'!Z$156</f>
        <v>0</v>
      </c>
      <c r="BP21" s="57">
        <f>'[2]New Zealand Tallow Exports'!AA$156</f>
        <v>33</v>
      </c>
      <c r="BQ21" s="57">
        <f>'[2]New Zealand Tallow Exports'!AB$156</f>
        <v>67</v>
      </c>
      <c r="BR21" s="57">
        <f>'[2]New Zealand Tallow Exports'!AC$156</f>
        <v>275</v>
      </c>
      <c r="BS21" s="57">
        <f>'[2]New Zealand Tallow Exports'!AD$156</f>
        <v>470</v>
      </c>
      <c r="BT21" s="57">
        <f>'[2]New Zealand Tallow Exports'!AE$156</f>
        <v>0</v>
      </c>
      <c r="BU21" s="58">
        <f>'[2]New Zealand Tallow Exports'!AF$156</f>
        <v>0</v>
      </c>
      <c r="BX21" s="57">
        <f>'[2]Paraguay Tallow Exports'!K$156</f>
        <v>0</v>
      </c>
      <c r="BY21" s="57">
        <f>'[2]Paraguay Tallow Exports'!L$156</f>
        <v>0</v>
      </c>
      <c r="BZ21" s="57">
        <f>'[2]Paraguay Tallow Exports'!M$156</f>
        <v>0</v>
      </c>
      <c r="CA21" s="57">
        <f>'[2]Paraguay Tallow Exports'!N$156</f>
        <v>0</v>
      </c>
      <c r="CB21" s="57">
        <f>'[2]Paraguay Tallow Exports'!O$156</f>
        <v>0</v>
      </c>
      <c r="CC21" s="57">
        <f>'[2]Paraguay Tallow Exports'!P$156</f>
        <v>0</v>
      </c>
      <c r="CD21" s="57">
        <f>'[2]Paraguay Tallow Exports'!Q$156</f>
        <v>0</v>
      </c>
      <c r="CE21" s="57">
        <f>'[2]Paraguay Tallow Exports'!R$156</f>
        <v>0</v>
      </c>
      <c r="CF21" s="57">
        <f>'[2]Paraguay Tallow Exports'!S$156</f>
        <v>150</v>
      </c>
      <c r="CG21" s="57">
        <f>'[2]Paraguay Tallow Exports'!T$156</f>
        <v>0</v>
      </c>
      <c r="CH21" s="57">
        <f>'[2]Paraguay Tallow Exports'!U$156</f>
        <v>0</v>
      </c>
      <c r="CI21" s="57">
        <f>'[2]Paraguay Tallow Exports'!V$156</f>
        <v>0</v>
      </c>
      <c r="CJ21" s="57">
        <f>'[2]Paraguay Tallow Exports'!W$156</f>
        <v>0</v>
      </c>
      <c r="CK21" s="57">
        <f>'[2]Paraguay Tallow Exports'!X$156</f>
        <v>0</v>
      </c>
      <c r="CL21" s="57">
        <f>'[2]Paraguay Tallow Exports'!Y$156</f>
        <v>0</v>
      </c>
      <c r="CM21" s="57">
        <f>'[2]Paraguay Tallow Exports'!Z$156</f>
        <v>68</v>
      </c>
      <c r="CN21" s="57">
        <f>'[2]Paraguay Tallow Exports'!AA$156</f>
        <v>78</v>
      </c>
      <c r="CO21" s="57">
        <f>'[2]Paraguay Tallow Exports'!AB$156</f>
        <v>132</v>
      </c>
      <c r="CP21" s="57">
        <f>'[2]Paraguay Tallow Exports'!AC$156</f>
        <v>0</v>
      </c>
      <c r="CQ21" s="57">
        <f>'[2]Paraguay Tallow Exports'!AD$156</f>
        <v>0</v>
      </c>
      <c r="CR21" s="58">
        <v>0</v>
      </c>
      <c r="DE21" s="57">
        <f>'[2]Brazil Tallow Exports'!U$156</f>
        <v>0</v>
      </c>
      <c r="DF21" s="57">
        <f>'[2]Brazil Tallow Exports'!V$156</f>
        <v>0</v>
      </c>
      <c r="DG21" s="57">
        <f>'[2]Brazil Tallow Exports'!W$156</f>
        <v>0</v>
      </c>
      <c r="DH21" s="57">
        <f>'[2]Brazil Tallow Exports'!X$156</f>
        <v>0</v>
      </c>
      <c r="DI21" s="57">
        <f>'[2]Brazil Tallow Exports'!Y$156</f>
        <v>0</v>
      </c>
      <c r="DJ21" s="57">
        <f>'[2]Brazil Tallow Exports'!Z$156</f>
        <v>0</v>
      </c>
      <c r="DK21" s="57">
        <f>'[2]Brazil Tallow Exports'!AA$156</f>
        <v>0</v>
      </c>
      <c r="DL21" s="57">
        <f>'[2]Brazil Tallow Exports'!AB$156</f>
        <v>0</v>
      </c>
      <c r="DM21" s="57">
        <f>'[2]Brazil Tallow Exports'!AC$156</f>
        <v>0</v>
      </c>
      <c r="DN21" s="57">
        <f>'[2]Brazil Tallow Exports'!AD$156</f>
        <v>28</v>
      </c>
      <c r="DO21" s="57">
        <f>'[2]Brazil Tallow Exports'!AE$156</f>
        <v>0</v>
      </c>
      <c r="DP21" s="58">
        <f>'[2]Brazil Tallow Exports'!AF$156</f>
        <v>0</v>
      </c>
      <c r="EB21" s="57">
        <f t="shared" si="0"/>
        <v>0</v>
      </c>
      <c r="EC21" s="57">
        <f t="shared" si="0"/>
        <v>32</v>
      </c>
      <c r="ED21" s="57">
        <f t="shared" si="0"/>
        <v>0</v>
      </c>
      <c r="EE21" s="57">
        <f t="shared" si="0"/>
        <v>0</v>
      </c>
      <c r="EF21" s="57">
        <f t="shared" si="0"/>
        <v>0</v>
      </c>
      <c r="EG21" s="57">
        <f t="shared" si="0"/>
        <v>68</v>
      </c>
      <c r="EH21" s="57">
        <f t="shared" si="0"/>
        <v>175</v>
      </c>
      <c r="EI21" s="57">
        <f t="shared" si="0"/>
        <v>199</v>
      </c>
      <c r="EJ21" s="57">
        <f t="shared" si="0"/>
        <v>275</v>
      </c>
      <c r="EK21" s="57">
        <f t="shared" si="0"/>
        <v>503</v>
      </c>
      <c r="EL21" s="57">
        <f t="shared" si="0"/>
        <v>0</v>
      </c>
      <c r="EM21" s="57">
        <f t="shared" si="0"/>
        <v>0</v>
      </c>
      <c r="EN21" s="60">
        <f t="shared" si="16"/>
        <v>0</v>
      </c>
      <c r="EO21" s="60">
        <f t="shared" si="16"/>
        <v>0</v>
      </c>
      <c r="EP21" s="60">
        <f t="shared" si="16"/>
        <v>0</v>
      </c>
      <c r="EQ21" s="60">
        <f t="shared" si="16"/>
        <v>0</v>
      </c>
      <c r="ER21" s="60">
        <f t="shared" si="16"/>
        <v>0</v>
      </c>
      <c r="ES21" s="60">
        <f t="shared" si="16"/>
        <v>0</v>
      </c>
      <c r="ET21" s="60">
        <f t="shared" si="16"/>
        <v>0</v>
      </c>
      <c r="EU21" s="60">
        <f t="shared" si="16"/>
        <v>0</v>
      </c>
      <c r="EV21" s="60">
        <f t="shared" si="16"/>
        <v>0</v>
      </c>
      <c r="EW21" s="60">
        <f t="shared" si="16"/>
        <v>0</v>
      </c>
      <c r="EX21" s="60">
        <f t="shared" si="16"/>
        <v>0</v>
      </c>
      <c r="EY21" s="60">
        <f t="shared" si="16"/>
        <v>0</v>
      </c>
      <c r="EZ21" s="60">
        <f t="shared" si="16"/>
        <v>0</v>
      </c>
      <c r="FA21" s="60">
        <f t="shared" si="16"/>
        <v>0</v>
      </c>
      <c r="FB21" s="60">
        <f t="shared" si="16"/>
        <v>0</v>
      </c>
      <c r="FC21" s="60">
        <f t="shared" si="16"/>
        <v>0</v>
      </c>
      <c r="FD21" s="60">
        <f t="shared" si="16"/>
        <v>0</v>
      </c>
      <c r="FE21" s="60">
        <f t="shared" si="16"/>
        <v>0</v>
      </c>
      <c r="FF21" s="60">
        <f t="shared" si="16"/>
        <v>0</v>
      </c>
      <c r="FG21" s="60">
        <f t="shared" si="16"/>
        <v>0</v>
      </c>
      <c r="FH21" s="60">
        <f t="shared" si="16"/>
        <v>0</v>
      </c>
      <c r="FI21" s="60">
        <f t="shared" si="16"/>
        <v>0</v>
      </c>
      <c r="FJ21" s="60">
        <f t="shared" si="16"/>
        <v>0</v>
      </c>
      <c r="FK21" s="60">
        <f t="shared" si="16"/>
        <v>0</v>
      </c>
      <c r="FL21" s="60">
        <f t="shared" si="16"/>
        <v>0</v>
      </c>
      <c r="FM21" s="60">
        <f t="shared" si="16"/>
        <v>0</v>
      </c>
      <c r="FN21" s="60">
        <f t="shared" si="16"/>
        <v>0</v>
      </c>
    </row>
    <row r="22" spans="1:170">
      <c r="A22" s="44" t="s">
        <v>137</v>
      </c>
      <c r="B22" s="57">
        <f>'[2]Canada Tallow Exports'!I$74-SUM(B7:B21)</f>
        <v>43</v>
      </c>
      <c r="C22" s="57">
        <f>'[2]Canada Tallow Exports'!J$74-SUM(C7:C21)</f>
        <v>0</v>
      </c>
      <c r="D22" s="57">
        <f>'[2]Canada Tallow Exports'!K$74-SUM(D7:D21)</f>
        <v>0</v>
      </c>
      <c r="E22" s="57">
        <f>'[2]Canada Tallow Exports'!L$74-SUM(E7:E21)</f>
        <v>43516</v>
      </c>
      <c r="F22" s="57">
        <f>'[2]Canada Tallow Exports'!M$74-SUM(F7:F21)</f>
        <v>17009</v>
      </c>
      <c r="G22" s="57">
        <f>'[2]Canada Tallow Exports'!N$74-SUM(G7:G21)</f>
        <v>3030</v>
      </c>
      <c r="H22" s="57">
        <f>'[2]Canada Tallow Exports'!O$74-SUM(H7:H21)</f>
        <v>0</v>
      </c>
      <c r="I22" s="57">
        <f>'[2]Canada Tallow Exports'!P$74-SUM(I7:I21)</f>
        <v>19</v>
      </c>
      <c r="J22" s="57">
        <f>'[2]Canada Tallow Exports'!Q$74-SUM(J7:J21)</f>
        <v>57</v>
      </c>
      <c r="K22" s="57">
        <f>'[2]Canada Tallow Exports'!R$74-SUM(K7:K21)</f>
        <v>5601</v>
      </c>
      <c r="L22" s="57">
        <f>'[2]Canada Tallow Exports'!S$74-SUM(L7:L21)</f>
        <v>123</v>
      </c>
      <c r="M22" s="57">
        <f>'[2]Canada Tallow Exports'!T$74-SUM(M7:M21)</f>
        <v>229</v>
      </c>
      <c r="N22" s="57">
        <f>'[2]Canada Tallow Exports'!U$74-SUM(N7:N21)</f>
        <v>0</v>
      </c>
      <c r="O22" s="57">
        <f>'[2]Canada Tallow Exports'!V$74-SUM(O7:O21)</f>
        <v>0</v>
      </c>
      <c r="P22" s="57">
        <f>'[2]Canada Tallow Exports'!W$74-SUM(P7:P21)</f>
        <v>0</v>
      </c>
      <c r="Q22" s="57">
        <f>'[2]Canada Tallow Exports'!X$74-SUM(Q7:Q21)</f>
        <v>0</v>
      </c>
      <c r="R22" s="57">
        <f>'[2]Canada Tallow Exports'!Y$74-SUM(R7:R21)</f>
        <v>0</v>
      </c>
      <c r="S22" s="57">
        <f>'[2]Canada Tallow Exports'!Z$74-SUM(S7:S21)</f>
        <v>0</v>
      </c>
      <c r="T22" s="57">
        <f>'[2]Canada Tallow Exports'!AA$74-SUM(T7:T21)</f>
        <v>0</v>
      </c>
      <c r="U22" s="57">
        <f>'[2]Canada Tallow Exports'!AB$74-SUM(U7:U21)</f>
        <v>0</v>
      </c>
      <c r="V22" s="57">
        <f>'[2]Canada Tallow Exports'!AC$74-SUM(V7:V21)</f>
        <v>92</v>
      </c>
      <c r="W22" s="57">
        <f>'[2]Canada Tallow Exports'!AD$74-SUM(W7:W21)</f>
        <v>85</v>
      </c>
      <c r="X22" s="57">
        <f>'[2]Canada Tallow Exports'!AE$74-SUM(X7:X21)</f>
        <v>0</v>
      </c>
      <c r="Y22" s="58">
        <f>'[2]Canada Tallow Exports'!AF$74-SUM(Y7:Y21)</f>
        <v>0</v>
      </c>
      <c r="AE22" s="57">
        <f>'[2]Australia Tallow Exports'!N$74-SUM(AE7:AE21)</f>
        <v>61021</v>
      </c>
      <c r="AF22" s="57">
        <f>'[2]Australia Tallow Exports'!O$74-SUM(AF7:AF21)</f>
        <v>54041</v>
      </c>
      <c r="AG22" s="57">
        <f>'[2]Australia Tallow Exports'!P$74-SUM(AG7:AG21)</f>
        <v>38553</v>
      </c>
      <c r="AH22" s="57">
        <f>'[2]Australia Tallow Exports'!Q$74-SUM(AH7:AH21)</f>
        <v>30406</v>
      </c>
      <c r="AI22" s="57">
        <f>'[2]Australia Tallow Exports'!R$74-SUM(AI7:AI21)</f>
        <v>27511</v>
      </c>
      <c r="AJ22" s="57">
        <f>'[2]Australia Tallow Exports'!S$74-SUM(AJ7:AJ21)</f>
        <v>56953</v>
      </c>
      <c r="AK22" s="57">
        <f>'[2]Australia Tallow Exports'!T$74-SUM(AK7:AK21)</f>
        <v>26558</v>
      </c>
      <c r="AL22" s="57">
        <f>'[2]Australia Tallow Exports'!U$74-SUM(AL7:AL21)</f>
        <v>30046</v>
      </c>
      <c r="AM22" s="57">
        <f>'[2]Australia Tallow Exports'!V$74-SUM(AM7:AM21)</f>
        <v>15756</v>
      </c>
      <c r="AN22" s="57">
        <f>'[2]Australia Tallow Exports'!W$74-SUM(AN7:AN21)</f>
        <v>19063</v>
      </c>
      <c r="AO22" s="57">
        <f>'[2]Australia Tallow Exports'!X$74-SUM(AO7:AO21)</f>
        <v>24515</v>
      </c>
      <c r="AP22" s="57">
        <f>'[2]Australia Tallow Exports'!Y$74-SUM(AP7:AP21)</f>
        <v>2848</v>
      </c>
      <c r="AQ22" s="57">
        <f>'[2]Australia Tallow Exports'!Z$74-SUM(AQ7:AQ21)</f>
        <v>13823</v>
      </c>
      <c r="AR22" s="57">
        <f>'[2]Australia Tallow Exports'!AA$74-SUM(AR7:AR21)</f>
        <v>5495</v>
      </c>
      <c r="AS22" s="57">
        <f>'[2]Australia Tallow Exports'!AB$74-SUM(AS7:AS21)</f>
        <v>2546</v>
      </c>
      <c r="AT22" s="57">
        <f>'[2]Australia Tallow Exports'!AC$74-SUM(AT7:AT21)</f>
        <v>920</v>
      </c>
      <c r="AU22" s="57">
        <f>'[2]Australia Tallow Exports'!AD$74-SUM(AU7:AU21)</f>
        <v>1049</v>
      </c>
      <c r="AV22" s="57">
        <f>'[2]Australia Tallow Exports'!AE$74-SUM(AV7:AV21)</f>
        <v>895</v>
      </c>
      <c r="AW22" s="58">
        <f>'[2]Australia Tallow Exports'!AF$74-SUM(AW7:AW21)</f>
        <v>750</v>
      </c>
      <c r="BC22" s="57">
        <f>'[2]New Zealand Tallow Exports'!N$74-SUM(BC7:BC21)</f>
        <v>16463</v>
      </c>
      <c r="BD22" s="57">
        <f>'[2]New Zealand Tallow Exports'!O$74-SUM(BD7:BD21)</f>
        <v>18237</v>
      </c>
      <c r="BE22" s="57">
        <f>'[2]New Zealand Tallow Exports'!P$74-SUM(BE7:BE21)</f>
        <v>15769</v>
      </c>
      <c r="BF22" s="57">
        <f>'[2]New Zealand Tallow Exports'!Q$74-SUM(BF7:BF21)</f>
        <v>13731</v>
      </c>
      <c r="BG22" s="57">
        <f>'[2]New Zealand Tallow Exports'!R$74-SUM(BG7:BG21)</f>
        <v>18229</v>
      </c>
      <c r="BH22" s="57">
        <f>'[2]New Zealand Tallow Exports'!S$74-SUM(BH7:BH21)</f>
        <v>15268</v>
      </c>
      <c r="BI22" s="57">
        <f>'[2]New Zealand Tallow Exports'!T$74-SUM(BI7:BI21)</f>
        <v>14865</v>
      </c>
      <c r="BJ22" s="57">
        <f>'[2]New Zealand Tallow Exports'!U$74-SUM(BJ7:BJ21)</f>
        <v>13062</v>
      </c>
      <c r="BK22" s="57">
        <f>'[2]New Zealand Tallow Exports'!V$74-SUM(BK7:BK21)</f>
        <v>8770</v>
      </c>
      <c r="BL22" s="57">
        <f>'[2]New Zealand Tallow Exports'!W$74-SUM(BL7:BL21)</f>
        <v>9495</v>
      </c>
      <c r="BM22" s="57">
        <f>'[2]New Zealand Tallow Exports'!X$74-SUM(BM7:BM21)</f>
        <v>6243</v>
      </c>
      <c r="BN22" s="57">
        <f>'[2]New Zealand Tallow Exports'!Y$74-SUM(BN7:BN21)</f>
        <v>9374</v>
      </c>
      <c r="BO22" s="57">
        <f>'[2]New Zealand Tallow Exports'!Z$74-SUM(BO7:BO21)</f>
        <v>7360</v>
      </c>
      <c r="BP22" s="57">
        <f>'[2]New Zealand Tallow Exports'!AA$74-SUM(BP7:BP21)</f>
        <v>4112</v>
      </c>
      <c r="BQ22" s="57">
        <f>'[2]New Zealand Tallow Exports'!AB$74-SUM(BQ7:BQ21)</f>
        <v>2185</v>
      </c>
      <c r="BR22" s="57">
        <f>'[2]New Zealand Tallow Exports'!AC$74-SUM(BR7:BR21)</f>
        <v>2360</v>
      </c>
      <c r="BS22" s="57">
        <f>'[2]New Zealand Tallow Exports'!AD$74-SUM(BS7:BS21)</f>
        <v>1438</v>
      </c>
      <c r="BT22" s="57">
        <f>'[2]New Zealand Tallow Exports'!AE$74-SUM(BT7:BT21)</f>
        <v>757</v>
      </c>
      <c r="BU22" s="58">
        <f>'[2]New Zealand Tallow Exports'!AF$74-SUM(BU7:BU21)</f>
        <v>802</v>
      </c>
      <c r="BX22" s="57">
        <f>'[2]Paraguay Tallow Exports'!K$74-SUM(BX7:BX21)</f>
        <v>0</v>
      </c>
      <c r="BY22" s="57">
        <f>'[2]Paraguay Tallow Exports'!L$74-SUM(BY7:BY21)</f>
        <v>0</v>
      </c>
      <c r="BZ22" s="57">
        <f>'[2]Paraguay Tallow Exports'!M$74-SUM(BZ7:BZ21)</f>
        <v>0</v>
      </c>
      <c r="CA22" s="57">
        <f>'[2]Paraguay Tallow Exports'!N$74-SUM(CA7:CA21)</f>
        <v>1</v>
      </c>
      <c r="CB22" s="57">
        <f>'[2]Paraguay Tallow Exports'!O$74-SUM(CB7:CB21)</f>
        <v>0</v>
      </c>
      <c r="CC22" s="57">
        <f>'[2]Paraguay Tallow Exports'!P$74-SUM(CC7:CC21)</f>
        <v>0</v>
      </c>
      <c r="CD22" s="57">
        <f>'[2]Paraguay Tallow Exports'!Q$74-SUM(CD7:CD21)</f>
        <v>328</v>
      </c>
      <c r="CE22" s="57">
        <f>'[2]Paraguay Tallow Exports'!R$74-SUM(CE7:CE21)</f>
        <v>93</v>
      </c>
      <c r="CF22" s="57">
        <f>'[2]Paraguay Tallow Exports'!S$74-SUM(CF7:CF21)</f>
        <v>109</v>
      </c>
      <c r="CG22" s="57">
        <f>'[2]Paraguay Tallow Exports'!T$74-SUM(CG7:CG21)</f>
        <v>84</v>
      </c>
      <c r="CH22" s="57">
        <f>'[2]Paraguay Tallow Exports'!U$74-SUM(CH7:CH21)</f>
        <v>52</v>
      </c>
      <c r="CI22" s="57">
        <f>'[2]Paraguay Tallow Exports'!V$74-SUM(CI7:CI21)</f>
        <v>76</v>
      </c>
      <c r="CJ22" s="57">
        <f>'[2]Paraguay Tallow Exports'!W$74-SUM(CJ7:CJ21)</f>
        <v>59</v>
      </c>
      <c r="CK22" s="57">
        <f>'[2]Paraguay Tallow Exports'!X$74-SUM(CK7:CK21)</f>
        <v>67</v>
      </c>
      <c r="CL22" s="57">
        <f>'[2]Paraguay Tallow Exports'!Y$74-SUM(CL7:CL21)</f>
        <v>239</v>
      </c>
      <c r="CM22" s="57">
        <f>'[2]Paraguay Tallow Exports'!Z$74-SUM(CM7:CM21)</f>
        <v>334</v>
      </c>
      <c r="CN22" s="57">
        <f>'[2]Paraguay Tallow Exports'!AA$74-SUM(CN7:CN21)</f>
        <v>104</v>
      </c>
      <c r="CO22" s="57">
        <f>'[2]Paraguay Tallow Exports'!AB$74-SUM(CO7:CO21)</f>
        <v>244</v>
      </c>
      <c r="CP22" s="57">
        <f>'[2]Paraguay Tallow Exports'!AC$74-SUM(CP7:CP21)</f>
        <v>235</v>
      </c>
      <c r="CQ22" s="57">
        <f>'[2]Paraguay Tallow Exports'!AD$74-SUM(CQ7:CQ21)</f>
        <v>362</v>
      </c>
      <c r="CR22" s="58">
        <f>FORECAST(CR$41,CM22:CQ22,CM$41:CQ$41)</f>
        <v>397.76813057524868</v>
      </c>
      <c r="DE22" s="57">
        <f>'[2]Brazil Tallow Exports'!U$74-SUM(DE7:DE21)</f>
        <v>216</v>
      </c>
      <c r="DF22" s="57">
        <f>'[2]Brazil Tallow Exports'!V$74-SUM(DF7:DF21)</f>
        <v>6701</v>
      </c>
      <c r="DG22" s="57">
        <f>'[2]Brazil Tallow Exports'!W$74-SUM(DG7:DG21)</f>
        <v>151</v>
      </c>
      <c r="DH22" s="57">
        <f>'[2]Brazil Tallow Exports'!X$74-SUM(DH7:DH21)</f>
        <v>224</v>
      </c>
      <c r="DI22" s="57">
        <f>'[2]Brazil Tallow Exports'!Y$74-SUM(DI7:DI21)</f>
        <v>247</v>
      </c>
      <c r="DJ22" s="57">
        <f>'[2]Brazil Tallow Exports'!Z$74-SUM(DJ7:DJ21)</f>
        <v>716</v>
      </c>
      <c r="DK22" s="57">
        <f>'[2]Brazil Tallow Exports'!AA$74-SUM(DK7:DK21)</f>
        <v>692</v>
      </c>
      <c r="DL22" s="57">
        <f>'[2]Brazil Tallow Exports'!AB$74-SUM(DL7:DL21)</f>
        <v>1118</v>
      </c>
      <c r="DM22" s="57">
        <f>'[2]Brazil Tallow Exports'!AC$74-SUM(DM7:DM21)</f>
        <v>1176</v>
      </c>
      <c r="DN22" s="57">
        <f>'[2]Brazil Tallow Exports'!AD$74-SUM(DN7:DN21)</f>
        <v>1465</v>
      </c>
      <c r="DO22" s="57">
        <f>'[2]Brazil Tallow Exports'!AE$74-SUM(DO7:DO21)</f>
        <v>1500</v>
      </c>
      <c r="DP22" s="58">
        <f>'[2]Brazil Tallow Exports'!AF$74-SUM(DP7:DP21)</f>
        <v>900</v>
      </c>
      <c r="EB22" s="57">
        <f t="shared" si="0"/>
        <v>43376</v>
      </c>
      <c r="EC22" s="57">
        <f t="shared" si="0"/>
        <v>31303</v>
      </c>
      <c r="ED22" s="57">
        <f t="shared" si="0"/>
        <v>28768</v>
      </c>
      <c r="EE22" s="57">
        <f t="shared" si="0"/>
        <v>31049</v>
      </c>
      <c r="EF22" s="57">
        <f t="shared" si="0"/>
        <v>12708</v>
      </c>
      <c r="EG22" s="57">
        <f t="shared" si="0"/>
        <v>22233</v>
      </c>
      <c r="EH22" s="57">
        <f t="shared" si="0"/>
        <v>10403</v>
      </c>
      <c r="EI22" s="57">
        <f t="shared" si="0"/>
        <v>6093</v>
      </c>
      <c r="EJ22" s="57">
        <f t="shared" si="0"/>
        <v>4783</v>
      </c>
      <c r="EK22" s="57">
        <f t="shared" si="0"/>
        <v>4399</v>
      </c>
      <c r="EL22" s="57">
        <f t="shared" si="0"/>
        <v>3549.7681305752485</v>
      </c>
      <c r="EM22" s="57">
        <f t="shared" si="0"/>
        <v>2452</v>
      </c>
      <c r="EN22" s="60">
        <f t="shared" si="16"/>
        <v>0</v>
      </c>
      <c r="EO22" s="60">
        <f t="shared" si="16"/>
        <v>0</v>
      </c>
      <c r="EP22" s="60">
        <f t="shared" si="16"/>
        <v>0</v>
      </c>
      <c r="EQ22" s="60">
        <f t="shared" si="16"/>
        <v>0</v>
      </c>
      <c r="ER22" s="60">
        <f t="shared" si="16"/>
        <v>0</v>
      </c>
      <c r="ES22" s="60">
        <f t="shared" si="16"/>
        <v>0</v>
      </c>
      <c r="ET22" s="60">
        <f t="shared" si="16"/>
        <v>0</v>
      </c>
      <c r="EU22" s="60">
        <f t="shared" si="16"/>
        <v>0</v>
      </c>
      <c r="EV22" s="60">
        <f t="shared" si="16"/>
        <v>0</v>
      </c>
      <c r="EW22" s="60">
        <f t="shared" si="16"/>
        <v>0</v>
      </c>
      <c r="EX22" s="60">
        <f t="shared" si="16"/>
        <v>0</v>
      </c>
      <c r="EY22" s="60">
        <f t="shared" si="16"/>
        <v>0</v>
      </c>
      <c r="EZ22" s="60">
        <f t="shared" si="16"/>
        <v>0</v>
      </c>
      <c r="FA22" s="60">
        <f t="shared" si="16"/>
        <v>0</v>
      </c>
      <c r="FB22" s="60">
        <f t="shared" si="16"/>
        <v>0</v>
      </c>
      <c r="FC22" s="60">
        <f t="shared" si="16"/>
        <v>0</v>
      </c>
      <c r="FD22" s="60">
        <f t="shared" si="16"/>
        <v>0</v>
      </c>
      <c r="FE22" s="60">
        <f t="shared" si="16"/>
        <v>0</v>
      </c>
      <c r="FF22" s="60">
        <f t="shared" si="16"/>
        <v>0</v>
      </c>
      <c r="FG22" s="60">
        <f t="shared" si="16"/>
        <v>0</v>
      </c>
      <c r="FH22" s="60">
        <f t="shared" si="16"/>
        <v>0</v>
      </c>
      <c r="FI22" s="60">
        <f t="shared" si="16"/>
        <v>0</v>
      </c>
      <c r="FJ22" s="60">
        <f t="shared" si="16"/>
        <v>0</v>
      </c>
      <c r="FK22" s="60">
        <f t="shared" si="16"/>
        <v>0</v>
      </c>
      <c r="FL22" s="60">
        <f t="shared" si="16"/>
        <v>0</v>
      </c>
      <c r="FM22" s="60">
        <f t="shared" si="16"/>
        <v>0</v>
      </c>
      <c r="FN22" s="60">
        <f t="shared" si="16"/>
        <v>0</v>
      </c>
    </row>
    <row r="23" spans="1:170">
      <c r="A23" s="44" t="s">
        <v>138</v>
      </c>
      <c r="B23" s="57">
        <f>'[2]Canada Tallow Exports'!I$165</f>
        <v>6006</v>
      </c>
      <c r="C23" s="57">
        <f>'[2]Canada Tallow Exports'!J$165</f>
        <v>0</v>
      </c>
      <c r="D23" s="57">
        <f>'[2]Canada Tallow Exports'!K$165</f>
        <v>0</v>
      </c>
      <c r="E23" s="57">
        <f>'[2]Canada Tallow Exports'!L$165</f>
        <v>0</v>
      </c>
      <c r="F23" s="57">
        <f>'[2]Canada Tallow Exports'!M$165</f>
        <v>0</v>
      </c>
      <c r="G23" s="57">
        <f>'[2]Canada Tallow Exports'!N$165</f>
        <v>0</v>
      </c>
      <c r="H23" s="57">
        <f>'[2]Canada Tallow Exports'!O$165</f>
        <v>0</v>
      </c>
      <c r="I23" s="57">
        <f>'[2]Canada Tallow Exports'!P$165</f>
        <v>0</v>
      </c>
      <c r="J23" s="57">
        <f>'[2]Canada Tallow Exports'!Q$165</f>
        <v>0</v>
      </c>
      <c r="K23" s="57">
        <f>'[2]Canada Tallow Exports'!R$165</f>
        <v>0</v>
      </c>
      <c r="L23" s="57">
        <f>'[2]Canada Tallow Exports'!S$165</f>
        <v>0</v>
      </c>
      <c r="M23" s="57">
        <f>'[2]Canada Tallow Exports'!T$165</f>
        <v>0</v>
      </c>
      <c r="N23" s="57">
        <f>'[2]Canada Tallow Exports'!U$165</f>
        <v>0</v>
      </c>
      <c r="O23" s="57">
        <f>'[2]Canada Tallow Exports'!V$165</f>
        <v>0</v>
      </c>
      <c r="P23" s="57">
        <f>'[2]Canada Tallow Exports'!W$165</f>
        <v>0</v>
      </c>
      <c r="Q23" s="57">
        <f>'[2]Canada Tallow Exports'!X$165</f>
        <v>0</v>
      </c>
      <c r="R23" s="57">
        <f>'[2]Canada Tallow Exports'!Y$165</f>
        <v>0</v>
      </c>
      <c r="S23" s="57">
        <f>'[2]Canada Tallow Exports'!Z$165</f>
        <v>0</v>
      </c>
      <c r="T23" s="57">
        <f>'[2]Canada Tallow Exports'!AA$165</f>
        <v>0</v>
      </c>
      <c r="U23" s="57">
        <f>'[2]Canada Tallow Exports'!AB$165</f>
        <v>0</v>
      </c>
      <c r="V23" s="57">
        <f>'[2]Canada Tallow Exports'!AC$165</f>
        <v>0</v>
      </c>
      <c r="W23" s="57">
        <f>'[2]Canada Tallow Exports'!AD$165</f>
        <v>0</v>
      </c>
      <c r="X23" s="57">
        <f>'[2]Canada Tallow Exports'!AE$165</f>
        <v>0</v>
      </c>
      <c r="Y23" s="58">
        <f>'[2]Canada Tallow Exports'!AF$165</f>
        <v>0</v>
      </c>
      <c r="AE23" s="57">
        <f>'[2]Australia Tallow Exports'!N$165</f>
        <v>0</v>
      </c>
      <c r="AF23" s="57">
        <f>'[2]Australia Tallow Exports'!O$165</f>
        <v>0</v>
      </c>
      <c r="AG23" s="57">
        <f>'[2]Australia Tallow Exports'!P$165</f>
        <v>0</v>
      </c>
      <c r="AH23" s="57">
        <f>'[2]Australia Tallow Exports'!Q$165</f>
        <v>0</v>
      </c>
      <c r="AI23" s="57">
        <f>'[2]Australia Tallow Exports'!R$165</f>
        <v>0</v>
      </c>
      <c r="AJ23" s="57">
        <f>'[2]Australia Tallow Exports'!S$165</f>
        <v>0</v>
      </c>
      <c r="AK23" s="57">
        <f>'[2]Australia Tallow Exports'!T$165</f>
        <v>0</v>
      </c>
      <c r="AL23" s="57">
        <f>'[2]Australia Tallow Exports'!U$165</f>
        <v>0</v>
      </c>
      <c r="AM23" s="57">
        <f>'[2]Australia Tallow Exports'!V$165</f>
        <v>0</v>
      </c>
      <c r="AN23" s="57">
        <f>'[2]Australia Tallow Exports'!W$165</f>
        <v>0</v>
      </c>
      <c r="AO23" s="57">
        <f>'[2]Australia Tallow Exports'!X$165</f>
        <v>0</v>
      </c>
      <c r="AP23" s="57">
        <f>'[2]Australia Tallow Exports'!Y$165</f>
        <v>0</v>
      </c>
      <c r="AQ23" s="57">
        <f>'[2]Australia Tallow Exports'!Z$165</f>
        <v>0</v>
      </c>
      <c r="AR23" s="57">
        <f>'[2]Australia Tallow Exports'!AA$165</f>
        <v>0</v>
      </c>
      <c r="AS23" s="57">
        <f>'[2]Australia Tallow Exports'!AB$165</f>
        <v>0</v>
      </c>
      <c r="AT23" s="57">
        <f>'[2]Australia Tallow Exports'!AC$165</f>
        <v>0</v>
      </c>
      <c r="AU23" s="57">
        <f>'[2]Australia Tallow Exports'!AD$165</f>
        <v>0</v>
      </c>
      <c r="AV23" s="57">
        <f>'[2]Australia Tallow Exports'!AE$165</f>
        <v>0</v>
      </c>
      <c r="AW23" s="58">
        <f>'[2]Australia Tallow Exports'!AF$165</f>
        <v>0</v>
      </c>
      <c r="BC23" s="57">
        <f>'[2]New Zealand Tallow Exports'!N$165</f>
        <v>0</v>
      </c>
      <c r="BD23" s="57">
        <f>'[2]New Zealand Tallow Exports'!O$165</f>
        <v>0</v>
      </c>
      <c r="BE23" s="57">
        <f>'[2]New Zealand Tallow Exports'!P$165</f>
        <v>0</v>
      </c>
      <c r="BF23" s="57">
        <f>'[2]New Zealand Tallow Exports'!Q$165</f>
        <v>0</v>
      </c>
      <c r="BG23" s="57">
        <f>'[2]New Zealand Tallow Exports'!R$165</f>
        <v>0</v>
      </c>
      <c r="BH23" s="57">
        <f>'[2]New Zealand Tallow Exports'!S$165</f>
        <v>0</v>
      </c>
      <c r="BI23" s="57">
        <f>'[2]New Zealand Tallow Exports'!T$165</f>
        <v>0</v>
      </c>
      <c r="BJ23" s="57">
        <f>'[2]New Zealand Tallow Exports'!U$165</f>
        <v>0</v>
      </c>
      <c r="BK23" s="57">
        <f>'[2]New Zealand Tallow Exports'!V$165</f>
        <v>0</v>
      </c>
      <c r="BL23" s="57">
        <f>'[2]New Zealand Tallow Exports'!W$165</f>
        <v>0</v>
      </c>
      <c r="BM23" s="57">
        <f>'[2]New Zealand Tallow Exports'!X$165</f>
        <v>0</v>
      </c>
      <c r="BN23" s="57">
        <f>'[2]New Zealand Tallow Exports'!Y$165</f>
        <v>0</v>
      </c>
      <c r="BO23" s="57">
        <f>'[2]New Zealand Tallow Exports'!Z$165</f>
        <v>0</v>
      </c>
      <c r="BP23" s="57">
        <f>'[2]New Zealand Tallow Exports'!AA$165</f>
        <v>0</v>
      </c>
      <c r="BQ23" s="57">
        <f>'[2]New Zealand Tallow Exports'!AB$165</f>
        <v>0</v>
      </c>
      <c r="BR23" s="57">
        <f>'[2]New Zealand Tallow Exports'!AC$165</f>
        <v>0</v>
      </c>
      <c r="BS23" s="57">
        <f>'[2]New Zealand Tallow Exports'!AD$165</f>
        <v>0</v>
      </c>
      <c r="BT23" s="57">
        <f>'[2]New Zealand Tallow Exports'!AE$165</f>
        <v>0</v>
      </c>
      <c r="BU23" s="58">
        <f>'[2]New Zealand Tallow Exports'!AF$165</f>
        <v>0</v>
      </c>
      <c r="BX23" s="57">
        <f>'[2]Paraguay Tallow Exports'!K$165</f>
        <v>0</v>
      </c>
      <c r="BY23" s="57">
        <f>'[2]Paraguay Tallow Exports'!L$165</f>
        <v>0</v>
      </c>
      <c r="BZ23" s="57">
        <f>'[2]Paraguay Tallow Exports'!M$165</f>
        <v>0</v>
      </c>
      <c r="CA23" s="57">
        <f>'[2]Paraguay Tallow Exports'!N$165</f>
        <v>0</v>
      </c>
      <c r="CB23" s="57">
        <f>'[2]Paraguay Tallow Exports'!O$165</f>
        <v>0</v>
      </c>
      <c r="CC23" s="57">
        <f>'[2]Paraguay Tallow Exports'!P$165</f>
        <v>0</v>
      </c>
      <c r="CD23" s="57">
        <f>'[2]Paraguay Tallow Exports'!Q$165</f>
        <v>0</v>
      </c>
      <c r="CE23" s="57">
        <f>'[2]Paraguay Tallow Exports'!R$165</f>
        <v>0</v>
      </c>
      <c r="CF23" s="57">
        <f>'[2]Paraguay Tallow Exports'!S$165</f>
        <v>0</v>
      </c>
      <c r="CG23" s="57">
        <f>'[2]Paraguay Tallow Exports'!T$165</f>
        <v>0</v>
      </c>
      <c r="CH23" s="57">
        <f>'[2]Paraguay Tallow Exports'!U$165</f>
        <v>0</v>
      </c>
      <c r="CI23" s="57">
        <f>'[2]Paraguay Tallow Exports'!V$165</f>
        <v>0</v>
      </c>
      <c r="CJ23" s="57">
        <f>'[2]Paraguay Tallow Exports'!W$165</f>
        <v>0</v>
      </c>
      <c r="CK23" s="57">
        <f>'[2]Paraguay Tallow Exports'!X$165</f>
        <v>0</v>
      </c>
      <c r="CL23" s="57">
        <f>'[2]Paraguay Tallow Exports'!Y$165</f>
        <v>0</v>
      </c>
      <c r="CM23" s="57">
        <f>'[2]Paraguay Tallow Exports'!Z$165</f>
        <v>0</v>
      </c>
      <c r="CN23" s="57">
        <f>'[2]Paraguay Tallow Exports'!AA$165</f>
        <v>0</v>
      </c>
      <c r="CO23" s="57">
        <f>'[2]Paraguay Tallow Exports'!AB$165</f>
        <v>0</v>
      </c>
      <c r="CP23" s="57">
        <f>'[2]Paraguay Tallow Exports'!AC$165</f>
        <v>0</v>
      </c>
      <c r="CQ23" s="57">
        <f>'[2]Paraguay Tallow Exports'!AD$165</f>
        <v>0</v>
      </c>
      <c r="CR23" s="58">
        <f t="shared" si="4"/>
        <v>0</v>
      </c>
      <c r="DE23" s="57">
        <f>'[2]Brazil Tallow Exports'!U$165</f>
        <v>0</v>
      </c>
      <c r="DF23" s="57">
        <f>'[2]Brazil Tallow Exports'!V$165</f>
        <v>0</v>
      </c>
      <c r="DG23" s="57">
        <f>'[2]Brazil Tallow Exports'!W$165</f>
        <v>0</v>
      </c>
      <c r="DH23" s="57">
        <f>'[2]Brazil Tallow Exports'!X$165</f>
        <v>0</v>
      </c>
      <c r="DI23" s="57">
        <f>'[2]Brazil Tallow Exports'!Y$165</f>
        <v>0</v>
      </c>
      <c r="DJ23" s="57">
        <f>'[2]Brazil Tallow Exports'!Z$165</f>
        <v>0</v>
      </c>
      <c r="DK23" s="57">
        <f>'[2]Brazil Tallow Exports'!AA$165</f>
        <v>0</v>
      </c>
      <c r="DL23" s="57">
        <f>'[2]Brazil Tallow Exports'!AB$165</f>
        <v>0</v>
      </c>
      <c r="DM23" s="57">
        <f>'[2]Brazil Tallow Exports'!AC$165</f>
        <v>0</v>
      </c>
      <c r="DN23" s="57">
        <f>'[2]Brazil Tallow Exports'!AD$165</f>
        <v>0</v>
      </c>
      <c r="DO23" s="57">
        <f>'[2]Brazil Tallow Exports'!AE$165</f>
        <v>0</v>
      </c>
      <c r="DP23" s="58">
        <f>'[2]Brazil Tallow Exports'!AF$165</f>
        <v>0</v>
      </c>
      <c r="EB23" s="57">
        <f t="shared" si="0"/>
        <v>0</v>
      </c>
      <c r="EC23" s="57">
        <f t="shared" si="0"/>
        <v>0</v>
      </c>
      <c r="ED23" s="57">
        <f t="shared" si="0"/>
        <v>0</v>
      </c>
      <c r="EE23" s="57">
        <f t="shared" si="0"/>
        <v>0</v>
      </c>
      <c r="EF23" s="57">
        <f t="shared" si="0"/>
        <v>0</v>
      </c>
      <c r="EG23" s="57">
        <f t="shared" si="0"/>
        <v>0</v>
      </c>
      <c r="EH23" s="57">
        <f t="shared" si="0"/>
        <v>0</v>
      </c>
      <c r="EI23" s="57">
        <f t="shared" si="0"/>
        <v>0</v>
      </c>
      <c r="EJ23" s="57">
        <f t="shared" si="0"/>
        <v>0</v>
      </c>
      <c r="EK23" s="57">
        <f t="shared" si="0"/>
        <v>0</v>
      </c>
      <c r="EL23" s="57">
        <f t="shared" si="0"/>
        <v>0</v>
      </c>
      <c r="EM23" s="57">
        <f t="shared" si="0"/>
        <v>0</v>
      </c>
      <c r="EN23" s="60">
        <f t="shared" si="16"/>
        <v>0</v>
      </c>
      <c r="EO23" s="60">
        <f t="shared" si="16"/>
        <v>0</v>
      </c>
      <c r="EP23" s="60">
        <f t="shared" si="16"/>
        <v>0</v>
      </c>
      <c r="EQ23" s="60">
        <f t="shared" si="16"/>
        <v>0</v>
      </c>
      <c r="ER23" s="60">
        <f t="shared" si="16"/>
        <v>0</v>
      </c>
      <c r="ES23" s="60">
        <f t="shared" si="16"/>
        <v>0</v>
      </c>
      <c r="ET23" s="60">
        <f t="shared" si="16"/>
        <v>0</v>
      </c>
      <c r="EU23" s="60">
        <f t="shared" si="16"/>
        <v>0</v>
      </c>
      <c r="EV23" s="60">
        <f t="shared" si="16"/>
        <v>0</v>
      </c>
      <c r="EW23" s="60">
        <f t="shared" si="16"/>
        <v>0</v>
      </c>
      <c r="EX23" s="60">
        <f t="shared" si="16"/>
        <v>0</v>
      </c>
      <c r="EY23" s="60">
        <f t="shared" si="16"/>
        <v>0</v>
      </c>
      <c r="EZ23" s="60">
        <f t="shared" si="16"/>
        <v>0</v>
      </c>
      <c r="FA23" s="60">
        <f t="shared" si="16"/>
        <v>0</v>
      </c>
      <c r="FB23" s="60">
        <f t="shared" si="16"/>
        <v>0</v>
      </c>
      <c r="FC23" s="60">
        <f t="shared" si="16"/>
        <v>0</v>
      </c>
      <c r="FD23" s="60">
        <f t="shared" si="16"/>
        <v>0</v>
      </c>
      <c r="FE23" s="60">
        <f t="shared" si="16"/>
        <v>0</v>
      </c>
      <c r="FF23" s="60">
        <f t="shared" si="16"/>
        <v>0</v>
      </c>
      <c r="FG23" s="60">
        <f t="shared" si="16"/>
        <v>0</v>
      </c>
      <c r="FH23" s="60">
        <f t="shared" si="16"/>
        <v>0</v>
      </c>
      <c r="FI23" s="60">
        <f t="shared" si="16"/>
        <v>0</v>
      </c>
      <c r="FJ23" s="60">
        <f t="shared" si="16"/>
        <v>0</v>
      </c>
      <c r="FK23" s="60">
        <f t="shared" si="16"/>
        <v>0</v>
      </c>
      <c r="FL23" s="60">
        <f t="shared" si="16"/>
        <v>0</v>
      </c>
      <c r="FM23" s="60">
        <f t="shared" si="16"/>
        <v>0</v>
      </c>
      <c r="FN23" s="60">
        <f t="shared" si="16"/>
        <v>0</v>
      </c>
    </row>
    <row r="24" spans="1:170">
      <c r="A24" s="44" t="s">
        <v>139</v>
      </c>
      <c r="B24" s="57">
        <f>'[2]Canada Tallow Exports'!I$184</f>
        <v>0</v>
      </c>
      <c r="C24" s="57">
        <f>'[2]Canada Tallow Exports'!J$184</f>
        <v>0</v>
      </c>
      <c r="D24" s="57">
        <f>'[2]Canada Tallow Exports'!K$184</f>
        <v>0</v>
      </c>
      <c r="E24" s="57">
        <f>'[2]Canada Tallow Exports'!L$184</f>
        <v>0</v>
      </c>
      <c r="F24" s="57">
        <f>'[2]Canada Tallow Exports'!M$184</f>
        <v>0</v>
      </c>
      <c r="G24" s="57">
        <f>'[2]Canada Tallow Exports'!N$184</f>
        <v>0</v>
      </c>
      <c r="H24" s="57">
        <f>'[2]Canada Tallow Exports'!O$184</f>
        <v>0</v>
      </c>
      <c r="I24" s="57">
        <f>'[2]Canada Tallow Exports'!P$184</f>
        <v>0</v>
      </c>
      <c r="J24" s="57">
        <f>'[2]Canada Tallow Exports'!Q$184</f>
        <v>0</v>
      </c>
      <c r="K24" s="57">
        <f>'[2]Canada Tallow Exports'!R$184</f>
        <v>0</v>
      </c>
      <c r="L24" s="57">
        <f>'[2]Canada Tallow Exports'!S$184</f>
        <v>0</v>
      </c>
      <c r="M24" s="57">
        <f>'[2]Canada Tallow Exports'!T$184</f>
        <v>0</v>
      </c>
      <c r="N24" s="57">
        <f>'[2]Canada Tallow Exports'!U$184</f>
        <v>0</v>
      </c>
      <c r="O24" s="57">
        <f>'[2]Canada Tallow Exports'!V$184</f>
        <v>0</v>
      </c>
      <c r="P24" s="57">
        <f>'[2]Canada Tallow Exports'!W$184</f>
        <v>0</v>
      </c>
      <c r="Q24" s="57">
        <f>'[2]Canada Tallow Exports'!X$184</f>
        <v>0</v>
      </c>
      <c r="R24" s="57">
        <f>'[2]Canada Tallow Exports'!Y$184</f>
        <v>0</v>
      </c>
      <c r="S24" s="57">
        <f>'[2]Canada Tallow Exports'!Z$184</f>
        <v>0</v>
      </c>
      <c r="T24" s="57">
        <f>'[2]Canada Tallow Exports'!AA$184</f>
        <v>0</v>
      </c>
      <c r="U24" s="57">
        <f>'[2]Canada Tallow Exports'!AB$184</f>
        <v>0</v>
      </c>
      <c r="V24" s="57">
        <f>'[2]Canada Tallow Exports'!AC$184</f>
        <v>0</v>
      </c>
      <c r="W24" s="57">
        <f>'[2]Canada Tallow Exports'!AD$184</f>
        <v>0</v>
      </c>
      <c r="X24" s="57">
        <f>'[2]Canada Tallow Exports'!AE$184</f>
        <v>0</v>
      </c>
      <c r="Y24" s="58">
        <f>'[2]Canada Tallow Exports'!AF$184</f>
        <v>0</v>
      </c>
      <c r="AE24" s="57">
        <f>'[2]Australia Tallow Exports'!N$184</f>
        <v>0</v>
      </c>
      <c r="AF24" s="57">
        <f>'[2]Australia Tallow Exports'!O$184</f>
        <v>0</v>
      </c>
      <c r="AG24" s="57">
        <f>'[2]Australia Tallow Exports'!P$184</f>
        <v>0</v>
      </c>
      <c r="AH24" s="57">
        <f>'[2]Australia Tallow Exports'!Q$184</f>
        <v>0</v>
      </c>
      <c r="AI24" s="57">
        <f>'[2]Australia Tallow Exports'!R$184</f>
        <v>0</v>
      </c>
      <c r="AJ24" s="57">
        <f>'[2]Australia Tallow Exports'!S$184</f>
        <v>0</v>
      </c>
      <c r="AK24" s="57">
        <f>'[2]Australia Tallow Exports'!T$184</f>
        <v>0</v>
      </c>
      <c r="AL24" s="57">
        <f>'[2]Australia Tallow Exports'!U$184</f>
        <v>0</v>
      </c>
      <c r="AM24" s="57">
        <f>'[2]Australia Tallow Exports'!V$184</f>
        <v>0</v>
      </c>
      <c r="AN24" s="57">
        <f>'[2]Australia Tallow Exports'!W$184</f>
        <v>0</v>
      </c>
      <c r="AO24" s="57">
        <f>'[2]Australia Tallow Exports'!X$184</f>
        <v>0</v>
      </c>
      <c r="AP24" s="57">
        <f>'[2]Australia Tallow Exports'!Y$184</f>
        <v>0</v>
      </c>
      <c r="AQ24" s="57">
        <f>'[2]Australia Tallow Exports'!Z$184</f>
        <v>36</v>
      </c>
      <c r="AR24" s="57">
        <f>'[2]Australia Tallow Exports'!AA$184</f>
        <v>56</v>
      </c>
      <c r="AS24" s="57">
        <f>'[2]Australia Tallow Exports'!AB$184</f>
        <v>0</v>
      </c>
      <c r="AT24" s="57">
        <f>'[2]Australia Tallow Exports'!AC$184</f>
        <v>0</v>
      </c>
      <c r="AU24" s="57">
        <f>'[2]Australia Tallow Exports'!AD$184</f>
        <v>0</v>
      </c>
      <c r="AV24" s="57">
        <f>'[2]Australia Tallow Exports'!AE$184</f>
        <v>0</v>
      </c>
      <c r="AW24" s="58">
        <f>'[2]Australia Tallow Exports'!AF$184</f>
        <v>0</v>
      </c>
      <c r="BC24" s="57">
        <f>'[2]New Zealand Tallow Exports'!N$184</f>
        <v>0</v>
      </c>
      <c r="BD24" s="57">
        <f>'[2]New Zealand Tallow Exports'!O$184</f>
        <v>0</v>
      </c>
      <c r="BE24" s="57">
        <f>'[2]New Zealand Tallow Exports'!P$184</f>
        <v>0</v>
      </c>
      <c r="BF24" s="57">
        <f>'[2]New Zealand Tallow Exports'!Q$184</f>
        <v>0</v>
      </c>
      <c r="BG24" s="57">
        <f>'[2]New Zealand Tallow Exports'!R$184</f>
        <v>0</v>
      </c>
      <c r="BH24" s="57">
        <f>'[2]New Zealand Tallow Exports'!S$184</f>
        <v>0</v>
      </c>
      <c r="BI24" s="57">
        <f>'[2]New Zealand Tallow Exports'!T$184</f>
        <v>69</v>
      </c>
      <c r="BJ24" s="57">
        <f>'[2]New Zealand Tallow Exports'!U$184</f>
        <v>0</v>
      </c>
      <c r="BK24" s="57">
        <f>'[2]New Zealand Tallow Exports'!V$184</f>
        <v>0</v>
      </c>
      <c r="BL24" s="57">
        <f>'[2]New Zealand Tallow Exports'!W$184</f>
        <v>0</v>
      </c>
      <c r="BM24" s="57">
        <f>'[2]New Zealand Tallow Exports'!X$184</f>
        <v>0</v>
      </c>
      <c r="BN24" s="57">
        <f>'[2]New Zealand Tallow Exports'!Y$184</f>
        <v>0</v>
      </c>
      <c r="BO24" s="57">
        <f>'[2]New Zealand Tallow Exports'!Z$184</f>
        <v>0</v>
      </c>
      <c r="BP24" s="57">
        <f>'[2]New Zealand Tallow Exports'!AA$184</f>
        <v>0</v>
      </c>
      <c r="BQ24" s="57">
        <f>'[2]New Zealand Tallow Exports'!AB$184</f>
        <v>0</v>
      </c>
      <c r="BR24" s="57">
        <f>'[2]New Zealand Tallow Exports'!AC$184</f>
        <v>23</v>
      </c>
      <c r="BS24" s="57">
        <f>'[2]New Zealand Tallow Exports'!AD$184</f>
        <v>98</v>
      </c>
      <c r="BT24" s="57">
        <f>'[2]New Zealand Tallow Exports'!AE$184</f>
        <v>0</v>
      </c>
      <c r="BU24" s="58">
        <f>'[2]New Zealand Tallow Exports'!AF$184</f>
        <v>0</v>
      </c>
      <c r="BX24" s="57">
        <f>'[2]Paraguay Tallow Exports'!K$184</f>
        <v>0</v>
      </c>
      <c r="BY24" s="57">
        <f>'[2]Paraguay Tallow Exports'!L$184</f>
        <v>0</v>
      </c>
      <c r="BZ24" s="57">
        <f>'[2]Paraguay Tallow Exports'!M$184</f>
        <v>0</v>
      </c>
      <c r="CA24" s="57">
        <f>'[2]Paraguay Tallow Exports'!N$184</f>
        <v>0</v>
      </c>
      <c r="CB24" s="57">
        <f>'[2]Paraguay Tallow Exports'!O$184</f>
        <v>0</v>
      </c>
      <c r="CC24" s="57">
        <f>'[2]Paraguay Tallow Exports'!P$184</f>
        <v>0</v>
      </c>
      <c r="CD24" s="57">
        <f>'[2]Paraguay Tallow Exports'!Q$184</f>
        <v>0</v>
      </c>
      <c r="CE24" s="57">
        <f>'[2]Paraguay Tallow Exports'!R$184</f>
        <v>0</v>
      </c>
      <c r="CF24" s="57">
        <f>'[2]Paraguay Tallow Exports'!S$184</f>
        <v>0</v>
      </c>
      <c r="CG24" s="57">
        <f>'[2]Paraguay Tallow Exports'!T$184</f>
        <v>0</v>
      </c>
      <c r="CH24" s="57">
        <f>'[2]Paraguay Tallow Exports'!U$184</f>
        <v>0</v>
      </c>
      <c r="CI24" s="57">
        <f>'[2]Paraguay Tallow Exports'!V$184</f>
        <v>0</v>
      </c>
      <c r="CJ24" s="57">
        <f>'[2]Paraguay Tallow Exports'!W$184</f>
        <v>0</v>
      </c>
      <c r="CK24" s="57">
        <f>'[2]Paraguay Tallow Exports'!X$184</f>
        <v>0</v>
      </c>
      <c r="CL24" s="57">
        <f>'[2]Paraguay Tallow Exports'!Y$184</f>
        <v>0</v>
      </c>
      <c r="CM24" s="57">
        <f>'[2]Paraguay Tallow Exports'!Z$184</f>
        <v>0</v>
      </c>
      <c r="CN24" s="57">
        <f>'[2]Paraguay Tallow Exports'!AA$184</f>
        <v>112</v>
      </c>
      <c r="CO24" s="57">
        <f>'[2]Paraguay Tallow Exports'!AB$184</f>
        <v>1174</v>
      </c>
      <c r="CP24" s="57">
        <f>'[2]Paraguay Tallow Exports'!AC$184</f>
        <v>1640</v>
      </c>
      <c r="CQ24" s="57">
        <f>'[2]Paraguay Tallow Exports'!AD$184</f>
        <v>1929</v>
      </c>
      <c r="CR24" s="58">
        <f>FORECAST(CR$41,CM24:CQ24,CM$41:CQ$41)</f>
        <v>2134.9404257992837</v>
      </c>
      <c r="DE24" s="57">
        <f>'[2]Brazil Tallow Exports'!U$184</f>
        <v>0</v>
      </c>
      <c r="DF24" s="57">
        <f>'[2]Brazil Tallow Exports'!V$184</f>
        <v>0</v>
      </c>
      <c r="DG24" s="57">
        <f>'[2]Brazil Tallow Exports'!W$184</f>
        <v>0</v>
      </c>
      <c r="DH24" s="57">
        <f>'[2]Brazil Tallow Exports'!X$184</f>
        <v>0</v>
      </c>
      <c r="DI24" s="57">
        <f>'[2]Brazil Tallow Exports'!Y$184</f>
        <v>0</v>
      </c>
      <c r="DJ24" s="57">
        <f>'[2]Brazil Tallow Exports'!Z$184</f>
        <v>0</v>
      </c>
      <c r="DK24" s="57">
        <f>'[2]Brazil Tallow Exports'!AA$184</f>
        <v>285</v>
      </c>
      <c r="DL24" s="57">
        <f>'[2]Brazil Tallow Exports'!AB$184</f>
        <v>532</v>
      </c>
      <c r="DM24" s="57">
        <f>'[2]Brazil Tallow Exports'!AC$184</f>
        <v>603</v>
      </c>
      <c r="DN24" s="57">
        <f>'[2]Brazil Tallow Exports'!AD$184</f>
        <v>670</v>
      </c>
      <c r="DO24" s="57">
        <f>'[2]Brazil Tallow Exports'!AE$184</f>
        <v>1179</v>
      </c>
      <c r="DP24" s="58">
        <f>'[2]Brazil Tallow Exports'!AF$184</f>
        <v>2500</v>
      </c>
      <c r="EB24" s="57">
        <f t="shared" si="0"/>
        <v>0</v>
      </c>
      <c r="EC24" s="57">
        <f t="shared" si="0"/>
        <v>0</v>
      </c>
      <c r="ED24" s="57">
        <f t="shared" si="0"/>
        <v>0</v>
      </c>
      <c r="EE24" s="57">
        <f t="shared" si="0"/>
        <v>0</v>
      </c>
      <c r="EF24" s="57">
        <f t="shared" si="0"/>
        <v>0</v>
      </c>
      <c r="EG24" s="57">
        <f t="shared" si="0"/>
        <v>36</v>
      </c>
      <c r="EH24" s="57">
        <f t="shared" si="0"/>
        <v>453</v>
      </c>
      <c r="EI24" s="57">
        <f t="shared" si="0"/>
        <v>1706</v>
      </c>
      <c r="EJ24" s="57">
        <f t="shared" si="0"/>
        <v>2266</v>
      </c>
      <c r="EK24" s="57">
        <f t="shared" si="0"/>
        <v>2697</v>
      </c>
      <c r="EL24" s="57">
        <f t="shared" si="0"/>
        <v>3313.9404257992837</v>
      </c>
      <c r="EM24" s="57">
        <f t="shared" si="0"/>
        <v>2500</v>
      </c>
      <c r="EN24" s="60">
        <f>IF(FORECAST(EN$41,EI24:EM24,EI$41:EM$41)&lt;0,0,FORECAST(EN$41,EI24:EM24,EI$41:EM$41))*1.15</f>
        <v>3881.3400190547695</v>
      </c>
      <c r="EO24" s="60">
        <f>IF(FORECAST(EO$41,EJ24:EN24,EJ$41:EN$41)&lt;0,0,FORECAST(EO$41,EJ24:EN24,EJ$41:EN$41))*1.15</f>
        <v>4441.6855658166605</v>
      </c>
      <c r="EP24" s="60">
        <f>IF(FORECAST(EP$41,EK24:EO24,EK$41:EO$41)&lt;0,0,FORECAST(EP$41,EK24:EO24,EK$41:EO$41))</f>
        <v>4245.1842504056249</v>
      </c>
      <c r="EQ24" s="60">
        <f t="shared" si="16"/>
        <v>4310.3708149151771</v>
      </c>
      <c r="ER24" s="60">
        <f t="shared" si="16"/>
        <v>4574.2279300763521</v>
      </c>
      <c r="ES24" s="60">
        <f t="shared" si="16"/>
        <v>4539.3567707481689</v>
      </c>
      <c r="ET24" s="60">
        <f t="shared" si="16"/>
        <v>4518.2717361007235</v>
      </c>
      <c r="EU24" s="60">
        <f t="shared" si="16"/>
        <v>4757.9665304818727</v>
      </c>
      <c r="EV24" s="60">
        <f t="shared" si="16"/>
        <v>4897.6237139778614</v>
      </c>
      <c r="EW24" s="60">
        <f t="shared" si="16"/>
        <v>4991.7348721380768</v>
      </c>
      <c r="EX24" s="60">
        <f t="shared" si="16"/>
        <v>5123.5646972932009</v>
      </c>
      <c r="EY24" s="60">
        <f t="shared" si="16"/>
        <v>5248.6297441767038</v>
      </c>
      <c r="EZ24" s="60">
        <f t="shared" si="16"/>
        <v>5363.0160501426253</v>
      </c>
      <c r="FA24" s="60">
        <f t="shared" si="16"/>
        <v>5511.9923259852476</v>
      </c>
      <c r="FB24" s="60">
        <f t="shared" si="16"/>
        <v>5658.6341242301905</v>
      </c>
      <c r="FC24" s="60">
        <f t="shared" si="16"/>
        <v>5809.2426029391199</v>
      </c>
      <c r="FD24" s="60">
        <f t="shared" si="16"/>
        <v>5968.7043468313859</v>
      </c>
      <c r="FE24" s="60">
        <f t="shared" si="16"/>
        <v>5976.7427378888215</v>
      </c>
      <c r="FF24" s="60">
        <f t="shared" si="16"/>
        <v>4466.6309728548349</v>
      </c>
      <c r="FG24" s="60">
        <f t="shared" si="16"/>
        <v>4521.7947652416105</v>
      </c>
      <c r="FH24" s="60">
        <f t="shared" si="16"/>
        <v>4520.953927308743</v>
      </c>
      <c r="FI24" s="60">
        <f t="shared" si="16"/>
        <v>4520.6045178845852</v>
      </c>
      <c r="FJ24" s="60">
        <f t="shared" si="16"/>
        <v>4520.5695054776061</v>
      </c>
      <c r="FK24" s="60">
        <f t="shared" si="16"/>
        <v>4520.7881122591089</v>
      </c>
      <c r="FL24" s="60">
        <f t="shared" si="16"/>
        <v>4520.9080858104708</v>
      </c>
      <c r="FM24" s="60">
        <f t="shared" si="16"/>
        <v>4520.888994597266</v>
      </c>
      <c r="FN24" s="60">
        <f t="shared" si="16"/>
        <v>4520.8135275068435</v>
      </c>
    </row>
    <row r="25" spans="1:170">
      <c r="A25" s="44" t="s">
        <v>140</v>
      </c>
      <c r="B25" s="57">
        <f>'[2]Canada Tallow Exports'!I$207</f>
        <v>0</v>
      </c>
      <c r="C25" s="57">
        <f>'[2]Canada Tallow Exports'!J$207</f>
        <v>0</v>
      </c>
      <c r="D25" s="57">
        <f>'[2]Canada Tallow Exports'!K$207</f>
        <v>0</v>
      </c>
      <c r="E25" s="57">
        <f>'[2]Canada Tallow Exports'!L$207</f>
        <v>0</v>
      </c>
      <c r="F25" s="57">
        <f>'[2]Canada Tallow Exports'!M$207</f>
        <v>0</v>
      </c>
      <c r="G25" s="57">
        <f>'[2]Canada Tallow Exports'!N$207</f>
        <v>0</v>
      </c>
      <c r="H25" s="57">
        <f>'[2]Canada Tallow Exports'!O$207</f>
        <v>0</v>
      </c>
      <c r="I25" s="57">
        <f>'[2]Canada Tallow Exports'!P$207</f>
        <v>0</v>
      </c>
      <c r="J25" s="57">
        <f>'[2]Canada Tallow Exports'!Q$207</f>
        <v>0</v>
      </c>
      <c r="K25" s="57">
        <f>'[2]Canada Tallow Exports'!R$207</f>
        <v>0</v>
      </c>
      <c r="L25" s="57">
        <f>'[2]Canada Tallow Exports'!S$207</f>
        <v>0</v>
      </c>
      <c r="M25" s="57">
        <f>'[2]Canada Tallow Exports'!T$207</f>
        <v>0</v>
      </c>
      <c r="N25" s="57">
        <f>'[2]Canada Tallow Exports'!U$207</f>
        <v>0</v>
      </c>
      <c r="O25" s="57">
        <f>'[2]Canada Tallow Exports'!V$207</f>
        <v>0</v>
      </c>
      <c r="P25" s="57">
        <f>'[2]Canada Tallow Exports'!W$207</f>
        <v>0</v>
      </c>
      <c r="Q25" s="57">
        <f>'[2]Canada Tallow Exports'!X$207</f>
        <v>0</v>
      </c>
      <c r="R25" s="57">
        <f>'[2]Canada Tallow Exports'!Y$207</f>
        <v>0</v>
      </c>
      <c r="S25" s="57">
        <f>'[2]Canada Tallow Exports'!Z$207</f>
        <v>0</v>
      </c>
      <c r="T25" s="57">
        <f>'[2]Canada Tallow Exports'!AA$207</f>
        <v>0</v>
      </c>
      <c r="U25" s="57">
        <f>'[2]Canada Tallow Exports'!AB$207</f>
        <v>0</v>
      </c>
      <c r="V25" s="57">
        <f>'[2]Canada Tallow Exports'!AC$207</f>
        <v>0</v>
      </c>
      <c r="W25" s="57">
        <f>'[2]Canada Tallow Exports'!AD$207</f>
        <v>0</v>
      </c>
      <c r="X25" s="57">
        <f>'[2]Canada Tallow Exports'!AE$207</f>
        <v>0</v>
      </c>
      <c r="Y25" s="58">
        <f>'[2]Canada Tallow Exports'!AF$207</f>
        <v>0</v>
      </c>
      <c r="AE25" s="57">
        <f>'[2]Australia Tallow Exports'!N$207</f>
        <v>0</v>
      </c>
      <c r="AF25" s="57">
        <f>'[2]Australia Tallow Exports'!O$207</f>
        <v>0</v>
      </c>
      <c r="AG25" s="57">
        <f>'[2]Australia Tallow Exports'!P$207</f>
        <v>0</v>
      </c>
      <c r="AH25" s="57">
        <f>'[2]Australia Tallow Exports'!Q$207</f>
        <v>0</v>
      </c>
      <c r="AI25" s="57">
        <f>'[2]Australia Tallow Exports'!R$207</f>
        <v>0</v>
      </c>
      <c r="AJ25" s="57">
        <f>'[2]Australia Tallow Exports'!S$207</f>
        <v>0</v>
      </c>
      <c r="AK25" s="57">
        <f>'[2]Australia Tallow Exports'!T$207</f>
        <v>0</v>
      </c>
      <c r="AL25" s="57">
        <f>'[2]Australia Tallow Exports'!U$207</f>
        <v>0</v>
      </c>
      <c r="AM25" s="57">
        <f>'[2]Australia Tallow Exports'!V$207</f>
        <v>0</v>
      </c>
      <c r="AN25" s="57">
        <f>'[2]Australia Tallow Exports'!W$207</f>
        <v>0</v>
      </c>
      <c r="AO25" s="57">
        <f>'[2]Australia Tallow Exports'!X$207</f>
        <v>0</v>
      </c>
      <c r="AP25" s="57">
        <f>'[2]Australia Tallow Exports'!Y$207</f>
        <v>0</v>
      </c>
      <c r="AQ25" s="57">
        <f>'[2]Australia Tallow Exports'!Z$207</f>
        <v>0</v>
      </c>
      <c r="AR25" s="57">
        <f>'[2]Australia Tallow Exports'!AA$207</f>
        <v>0</v>
      </c>
      <c r="AS25" s="57">
        <f>'[2]Australia Tallow Exports'!AB$207</f>
        <v>0</v>
      </c>
      <c r="AT25" s="57">
        <f>'[2]Australia Tallow Exports'!AC$207</f>
        <v>0</v>
      </c>
      <c r="AU25" s="57">
        <f>'[2]Australia Tallow Exports'!AD$207</f>
        <v>0</v>
      </c>
      <c r="AV25" s="57">
        <f>'[2]Australia Tallow Exports'!AE$207</f>
        <v>0</v>
      </c>
      <c r="AW25" s="58">
        <f>'[2]Australia Tallow Exports'!AF$207</f>
        <v>0</v>
      </c>
      <c r="BC25" s="57">
        <f>'[2]New Zealand Tallow Exports'!N$207</f>
        <v>0</v>
      </c>
      <c r="BD25" s="57">
        <f>'[2]New Zealand Tallow Exports'!O$207</f>
        <v>0</v>
      </c>
      <c r="BE25" s="57">
        <f>'[2]New Zealand Tallow Exports'!P$207</f>
        <v>0</v>
      </c>
      <c r="BF25" s="57">
        <f>'[2]New Zealand Tallow Exports'!Q$207</f>
        <v>0</v>
      </c>
      <c r="BG25" s="57">
        <f>'[2]New Zealand Tallow Exports'!R$207</f>
        <v>0</v>
      </c>
      <c r="BH25" s="57">
        <f>'[2]New Zealand Tallow Exports'!S$207</f>
        <v>0</v>
      </c>
      <c r="BI25" s="57">
        <f>'[2]New Zealand Tallow Exports'!T$207</f>
        <v>0</v>
      </c>
      <c r="BJ25" s="57">
        <f>'[2]New Zealand Tallow Exports'!U$207</f>
        <v>0</v>
      </c>
      <c r="BK25" s="57">
        <f>'[2]New Zealand Tallow Exports'!V$207</f>
        <v>0</v>
      </c>
      <c r="BL25" s="57">
        <f>'[2]New Zealand Tallow Exports'!W$207</f>
        <v>0</v>
      </c>
      <c r="BM25" s="57">
        <f>'[2]New Zealand Tallow Exports'!X$207</f>
        <v>0</v>
      </c>
      <c r="BN25" s="57">
        <f>'[2]New Zealand Tallow Exports'!Y$207</f>
        <v>0</v>
      </c>
      <c r="BO25" s="57">
        <f>'[2]New Zealand Tallow Exports'!Z$207</f>
        <v>0</v>
      </c>
      <c r="BP25" s="57">
        <f>'[2]New Zealand Tallow Exports'!AA$207</f>
        <v>0</v>
      </c>
      <c r="BQ25" s="57">
        <f>'[2]New Zealand Tallow Exports'!AB$207</f>
        <v>0</v>
      </c>
      <c r="BR25" s="57">
        <f>'[2]New Zealand Tallow Exports'!AC$207</f>
        <v>0</v>
      </c>
      <c r="BS25" s="57">
        <f>'[2]New Zealand Tallow Exports'!AD$207</f>
        <v>0</v>
      </c>
      <c r="BT25" s="57">
        <f>'[2]New Zealand Tallow Exports'!AE$207</f>
        <v>0</v>
      </c>
      <c r="BU25" s="58">
        <f>'[2]New Zealand Tallow Exports'!AF$207</f>
        <v>0</v>
      </c>
      <c r="BX25" s="57">
        <f>'[2]Paraguay Tallow Exports'!K$207</f>
        <v>0</v>
      </c>
      <c r="BY25" s="57">
        <f>'[2]Paraguay Tallow Exports'!L$207</f>
        <v>0</v>
      </c>
      <c r="BZ25" s="57">
        <f>'[2]Paraguay Tallow Exports'!M$207</f>
        <v>0</v>
      </c>
      <c r="CA25" s="57">
        <f>'[2]Paraguay Tallow Exports'!N$207</f>
        <v>0</v>
      </c>
      <c r="CB25" s="57">
        <f>'[2]Paraguay Tallow Exports'!O$207</f>
        <v>0</v>
      </c>
      <c r="CC25" s="57">
        <f>'[2]Paraguay Tallow Exports'!P$207</f>
        <v>0</v>
      </c>
      <c r="CD25" s="57">
        <f>'[2]Paraguay Tallow Exports'!Q$207</f>
        <v>0</v>
      </c>
      <c r="CE25" s="57">
        <f>'[2]Paraguay Tallow Exports'!R$207</f>
        <v>0</v>
      </c>
      <c r="CF25" s="57">
        <f>'[2]Paraguay Tallow Exports'!S$207</f>
        <v>0</v>
      </c>
      <c r="CG25" s="57">
        <f>'[2]Paraguay Tallow Exports'!T$207</f>
        <v>0</v>
      </c>
      <c r="CH25" s="57">
        <f>'[2]Paraguay Tallow Exports'!U$207</f>
        <v>0</v>
      </c>
      <c r="CI25" s="57">
        <f>'[2]Paraguay Tallow Exports'!V$207</f>
        <v>0</v>
      </c>
      <c r="CJ25" s="57">
        <f>'[2]Paraguay Tallow Exports'!W$207</f>
        <v>0</v>
      </c>
      <c r="CK25" s="57">
        <f>'[2]Paraguay Tallow Exports'!X$207</f>
        <v>0</v>
      </c>
      <c r="CL25" s="57">
        <f>'[2]Paraguay Tallow Exports'!Y$207</f>
        <v>0</v>
      </c>
      <c r="CM25" s="57">
        <f>'[2]Paraguay Tallow Exports'!Z$207</f>
        <v>0</v>
      </c>
      <c r="CN25" s="57">
        <f>'[2]Paraguay Tallow Exports'!AA$207</f>
        <v>0</v>
      </c>
      <c r="CO25" s="57">
        <f>'[2]Paraguay Tallow Exports'!AB$207</f>
        <v>0</v>
      </c>
      <c r="CP25" s="57">
        <f>'[2]Paraguay Tallow Exports'!AC$207</f>
        <v>0</v>
      </c>
      <c r="CQ25" s="57">
        <f>'[2]Paraguay Tallow Exports'!AD$207</f>
        <v>0</v>
      </c>
      <c r="CR25" s="58">
        <f t="shared" si="4"/>
        <v>0</v>
      </c>
      <c r="DE25" s="57">
        <f>'[2]Brazil Tallow Exports'!U$207</f>
        <v>0</v>
      </c>
      <c r="DF25" s="57">
        <f>'[2]Brazil Tallow Exports'!V$207</f>
        <v>0</v>
      </c>
      <c r="DG25" s="57">
        <f>'[2]Brazil Tallow Exports'!W$207</f>
        <v>0</v>
      </c>
      <c r="DH25" s="57">
        <f>'[2]Brazil Tallow Exports'!X$207</f>
        <v>0</v>
      </c>
      <c r="DI25" s="57">
        <f>'[2]Brazil Tallow Exports'!Y$207</f>
        <v>0</v>
      </c>
      <c r="DJ25" s="57">
        <f>'[2]Brazil Tallow Exports'!Z$207</f>
        <v>0</v>
      </c>
      <c r="DK25" s="57">
        <f>'[2]Brazil Tallow Exports'!AA$207</f>
        <v>0</v>
      </c>
      <c r="DL25" s="57">
        <f>'[2]Brazil Tallow Exports'!AB$207</f>
        <v>0</v>
      </c>
      <c r="DM25" s="57">
        <f>'[2]Brazil Tallow Exports'!AC$207</f>
        <v>0</v>
      </c>
      <c r="DN25" s="57">
        <f>'[2]Brazil Tallow Exports'!AD$207</f>
        <v>0</v>
      </c>
      <c r="DO25" s="57">
        <f>'[2]Brazil Tallow Exports'!AE$207</f>
        <v>0</v>
      </c>
      <c r="DP25" s="58">
        <f>'[2]Brazil Tallow Exports'!AF$207</f>
        <v>0</v>
      </c>
      <c r="EB25" s="57">
        <f t="shared" si="0"/>
        <v>0</v>
      </c>
      <c r="EC25" s="57">
        <f t="shared" si="0"/>
        <v>0</v>
      </c>
      <c r="ED25" s="57">
        <f t="shared" si="0"/>
        <v>0</v>
      </c>
      <c r="EE25" s="57">
        <f t="shared" ref="EE25:EM50" si="17">Q25+AO25+CK25+DH25+BM25</f>
        <v>0</v>
      </c>
      <c r="EF25" s="57">
        <f t="shared" si="17"/>
        <v>0</v>
      </c>
      <c r="EG25" s="57">
        <f t="shared" si="17"/>
        <v>0</v>
      </c>
      <c r="EH25" s="57">
        <f t="shared" si="17"/>
        <v>0</v>
      </c>
      <c r="EI25" s="57">
        <f t="shared" si="17"/>
        <v>0</v>
      </c>
      <c r="EJ25" s="57">
        <f t="shared" si="17"/>
        <v>0</v>
      </c>
      <c r="EK25" s="57">
        <f t="shared" si="17"/>
        <v>0</v>
      </c>
      <c r="EL25" s="57">
        <f t="shared" si="17"/>
        <v>0</v>
      </c>
      <c r="EM25" s="57">
        <f t="shared" si="17"/>
        <v>0</v>
      </c>
      <c r="EN25" s="60">
        <f t="shared" si="16"/>
        <v>0</v>
      </c>
      <c r="EO25" s="60">
        <f t="shared" si="16"/>
        <v>0</v>
      </c>
      <c r="EP25" s="60">
        <f t="shared" si="16"/>
        <v>0</v>
      </c>
      <c r="EQ25" s="60">
        <f t="shared" si="16"/>
        <v>0</v>
      </c>
      <c r="ER25" s="60">
        <f t="shared" si="16"/>
        <v>0</v>
      </c>
      <c r="ES25" s="60">
        <f t="shared" si="16"/>
        <v>0</v>
      </c>
      <c r="ET25" s="60">
        <f t="shared" si="16"/>
        <v>0</v>
      </c>
      <c r="EU25" s="60">
        <f t="shared" si="16"/>
        <v>0</v>
      </c>
      <c r="EV25" s="60">
        <f t="shared" si="16"/>
        <v>0</v>
      </c>
      <c r="EW25" s="60">
        <f t="shared" si="16"/>
        <v>0</v>
      </c>
      <c r="EX25" s="60">
        <f t="shared" si="16"/>
        <v>0</v>
      </c>
      <c r="EY25" s="60">
        <f t="shared" si="16"/>
        <v>0</v>
      </c>
      <c r="EZ25" s="60">
        <f t="shared" si="16"/>
        <v>0</v>
      </c>
      <c r="FA25" s="60">
        <f t="shared" si="16"/>
        <v>0</v>
      </c>
      <c r="FB25" s="60">
        <f t="shared" si="16"/>
        <v>0</v>
      </c>
      <c r="FC25" s="60">
        <f t="shared" si="16"/>
        <v>0</v>
      </c>
      <c r="FD25" s="60">
        <f t="shared" si="16"/>
        <v>0</v>
      </c>
      <c r="FE25" s="60">
        <f t="shared" si="16"/>
        <v>0</v>
      </c>
      <c r="FF25" s="60">
        <f t="shared" si="16"/>
        <v>0</v>
      </c>
      <c r="FG25" s="60">
        <f t="shared" si="16"/>
        <v>0</v>
      </c>
      <c r="FH25" s="60">
        <f t="shared" si="16"/>
        <v>0</v>
      </c>
      <c r="FI25" s="60">
        <f t="shared" si="16"/>
        <v>0</v>
      </c>
      <c r="FJ25" s="60">
        <f t="shared" si="16"/>
        <v>0</v>
      </c>
      <c r="FK25" s="60">
        <f t="shared" si="16"/>
        <v>0</v>
      </c>
      <c r="FL25" s="60">
        <f t="shared" si="16"/>
        <v>0</v>
      </c>
      <c r="FM25" s="60">
        <f t="shared" si="16"/>
        <v>0</v>
      </c>
      <c r="FN25" s="60">
        <f t="shared" si="16"/>
        <v>0</v>
      </c>
    </row>
    <row r="26" spans="1:170">
      <c r="A26" s="44" t="s">
        <v>141</v>
      </c>
      <c r="B26" s="57">
        <f>'[2]Canada Tallow Exports'!I$219</f>
        <v>0</v>
      </c>
      <c r="C26" s="57">
        <f>'[2]Canada Tallow Exports'!J$219</f>
        <v>0</v>
      </c>
      <c r="D26" s="57">
        <f>'[2]Canada Tallow Exports'!K$219</f>
        <v>0</v>
      </c>
      <c r="E26" s="57">
        <f>'[2]Canada Tallow Exports'!L$219</f>
        <v>0</v>
      </c>
      <c r="F26" s="57">
        <f>'[2]Canada Tallow Exports'!M$219</f>
        <v>0</v>
      </c>
      <c r="G26" s="57">
        <f>'[2]Canada Tallow Exports'!N$219</f>
        <v>0</v>
      </c>
      <c r="H26" s="57">
        <f>'[2]Canada Tallow Exports'!O$219</f>
        <v>0</v>
      </c>
      <c r="I26" s="57">
        <f>'[2]Canada Tallow Exports'!P$219</f>
        <v>0</v>
      </c>
      <c r="J26" s="57">
        <f>'[2]Canada Tallow Exports'!Q$219</f>
        <v>0</v>
      </c>
      <c r="K26" s="57">
        <f>'[2]Canada Tallow Exports'!R$219</f>
        <v>0</v>
      </c>
      <c r="L26" s="57">
        <f>'[2]Canada Tallow Exports'!S$219</f>
        <v>0</v>
      </c>
      <c r="M26" s="57">
        <f>'[2]Canada Tallow Exports'!T$219</f>
        <v>0</v>
      </c>
      <c r="N26" s="57">
        <f>'[2]Canada Tallow Exports'!U$219</f>
        <v>0</v>
      </c>
      <c r="O26" s="57">
        <f>'[2]Canada Tallow Exports'!V$219</f>
        <v>0</v>
      </c>
      <c r="P26" s="57">
        <f>'[2]Canada Tallow Exports'!W$219</f>
        <v>0</v>
      </c>
      <c r="Q26" s="57">
        <f>'[2]Canada Tallow Exports'!X$219</f>
        <v>0</v>
      </c>
      <c r="R26" s="57">
        <f>'[2]Canada Tallow Exports'!Y$219</f>
        <v>0</v>
      </c>
      <c r="S26" s="57">
        <f>'[2]Canada Tallow Exports'!Z$219</f>
        <v>0</v>
      </c>
      <c r="T26" s="57">
        <f>'[2]Canada Tallow Exports'!AA$219</f>
        <v>0</v>
      </c>
      <c r="U26" s="57">
        <f>'[2]Canada Tallow Exports'!AB$219</f>
        <v>0</v>
      </c>
      <c r="V26" s="57">
        <f>'[2]Canada Tallow Exports'!AC$219</f>
        <v>0</v>
      </c>
      <c r="W26" s="57">
        <f>'[2]Canada Tallow Exports'!AD$219</f>
        <v>0</v>
      </c>
      <c r="X26" s="57">
        <f>'[2]Canada Tallow Exports'!AE$219</f>
        <v>0</v>
      </c>
      <c r="Y26" s="58">
        <f>'[2]Canada Tallow Exports'!AF$219</f>
        <v>0</v>
      </c>
      <c r="AE26" s="57">
        <f>'[2]Australia Tallow Exports'!N$219</f>
        <v>2859</v>
      </c>
      <c r="AF26" s="57">
        <f>'[2]Australia Tallow Exports'!O$219</f>
        <v>2386</v>
      </c>
      <c r="AG26" s="57">
        <f>'[2]Australia Tallow Exports'!P$219</f>
        <v>3040</v>
      </c>
      <c r="AH26" s="57">
        <f>'[2]Australia Tallow Exports'!Q$219</f>
        <v>6691</v>
      </c>
      <c r="AI26" s="57">
        <f>'[2]Australia Tallow Exports'!R$219</f>
        <v>7150</v>
      </c>
      <c r="AJ26" s="57">
        <f>'[2]Australia Tallow Exports'!S$219</f>
        <v>10698</v>
      </c>
      <c r="AK26" s="57">
        <f>'[2]Australia Tallow Exports'!T$219</f>
        <v>2501</v>
      </c>
      <c r="AL26" s="57">
        <f>'[2]Australia Tallow Exports'!U$219</f>
        <v>2683</v>
      </c>
      <c r="AM26" s="57">
        <f>'[2]Australia Tallow Exports'!V$219</f>
        <v>66</v>
      </c>
      <c r="AN26" s="57">
        <f>'[2]Australia Tallow Exports'!W$219</f>
        <v>0</v>
      </c>
      <c r="AO26" s="57">
        <f>'[2]Australia Tallow Exports'!X$219</f>
        <v>148</v>
      </c>
      <c r="AP26" s="57">
        <f>'[2]Australia Tallow Exports'!Y$219</f>
        <v>36</v>
      </c>
      <c r="AQ26" s="57">
        <f>'[2]Australia Tallow Exports'!Z$219</f>
        <v>38</v>
      </c>
      <c r="AR26" s="57">
        <f>'[2]Australia Tallow Exports'!AA$219</f>
        <v>0</v>
      </c>
      <c r="AS26" s="57">
        <f>'[2]Australia Tallow Exports'!AB$219</f>
        <v>0</v>
      </c>
      <c r="AT26" s="57">
        <f>'[2]Australia Tallow Exports'!AC$219</f>
        <v>0</v>
      </c>
      <c r="AU26" s="57">
        <f>'[2]Australia Tallow Exports'!AD$219</f>
        <v>0</v>
      </c>
      <c r="AV26" s="57">
        <f>'[2]Australia Tallow Exports'!AE$219</f>
        <v>0</v>
      </c>
      <c r="AW26" s="58">
        <f>'[2]Australia Tallow Exports'!AF$219</f>
        <v>0</v>
      </c>
      <c r="BC26" s="57">
        <f>'[2]New Zealand Tallow Exports'!N$219</f>
        <v>309</v>
      </c>
      <c r="BD26" s="57">
        <f>'[2]New Zealand Tallow Exports'!O$219</f>
        <v>556</v>
      </c>
      <c r="BE26" s="57">
        <f>'[2]New Zealand Tallow Exports'!P$219</f>
        <v>247</v>
      </c>
      <c r="BF26" s="57">
        <f>'[2]New Zealand Tallow Exports'!Q$219</f>
        <v>212</v>
      </c>
      <c r="BG26" s="57">
        <f>'[2]New Zealand Tallow Exports'!R$219</f>
        <v>412</v>
      </c>
      <c r="BH26" s="57">
        <f>'[2]New Zealand Tallow Exports'!S$219</f>
        <v>86</v>
      </c>
      <c r="BI26" s="57">
        <f>'[2]New Zealand Tallow Exports'!T$219</f>
        <v>65</v>
      </c>
      <c r="BJ26" s="57">
        <f>'[2]New Zealand Tallow Exports'!U$219</f>
        <v>0</v>
      </c>
      <c r="BK26" s="57">
        <f>'[2]New Zealand Tallow Exports'!V$219</f>
        <v>0</v>
      </c>
      <c r="BL26" s="57">
        <f>'[2]New Zealand Tallow Exports'!W$219</f>
        <v>0</v>
      </c>
      <c r="BM26" s="57">
        <f>'[2]New Zealand Tallow Exports'!X$219</f>
        <v>0</v>
      </c>
      <c r="BN26" s="57">
        <f>'[2]New Zealand Tallow Exports'!Y$219</f>
        <v>124</v>
      </c>
      <c r="BO26" s="57">
        <f>'[2]New Zealand Tallow Exports'!Z$219</f>
        <v>73</v>
      </c>
      <c r="BP26" s="57">
        <f>'[2]New Zealand Tallow Exports'!AA$219</f>
        <v>26</v>
      </c>
      <c r="BQ26" s="57">
        <f>'[2]New Zealand Tallow Exports'!AB$219</f>
        <v>0</v>
      </c>
      <c r="BR26" s="57">
        <f>'[2]New Zealand Tallow Exports'!AC$219</f>
        <v>0</v>
      </c>
      <c r="BS26" s="57">
        <f>'[2]New Zealand Tallow Exports'!AD$219</f>
        <v>26</v>
      </c>
      <c r="BT26" s="57">
        <f>'[2]New Zealand Tallow Exports'!AE$219</f>
        <v>0</v>
      </c>
      <c r="BU26" s="58">
        <f>'[2]New Zealand Tallow Exports'!AF$219</f>
        <v>0</v>
      </c>
      <c r="BX26" s="57">
        <f>'[2]Paraguay Tallow Exports'!K$219</f>
        <v>0</v>
      </c>
      <c r="BY26" s="57">
        <f>'[2]Paraguay Tallow Exports'!L$219</f>
        <v>0</v>
      </c>
      <c r="BZ26" s="57">
        <f>'[2]Paraguay Tallow Exports'!M$219</f>
        <v>0</v>
      </c>
      <c r="CA26" s="57">
        <f>'[2]Paraguay Tallow Exports'!N$219</f>
        <v>240</v>
      </c>
      <c r="CB26" s="57">
        <f>'[2]Paraguay Tallow Exports'!O$219</f>
        <v>0</v>
      </c>
      <c r="CC26" s="57">
        <f>'[2]Paraguay Tallow Exports'!P$219</f>
        <v>0</v>
      </c>
      <c r="CD26" s="57">
        <f>'[2]Paraguay Tallow Exports'!Q$219</f>
        <v>88</v>
      </c>
      <c r="CE26" s="57">
        <f>'[2]Paraguay Tallow Exports'!R$219</f>
        <v>29</v>
      </c>
      <c r="CF26" s="57">
        <f>'[2]Paraguay Tallow Exports'!S$219</f>
        <v>0</v>
      </c>
      <c r="CG26" s="57">
        <f>'[2]Paraguay Tallow Exports'!T$219</f>
        <v>0</v>
      </c>
      <c r="CH26" s="57">
        <f>'[2]Paraguay Tallow Exports'!U$219</f>
        <v>0</v>
      </c>
      <c r="CI26" s="57">
        <f>'[2]Paraguay Tallow Exports'!V$219</f>
        <v>0</v>
      </c>
      <c r="CJ26" s="57">
        <f>'[2]Paraguay Tallow Exports'!W$219</f>
        <v>0</v>
      </c>
      <c r="CK26" s="57">
        <f>'[2]Paraguay Tallow Exports'!X$219</f>
        <v>0</v>
      </c>
      <c r="CL26" s="57">
        <f>'[2]Paraguay Tallow Exports'!Y$219</f>
        <v>0</v>
      </c>
      <c r="CM26" s="57">
        <f>'[2]Paraguay Tallow Exports'!Z$219</f>
        <v>0</v>
      </c>
      <c r="CN26" s="57">
        <f>'[2]Paraguay Tallow Exports'!AA$219</f>
        <v>0</v>
      </c>
      <c r="CO26" s="57">
        <f>'[2]Paraguay Tallow Exports'!AB$219</f>
        <v>0</v>
      </c>
      <c r="CP26" s="57">
        <f>'[2]Paraguay Tallow Exports'!AC$219</f>
        <v>0</v>
      </c>
      <c r="CQ26" s="57">
        <f>'[2]Paraguay Tallow Exports'!AD$219</f>
        <v>0</v>
      </c>
      <c r="CR26" s="58">
        <f t="shared" si="4"/>
        <v>0</v>
      </c>
      <c r="DE26" s="57">
        <f>'[2]Brazil Tallow Exports'!U$219</f>
        <v>0</v>
      </c>
      <c r="DF26" s="57">
        <f>'[2]Brazil Tallow Exports'!V$219</f>
        <v>0</v>
      </c>
      <c r="DG26" s="57">
        <f>'[2]Brazil Tallow Exports'!W$219</f>
        <v>0</v>
      </c>
      <c r="DH26" s="57">
        <f>'[2]Brazil Tallow Exports'!X$219</f>
        <v>7</v>
      </c>
      <c r="DI26" s="57">
        <f>'[2]Brazil Tallow Exports'!Y$219</f>
        <v>0</v>
      </c>
      <c r="DJ26" s="57">
        <f>'[2]Brazil Tallow Exports'!Z$219</f>
        <v>2</v>
      </c>
      <c r="DK26" s="57">
        <f>'[2]Brazil Tallow Exports'!AA$219</f>
        <v>0</v>
      </c>
      <c r="DL26" s="57">
        <f>'[2]Brazil Tallow Exports'!AB$219</f>
        <v>611</v>
      </c>
      <c r="DM26" s="57">
        <f>'[2]Brazil Tallow Exports'!AC$219</f>
        <v>1137</v>
      </c>
      <c r="DN26" s="57">
        <f>'[2]Brazil Tallow Exports'!AD$219</f>
        <v>2232</v>
      </c>
      <c r="DO26" s="57">
        <f>'[2]Brazil Tallow Exports'!AE$219</f>
        <v>1744</v>
      </c>
      <c r="DP26" s="58">
        <f>'[2]Brazil Tallow Exports'!AF$219</f>
        <v>2500</v>
      </c>
      <c r="EB26" s="57">
        <f t="shared" ref="EB26:ED51" si="18">N26+AL26+CH26+DE26+BJ26</f>
        <v>2683</v>
      </c>
      <c r="EC26" s="57">
        <f t="shared" si="18"/>
        <v>66</v>
      </c>
      <c r="ED26" s="57">
        <f t="shared" si="18"/>
        <v>0</v>
      </c>
      <c r="EE26" s="57">
        <f t="shared" si="17"/>
        <v>155</v>
      </c>
      <c r="EF26" s="57">
        <f t="shared" si="17"/>
        <v>160</v>
      </c>
      <c r="EG26" s="57">
        <f t="shared" si="17"/>
        <v>113</v>
      </c>
      <c r="EH26" s="57">
        <f t="shared" si="17"/>
        <v>26</v>
      </c>
      <c r="EI26" s="57">
        <f t="shared" si="17"/>
        <v>611</v>
      </c>
      <c r="EJ26" s="57">
        <f t="shared" si="17"/>
        <v>1137</v>
      </c>
      <c r="EK26" s="57">
        <f t="shared" si="17"/>
        <v>2258</v>
      </c>
      <c r="EL26" s="57">
        <f t="shared" si="17"/>
        <v>1744</v>
      </c>
      <c r="EM26" s="57">
        <f t="shared" si="17"/>
        <v>2500</v>
      </c>
      <c r="EN26" s="60">
        <f>IF(FORECAST(EN$41,EI26:EM26,EI$41:EM$41)&lt;0,0,FORECAST(EN$41,EI26:EM26,EI$41:EM$41))*1.05</f>
        <v>3956.1017634605669</v>
      </c>
      <c r="EO26" s="60">
        <f>IF(FORECAST(EO$41,EJ26:EN26,EJ$41:EN$41)&lt;0,0,FORECAST(EO$41,EJ26:EN26,EJ$41:EN$41))*1.05</f>
        <v>4416.4290814574488</v>
      </c>
      <c r="EP26" s="60">
        <f>IF(FORECAST(EP$41,EK26:EO26,EK$41:EO$41)&lt;0,0,FORECAST(EP$41,EK26:EO26,EK$41:EO$41))*1</f>
        <v>4441.0062207649171</v>
      </c>
      <c r="EQ26" s="60">
        <f t="shared" ref="EQ26:FN26" si="19">IF(FORECAST(EQ$41,EL26:EP26,EL$41:EP$41)&lt;0,0,FORECAST(EQ$41,EL26:EP26,EL$41:EP$41))*1</f>
        <v>4650.364249731485</v>
      </c>
      <c r="ER26" s="60">
        <f t="shared" si="19"/>
        <v>4774.1846716835898</v>
      </c>
      <c r="ES26" s="60">
        <f t="shared" si="19"/>
        <v>4795.87486915712</v>
      </c>
      <c r="ET26" s="60">
        <f t="shared" si="19"/>
        <v>4867.5242956838692</v>
      </c>
      <c r="EU26" s="60">
        <f t="shared" si="19"/>
        <v>5108.9344453031154</v>
      </c>
      <c r="EV26" s="60">
        <f t="shared" si="19"/>
        <v>5263.6158785679909</v>
      </c>
      <c r="EW26" s="60">
        <f t="shared" si="19"/>
        <v>5428.9172533980127</v>
      </c>
      <c r="EX26" s="60">
        <f t="shared" si="19"/>
        <v>5581.2331843856973</v>
      </c>
      <c r="EY26" s="60">
        <f t="shared" si="19"/>
        <v>5721.130416881565</v>
      </c>
      <c r="EZ26" s="60">
        <f t="shared" si="19"/>
        <v>5880.2297793353537</v>
      </c>
      <c r="FA26" s="60">
        <f t="shared" si="19"/>
        <v>6073.2787269774153</v>
      </c>
      <c r="FB26" s="60">
        <f t="shared" si="19"/>
        <v>6247.9222973227279</v>
      </c>
      <c r="FC26" s="60">
        <f t="shared" si="19"/>
        <v>6442.2891898506778</v>
      </c>
      <c r="FD26" s="60">
        <f t="shared" si="19"/>
        <v>6648.241646260888</v>
      </c>
      <c r="FE26" s="60">
        <f t="shared" si="19"/>
        <v>6655.5729764260232</v>
      </c>
      <c r="FF26" s="60">
        <f t="shared" si="19"/>
        <v>4748.309894318264</v>
      </c>
      <c r="FG26" s="60">
        <f t="shared" si="19"/>
        <v>4816.8570594937255</v>
      </c>
      <c r="FH26" s="60">
        <f t="shared" si="19"/>
        <v>4816.2748937284114</v>
      </c>
      <c r="FI26" s="60">
        <f t="shared" si="19"/>
        <v>4815.9213320286472</v>
      </c>
      <c r="FJ26" s="60">
        <f t="shared" si="19"/>
        <v>4815.8629436060637</v>
      </c>
      <c r="FK26" s="60">
        <f t="shared" si="19"/>
        <v>4815.9872049866581</v>
      </c>
      <c r="FL26" s="60">
        <f t="shared" si="19"/>
        <v>4816.1523651557718</v>
      </c>
      <c r="FM26" s="60">
        <f t="shared" si="19"/>
        <v>4816.1685502936589</v>
      </c>
      <c r="FN26" s="60">
        <f t="shared" si="19"/>
        <v>4816.0744251419328</v>
      </c>
    </row>
    <row r="27" spans="1:170">
      <c r="A27" s="44" t="s">
        <v>142</v>
      </c>
      <c r="B27" s="57">
        <f>'[2]Canada Tallow Exports'!I$225</f>
        <v>0</v>
      </c>
      <c r="C27" s="57">
        <f>'[2]Canada Tallow Exports'!J$225</f>
        <v>0</v>
      </c>
      <c r="D27" s="57">
        <f>'[2]Canada Tallow Exports'!K$225</f>
        <v>0</v>
      </c>
      <c r="E27" s="57">
        <f>'[2]Canada Tallow Exports'!L$225</f>
        <v>0</v>
      </c>
      <c r="F27" s="57">
        <f>'[2]Canada Tallow Exports'!M$225</f>
        <v>0</v>
      </c>
      <c r="G27" s="57">
        <f>'[2]Canada Tallow Exports'!N$225</f>
        <v>0</v>
      </c>
      <c r="H27" s="57">
        <f>'[2]Canada Tallow Exports'!O$225</f>
        <v>0</v>
      </c>
      <c r="I27" s="57">
        <f>'[2]Canada Tallow Exports'!P$225</f>
        <v>0</v>
      </c>
      <c r="J27" s="57">
        <f>'[2]Canada Tallow Exports'!Q$225</f>
        <v>0</v>
      </c>
      <c r="K27" s="57">
        <f>'[2]Canada Tallow Exports'!R$225</f>
        <v>0</v>
      </c>
      <c r="L27" s="57">
        <f>'[2]Canada Tallow Exports'!S$225</f>
        <v>0</v>
      </c>
      <c r="M27" s="57">
        <f>'[2]Canada Tallow Exports'!T$225</f>
        <v>0</v>
      </c>
      <c r="N27" s="57">
        <f>'[2]Canada Tallow Exports'!U$225</f>
        <v>0</v>
      </c>
      <c r="O27" s="57">
        <f>'[2]Canada Tallow Exports'!V$225</f>
        <v>0</v>
      </c>
      <c r="P27" s="57">
        <f>'[2]Canada Tallow Exports'!W$225</f>
        <v>0</v>
      </c>
      <c r="Q27" s="57">
        <f>'[2]Canada Tallow Exports'!X$225</f>
        <v>0</v>
      </c>
      <c r="R27" s="57">
        <f>'[2]Canada Tallow Exports'!Y$225</f>
        <v>0</v>
      </c>
      <c r="S27" s="57">
        <f>'[2]Canada Tallow Exports'!Z$225</f>
        <v>0</v>
      </c>
      <c r="T27" s="57">
        <f>'[2]Canada Tallow Exports'!AA$225</f>
        <v>0</v>
      </c>
      <c r="U27" s="57">
        <f>'[2]Canada Tallow Exports'!AB$225</f>
        <v>0</v>
      </c>
      <c r="V27" s="57">
        <f>'[2]Canada Tallow Exports'!AC$225</f>
        <v>0</v>
      </c>
      <c r="W27" s="57">
        <f>'[2]Canada Tallow Exports'!AD$225</f>
        <v>0</v>
      </c>
      <c r="X27" s="57">
        <f>'[2]Canada Tallow Exports'!AE$225</f>
        <v>0</v>
      </c>
      <c r="Y27" s="58">
        <f>'[2]Canada Tallow Exports'!AF$225</f>
        <v>0</v>
      </c>
      <c r="AE27" s="57">
        <f>'[2]Australia Tallow Exports'!N$225</f>
        <v>0</v>
      </c>
      <c r="AF27" s="57">
        <f>'[2]Australia Tallow Exports'!O$225</f>
        <v>0</v>
      </c>
      <c r="AG27" s="57">
        <f>'[2]Australia Tallow Exports'!P$225</f>
        <v>0</v>
      </c>
      <c r="AH27" s="57">
        <f>'[2]Australia Tallow Exports'!Q$225</f>
        <v>0</v>
      </c>
      <c r="AI27" s="57">
        <f>'[2]Australia Tallow Exports'!R$225</f>
        <v>0</v>
      </c>
      <c r="AJ27" s="57">
        <f>'[2]Australia Tallow Exports'!S$225</f>
        <v>0</v>
      </c>
      <c r="AK27" s="57">
        <f>'[2]Australia Tallow Exports'!T$225</f>
        <v>0</v>
      </c>
      <c r="AL27" s="57">
        <f>'[2]Australia Tallow Exports'!U$225</f>
        <v>0</v>
      </c>
      <c r="AM27" s="57">
        <f>'[2]Australia Tallow Exports'!V$225</f>
        <v>0</v>
      </c>
      <c r="AN27" s="57">
        <f>'[2]Australia Tallow Exports'!W$225</f>
        <v>0</v>
      </c>
      <c r="AO27" s="57">
        <f>'[2]Australia Tallow Exports'!X$225</f>
        <v>0</v>
      </c>
      <c r="AP27" s="57">
        <f>'[2]Australia Tallow Exports'!Y$225</f>
        <v>0</v>
      </c>
      <c r="AQ27" s="57">
        <f>'[2]Australia Tallow Exports'!Z$225</f>
        <v>0</v>
      </c>
      <c r="AR27" s="57">
        <f>'[2]Australia Tallow Exports'!AA$225</f>
        <v>0</v>
      </c>
      <c r="AS27" s="57">
        <f>'[2]Australia Tallow Exports'!AB$225</f>
        <v>0</v>
      </c>
      <c r="AT27" s="57">
        <f>'[2]Australia Tallow Exports'!AC$225</f>
        <v>0</v>
      </c>
      <c r="AU27" s="57">
        <f>'[2]Australia Tallow Exports'!AD$225</f>
        <v>0</v>
      </c>
      <c r="AV27" s="57">
        <f>'[2]Australia Tallow Exports'!AE$225</f>
        <v>0</v>
      </c>
      <c r="AW27" s="58">
        <f>'[2]Australia Tallow Exports'!AF$225</f>
        <v>0</v>
      </c>
      <c r="BC27" s="57">
        <f>'[2]New Zealand Tallow Exports'!N$225</f>
        <v>0</v>
      </c>
      <c r="BD27" s="57">
        <f>'[2]New Zealand Tallow Exports'!O$225</f>
        <v>0</v>
      </c>
      <c r="BE27" s="57">
        <f>'[2]New Zealand Tallow Exports'!P$225</f>
        <v>0</v>
      </c>
      <c r="BF27" s="57">
        <f>'[2]New Zealand Tallow Exports'!Q$225</f>
        <v>0</v>
      </c>
      <c r="BG27" s="57">
        <f>'[2]New Zealand Tallow Exports'!R$225</f>
        <v>0</v>
      </c>
      <c r="BH27" s="57">
        <f>'[2]New Zealand Tallow Exports'!S$225</f>
        <v>0</v>
      </c>
      <c r="BI27" s="57">
        <f>'[2]New Zealand Tallow Exports'!T$225</f>
        <v>0</v>
      </c>
      <c r="BJ27" s="57">
        <f>'[2]New Zealand Tallow Exports'!U$225</f>
        <v>0</v>
      </c>
      <c r="BK27" s="57">
        <f>'[2]New Zealand Tallow Exports'!V$225</f>
        <v>0</v>
      </c>
      <c r="BL27" s="57">
        <f>'[2]New Zealand Tallow Exports'!W$225</f>
        <v>0</v>
      </c>
      <c r="BM27" s="57">
        <f>'[2]New Zealand Tallow Exports'!X$225</f>
        <v>0</v>
      </c>
      <c r="BN27" s="57">
        <f>'[2]New Zealand Tallow Exports'!Y$225</f>
        <v>0</v>
      </c>
      <c r="BO27" s="57">
        <f>'[2]New Zealand Tallow Exports'!Z$225</f>
        <v>0</v>
      </c>
      <c r="BP27" s="57">
        <f>'[2]New Zealand Tallow Exports'!AA$225</f>
        <v>0</v>
      </c>
      <c r="BQ27" s="57">
        <f>'[2]New Zealand Tallow Exports'!AB$225</f>
        <v>0</v>
      </c>
      <c r="BR27" s="57">
        <f>'[2]New Zealand Tallow Exports'!AC$225</f>
        <v>0</v>
      </c>
      <c r="BS27" s="57">
        <f>'[2]New Zealand Tallow Exports'!AD$225</f>
        <v>0</v>
      </c>
      <c r="BT27" s="57">
        <f>'[2]New Zealand Tallow Exports'!AE$225</f>
        <v>0</v>
      </c>
      <c r="BU27" s="58">
        <f>'[2]New Zealand Tallow Exports'!AF$225</f>
        <v>0</v>
      </c>
      <c r="BX27" s="57">
        <f>'[2]Paraguay Tallow Exports'!K$225</f>
        <v>0</v>
      </c>
      <c r="BY27" s="57">
        <f>'[2]Paraguay Tallow Exports'!L$225</f>
        <v>0</v>
      </c>
      <c r="BZ27" s="57">
        <f>'[2]Paraguay Tallow Exports'!M$225</f>
        <v>0</v>
      </c>
      <c r="CA27" s="57">
        <f>'[2]Paraguay Tallow Exports'!N$225</f>
        <v>0</v>
      </c>
      <c r="CB27" s="57">
        <f>'[2]Paraguay Tallow Exports'!O$225</f>
        <v>0</v>
      </c>
      <c r="CC27" s="57">
        <f>'[2]Paraguay Tallow Exports'!P$225</f>
        <v>0</v>
      </c>
      <c r="CD27" s="57">
        <f>'[2]Paraguay Tallow Exports'!Q$225</f>
        <v>0</v>
      </c>
      <c r="CE27" s="57">
        <f>'[2]Paraguay Tallow Exports'!R$225</f>
        <v>0</v>
      </c>
      <c r="CF27" s="57">
        <f>'[2]Paraguay Tallow Exports'!S$225</f>
        <v>0</v>
      </c>
      <c r="CG27" s="57">
        <f>'[2]Paraguay Tallow Exports'!T$225</f>
        <v>0</v>
      </c>
      <c r="CH27" s="57">
        <f>'[2]Paraguay Tallow Exports'!U$225</f>
        <v>0</v>
      </c>
      <c r="CI27" s="57">
        <f>'[2]Paraguay Tallow Exports'!V$225</f>
        <v>0</v>
      </c>
      <c r="CJ27" s="57">
        <f>'[2]Paraguay Tallow Exports'!W$225</f>
        <v>0</v>
      </c>
      <c r="CK27" s="57">
        <f>'[2]Paraguay Tallow Exports'!X$225</f>
        <v>0</v>
      </c>
      <c r="CL27" s="57">
        <f>'[2]Paraguay Tallow Exports'!Y$225</f>
        <v>0</v>
      </c>
      <c r="CM27" s="57">
        <f>'[2]Paraguay Tallow Exports'!Z$225</f>
        <v>0</v>
      </c>
      <c r="CN27" s="57">
        <f>'[2]Paraguay Tallow Exports'!AA$225</f>
        <v>0</v>
      </c>
      <c r="CO27" s="57">
        <f>'[2]Paraguay Tallow Exports'!AB$225</f>
        <v>0</v>
      </c>
      <c r="CP27" s="57">
        <f>'[2]Paraguay Tallow Exports'!AC$225</f>
        <v>0</v>
      </c>
      <c r="CQ27" s="57">
        <f>'[2]Paraguay Tallow Exports'!AD$225</f>
        <v>0</v>
      </c>
      <c r="CR27" s="58">
        <f t="shared" si="4"/>
        <v>0</v>
      </c>
      <c r="DE27" s="57">
        <f>'[2]Brazil Tallow Exports'!U$225</f>
        <v>0</v>
      </c>
      <c r="DF27" s="57">
        <f>'[2]Brazil Tallow Exports'!V$225</f>
        <v>0</v>
      </c>
      <c r="DG27" s="57">
        <f>'[2]Brazil Tallow Exports'!W$225</f>
        <v>0</v>
      </c>
      <c r="DH27" s="57">
        <f>'[2]Brazil Tallow Exports'!X$225</f>
        <v>0</v>
      </c>
      <c r="DI27" s="57">
        <f>'[2]Brazil Tallow Exports'!Y$225</f>
        <v>0</v>
      </c>
      <c r="DJ27" s="57">
        <f>'[2]Brazil Tallow Exports'!Z$225</f>
        <v>0</v>
      </c>
      <c r="DK27" s="57">
        <f>'[2]Brazil Tallow Exports'!AA$225</f>
        <v>0</v>
      </c>
      <c r="DL27" s="57">
        <f>'[2]Brazil Tallow Exports'!AB$225</f>
        <v>0</v>
      </c>
      <c r="DM27" s="57">
        <f>'[2]Brazil Tallow Exports'!AC$225</f>
        <v>0</v>
      </c>
      <c r="DN27" s="57">
        <f>'[2]Brazil Tallow Exports'!AD$225</f>
        <v>0</v>
      </c>
      <c r="DO27" s="57">
        <f>'[2]Brazil Tallow Exports'!AE$225</f>
        <v>0</v>
      </c>
      <c r="DP27" s="58">
        <f>'[2]Brazil Tallow Exports'!AF$225</f>
        <v>0</v>
      </c>
      <c r="EB27" s="57">
        <f t="shared" si="18"/>
        <v>0</v>
      </c>
      <c r="EC27" s="57">
        <f t="shared" si="18"/>
        <v>0</v>
      </c>
      <c r="ED27" s="57">
        <f t="shared" si="18"/>
        <v>0</v>
      </c>
      <c r="EE27" s="57">
        <f t="shared" si="17"/>
        <v>0</v>
      </c>
      <c r="EF27" s="57">
        <f t="shared" si="17"/>
        <v>0</v>
      </c>
      <c r="EG27" s="57">
        <f t="shared" si="17"/>
        <v>0</v>
      </c>
      <c r="EH27" s="57">
        <f t="shared" si="17"/>
        <v>0</v>
      </c>
      <c r="EI27" s="57">
        <f t="shared" si="17"/>
        <v>0</v>
      </c>
      <c r="EJ27" s="57">
        <f t="shared" si="17"/>
        <v>0</v>
      </c>
      <c r="EK27" s="57">
        <f t="shared" si="17"/>
        <v>0</v>
      </c>
      <c r="EL27" s="57">
        <f t="shared" si="17"/>
        <v>0</v>
      </c>
      <c r="EM27" s="57">
        <f t="shared" si="17"/>
        <v>0</v>
      </c>
      <c r="EN27" s="60">
        <f t="shared" si="16"/>
        <v>0</v>
      </c>
      <c r="EO27" s="60">
        <f t="shared" si="16"/>
        <v>0</v>
      </c>
      <c r="EP27" s="60">
        <f t="shared" si="16"/>
        <v>0</v>
      </c>
      <c r="EQ27" s="60">
        <f t="shared" si="16"/>
        <v>0</v>
      </c>
      <c r="ER27" s="60">
        <f t="shared" si="16"/>
        <v>0</v>
      </c>
      <c r="ES27" s="60">
        <f t="shared" si="16"/>
        <v>0</v>
      </c>
      <c r="ET27" s="60">
        <f t="shared" si="16"/>
        <v>0</v>
      </c>
      <c r="EU27" s="60">
        <f t="shared" si="16"/>
        <v>0</v>
      </c>
      <c r="EV27" s="60">
        <f t="shared" si="16"/>
        <v>0</v>
      </c>
      <c r="EW27" s="60">
        <f t="shared" si="16"/>
        <v>0</v>
      </c>
      <c r="EX27" s="60">
        <f t="shared" si="16"/>
        <v>0</v>
      </c>
      <c r="EY27" s="60">
        <f t="shared" si="16"/>
        <v>0</v>
      </c>
      <c r="EZ27" s="60">
        <f t="shared" si="16"/>
        <v>0</v>
      </c>
      <c r="FA27" s="60">
        <f t="shared" si="16"/>
        <v>0</v>
      </c>
      <c r="FB27" s="60">
        <f t="shared" si="16"/>
        <v>0</v>
      </c>
      <c r="FC27" s="60">
        <f t="shared" si="16"/>
        <v>0</v>
      </c>
      <c r="FD27" s="60">
        <f t="shared" si="16"/>
        <v>0</v>
      </c>
      <c r="FE27" s="60">
        <f t="shared" si="16"/>
        <v>0</v>
      </c>
      <c r="FF27" s="60">
        <f t="shared" si="16"/>
        <v>0</v>
      </c>
      <c r="FG27" s="60">
        <f t="shared" si="16"/>
        <v>0</v>
      </c>
      <c r="FH27" s="60">
        <f t="shared" si="16"/>
        <v>0</v>
      </c>
      <c r="FI27" s="60">
        <f t="shared" si="16"/>
        <v>0</v>
      </c>
      <c r="FJ27" s="60">
        <f t="shared" si="16"/>
        <v>0</v>
      </c>
      <c r="FK27" s="60">
        <f t="shared" si="16"/>
        <v>0</v>
      </c>
      <c r="FL27" s="60">
        <f t="shared" si="16"/>
        <v>0</v>
      </c>
      <c r="FM27" s="60">
        <f t="shared" si="16"/>
        <v>0</v>
      </c>
      <c r="FN27" s="60">
        <f t="shared" si="16"/>
        <v>0</v>
      </c>
    </row>
    <row r="28" spans="1:170">
      <c r="A28" s="44" t="s">
        <v>143</v>
      </c>
      <c r="B28" s="57">
        <f>'[2]Canada Tallow Exports'!I$164-SUM(B23:B27)</f>
        <v>0</v>
      </c>
      <c r="C28" s="57">
        <f>'[2]Canada Tallow Exports'!J$164-SUM(C23:C27)</f>
        <v>0</v>
      </c>
      <c r="D28" s="57">
        <f>'[2]Canada Tallow Exports'!K$164-SUM(D23:D27)</f>
        <v>0</v>
      </c>
      <c r="E28" s="57">
        <f>'[2]Canada Tallow Exports'!L$164-SUM(E23:E27)</f>
        <v>0</v>
      </c>
      <c r="F28" s="57">
        <f>'[2]Canada Tallow Exports'!M$164-SUM(F23:F27)</f>
        <v>27995</v>
      </c>
      <c r="G28" s="57">
        <f>'[2]Canada Tallow Exports'!N$164-SUM(G23:G27)</f>
        <v>36591</v>
      </c>
      <c r="H28" s="57">
        <f>'[2]Canada Tallow Exports'!O$164-SUM(H23:H27)</f>
        <v>48750</v>
      </c>
      <c r="I28" s="57">
        <f>'[2]Canada Tallow Exports'!P$164-SUM(I23:I27)</f>
        <v>52500</v>
      </c>
      <c r="J28" s="57">
        <f>'[2]Canada Tallow Exports'!Q$164-SUM(J23:J27)</f>
        <v>13350</v>
      </c>
      <c r="K28" s="57">
        <f>'[2]Canada Tallow Exports'!R$164-SUM(K23:K27)</f>
        <v>13000</v>
      </c>
      <c r="L28" s="57">
        <f>'[2]Canada Tallow Exports'!S$164-SUM(L23:L27)</f>
        <v>17500</v>
      </c>
      <c r="M28" s="57">
        <f>'[2]Canada Tallow Exports'!T$164-SUM(M23:M27)</f>
        <v>9000</v>
      </c>
      <c r="N28" s="57">
        <f>'[2]Canada Tallow Exports'!U$164-SUM(N23:N27)</f>
        <v>18500</v>
      </c>
      <c r="O28" s="57">
        <f>'[2]Canada Tallow Exports'!V$164-SUM(O23:O27)</f>
        <v>4250</v>
      </c>
      <c r="P28" s="57">
        <f>'[2]Canada Tallow Exports'!W$164-SUM(P23:P27)</f>
        <v>3000</v>
      </c>
      <c r="Q28" s="57">
        <f>'[2]Canada Tallow Exports'!X$164-SUM(Q23:Q27)</f>
        <v>0</v>
      </c>
      <c r="R28" s="57">
        <f>'[2]Canada Tallow Exports'!Y$164-SUM(R23:R27)</f>
        <v>0</v>
      </c>
      <c r="S28" s="57">
        <f>'[2]Canada Tallow Exports'!Z$164-SUM(S23:S27)</f>
        <v>0</v>
      </c>
      <c r="T28" s="57">
        <f>'[2]Canada Tallow Exports'!AA$164-SUM(T23:T27)</f>
        <v>0</v>
      </c>
      <c r="U28" s="57">
        <f>'[2]Canada Tallow Exports'!AB$164-SUM(U23:U27)</f>
        <v>0</v>
      </c>
      <c r="V28" s="57">
        <f>'[2]Canada Tallow Exports'!AC$164-SUM(V23:V27)</f>
        <v>0</v>
      </c>
      <c r="W28" s="57">
        <f>'[2]Canada Tallow Exports'!AD$164-SUM(W23:W27)</f>
        <v>0</v>
      </c>
      <c r="X28" s="57">
        <f>'[2]Canada Tallow Exports'!AE$164-SUM(X23:X27)</f>
        <v>0</v>
      </c>
      <c r="Y28" s="58">
        <f>'[2]Canada Tallow Exports'!AF$164-SUM(Y23:Y27)</f>
        <v>0</v>
      </c>
      <c r="AE28" s="57">
        <f>'[2]Australia Tallow Exports'!N$164-SUM(AE23:AE27)</f>
        <v>22884</v>
      </c>
      <c r="AF28" s="57">
        <f>'[2]Australia Tallow Exports'!O$164-SUM(AF23:AF27)</f>
        <v>29848</v>
      </c>
      <c r="AG28" s="57">
        <f>'[2]Australia Tallow Exports'!P$164-SUM(AG23:AG27)</f>
        <v>12418</v>
      </c>
      <c r="AH28" s="57">
        <f>'[2]Australia Tallow Exports'!Q$164-SUM(AH23:AH27)</f>
        <v>4240</v>
      </c>
      <c r="AI28" s="57">
        <f>'[2]Australia Tallow Exports'!R$164-SUM(AI23:AI27)</f>
        <v>10459</v>
      </c>
      <c r="AJ28" s="57">
        <f>'[2]Australia Tallow Exports'!S$164-SUM(AJ23:AJ27)</f>
        <v>8199</v>
      </c>
      <c r="AK28" s="57">
        <f>'[2]Australia Tallow Exports'!T$164-SUM(AK23:AK27)</f>
        <v>2439</v>
      </c>
      <c r="AL28" s="57">
        <f>'[2]Australia Tallow Exports'!U$164-SUM(AL23:AL27)</f>
        <v>10291</v>
      </c>
      <c r="AM28" s="57">
        <f>'[2]Australia Tallow Exports'!V$164-SUM(AM23:AM27)</f>
        <v>722</v>
      </c>
      <c r="AN28" s="57">
        <f>'[2]Australia Tallow Exports'!W$164-SUM(AN23:AN27)</f>
        <v>22470</v>
      </c>
      <c r="AO28" s="57">
        <f>'[2]Australia Tallow Exports'!X$164-SUM(AO23:AO27)</f>
        <v>24788</v>
      </c>
      <c r="AP28" s="57">
        <f>'[2]Australia Tallow Exports'!Y$164-SUM(AP23:AP27)</f>
        <v>1059</v>
      </c>
      <c r="AQ28" s="57">
        <f>'[2]Australia Tallow Exports'!Z$164-SUM(AQ23:AQ27)</f>
        <v>12134</v>
      </c>
      <c r="AR28" s="57">
        <f>'[2]Australia Tallow Exports'!AA$164-SUM(AR23:AR27)</f>
        <v>15334</v>
      </c>
      <c r="AS28" s="57">
        <f>'[2]Australia Tallow Exports'!AB$164-SUM(AS23:AS27)</f>
        <v>1277</v>
      </c>
      <c r="AT28" s="57">
        <f>'[2]Australia Tallow Exports'!AC$164-SUM(AT23:AT27)</f>
        <v>1446</v>
      </c>
      <c r="AU28" s="57">
        <f>'[2]Australia Tallow Exports'!AD$164-SUM(AU23:AU27)</f>
        <v>501</v>
      </c>
      <c r="AV28" s="57">
        <f>'[2]Australia Tallow Exports'!AE$164-SUM(AV23:AV27)</f>
        <v>791</v>
      </c>
      <c r="AW28" s="58">
        <f>'[2]Australia Tallow Exports'!AF$164-SUM(AW23:AW27)</f>
        <v>500</v>
      </c>
      <c r="BC28" s="57">
        <f>'[2]New Zealand Tallow Exports'!N$164-SUM(BC23:BC27)</f>
        <v>1241</v>
      </c>
      <c r="BD28" s="57">
        <f>'[2]New Zealand Tallow Exports'!O$164-SUM(BD23:BD27)</f>
        <v>3626</v>
      </c>
      <c r="BE28" s="57">
        <f>'[2]New Zealand Tallow Exports'!P$164-SUM(BE23:BE27)</f>
        <v>1534</v>
      </c>
      <c r="BF28" s="57">
        <f>'[2]New Zealand Tallow Exports'!Q$164-SUM(BF23:BF27)</f>
        <v>1342</v>
      </c>
      <c r="BG28" s="57">
        <f>'[2]New Zealand Tallow Exports'!R$164-SUM(BG23:BG27)</f>
        <v>470</v>
      </c>
      <c r="BH28" s="57">
        <f>'[2]New Zealand Tallow Exports'!S$164-SUM(BH23:BH27)</f>
        <v>1740</v>
      </c>
      <c r="BI28" s="57">
        <f>'[2]New Zealand Tallow Exports'!T$164-SUM(BI23:BI27)</f>
        <v>153</v>
      </c>
      <c r="BJ28" s="57">
        <f>'[2]New Zealand Tallow Exports'!U$164-SUM(BJ23:BJ27)</f>
        <v>390</v>
      </c>
      <c r="BK28" s="57">
        <f>'[2]New Zealand Tallow Exports'!V$164-SUM(BK23:BK27)</f>
        <v>258</v>
      </c>
      <c r="BL28" s="57">
        <f>'[2]New Zealand Tallow Exports'!W$164-SUM(BL23:BL27)</f>
        <v>0</v>
      </c>
      <c r="BM28" s="57">
        <f>'[2]New Zealand Tallow Exports'!X$164-SUM(BM23:BM27)</f>
        <v>0</v>
      </c>
      <c r="BN28" s="57">
        <f>'[2]New Zealand Tallow Exports'!Y$164-SUM(BN23:BN27)</f>
        <v>0</v>
      </c>
      <c r="BO28" s="57">
        <f>'[2]New Zealand Tallow Exports'!Z$164-SUM(BO23:BO27)</f>
        <v>123</v>
      </c>
      <c r="BP28" s="57">
        <f>'[2]New Zealand Tallow Exports'!AA$164-SUM(BP23:BP27)</f>
        <v>145</v>
      </c>
      <c r="BQ28" s="57">
        <f>'[2]New Zealand Tallow Exports'!AB$164-SUM(BQ23:BQ27)</f>
        <v>0</v>
      </c>
      <c r="BR28" s="57">
        <f>'[2]New Zealand Tallow Exports'!AC$164-SUM(BR23:BR27)</f>
        <v>0</v>
      </c>
      <c r="BS28" s="57">
        <f>'[2]New Zealand Tallow Exports'!AD$164-SUM(BS23:BS27)</f>
        <v>83</v>
      </c>
      <c r="BT28" s="57">
        <f>'[2]New Zealand Tallow Exports'!AE$164-SUM(BT23:BT27)</f>
        <v>41</v>
      </c>
      <c r="BU28" s="58">
        <f>'[2]New Zealand Tallow Exports'!AF$164-SUM(BU23:BU27)</f>
        <v>0</v>
      </c>
      <c r="BX28" s="57">
        <f>'[2]Paraguay Tallow Exports'!K$164-SUM(BX23:BX27)</f>
        <v>0</v>
      </c>
      <c r="BY28" s="57">
        <f>'[2]Paraguay Tallow Exports'!L$164-SUM(BY23:BY27)</f>
        <v>0</v>
      </c>
      <c r="BZ28" s="57">
        <f>'[2]Paraguay Tallow Exports'!M$164-SUM(BZ23:BZ27)</f>
        <v>0</v>
      </c>
      <c r="CA28" s="57">
        <f>'[2]Paraguay Tallow Exports'!N$164-SUM(CA23:CA27)</f>
        <v>16</v>
      </c>
      <c r="CB28" s="57">
        <f>'[2]Paraguay Tallow Exports'!O$164-SUM(CB23:CB27)</f>
        <v>0</v>
      </c>
      <c r="CC28" s="57">
        <f>'[2]Paraguay Tallow Exports'!P$164-SUM(CC23:CC27)</f>
        <v>0</v>
      </c>
      <c r="CD28" s="57">
        <f>'[2]Paraguay Tallow Exports'!Q$164-SUM(CD23:CD27)</f>
        <v>0</v>
      </c>
      <c r="CE28" s="57">
        <f>'[2]Paraguay Tallow Exports'!R$164-SUM(CE23:CE27)</f>
        <v>0</v>
      </c>
      <c r="CF28" s="57">
        <f>'[2]Paraguay Tallow Exports'!S$164-SUM(CF23:CF27)</f>
        <v>0</v>
      </c>
      <c r="CG28" s="57">
        <f>'[2]Paraguay Tallow Exports'!T$164-SUM(CG23:CG27)</f>
        <v>0</v>
      </c>
      <c r="CH28" s="57">
        <f>'[2]Paraguay Tallow Exports'!U$164-SUM(CH23:CH27)</f>
        <v>0</v>
      </c>
      <c r="CI28" s="57">
        <f>'[2]Paraguay Tallow Exports'!V$164-SUM(CI23:CI27)</f>
        <v>0</v>
      </c>
      <c r="CJ28" s="57">
        <f>'[2]Paraguay Tallow Exports'!W$164-SUM(CJ23:CJ27)</f>
        <v>0</v>
      </c>
      <c r="CK28" s="57">
        <f>'[2]Paraguay Tallow Exports'!X$164-SUM(CK23:CK27)</f>
        <v>0</v>
      </c>
      <c r="CL28" s="57">
        <f>'[2]Paraguay Tallow Exports'!Y$164-SUM(CL23:CL27)</f>
        <v>84</v>
      </c>
      <c r="CM28" s="57">
        <f>'[2]Paraguay Tallow Exports'!Z$164-SUM(CM23:CM27)</f>
        <v>0</v>
      </c>
      <c r="CN28" s="57">
        <f>'[2]Paraguay Tallow Exports'!AA$164-SUM(CN23:CN27)</f>
        <v>0</v>
      </c>
      <c r="CO28" s="57">
        <f>'[2]Paraguay Tallow Exports'!AB$164-SUM(CO23:CO27)</f>
        <v>0</v>
      </c>
      <c r="CP28" s="57">
        <f>'[2]Paraguay Tallow Exports'!AC$164-SUM(CP23:CP27)</f>
        <v>0</v>
      </c>
      <c r="CQ28" s="57">
        <f>'[2]Paraguay Tallow Exports'!AD$164-SUM(CQ23:CQ27)</f>
        <v>0</v>
      </c>
      <c r="CR28" s="58">
        <v>0</v>
      </c>
      <c r="DE28" s="57">
        <f>'[2]Brazil Tallow Exports'!U$164-SUM(DE23:DE27)</f>
        <v>0</v>
      </c>
      <c r="DF28" s="57">
        <f>'[2]Brazil Tallow Exports'!V$164-SUM(DF23:DF27)</f>
        <v>0</v>
      </c>
      <c r="DG28" s="57">
        <f>'[2]Brazil Tallow Exports'!W$164-SUM(DG23:DG27)</f>
        <v>0</v>
      </c>
      <c r="DH28" s="57">
        <f>'[2]Brazil Tallow Exports'!X$164-SUM(DH23:DH27)</f>
        <v>0</v>
      </c>
      <c r="DI28" s="57">
        <f>'[2]Brazil Tallow Exports'!Y$164-SUM(DI23:DI27)</f>
        <v>0</v>
      </c>
      <c r="DJ28" s="57">
        <f>'[2]Brazil Tallow Exports'!Z$164-SUM(DJ23:DJ27)</f>
        <v>3871</v>
      </c>
      <c r="DK28" s="57">
        <f>'[2]Brazil Tallow Exports'!AA$164-SUM(DK23:DK27)</f>
        <v>0</v>
      </c>
      <c r="DL28" s="57">
        <f>'[2]Brazil Tallow Exports'!AB$164-SUM(DL23:DL27)</f>
        <v>0</v>
      </c>
      <c r="DM28" s="57">
        <f>'[2]Brazil Tallow Exports'!AC$164-SUM(DM23:DM27)</f>
        <v>0</v>
      </c>
      <c r="DN28" s="57">
        <f>'[2]Brazil Tallow Exports'!AD$164-SUM(DN23:DN27)</f>
        <v>0</v>
      </c>
      <c r="DO28" s="57">
        <f>'[2]Brazil Tallow Exports'!AE$164-SUM(DO23:DO27)</f>
        <v>1</v>
      </c>
      <c r="DP28" s="58">
        <f>'[2]Brazil Tallow Exports'!AF$164-SUM(DP23:DP27)</f>
        <v>52</v>
      </c>
      <c r="EB28" s="57">
        <f t="shared" si="18"/>
        <v>29181</v>
      </c>
      <c r="EC28" s="57">
        <f t="shared" si="18"/>
        <v>5230</v>
      </c>
      <c r="ED28" s="57">
        <f t="shared" si="18"/>
        <v>25470</v>
      </c>
      <c r="EE28" s="57">
        <f t="shared" si="17"/>
        <v>24788</v>
      </c>
      <c r="EF28" s="57">
        <f t="shared" si="17"/>
        <v>1143</v>
      </c>
      <c r="EG28" s="57">
        <f t="shared" si="17"/>
        <v>16128</v>
      </c>
      <c r="EH28" s="57">
        <f t="shared" si="17"/>
        <v>15479</v>
      </c>
      <c r="EI28" s="57">
        <f t="shared" si="17"/>
        <v>1277</v>
      </c>
      <c r="EJ28" s="57">
        <f t="shared" si="17"/>
        <v>1446</v>
      </c>
      <c r="EK28" s="57">
        <f t="shared" si="17"/>
        <v>584</v>
      </c>
      <c r="EL28" s="57">
        <f t="shared" si="17"/>
        <v>833</v>
      </c>
      <c r="EM28" s="57">
        <f t="shared" si="17"/>
        <v>552</v>
      </c>
      <c r="EN28" s="60">
        <f t="shared" ref="EN28:FN28" si="20">IF(FORECAST(EN$41,EI28:EM28,EI$41:EM$41)&lt;0,0,FORECAST(EN$41,EI28:EM28,EI$41:EM$41))*0.5</f>
        <v>0</v>
      </c>
      <c r="EO28" s="60">
        <f t="shared" si="20"/>
        <v>0</v>
      </c>
      <c r="EP28" s="60">
        <f t="shared" si="20"/>
        <v>0</v>
      </c>
      <c r="EQ28" s="60">
        <f t="shared" si="20"/>
        <v>0</v>
      </c>
      <c r="ER28" s="60">
        <f t="shared" si="20"/>
        <v>0</v>
      </c>
      <c r="ES28" s="60">
        <f t="shared" si="20"/>
        <v>0</v>
      </c>
      <c r="ET28" s="60">
        <f t="shared" si="20"/>
        <v>0</v>
      </c>
      <c r="EU28" s="60">
        <f t="shared" si="20"/>
        <v>0</v>
      </c>
      <c r="EV28" s="60">
        <f t="shared" si="20"/>
        <v>0</v>
      </c>
      <c r="EW28" s="60">
        <f t="shared" si="20"/>
        <v>0</v>
      </c>
      <c r="EX28" s="60">
        <f t="shared" si="20"/>
        <v>0</v>
      </c>
      <c r="EY28" s="60">
        <f t="shared" si="20"/>
        <v>0</v>
      </c>
      <c r="EZ28" s="60">
        <f t="shared" si="20"/>
        <v>0</v>
      </c>
      <c r="FA28" s="60">
        <f t="shared" si="20"/>
        <v>0</v>
      </c>
      <c r="FB28" s="60">
        <f t="shared" si="20"/>
        <v>0</v>
      </c>
      <c r="FC28" s="60">
        <f t="shared" si="20"/>
        <v>0</v>
      </c>
      <c r="FD28" s="60">
        <f t="shared" si="20"/>
        <v>0</v>
      </c>
      <c r="FE28" s="60">
        <f t="shared" si="20"/>
        <v>0</v>
      </c>
      <c r="FF28" s="60">
        <f t="shared" si="20"/>
        <v>0</v>
      </c>
      <c r="FG28" s="60">
        <f t="shared" si="20"/>
        <v>0</v>
      </c>
      <c r="FH28" s="60">
        <f t="shared" si="20"/>
        <v>0</v>
      </c>
      <c r="FI28" s="60">
        <f t="shared" si="20"/>
        <v>0</v>
      </c>
      <c r="FJ28" s="60">
        <f t="shared" si="20"/>
        <v>0</v>
      </c>
      <c r="FK28" s="60">
        <f t="shared" si="20"/>
        <v>0</v>
      </c>
      <c r="FL28" s="60">
        <f t="shared" si="20"/>
        <v>0</v>
      </c>
      <c r="FM28" s="60">
        <f t="shared" si="20"/>
        <v>0</v>
      </c>
      <c r="FN28" s="60">
        <f t="shared" si="20"/>
        <v>0</v>
      </c>
    </row>
    <row r="29" spans="1:170">
      <c r="A29" s="44" t="s">
        <v>144</v>
      </c>
      <c r="B29" s="57">
        <f>'[2]Canada Tallow Exports'!I$234</f>
        <v>0</v>
      </c>
      <c r="C29" s="57">
        <f>'[2]Canada Tallow Exports'!J$234</f>
        <v>0</v>
      </c>
      <c r="D29" s="57">
        <f>'[2]Canada Tallow Exports'!K$234</f>
        <v>0</v>
      </c>
      <c r="E29" s="57">
        <f>'[2]Canada Tallow Exports'!L$234</f>
        <v>0</v>
      </c>
      <c r="F29" s="57">
        <f>'[2]Canada Tallow Exports'!M$234</f>
        <v>0</v>
      </c>
      <c r="G29" s="57">
        <f>'[2]Canada Tallow Exports'!N$234</f>
        <v>0</v>
      </c>
      <c r="H29" s="57">
        <f>'[2]Canada Tallow Exports'!O$234</f>
        <v>0</v>
      </c>
      <c r="I29" s="57">
        <f>'[2]Canada Tallow Exports'!P$234</f>
        <v>0</v>
      </c>
      <c r="J29" s="57">
        <f>'[2]Canada Tallow Exports'!Q$234</f>
        <v>0</v>
      </c>
      <c r="K29" s="57">
        <f>'[2]Canada Tallow Exports'!R$234</f>
        <v>0</v>
      </c>
      <c r="L29" s="57">
        <f>'[2]Canada Tallow Exports'!S$234</f>
        <v>0</v>
      </c>
      <c r="M29" s="57">
        <f>'[2]Canada Tallow Exports'!T$234</f>
        <v>0</v>
      </c>
      <c r="N29" s="57">
        <f>'[2]Canada Tallow Exports'!U$234</f>
        <v>0</v>
      </c>
      <c r="O29" s="57">
        <f>'[2]Canada Tallow Exports'!V$234</f>
        <v>0</v>
      </c>
      <c r="P29" s="57">
        <f>'[2]Canada Tallow Exports'!W$234</f>
        <v>0</v>
      </c>
      <c r="Q29" s="57">
        <f>'[2]Canada Tallow Exports'!X$234</f>
        <v>0</v>
      </c>
      <c r="R29" s="57">
        <f>'[2]Canada Tallow Exports'!Y$234</f>
        <v>0</v>
      </c>
      <c r="S29" s="57">
        <f>'[2]Canada Tallow Exports'!Z$234</f>
        <v>0</v>
      </c>
      <c r="T29" s="57">
        <f>'[2]Canada Tallow Exports'!AA$234</f>
        <v>0</v>
      </c>
      <c r="U29" s="57">
        <f>'[2]Canada Tallow Exports'!AB$234</f>
        <v>0</v>
      </c>
      <c r="V29" s="57">
        <f>'[2]Canada Tallow Exports'!AC$234</f>
        <v>0</v>
      </c>
      <c r="W29" s="57">
        <f>'[2]Canada Tallow Exports'!AD$234</f>
        <v>0</v>
      </c>
      <c r="X29" s="57">
        <f>'[2]Canada Tallow Exports'!AE$234</f>
        <v>0</v>
      </c>
      <c r="Y29" s="58">
        <f>'[2]Canada Tallow Exports'!AF$234</f>
        <v>0</v>
      </c>
      <c r="AE29" s="57">
        <f>'[2]Australia Tallow Exports'!N$234</f>
        <v>0</v>
      </c>
      <c r="AF29" s="57">
        <f>'[2]Australia Tallow Exports'!O$234</f>
        <v>0</v>
      </c>
      <c r="AG29" s="57">
        <f>'[2]Australia Tallow Exports'!P$234</f>
        <v>0</v>
      </c>
      <c r="AH29" s="57">
        <f>'[2]Australia Tallow Exports'!Q$234</f>
        <v>0</v>
      </c>
      <c r="AI29" s="57">
        <f>'[2]Australia Tallow Exports'!R$234</f>
        <v>0</v>
      </c>
      <c r="AJ29" s="57">
        <f>'[2]Australia Tallow Exports'!S$234</f>
        <v>0</v>
      </c>
      <c r="AK29" s="57">
        <f>'[2]Australia Tallow Exports'!T$234</f>
        <v>0</v>
      </c>
      <c r="AL29" s="57">
        <f>'[2]Australia Tallow Exports'!U$234</f>
        <v>0</v>
      </c>
      <c r="AM29" s="57">
        <f>'[2]Australia Tallow Exports'!V$234</f>
        <v>0</v>
      </c>
      <c r="AN29" s="57">
        <f>'[2]Australia Tallow Exports'!W$234</f>
        <v>0</v>
      </c>
      <c r="AO29" s="57">
        <f>'[2]Australia Tallow Exports'!X$234</f>
        <v>0</v>
      </c>
      <c r="AP29" s="57">
        <f>'[2]Australia Tallow Exports'!Y$234</f>
        <v>0</v>
      </c>
      <c r="AQ29" s="57">
        <f>'[2]Australia Tallow Exports'!Z$234</f>
        <v>0</v>
      </c>
      <c r="AR29" s="57">
        <f>'[2]Australia Tallow Exports'!AA$234</f>
        <v>0</v>
      </c>
      <c r="AS29" s="57">
        <f>'[2]Australia Tallow Exports'!AB$234</f>
        <v>0</v>
      </c>
      <c r="AT29" s="57">
        <f>'[2]Australia Tallow Exports'!AC$234</f>
        <v>0</v>
      </c>
      <c r="AU29" s="57">
        <f>'[2]Australia Tallow Exports'!AD$234</f>
        <v>0</v>
      </c>
      <c r="AV29" s="57">
        <f>'[2]Australia Tallow Exports'!AE$234</f>
        <v>0</v>
      </c>
      <c r="AW29" s="58">
        <f>'[2]Australia Tallow Exports'!AF$234</f>
        <v>0</v>
      </c>
      <c r="BC29" s="57">
        <f>'[2]New Zealand Tallow Exports'!N$234</f>
        <v>0</v>
      </c>
      <c r="BD29" s="57">
        <f>'[2]New Zealand Tallow Exports'!O$234</f>
        <v>0</v>
      </c>
      <c r="BE29" s="57">
        <f>'[2]New Zealand Tallow Exports'!P$234</f>
        <v>0</v>
      </c>
      <c r="BF29" s="57">
        <f>'[2]New Zealand Tallow Exports'!Q$234</f>
        <v>0</v>
      </c>
      <c r="BG29" s="57">
        <f>'[2]New Zealand Tallow Exports'!R$234</f>
        <v>0</v>
      </c>
      <c r="BH29" s="57">
        <f>'[2]New Zealand Tallow Exports'!S$234</f>
        <v>0</v>
      </c>
      <c r="BI29" s="57">
        <f>'[2]New Zealand Tallow Exports'!T$234</f>
        <v>0</v>
      </c>
      <c r="BJ29" s="57">
        <f>'[2]New Zealand Tallow Exports'!U$234</f>
        <v>0</v>
      </c>
      <c r="BK29" s="57">
        <f>'[2]New Zealand Tallow Exports'!V$234</f>
        <v>0</v>
      </c>
      <c r="BL29" s="57">
        <f>'[2]New Zealand Tallow Exports'!W$234</f>
        <v>0</v>
      </c>
      <c r="BM29" s="57">
        <f>'[2]New Zealand Tallow Exports'!X$234</f>
        <v>0</v>
      </c>
      <c r="BN29" s="57">
        <f>'[2]New Zealand Tallow Exports'!Y$234</f>
        <v>0</v>
      </c>
      <c r="BO29" s="57">
        <f>'[2]New Zealand Tallow Exports'!Z$234</f>
        <v>0</v>
      </c>
      <c r="BP29" s="57">
        <f>'[2]New Zealand Tallow Exports'!AA$234</f>
        <v>0</v>
      </c>
      <c r="BQ29" s="57">
        <f>'[2]New Zealand Tallow Exports'!AB$234</f>
        <v>0</v>
      </c>
      <c r="BR29" s="57">
        <f>'[2]New Zealand Tallow Exports'!AC$234</f>
        <v>0</v>
      </c>
      <c r="BS29" s="57">
        <f>'[2]New Zealand Tallow Exports'!AD$234</f>
        <v>0</v>
      </c>
      <c r="BT29" s="57">
        <f>'[2]New Zealand Tallow Exports'!AE$234</f>
        <v>0</v>
      </c>
      <c r="BU29" s="58">
        <f>'[2]New Zealand Tallow Exports'!AF$234</f>
        <v>0</v>
      </c>
      <c r="BX29" s="57">
        <f>'[2]Paraguay Tallow Exports'!K$234</f>
        <v>0</v>
      </c>
      <c r="BY29" s="57">
        <f>'[2]Paraguay Tallow Exports'!L$234</f>
        <v>0</v>
      </c>
      <c r="BZ29" s="57">
        <f>'[2]Paraguay Tallow Exports'!M$234</f>
        <v>0</v>
      </c>
      <c r="CA29" s="57">
        <f>'[2]Paraguay Tallow Exports'!N$234</f>
        <v>0</v>
      </c>
      <c r="CB29" s="57">
        <f>'[2]Paraguay Tallow Exports'!O$234</f>
        <v>0</v>
      </c>
      <c r="CC29" s="57">
        <f>'[2]Paraguay Tallow Exports'!P$234</f>
        <v>0</v>
      </c>
      <c r="CD29" s="57">
        <f>'[2]Paraguay Tallow Exports'!Q$234</f>
        <v>0</v>
      </c>
      <c r="CE29" s="57">
        <f>'[2]Paraguay Tallow Exports'!R$234</f>
        <v>150</v>
      </c>
      <c r="CF29" s="57">
        <f>'[2]Paraguay Tallow Exports'!S$234</f>
        <v>75</v>
      </c>
      <c r="CG29" s="57">
        <f>'[2]Paraguay Tallow Exports'!T$234</f>
        <v>250</v>
      </c>
      <c r="CH29" s="57">
        <f>'[2]Paraguay Tallow Exports'!U$234</f>
        <v>150</v>
      </c>
      <c r="CI29" s="57">
        <f>'[2]Paraguay Tallow Exports'!V$234</f>
        <v>100</v>
      </c>
      <c r="CJ29" s="57">
        <f>'[2]Paraguay Tallow Exports'!W$234</f>
        <v>150</v>
      </c>
      <c r="CK29" s="57">
        <f>'[2]Paraguay Tallow Exports'!X$234</f>
        <v>100</v>
      </c>
      <c r="CL29" s="57">
        <f>'[2]Paraguay Tallow Exports'!Y$234</f>
        <v>0</v>
      </c>
      <c r="CM29" s="57">
        <f>'[2]Paraguay Tallow Exports'!Z$234</f>
        <v>0</v>
      </c>
      <c r="CN29" s="57">
        <f>'[2]Paraguay Tallow Exports'!AA$234</f>
        <v>0</v>
      </c>
      <c r="CO29" s="57">
        <f>'[2]Paraguay Tallow Exports'!AB$234</f>
        <v>0</v>
      </c>
      <c r="CP29" s="57">
        <f>'[2]Paraguay Tallow Exports'!AC$234</f>
        <v>54</v>
      </c>
      <c r="CQ29" s="57">
        <f>'[2]Paraguay Tallow Exports'!AD$234</f>
        <v>0</v>
      </c>
      <c r="CR29" s="58">
        <f>FORECAST(CR$41,CM29:CQ29,CM$41:CQ$41)*0</f>
        <v>0</v>
      </c>
      <c r="DE29" s="57">
        <f>'[2]Brazil Tallow Exports'!U$234</f>
        <v>0</v>
      </c>
      <c r="DF29" s="57">
        <f>'[2]Brazil Tallow Exports'!V$234</f>
        <v>0</v>
      </c>
      <c r="DG29" s="57">
        <f>'[2]Brazil Tallow Exports'!W$234</f>
        <v>0</v>
      </c>
      <c r="DH29" s="57">
        <f>'[2]Brazil Tallow Exports'!X$234</f>
        <v>0</v>
      </c>
      <c r="DI29" s="57">
        <f>'[2]Brazil Tallow Exports'!Y$234</f>
        <v>0</v>
      </c>
      <c r="DJ29" s="57">
        <f>'[2]Brazil Tallow Exports'!Z$234</f>
        <v>0</v>
      </c>
      <c r="DK29" s="57">
        <f>'[2]Brazil Tallow Exports'!AA$234</f>
        <v>0</v>
      </c>
      <c r="DL29" s="57">
        <f>'[2]Brazil Tallow Exports'!AB$234</f>
        <v>0</v>
      </c>
      <c r="DM29" s="57">
        <f>'[2]Brazil Tallow Exports'!AC$234</f>
        <v>0</v>
      </c>
      <c r="DN29" s="57">
        <f>'[2]Brazil Tallow Exports'!AD$234</f>
        <v>0</v>
      </c>
      <c r="DO29" s="57">
        <f>'[2]Brazil Tallow Exports'!AE$234</f>
        <v>0</v>
      </c>
      <c r="DP29" s="58">
        <f>'[2]Brazil Tallow Exports'!AF$234</f>
        <v>0</v>
      </c>
      <c r="EB29" s="57">
        <f t="shared" si="18"/>
        <v>150</v>
      </c>
      <c r="EC29" s="57">
        <f t="shared" si="18"/>
        <v>100</v>
      </c>
      <c r="ED29" s="57">
        <f t="shared" si="18"/>
        <v>150</v>
      </c>
      <c r="EE29" s="57">
        <f t="shared" si="17"/>
        <v>100</v>
      </c>
      <c r="EF29" s="57">
        <f t="shared" si="17"/>
        <v>0</v>
      </c>
      <c r="EG29" s="57">
        <f t="shared" si="17"/>
        <v>0</v>
      </c>
      <c r="EH29" s="57">
        <f t="shared" si="17"/>
        <v>0</v>
      </c>
      <c r="EI29" s="57">
        <f t="shared" si="17"/>
        <v>0</v>
      </c>
      <c r="EJ29" s="57">
        <f t="shared" si="17"/>
        <v>54</v>
      </c>
      <c r="EK29" s="57">
        <f t="shared" si="17"/>
        <v>0</v>
      </c>
      <c r="EL29" s="57">
        <f t="shared" si="17"/>
        <v>0</v>
      </c>
      <c r="EM29" s="57">
        <f t="shared" si="17"/>
        <v>0</v>
      </c>
      <c r="EN29" s="60">
        <f t="shared" si="16"/>
        <v>0</v>
      </c>
      <c r="EO29" s="60">
        <f t="shared" si="16"/>
        <v>0</v>
      </c>
      <c r="EP29" s="60">
        <f t="shared" si="16"/>
        <v>0</v>
      </c>
      <c r="EQ29" s="60">
        <f t="shared" si="16"/>
        <v>0</v>
      </c>
      <c r="ER29" s="60">
        <f t="shared" si="16"/>
        <v>0</v>
      </c>
      <c r="ES29" s="60">
        <f t="shared" si="16"/>
        <v>0</v>
      </c>
      <c r="ET29" s="60">
        <f t="shared" si="16"/>
        <v>0</v>
      </c>
      <c r="EU29" s="60">
        <f t="shared" si="16"/>
        <v>0</v>
      </c>
      <c r="EV29" s="60">
        <f t="shared" si="16"/>
        <v>0</v>
      </c>
      <c r="EW29" s="60">
        <f t="shared" si="16"/>
        <v>0</v>
      </c>
      <c r="EX29" s="60">
        <f t="shared" si="16"/>
        <v>0</v>
      </c>
      <c r="EY29" s="60">
        <f t="shared" si="16"/>
        <v>0</v>
      </c>
      <c r="EZ29" s="60">
        <f t="shared" si="16"/>
        <v>0</v>
      </c>
      <c r="FA29" s="60">
        <f t="shared" si="16"/>
        <v>0</v>
      </c>
      <c r="FB29" s="60">
        <f t="shared" si="16"/>
        <v>0</v>
      </c>
      <c r="FC29" s="60">
        <f t="shared" si="16"/>
        <v>0</v>
      </c>
      <c r="FD29" s="60">
        <f t="shared" si="16"/>
        <v>0</v>
      </c>
      <c r="FE29" s="60">
        <f t="shared" si="16"/>
        <v>0</v>
      </c>
      <c r="FF29" s="60">
        <f t="shared" si="16"/>
        <v>0</v>
      </c>
      <c r="FG29" s="60">
        <f t="shared" si="16"/>
        <v>0</v>
      </c>
      <c r="FH29" s="60">
        <f t="shared" si="16"/>
        <v>0</v>
      </c>
      <c r="FI29" s="60">
        <f t="shared" si="16"/>
        <v>0</v>
      </c>
      <c r="FJ29" s="60">
        <f t="shared" si="16"/>
        <v>0</v>
      </c>
      <c r="FK29" s="60">
        <f t="shared" si="16"/>
        <v>0</v>
      </c>
      <c r="FL29" s="60">
        <f t="shared" si="16"/>
        <v>0</v>
      </c>
      <c r="FM29" s="60">
        <f t="shared" si="16"/>
        <v>0</v>
      </c>
      <c r="FN29" s="60">
        <f t="shared" si="16"/>
        <v>0</v>
      </c>
    </row>
    <row r="30" spans="1:170">
      <c r="A30" s="44" t="s">
        <v>145</v>
      </c>
      <c r="B30" s="57">
        <f>'[2]Canada Tallow Exports'!I$241</f>
        <v>0</v>
      </c>
      <c r="C30" s="57">
        <f>'[2]Canada Tallow Exports'!J$241</f>
        <v>0</v>
      </c>
      <c r="D30" s="57">
        <f>'[2]Canada Tallow Exports'!K$241</f>
        <v>0</v>
      </c>
      <c r="E30" s="57">
        <f>'[2]Canada Tallow Exports'!L$241</f>
        <v>0</v>
      </c>
      <c r="F30" s="57">
        <f>'[2]Canada Tallow Exports'!M$241</f>
        <v>0</v>
      </c>
      <c r="G30" s="57">
        <f>'[2]Canada Tallow Exports'!N$241</f>
        <v>0</v>
      </c>
      <c r="H30" s="57">
        <f>'[2]Canada Tallow Exports'!O$241</f>
        <v>0</v>
      </c>
      <c r="I30" s="57">
        <f>'[2]Canada Tallow Exports'!P$241</f>
        <v>0</v>
      </c>
      <c r="J30" s="57">
        <f>'[2]Canada Tallow Exports'!Q$241</f>
        <v>0</v>
      </c>
      <c r="K30" s="57">
        <f>'[2]Canada Tallow Exports'!R$241</f>
        <v>1</v>
      </c>
      <c r="L30" s="57">
        <f>'[2]Canada Tallow Exports'!S$241</f>
        <v>5000</v>
      </c>
      <c r="M30" s="57">
        <f>'[2]Canada Tallow Exports'!T$241</f>
        <v>0</v>
      </c>
      <c r="N30" s="57">
        <f>'[2]Canada Tallow Exports'!U$241</f>
        <v>0</v>
      </c>
      <c r="O30" s="57">
        <f>'[2]Canada Tallow Exports'!V$241</f>
        <v>0</v>
      </c>
      <c r="P30" s="57">
        <f>'[2]Canada Tallow Exports'!W$241</f>
        <v>0</v>
      </c>
      <c r="Q30" s="57">
        <f>'[2]Canada Tallow Exports'!X$241</f>
        <v>0</v>
      </c>
      <c r="R30" s="57">
        <f>'[2]Canada Tallow Exports'!Y$241</f>
        <v>0</v>
      </c>
      <c r="S30" s="57">
        <f>'[2]Canada Tallow Exports'!Z$241</f>
        <v>0</v>
      </c>
      <c r="T30" s="57">
        <f>'[2]Canada Tallow Exports'!AA$241</f>
        <v>0</v>
      </c>
      <c r="U30" s="57">
        <f>'[2]Canada Tallow Exports'!AB$241</f>
        <v>0</v>
      </c>
      <c r="V30" s="57">
        <f>'[2]Canada Tallow Exports'!AC$241</f>
        <v>0</v>
      </c>
      <c r="W30" s="57">
        <f>'[2]Canada Tallow Exports'!AD$241</f>
        <v>0</v>
      </c>
      <c r="X30" s="57">
        <f>'[2]Canada Tallow Exports'!AE$241</f>
        <v>0</v>
      </c>
      <c r="Y30" s="58">
        <f>'[2]Canada Tallow Exports'!AF$241</f>
        <v>0</v>
      </c>
      <c r="AE30" s="57">
        <f>'[2]Australia Tallow Exports'!N$241</f>
        <v>0</v>
      </c>
      <c r="AF30" s="57">
        <f>'[2]Australia Tallow Exports'!O$241</f>
        <v>0</v>
      </c>
      <c r="AG30" s="57">
        <f>'[2]Australia Tallow Exports'!P$241</f>
        <v>0</v>
      </c>
      <c r="AH30" s="57">
        <f>'[2]Australia Tallow Exports'!Q$241</f>
        <v>0</v>
      </c>
      <c r="AI30" s="57">
        <f>'[2]Australia Tallow Exports'!R$241</f>
        <v>6000</v>
      </c>
      <c r="AJ30" s="57">
        <f>'[2]Australia Tallow Exports'!S$241</f>
        <v>0</v>
      </c>
      <c r="AK30" s="57">
        <f>'[2]Australia Tallow Exports'!T$241</f>
        <v>0</v>
      </c>
      <c r="AL30" s="57">
        <f>'[2]Australia Tallow Exports'!U$241</f>
        <v>0</v>
      </c>
      <c r="AM30" s="57">
        <f>'[2]Australia Tallow Exports'!V$241</f>
        <v>0</v>
      </c>
      <c r="AN30" s="57">
        <f>'[2]Australia Tallow Exports'!W$241</f>
        <v>0</v>
      </c>
      <c r="AO30" s="57">
        <f>'[2]Australia Tallow Exports'!X$241</f>
        <v>0</v>
      </c>
      <c r="AP30" s="57">
        <f>'[2]Australia Tallow Exports'!Y$241</f>
        <v>0</v>
      </c>
      <c r="AQ30" s="57">
        <f>'[2]Australia Tallow Exports'!Z$241</f>
        <v>0</v>
      </c>
      <c r="AR30" s="57">
        <f>'[2]Australia Tallow Exports'!AA$241</f>
        <v>0</v>
      </c>
      <c r="AS30" s="57">
        <f>'[2]Australia Tallow Exports'!AB$241</f>
        <v>0</v>
      </c>
      <c r="AT30" s="57">
        <f>'[2]Australia Tallow Exports'!AC$241</f>
        <v>55</v>
      </c>
      <c r="AU30" s="57">
        <f>'[2]Australia Tallow Exports'!AD$241</f>
        <v>0</v>
      </c>
      <c r="AV30" s="57">
        <f>'[2]Australia Tallow Exports'!AE$241</f>
        <v>0</v>
      </c>
      <c r="AW30" s="58">
        <f>'[2]Australia Tallow Exports'!AF$241</f>
        <v>0</v>
      </c>
      <c r="BC30" s="57">
        <f>'[2]New Zealand Tallow Exports'!N$241</f>
        <v>0</v>
      </c>
      <c r="BD30" s="57">
        <f>'[2]New Zealand Tallow Exports'!O$241</f>
        <v>0</v>
      </c>
      <c r="BE30" s="57">
        <f>'[2]New Zealand Tallow Exports'!P$241</f>
        <v>0</v>
      </c>
      <c r="BF30" s="57">
        <f>'[2]New Zealand Tallow Exports'!Q$241</f>
        <v>0</v>
      </c>
      <c r="BG30" s="57">
        <f>'[2]New Zealand Tallow Exports'!R$241</f>
        <v>0</v>
      </c>
      <c r="BH30" s="57">
        <f>'[2]New Zealand Tallow Exports'!S$241</f>
        <v>0</v>
      </c>
      <c r="BI30" s="57">
        <f>'[2]New Zealand Tallow Exports'!T$241</f>
        <v>0</v>
      </c>
      <c r="BJ30" s="57">
        <f>'[2]New Zealand Tallow Exports'!U$241</f>
        <v>0</v>
      </c>
      <c r="BK30" s="57">
        <f>'[2]New Zealand Tallow Exports'!V$241</f>
        <v>0</v>
      </c>
      <c r="BL30" s="57">
        <f>'[2]New Zealand Tallow Exports'!W$241</f>
        <v>0</v>
      </c>
      <c r="BM30" s="57">
        <f>'[2]New Zealand Tallow Exports'!X$241</f>
        <v>0</v>
      </c>
      <c r="BN30" s="57">
        <f>'[2]New Zealand Tallow Exports'!Y$241</f>
        <v>0</v>
      </c>
      <c r="BO30" s="57">
        <f>'[2]New Zealand Tallow Exports'!Z$241</f>
        <v>0</v>
      </c>
      <c r="BP30" s="57">
        <f>'[2]New Zealand Tallow Exports'!AA$241</f>
        <v>0</v>
      </c>
      <c r="BQ30" s="57">
        <f>'[2]New Zealand Tallow Exports'!AB$241</f>
        <v>0</v>
      </c>
      <c r="BR30" s="57">
        <f>'[2]New Zealand Tallow Exports'!AC$241</f>
        <v>0</v>
      </c>
      <c r="BS30" s="57">
        <f>'[2]New Zealand Tallow Exports'!AD$241</f>
        <v>0</v>
      </c>
      <c r="BT30" s="57">
        <f>'[2]New Zealand Tallow Exports'!AE$241</f>
        <v>0</v>
      </c>
      <c r="BU30" s="58">
        <f>'[2]New Zealand Tallow Exports'!AF$241</f>
        <v>0</v>
      </c>
      <c r="BX30" s="57">
        <f>'[2]Paraguay Tallow Exports'!K$241</f>
        <v>694</v>
      </c>
      <c r="BY30" s="57">
        <f>'[2]Paraguay Tallow Exports'!L$241</f>
        <v>0</v>
      </c>
      <c r="BZ30" s="57">
        <f>'[2]Paraguay Tallow Exports'!M$241</f>
        <v>557</v>
      </c>
      <c r="CA30" s="57">
        <f>'[2]Paraguay Tallow Exports'!N$241</f>
        <v>1941</v>
      </c>
      <c r="CB30" s="57">
        <f>'[2]Paraguay Tallow Exports'!O$241</f>
        <v>3310</v>
      </c>
      <c r="CC30" s="57">
        <f>'[2]Paraguay Tallow Exports'!P$241</f>
        <v>850</v>
      </c>
      <c r="CD30" s="57">
        <f>'[2]Paraguay Tallow Exports'!Q$241</f>
        <v>3300</v>
      </c>
      <c r="CE30" s="57">
        <f>'[2]Paraguay Tallow Exports'!R$241</f>
        <v>4475</v>
      </c>
      <c r="CF30" s="57">
        <f>'[2]Paraguay Tallow Exports'!S$241</f>
        <v>11177</v>
      </c>
      <c r="CG30" s="57">
        <f>'[2]Paraguay Tallow Exports'!T$241</f>
        <v>9816</v>
      </c>
      <c r="CH30" s="57">
        <f>'[2]Paraguay Tallow Exports'!U$241</f>
        <v>13040</v>
      </c>
      <c r="CI30" s="57">
        <f>'[2]Paraguay Tallow Exports'!V$241</f>
        <v>24958</v>
      </c>
      <c r="CJ30" s="57">
        <f>'[2]Paraguay Tallow Exports'!W$241</f>
        <v>33066</v>
      </c>
      <c r="CK30" s="57">
        <f>'[2]Paraguay Tallow Exports'!X$241</f>
        <v>38473</v>
      </c>
      <c r="CL30" s="57">
        <f>'[2]Paraguay Tallow Exports'!Y$241</f>
        <v>34429</v>
      </c>
      <c r="CM30" s="57">
        <f>'[2]Paraguay Tallow Exports'!Z$241</f>
        <v>39796</v>
      </c>
      <c r="CN30" s="57">
        <f>'[2]Paraguay Tallow Exports'!AA$241</f>
        <v>34961</v>
      </c>
      <c r="CO30" s="57">
        <f>'[2]Paraguay Tallow Exports'!AB$241</f>
        <v>35877</v>
      </c>
      <c r="CP30" s="57">
        <f>'[2]Paraguay Tallow Exports'!AC$241</f>
        <v>36689</v>
      </c>
      <c r="CQ30" s="57">
        <f>'[2]Paraguay Tallow Exports'!AD$241</f>
        <v>46032</v>
      </c>
      <c r="CR30" s="58">
        <f>FORECAST(CR$41,CM30:CQ30,CM$41:CQ$41)</f>
        <v>46323.455296724889</v>
      </c>
      <c r="DE30" s="57" t="s">
        <v>146</v>
      </c>
      <c r="DF30" s="57" t="s">
        <v>146</v>
      </c>
      <c r="DG30" s="57" t="s">
        <v>146</v>
      </c>
      <c r="DH30" s="57" t="s">
        <v>146</v>
      </c>
      <c r="DI30" s="57" t="s">
        <v>146</v>
      </c>
      <c r="DJ30" s="57" t="s">
        <v>146</v>
      </c>
      <c r="DK30" s="57" t="s">
        <v>146</v>
      </c>
      <c r="DL30" s="57" t="s">
        <v>146</v>
      </c>
      <c r="DM30" s="57" t="s">
        <v>146</v>
      </c>
      <c r="DN30" s="57" t="s">
        <v>146</v>
      </c>
      <c r="DO30" s="57" t="s">
        <v>146</v>
      </c>
      <c r="DP30" s="58" t="s">
        <v>146</v>
      </c>
      <c r="EB30" s="57">
        <f t="shared" ref="EB30:EL30" si="21">N30+AL30+CH30+BJ30</f>
        <v>13040</v>
      </c>
      <c r="EC30" s="57">
        <f t="shared" si="21"/>
        <v>24958</v>
      </c>
      <c r="ED30" s="57">
        <f t="shared" si="21"/>
        <v>33066</v>
      </c>
      <c r="EE30" s="57">
        <f t="shared" si="21"/>
        <v>38473</v>
      </c>
      <c r="EF30" s="57">
        <f t="shared" si="21"/>
        <v>34429</v>
      </c>
      <c r="EG30" s="57">
        <f t="shared" si="21"/>
        <v>39796</v>
      </c>
      <c r="EH30" s="57">
        <f t="shared" si="21"/>
        <v>34961</v>
      </c>
      <c r="EI30" s="57">
        <f t="shared" si="21"/>
        <v>35877</v>
      </c>
      <c r="EJ30" s="57">
        <f t="shared" si="21"/>
        <v>36744</v>
      </c>
      <c r="EK30" s="57">
        <f t="shared" si="21"/>
        <v>46032</v>
      </c>
      <c r="EL30" s="57">
        <f t="shared" si="21"/>
        <v>46323.455296724889</v>
      </c>
      <c r="EM30" s="57">
        <f>Y30+AW30+CS30+BU30</f>
        <v>0</v>
      </c>
      <c r="EN30" s="60">
        <f>IF(FORECAST(EN$41,EI30:EM30,EI$41:EM$41)&lt;0,0,FORECAST(EN$41,EI30:EM30,EI$41:EM$41))*0.5</f>
        <v>0</v>
      </c>
      <c r="EO30" s="60">
        <f>IF(FORECAST(EO$41,EJ30:EN30,EJ$41:EN$41)&lt;0,0,FORECAST(EO$41,EJ30:EN30,EJ$41:EN$41))</f>
        <v>0</v>
      </c>
      <c r="EP30" s="60">
        <f>IF(FORECAST(EP$41,EK30:EO30,EK$41:EO$41)&lt;0,0,FORECAST(EP$41,EK30:EO30,EK$41:EO$41))</f>
        <v>0</v>
      </c>
      <c r="EQ30" s="60">
        <f t="shared" si="16"/>
        <v>0</v>
      </c>
      <c r="ER30" s="60">
        <f t="shared" si="16"/>
        <v>0</v>
      </c>
      <c r="ES30" s="60">
        <f t="shared" si="16"/>
        <v>0</v>
      </c>
      <c r="ET30" s="60">
        <f t="shared" si="16"/>
        <v>0</v>
      </c>
      <c r="EU30" s="60">
        <f t="shared" si="16"/>
        <v>0</v>
      </c>
      <c r="EV30" s="60">
        <f t="shared" si="16"/>
        <v>0</v>
      </c>
      <c r="EW30" s="60">
        <f t="shared" si="16"/>
        <v>0</v>
      </c>
      <c r="EX30" s="60">
        <f t="shared" si="16"/>
        <v>0</v>
      </c>
      <c r="EY30" s="60">
        <f t="shared" si="16"/>
        <v>0</v>
      </c>
      <c r="EZ30" s="60">
        <f t="shared" si="16"/>
        <v>0</v>
      </c>
      <c r="FA30" s="60">
        <f t="shared" si="16"/>
        <v>0</v>
      </c>
      <c r="FB30" s="60">
        <f t="shared" si="16"/>
        <v>0</v>
      </c>
      <c r="FC30" s="60">
        <f t="shared" si="16"/>
        <v>0</v>
      </c>
      <c r="FD30" s="60">
        <f t="shared" si="16"/>
        <v>0</v>
      </c>
      <c r="FE30" s="60">
        <f t="shared" si="16"/>
        <v>0</v>
      </c>
      <c r="FF30" s="60">
        <f t="shared" ref="FF30:FN33" si="22">IF(FORECAST(FF$41,FA30:FE30,FA$41:FE$41)&lt;0,0,FORECAST(FF$41,FA30:FE30,FA$41:FE$41))</f>
        <v>0</v>
      </c>
      <c r="FG30" s="60">
        <f t="shared" si="22"/>
        <v>0</v>
      </c>
      <c r="FH30" s="60">
        <f t="shared" si="22"/>
        <v>0</v>
      </c>
      <c r="FI30" s="60">
        <f t="shared" si="22"/>
        <v>0</v>
      </c>
      <c r="FJ30" s="60">
        <f t="shared" si="22"/>
        <v>0</v>
      </c>
      <c r="FK30" s="60">
        <f t="shared" si="22"/>
        <v>0</v>
      </c>
      <c r="FL30" s="60">
        <f t="shared" si="22"/>
        <v>0</v>
      </c>
      <c r="FM30" s="60">
        <f t="shared" si="22"/>
        <v>0</v>
      </c>
      <c r="FN30" s="60">
        <f t="shared" si="22"/>
        <v>0</v>
      </c>
    </row>
    <row r="31" spans="1:170">
      <c r="A31" s="44" t="s">
        <v>147</v>
      </c>
      <c r="B31" s="57" t="s">
        <v>146</v>
      </c>
      <c r="C31" s="57" t="s">
        <v>146</v>
      </c>
      <c r="D31" s="57" t="s">
        <v>146</v>
      </c>
      <c r="E31" s="57" t="s">
        <v>146</v>
      </c>
      <c r="F31" s="57" t="s">
        <v>146</v>
      </c>
      <c r="G31" s="57" t="s">
        <v>146</v>
      </c>
      <c r="H31" s="57" t="s">
        <v>146</v>
      </c>
      <c r="I31" s="57" t="s">
        <v>146</v>
      </c>
      <c r="J31" s="57" t="s">
        <v>146</v>
      </c>
      <c r="K31" s="57" t="s">
        <v>146</v>
      </c>
      <c r="L31" s="57" t="s">
        <v>146</v>
      </c>
      <c r="M31" s="57" t="s">
        <v>146</v>
      </c>
      <c r="N31" s="57" t="s">
        <v>146</v>
      </c>
      <c r="O31" s="57" t="s">
        <v>146</v>
      </c>
      <c r="P31" s="57" t="s">
        <v>146</v>
      </c>
      <c r="Q31" s="57" t="s">
        <v>146</v>
      </c>
      <c r="R31" s="57" t="s">
        <v>146</v>
      </c>
      <c r="S31" s="57" t="s">
        <v>146</v>
      </c>
      <c r="T31" s="57" t="s">
        <v>146</v>
      </c>
      <c r="U31" s="57" t="s">
        <v>146</v>
      </c>
      <c r="V31" s="57" t="s">
        <v>146</v>
      </c>
      <c r="W31" s="57" t="s">
        <v>146</v>
      </c>
      <c r="X31" s="57" t="s">
        <v>146</v>
      </c>
      <c r="Y31" s="58" t="s">
        <v>146</v>
      </c>
      <c r="AE31" s="57">
        <f>'[2]Australia Tallow Exports'!N$243</f>
        <v>0</v>
      </c>
      <c r="AF31" s="57">
        <f>'[2]Australia Tallow Exports'!O$243</f>
        <v>0</v>
      </c>
      <c r="AG31" s="57">
        <f>'[2]Australia Tallow Exports'!P$243</f>
        <v>0</v>
      </c>
      <c r="AH31" s="57">
        <f>'[2]Australia Tallow Exports'!Q$243</f>
        <v>0</v>
      </c>
      <c r="AI31" s="57">
        <f>'[2]Australia Tallow Exports'!R$243</f>
        <v>0</v>
      </c>
      <c r="AJ31" s="57">
        <f>'[2]Australia Tallow Exports'!S$243</f>
        <v>0</v>
      </c>
      <c r="AK31" s="57">
        <f>'[2]Australia Tallow Exports'!T$243</f>
        <v>0</v>
      </c>
      <c r="AL31" s="57">
        <f>'[2]Australia Tallow Exports'!U$243</f>
        <v>0</v>
      </c>
      <c r="AM31" s="57">
        <f>'[2]Australia Tallow Exports'!V$243</f>
        <v>0</v>
      </c>
      <c r="AN31" s="57">
        <f>'[2]Australia Tallow Exports'!W$243</f>
        <v>0</v>
      </c>
      <c r="AO31" s="57">
        <f>'[2]Australia Tallow Exports'!X$243</f>
        <v>0</v>
      </c>
      <c r="AP31" s="57">
        <f>'[2]Australia Tallow Exports'!Y$243</f>
        <v>34</v>
      </c>
      <c r="AQ31" s="57">
        <f>'[2]Australia Tallow Exports'!Z$243</f>
        <v>331</v>
      </c>
      <c r="AR31" s="57">
        <f>'[2]Australia Tallow Exports'!AA$243</f>
        <v>0</v>
      </c>
      <c r="AS31" s="57">
        <f>'[2]Australia Tallow Exports'!AB$243</f>
        <v>353</v>
      </c>
      <c r="AT31" s="57">
        <f>'[2]Australia Tallow Exports'!AC$243</f>
        <v>0</v>
      </c>
      <c r="AU31" s="57">
        <f>'[2]Australia Tallow Exports'!AD$243</f>
        <v>127</v>
      </c>
      <c r="AV31" s="57">
        <f>'[2]Australia Tallow Exports'!AE$243</f>
        <v>172</v>
      </c>
      <c r="AW31" s="58">
        <f>'[2]Australia Tallow Exports'!AF$243</f>
        <v>0</v>
      </c>
      <c r="BC31" s="57">
        <f>'[2]New Zealand Tallow Exports'!N$243</f>
        <v>52</v>
      </c>
      <c r="BD31" s="57">
        <f>'[2]New Zealand Tallow Exports'!O$243</f>
        <v>17</v>
      </c>
      <c r="BE31" s="57">
        <f>'[2]New Zealand Tallow Exports'!P$243</f>
        <v>42</v>
      </c>
      <c r="BF31" s="57">
        <f>'[2]New Zealand Tallow Exports'!Q$243</f>
        <v>0</v>
      </c>
      <c r="BG31" s="57">
        <f>'[2]New Zealand Tallow Exports'!R$243</f>
        <v>0</v>
      </c>
      <c r="BH31" s="57">
        <f>'[2]New Zealand Tallow Exports'!S$243</f>
        <v>0</v>
      </c>
      <c r="BI31" s="57">
        <f>'[2]New Zealand Tallow Exports'!T$243</f>
        <v>0</v>
      </c>
      <c r="BJ31" s="57">
        <f>'[2]New Zealand Tallow Exports'!U$243</f>
        <v>0</v>
      </c>
      <c r="BK31" s="57">
        <f>'[2]New Zealand Tallow Exports'!V$243</f>
        <v>0</v>
      </c>
      <c r="BL31" s="57">
        <f>'[2]New Zealand Tallow Exports'!W$243</f>
        <v>0</v>
      </c>
      <c r="BM31" s="57">
        <f>'[2]New Zealand Tallow Exports'!X$243</f>
        <v>0</v>
      </c>
      <c r="BN31" s="57">
        <f>'[2]New Zealand Tallow Exports'!Y$243</f>
        <v>0</v>
      </c>
      <c r="BO31" s="57">
        <f>'[2]New Zealand Tallow Exports'!Z$243</f>
        <v>0</v>
      </c>
      <c r="BP31" s="57">
        <f>'[2]New Zealand Tallow Exports'!AA$243</f>
        <v>0</v>
      </c>
      <c r="BQ31" s="57">
        <f>'[2]New Zealand Tallow Exports'!AB$243</f>
        <v>2</v>
      </c>
      <c r="BR31" s="57">
        <f>'[2]New Zealand Tallow Exports'!AC$243</f>
        <v>15</v>
      </c>
      <c r="BS31" s="57">
        <f>'[2]New Zealand Tallow Exports'!AD$243</f>
        <v>6</v>
      </c>
      <c r="BT31" s="57">
        <f>'[2]New Zealand Tallow Exports'!AE$243</f>
        <v>7</v>
      </c>
      <c r="BU31" s="58">
        <f>'[2]New Zealand Tallow Exports'!AF$243</f>
        <v>75</v>
      </c>
      <c r="BX31" s="57">
        <f>'[2]Paraguay Tallow Exports'!K$243</f>
        <v>0</v>
      </c>
      <c r="BY31" s="57">
        <f>'[2]Paraguay Tallow Exports'!L$243</f>
        <v>0</v>
      </c>
      <c r="BZ31" s="57">
        <f>'[2]Paraguay Tallow Exports'!M$243</f>
        <v>0</v>
      </c>
      <c r="CA31" s="57">
        <f>'[2]Paraguay Tallow Exports'!N$243</f>
        <v>0</v>
      </c>
      <c r="CB31" s="57">
        <f>'[2]Paraguay Tallow Exports'!O$243</f>
        <v>0</v>
      </c>
      <c r="CC31" s="57">
        <f>'[2]Paraguay Tallow Exports'!P$243</f>
        <v>0</v>
      </c>
      <c r="CD31" s="57">
        <f>'[2]Paraguay Tallow Exports'!Q$243</f>
        <v>0</v>
      </c>
      <c r="CE31" s="57">
        <f>'[2]Paraguay Tallow Exports'!R$243</f>
        <v>0</v>
      </c>
      <c r="CF31" s="57">
        <f>'[2]Paraguay Tallow Exports'!S$243</f>
        <v>0</v>
      </c>
      <c r="CG31" s="57">
        <f>'[2]Paraguay Tallow Exports'!T$243</f>
        <v>0</v>
      </c>
      <c r="CH31" s="57">
        <f>'[2]Paraguay Tallow Exports'!U$243</f>
        <v>0</v>
      </c>
      <c r="CI31" s="57">
        <f>'[2]Paraguay Tallow Exports'!V$243</f>
        <v>0</v>
      </c>
      <c r="CJ31" s="57">
        <f>'[2]Paraguay Tallow Exports'!W$243</f>
        <v>0</v>
      </c>
      <c r="CK31" s="57">
        <f>'[2]Paraguay Tallow Exports'!X$243</f>
        <v>0</v>
      </c>
      <c r="CL31" s="57">
        <f>'[2]Paraguay Tallow Exports'!Y$243</f>
        <v>0</v>
      </c>
      <c r="CM31" s="57">
        <f>'[2]Paraguay Tallow Exports'!Z$243</f>
        <v>0</v>
      </c>
      <c r="CN31" s="57">
        <f>'[2]Paraguay Tallow Exports'!AA$243</f>
        <v>0</v>
      </c>
      <c r="CO31" s="57">
        <f>'[2]Paraguay Tallow Exports'!AB$243</f>
        <v>0</v>
      </c>
      <c r="CP31" s="57">
        <f>'[2]Paraguay Tallow Exports'!AC$243</f>
        <v>0</v>
      </c>
      <c r="CQ31" s="57">
        <f>'[2]Paraguay Tallow Exports'!AD$243</f>
        <v>0</v>
      </c>
      <c r="CR31" s="58">
        <f t="shared" si="4"/>
        <v>0</v>
      </c>
      <c r="DE31" s="57">
        <f>'[2]Brazil Tallow Exports'!U$243</f>
        <v>0</v>
      </c>
      <c r="DF31" s="57">
        <f>'[2]Brazil Tallow Exports'!V$243</f>
        <v>0</v>
      </c>
      <c r="DG31" s="57">
        <f>'[2]Brazil Tallow Exports'!W$243</f>
        <v>0</v>
      </c>
      <c r="DH31" s="57">
        <f>'[2]Brazil Tallow Exports'!X$243</f>
        <v>0</v>
      </c>
      <c r="DI31" s="57">
        <f>'[2]Brazil Tallow Exports'!Y$243</f>
        <v>0</v>
      </c>
      <c r="DJ31" s="57">
        <f>'[2]Brazil Tallow Exports'!Z$243</f>
        <v>0</v>
      </c>
      <c r="DK31" s="57">
        <f>'[2]Brazil Tallow Exports'!AA$243</f>
        <v>0</v>
      </c>
      <c r="DL31" s="57">
        <f>'[2]Brazil Tallow Exports'!AB$243</f>
        <v>0</v>
      </c>
      <c r="DM31" s="57">
        <f>'[2]Brazil Tallow Exports'!AC$243</f>
        <v>0</v>
      </c>
      <c r="DN31" s="57">
        <f>'[2]Brazil Tallow Exports'!AD$243</f>
        <v>0</v>
      </c>
      <c r="DO31" s="57">
        <f>'[2]Brazil Tallow Exports'!AE$243</f>
        <v>0</v>
      </c>
      <c r="DP31" s="58">
        <f>'[2]Brazil Tallow Exports'!AF$243</f>
        <v>0</v>
      </c>
      <c r="EB31" s="57">
        <f t="shared" ref="EB31:EL31" si="23">AL31+CH31+DE31+BJ31</f>
        <v>0</v>
      </c>
      <c r="EC31" s="57">
        <f t="shared" si="23"/>
        <v>0</v>
      </c>
      <c r="ED31" s="57">
        <f t="shared" si="23"/>
        <v>0</v>
      </c>
      <c r="EE31" s="57">
        <f t="shared" si="23"/>
        <v>0</v>
      </c>
      <c r="EF31" s="57">
        <f t="shared" si="23"/>
        <v>34</v>
      </c>
      <c r="EG31" s="57">
        <f t="shared" si="23"/>
        <v>331</v>
      </c>
      <c r="EH31" s="57">
        <f t="shared" si="23"/>
        <v>0</v>
      </c>
      <c r="EI31" s="57">
        <f t="shared" si="23"/>
        <v>355</v>
      </c>
      <c r="EJ31" s="57">
        <f t="shared" si="23"/>
        <v>15</v>
      </c>
      <c r="EK31" s="57">
        <f t="shared" si="23"/>
        <v>133</v>
      </c>
      <c r="EL31" s="57">
        <f t="shared" si="23"/>
        <v>179</v>
      </c>
      <c r="EM31" s="57">
        <f>AW31+CS31+DP31+BU31</f>
        <v>75</v>
      </c>
      <c r="EN31" s="60">
        <f t="shared" ref="EN31:FC50" si="24">IF(FORECAST(EN$41,EI31:EM31,EI$41:EM$41)&lt;0,0,FORECAST(EN$41,EI31:EM31,EI$41:EM$41))</f>
        <v>0</v>
      </c>
      <c r="EO31" s="60">
        <f t="shared" si="24"/>
        <v>11.112469560333864</v>
      </c>
      <c r="EP31" s="60">
        <f t="shared" si="24"/>
        <v>0</v>
      </c>
      <c r="EQ31" s="60">
        <f t="shared" si="24"/>
        <v>0</v>
      </c>
      <c r="ER31" s="60">
        <f t="shared" si="24"/>
        <v>0</v>
      </c>
      <c r="ES31" s="60">
        <f t="shared" si="24"/>
        <v>1.3229885814639424</v>
      </c>
      <c r="ET31" s="60">
        <f t="shared" si="24"/>
        <v>0</v>
      </c>
      <c r="EU31" s="60">
        <f t="shared" si="24"/>
        <v>0.77536254038285257</v>
      </c>
      <c r="EV31" s="60">
        <f t="shared" si="24"/>
        <v>1.0363484771498932</v>
      </c>
      <c r="EW31" s="60">
        <f t="shared" si="24"/>
        <v>1.1834847986089478</v>
      </c>
      <c r="EX31" s="60">
        <f t="shared" si="24"/>
        <v>1.1857260792236741</v>
      </c>
      <c r="EY31" s="60">
        <f t="shared" si="24"/>
        <v>1.6029670430297109</v>
      </c>
      <c r="EZ31" s="60">
        <f t="shared" si="24"/>
        <v>1.6929050860281638</v>
      </c>
      <c r="FA31" s="60">
        <f t="shared" si="24"/>
        <v>1.9030230439237865</v>
      </c>
      <c r="FB31" s="60">
        <f t="shared" si="24"/>
        <v>2.1360672605519628</v>
      </c>
      <c r="FC31" s="60">
        <f t="shared" si="24"/>
        <v>2.4034271781848773</v>
      </c>
      <c r="FD31" s="60">
        <f t="shared" ref="FD31:FN50" si="25">IF(FORECAST(FD$41,EY31:FC31,EY$41:FC$41)&lt;0,0,FORECAST(FD$41,EY31:FC31,EY$41:FC$41))</f>
        <v>2.5989467182627752</v>
      </c>
      <c r="FE31" s="60">
        <f t="shared" si="25"/>
        <v>2.6285089038958418</v>
      </c>
      <c r="FF31" s="60">
        <f t="shared" si="22"/>
        <v>0.29915874671963394</v>
      </c>
      <c r="FG31" s="60">
        <f t="shared" si="22"/>
        <v>0.3865728651794198</v>
      </c>
      <c r="FH31" s="60">
        <f t="shared" si="22"/>
        <v>0.3857299954676856</v>
      </c>
      <c r="FI31" s="60">
        <f t="shared" si="22"/>
        <v>0.38395961718156357</v>
      </c>
      <c r="FJ31" s="60">
        <f t="shared" si="22"/>
        <v>0.3839913587646322</v>
      </c>
      <c r="FK31" s="60">
        <f t="shared" si="22"/>
        <v>0.38476093731761196</v>
      </c>
      <c r="FL31" s="60">
        <f t="shared" si="22"/>
        <v>0.38492725871340561</v>
      </c>
      <c r="FM31" s="60">
        <f t="shared" si="22"/>
        <v>0.38520749045489211</v>
      </c>
      <c r="FN31" s="60">
        <f t="shared" si="22"/>
        <v>0.38478423374485615</v>
      </c>
    </row>
    <row r="32" spans="1:170">
      <c r="A32" s="44" t="s">
        <v>148</v>
      </c>
      <c r="B32" s="57">
        <f>'[2]Canada Tallow Exports'!I$245</f>
        <v>0</v>
      </c>
      <c r="C32" s="57">
        <f>'[2]Canada Tallow Exports'!J$245</f>
        <v>0</v>
      </c>
      <c r="D32" s="57">
        <f>'[2]Canada Tallow Exports'!K$245</f>
        <v>0</v>
      </c>
      <c r="E32" s="57">
        <f>'[2]Canada Tallow Exports'!L$245</f>
        <v>0</v>
      </c>
      <c r="F32" s="57">
        <f>'[2]Canada Tallow Exports'!M$245</f>
        <v>0</v>
      </c>
      <c r="G32" s="57">
        <f>'[2]Canada Tallow Exports'!N$245</f>
        <v>0</v>
      </c>
      <c r="H32" s="57">
        <f>'[2]Canada Tallow Exports'!O$245</f>
        <v>0</v>
      </c>
      <c r="I32" s="57">
        <f>'[2]Canada Tallow Exports'!P$245</f>
        <v>0</v>
      </c>
      <c r="J32" s="57">
        <f>'[2]Canada Tallow Exports'!Q$245</f>
        <v>0</v>
      </c>
      <c r="K32" s="57">
        <f>'[2]Canada Tallow Exports'!R$245</f>
        <v>0</v>
      </c>
      <c r="L32" s="57">
        <f>'[2]Canada Tallow Exports'!S$245</f>
        <v>0</v>
      </c>
      <c r="M32" s="57">
        <f>'[2]Canada Tallow Exports'!T$245</f>
        <v>0</v>
      </c>
      <c r="N32" s="57">
        <f>'[2]Canada Tallow Exports'!U$245</f>
        <v>0</v>
      </c>
      <c r="O32" s="57">
        <f>'[2]Canada Tallow Exports'!V$245</f>
        <v>0</v>
      </c>
      <c r="P32" s="57">
        <f>'[2]Canada Tallow Exports'!W$245</f>
        <v>0</v>
      </c>
      <c r="Q32" s="57">
        <f>'[2]Canada Tallow Exports'!X$245</f>
        <v>0</v>
      </c>
      <c r="R32" s="57">
        <f>'[2]Canada Tallow Exports'!Y$245</f>
        <v>0</v>
      </c>
      <c r="S32" s="57">
        <f>'[2]Canada Tallow Exports'!Z$245</f>
        <v>0</v>
      </c>
      <c r="T32" s="57">
        <f>'[2]Canada Tallow Exports'!AA$245</f>
        <v>0</v>
      </c>
      <c r="U32" s="57">
        <f>'[2]Canada Tallow Exports'!AB$245</f>
        <v>0</v>
      </c>
      <c r="V32" s="57">
        <f>'[2]Canada Tallow Exports'!AC$245</f>
        <v>0</v>
      </c>
      <c r="W32" s="57">
        <f>'[2]Canada Tallow Exports'!AD$245</f>
        <v>0</v>
      </c>
      <c r="X32" s="57">
        <f>'[2]Canada Tallow Exports'!AE$245</f>
        <v>0</v>
      </c>
      <c r="Y32" s="58">
        <f>'[2]Canada Tallow Exports'!AF$245</f>
        <v>0</v>
      </c>
      <c r="AE32" s="57">
        <f>'[2]Australia Tallow Exports'!N$245</f>
        <v>0</v>
      </c>
      <c r="AF32" s="57">
        <f>'[2]Australia Tallow Exports'!O$245</f>
        <v>0</v>
      </c>
      <c r="AG32" s="57">
        <f>'[2]Australia Tallow Exports'!P$245</f>
        <v>0</v>
      </c>
      <c r="AH32" s="57">
        <f>'[2]Australia Tallow Exports'!Q$245</f>
        <v>0</v>
      </c>
      <c r="AI32" s="57">
        <f>'[2]Australia Tallow Exports'!R$245</f>
        <v>0</v>
      </c>
      <c r="AJ32" s="57">
        <f>'[2]Australia Tallow Exports'!S$245</f>
        <v>0</v>
      </c>
      <c r="AK32" s="57">
        <f>'[2]Australia Tallow Exports'!T$245</f>
        <v>0</v>
      </c>
      <c r="AL32" s="57">
        <f>'[2]Australia Tallow Exports'!U$245</f>
        <v>0</v>
      </c>
      <c r="AM32" s="57">
        <f>'[2]Australia Tallow Exports'!V$245</f>
        <v>0</v>
      </c>
      <c r="AN32" s="57">
        <f>'[2]Australia Tallow Exports'!W$245</f>
        <v>0</v>
      </c>
      <c r="AO32" s="57">
        <f>'[2]Australia Tallow Exports'!X$245</f>
        <v>0</v>
      </c>
      <c r="AP32" s="57">
        <f>'[2]Australia Tallow Exports'!Y$245</f>
        <v>0</v>
      </c>
      <c r="AQ32" s="57">
        <f>'[2]Australia Tallow Exports'!Z$245</f>
        <v>0</v>
      </c>
      <c r="AR32" s="57">
        <f>'[2]Australia Tallow Exports'!AA$245</f>
        <v>0</v>
      </c>
      <c r="AS32" s="57">
        <f>'[2]Australia Tallow Exports'!AB$245</f>
        <v>0</v>
      </c>
      <c r="AT32" s="57">
        <f>'[2]Australia Tallow Exports'!AC$245</f>
        <v>0</v>
      </c>
      <c r="AU32" s="57">
        <f>'[2]Australia Tallow Exports'!AD$245</f>
        <v>0</v>
      </c>
      <c r="AV32" s="57">
        <f>'[2]Australia Tallow Exports'!AE$245</f>
        <v>0</v>
      </c>
      <c r="AW32" s="58">
        <f>'[2]Australia Tallow Exports'!AF$245</f>
        <v>0</v>
      </c>
      <c r="BC32" s="57">
        <f>'[2]New Zealand Tallow Exports'!N$245</f>
        <v>0</v>
      </c>
      <c r="BD32" s="57">
        <f>'[2]New Zealand Tallow Exports'!O$245</f>
        <v>0</v>
      </c>
      <c r="BE32" s="57">
        <f>'[2]New Zealand Tallow Exports'!P$245</f>
        <v>0</v>
      </c>
      <c r="BF32" s="57">
        <f>'[2]New Zealand Tallow Exports'!Q$245</f>
        <v>0</v>
      </c>
      <c r="BG32" s="57">
        <f>'[2]New Zealand Tallow Exports'!R$245</f>
        <v>0</v>
      </c>
      <c r="BH32" s="57">
        <f>'[2]New Zealand Tallow Exports'!S$245</f>
        <v>0</v>
      </c>
      <c r="BI32" s="57">
        <f>'[2]New Zealand Tallow Exports'!T$245</f>
        <v>0</v>
      </c>
      <c r="BJ32" s="57">
        <f>'[2]New Zealand Tallow Exports'!U$245</f>
        <v>0</v>
      </c>
      <c r="BK32" s="57">
        <f>'[2]New Zealand Tallow Exports'!V$245</f>
        <v>0</v>
      </c>
      <c r="BL32" s="57">
        <f>'[2]New Zealand Tallow Exports'!W$245</f>
        <v>0</v>
      </c>
      <c r="BM32" s="57">
        <f>'[2]New Zealand Tallow Exports'!X$245</f>
        <v>0</v>
      </c>
      <c r="BN32" s="57">
        <f>'[2]New Zealand Tallow Exports'!Y$245</f>
        <v>0</v>
      </c>
      <c r="BO32" s="57">
        <f>'[2]New Zealand Tallow Exports'!Z$245</f>
        <v>0</v>
      </c>
      <c r="BP32" s="57">
        <f>'[2]New Zealand Tallow Exports'!AA$245</f>
        <v>0</v>
      </c>
      <c r="BQ32" s="57">
        <f>'[2]New Zealand Tallow Exports'!AB$245</f>
        <v>0</v>
      </c>
      <c r="BR32" s="57">
        <f>'[2]New Zealand Tallow Exports'!AC$245</f>
        <v>0</v>
      </c>
      <c r="BS32" s="57">
        <f>'[2]New Zealand Tallow Exports'!AD$245</f>
        <v>0</v>
      </c>
      <c r="BT32" s="57">
        <f>'[2]New Zealand Tallow Exports'!AE$245</f>
        <v>0</v>
      </c>
      <c r="BU32" s="58">
        <f>'[2]New Zealand Tallow Exports'!AF$245</f>
        <v>0</v>
      </c>
      <c r="BX32" s="57">
        <f>'[2]Paraguay Tallow Exports'!K$245</f>
        <v>0</v>
      </c>
      <c r="BY32" s="57">
        <f>'[2]Paraguay Tallow Exports'!L$245</f>
        <v>0</v>
      </c>
      <c r="BZ32" s="57">
        <f>'[2]Paraguay Tallow Exports'!M$245</f>
        <v>0</v>
      </c>
      <c r="CA32" s="57">
        <f>'[2]Paraguay Tallow Exports'!N$245</f>
        <v>0</v>
      </c>
      <c r="CB32" s="57">
        <f>'[2]Paraguay Tallow Exports'!O$245</f>
        <v>0</v>
      </c>
      <c r="CC32" s="57">
        <f>'[2]Paraguay Tallow Exports'!P$245</f>
        <v>0</v>
      </c>
      <c r="CD32" s="57">
        <f>'[2]Paraguay Tallow Exports'!Q$245</f>
        <v>0</v>
      </c>
      <c r="CE32" s="57">
        <f>'[2]Paraguay Tallow Exports'!R$245</f>
        <v>0</v>
      </c>
      <c r="CF32" s="57">
        <f>'[2]Paraguay Tallow Exports'!S$245</f>
        <v>0</v>
      </c>
      <c r="CG32" s="57">
        <f>'[2]Paraguay Tallow Exports'!T$245</f>
        <v>0</v>
      </c>
      <c r="CH32" s="57">
        <f>'[2]Paraguay Tallow Exports'!U$245</f>
        <v>56</v>
      </c>
      <c r="CI32" s="57">
        <f>'[2]Paraguay Tallow Exports'!V$245</f>
        <v>357</v>
      </c>
      <c r="CJ32" s="57">
        <f>'[2]Paraguay Tallow Exports'!W$245</f>
        <v>416</v>
      </c>
      <c r="CK32" s="57">
        <f>'[2]Paraguay Tallow Exports'!X$245</f>
        <v>0</v>
      </c>
      <c r="CL32" s="57">
        <f>'[2]Paraguay Tallow Exports'!Y$245</f>
        <v>0</v>
      </c>
      <c r="CM32" s="57">
        <f>'[2]Paraguay Tallow Exports'!Z$245</f>
        <v>1</v>
      </c>
      <c r="CN32" s="57">
        <f>'[2]Paraguay Tallow Exports'!AA$245</f>
        <v>5</v>
      </c>
      <c r="CO32" s="57">
        <f>'[2]Paraguay Tallow Exports'!AB$245</f>
        <v>5</v>
      </c>
      <c r="CP32" s="57">
        <f>'[2]Paraguay Tallow Exports'!AC$245</f>
        <v>5</v>
      </c>
      <c r="CQ32" s="57">
        <f>'[2]Paraguay Tallow Exports'!AD$245</f>
        <v>1571</v>
      </c>
      <c r="CR32" s="58">
        <f t="shared" si="4"/>
        <v>1503.4793483439262</v>
      </c>
      <c r="DE32" s="57">
        <f>'[2]Brazil Tallow Exports'!U$245</f>
        <v>0</v>
      </c>
      <c r="DF32" s="57">
        <f>'[2]Brazil Tallow Exports'!V$245</f>
        <v>0</v>
      </c>
      <c r="DG32" s="57">
        <f>'[2]Brazil Tallow Exports'!W$245</f>
        <v>0</v>
      </c>
      <c r="DH32" s="57">
        <f>'[2]Brazil Tallow Exports'!X$245</f>
        <v>0</v>
      </c>
      <c r="DI32" s="57">
        <f>'[2]Brazil Tallow Exports'!Y$245</f>
        <v>0</v>
      </c>
      <c r="DJ32" s="57">
        <f>'[2]Brazil Tallow Exports'!Z$245</f>
        <v>0</v>
      </c>
      <c r="DK32" s="57">
        <f>'[2]Brazil Tallow Exports'!AA$245</f>
        <v>0</v>
      </c>
      <c r="DL32" s="57">
        <f>'[2]Brazil Tallow Exports'!AB$245</f>
        <v>0</v>
      </c>
      <c r="DM32" s="57">
        <f>'[2]Brazil Tallow Exports'!AC$245</f>
        <v>0</v>
      </c>
      <c r="DN32" s="57">
        <f>'[2]Brazil Tallow Exports'!AD$245</f>
        <v>46</v>
      </c>
      <c r="DO32" s="57">
        <f>'[2]Brazil Tallow Exports'!AE$245</f>
        <v>0</v>
      </c>
      <c r="DP32" s="58">
        <f>'[2]Brazil Tallow Exports'!AF$245</f>
        <v>1</v>
      </c>
      <c r="EB32" s="57">
        <f t="shared" ref="EB32:EM41" si="26">N32+AL32+CH32+DE32+BJ32</f>
        <v>56</v>
      </c>
      <c r="EC32" s="57">
        <f t="shared" si="26"/>
        <v>357</v>
      </c>
      <c r="ED32" s="57">
        <f t="shared" si="26"/>
        <v>416</v>
      </c>
      <c r="EE32" s="57">
        <f t="shared" si="26"/>
        <v>0</v>
      </c>
      <c r="EF32" s="57">
        <f t="shared" si="26"/>
        <v>0</v>
      </c>
      <c r="EG32" s="57">
        <f t="shared" si="26"/>
        <v>1</v>
      </c>
      <c r="EH32" s="57">
        <f t="shared" si="26"/>
        <v>5</v>
      </c>
      <c r="EI32" s="57">
        <f t="shared" si="26"/>
        <v>5</v>
      </c>
      <c r="EJ32" s="57">
        <f t="shared" si="26"/>
        <v>5</v>
      </c>
      <c r="EK32" s="57">
        <f t="shared" si="26"/>
        <v>1617</v>
      </c>
      <c r="EL32" s="57">
        <f t="shared" si="26"/>
        <v>1503.4793483439262</v>
      </c>
      <c r="EM32" s="57">
        <f t="shared" si="26"/>
        <v>1</v>
      </c>
      <c r="EN32" s="60">
        <f t="shared" si="24"/>
        <v>407.08144681255925</v>
      </c>
      <c r="EO32" s="60">
        <f t="shared" si="24"/>
        <v>173.37436959545039</v>
      </c>
      <c r="EP32" s="60">
        <f t="shared" si="24"/>
        <v>0</v>
      </c>
      <c r="EQ32" s="60">
        <f t="shared" si="24"/>
        <v>0</v>
      </c>
      <c r="ER32" s="60">
        <f t="shared" si="24"/>
        <v>118.31483850662789</v>
      </c>
      <c r="ES32" s="60">
        <f t="shared" si="24"/>
        <v>0</v>
      </c>
      <c r="ET32" s="60">
        <f t="shared" si="24"/>
        <v>0</v>
      </c>
      <c r="EU32" s="60">
        <f t="shared" si="24"/>
        <v>33.205371741736059</v>
      </c>
      <c r="EV32" s="60">
        <f t="shared" si="24"/>
        <v>20.909739745888544</v>
      </c>
      <c r="EW32" s="60">
        <f t="shared" si="24"/>
        <v>0</v>
      </c>
      <c r="EX32" s="60">
        <f t="shared" si="24"/>
        <v>16.401422478485451</v>
      </c>
      <c r="EY32" s="60">
        <f t="shared" si="24"/>
        <v>14.316192151172684</v>
      </c>
      <c r="EZ32" s="60">
        <f t="shared" si="24"/>
        <v>3.3624112193031692</v>
      </c>
      <c r="FA32" s="60">
        <f t="shared" si="24"/>
        <v>3.690198169052934</v>
      </c>
      <c r="FB32" s="60">
        <f t="shared" si="24"/>
        <v>5.1334997873118624</v>
      </c>
      <c r="FC32" s="60">
        <f t="shared" si="24"/>
        <v>0</v>
      </c>
      <c r="FD32" s="60">
        <f t="shared" si="25"/>
        <v>0</v>
      </c>
      <c r="FE32" s="60">
        <f t="shared" si="25"/>
        <v>0.22623721451081735</v>
      </c>
      <c r="FF32" s="60">
        <f t="shared" si="22"/>
        <v>15.081228358867023</v>
      </c>
      <c r="FG32" s="60">
        <f t="shared" si="22"/>
        <v>14.733547101596294</v>
      </c>
      <c r="FH32" s="60">
        <f t="shared" si="22"/>
        <v>14.559248113998684</v>
      </c>
      <c r="FI32" s="60">
        <f t="shared" si="22"/>
        <v>14.615725921872425</v>
      </c>
      <c r="FJ32" s="60">
        <f t="shared" si="22"/>
        <v>14.617604980059461</v>
      </c>
      <c r="FK32" s="60">
        <f t="shared" si="22"/>
        <v>14.633384539638364</v>
      </c>
      <c r="FL32" s="60">
        <f t="shared" si="22"/>
        <v>14.629115840976056</v>
      </c>
      <c r="FM32" s="60">
        <f t="shared" si="22"/>
        <v>14.595734706242979</v>
      </c>
      <c r="FN32" s="60">
        <f t="shared" si="22"/>
        <v>14.616599856100294</v>
      </c>
    </row>
    <row r="33" spans="1:171">
      <c r="A33" s="44" t="s">
        <v>149</v>
      </c>
      <c r="B33" s="57">
        <f>'[2]Canada Tallow Exports'!I$246</f>
        <v>0</v>
      </c>
      <c r="C33" s="57">
        <f>'[2]Canada Tallow Exports'!J$246</f>
        <v>0</v>
      </c>
      <c r="D33" s="57">
        <f>'[2]Canada Tallow Exports'!K$246</f>
        <v>0</v>
      </c>
      <c r="E33" s="57">
        <f>'[2]Canada Tallow Exports'!L$246</f>
        <v>0</v>
      </c>
      <c r="F33" s="57">
        <f>'[2]Canada Tallow Exports'!M$246</f>
        <v>0</v>
      </c>
      <c r="G33" s="57">
        <f>'[2]Canada Tallow Exports'!N$246</f>
        <v>6986</v>
      </c>
      <c r="H33" s="57">
        <f>'[2]Canada Tallow Exports'!O$246</f>
        <v>9900</v>
      </c>
      <c r="I33" s="57">
        <f>'[2]Canada Tallow Exports'!P$246</f>
        <v>5000</v>
      </c>
      <c r="J33" s="57">
        <f>'[2]Canada Tallow Exports'!Q$246</f>
        <v>8500</v>
      </c>
      <c r="K33" s="57">
        <f>'[2]Canada Tallow Exports'!R$246</f>
        <v>5001</v>
      </c>
      <c r="L33" s="57">
        <f>'[2]Canada Tallow Exports'!S$246</f>
        <v>10040</v>
      </c>
      <c r="M33" s="57">
        <f>'[2]Canada Tallow Exports'!T$246</f>
        <v>7000</v>
      </c>
      <c r="N33" s="57">
        <f>'[2]Canada Tallow Exports'!U$246</f>
        <v>7500</v>
      </c>
      <c r="O33" s="57">
        <f>'[2]Canada Tallow Exports'!V$246</f>
        <v>5000</v>
      </c>
      <c r="P33" s="57">
        <f>'[2]Canada Tallow Exports'!W$246</f>
        <v>2500</v>
      </c>
      <c r="Q33" s="57">
        <f>'[2]Canada Tallow Exports'!X$246</f>
        <v>2500</v>
      </c>
      <c r="R33" s="57">
        <f>'[2]Canada Tallow Exports'!Y$246</f>
        <v>2000</v>
      </c>
      <c r="S33" s="57">
        <f>'[2]Canada Tallow Exports'!Z$246</f>
        <v>2000</v>
      </c>
      <c r="T33" s="57">
        <f>'[2]Canada Tallow Exports'!AA$246</f>
        <v>0</v>
      </c>
      <c r="U33" s="57">
        <f>'[2]Canada Tallow Exports'!AB$246</f>
        <v>0</v>
      </c>
      <c r="V33" s="57">
        <f>'[2]Canada Tallow Exports'!AC$246</f>
        <v>0</v>
      </c>
      <c r="W33" s="57">
        <f>'[2]Canada Tallow Exports'!AD$246</f>
        <v>0</v>
      </c>
      <c r="X33" s="57">
        <f>'[2]Canada Tallow Exports'!AE$246</f>
        <v>0</v>
      </c>
      <c r="Y33" s="58">
        <f>'[2]Canada Tallow Exports'!AF$246</f>
        <v>0</v>
      </c>
      <c r="AE33" s="57">
        <f>'[2]Australia Tallow Exports'!N$246</f>
        <v>0</v>
      </c>
      <c r="AF33" s="57">
        <f>'[2]Australia Tallow Exports'!O$246</f>
        <v>0</v>
      </c>
      <c r="AG33" s="57">
        <f>'[2]Australia Tallow Exports'!P$246</f>
        <v>0</v>
      </c>
      <c r="AH33" s="57">
        <f>'[2]Australia Tallow Exports'!Q$246</f>
        <v>0</v>
      </c>
      <c r="AI33" s="57">
        <f>'[2]Australia Tallow Exports'!R$246</f>
        <v>0</v>
      </c>
      <c r="AJ33" s="57">
        <f>'[2]Australia Tallow Exports'!S$246</f>
        <v>0</v>
      </c>
      <c r="AK33" s="57">
        <f>'[2]Australia Tallow Exports'!T$246</f>
        <v>0</v>
      </c>
      <c r="AL33" s="57">
        <f>'[2]Australia Tallow Exports'!U$246</f>
        <v>0</v>
      </c>
      <c r="AM33" s="57">
        <f>'[2]Australia Tallow Exports'!V$246</f>
        <v>0</v>
      </c>
      <c r="AN33" s="57">
        <f>'[2]Australia Tallow Exports'!W$246</f>
        <v>0</v>
      </c>
      <c r="AO33" s="57">
        <f>'[2]Australia Tallow Exports'!X$246</f>
        <v>0</v>
      </c>
      <c r="AP33" s="57">
        <f>'[2]Australia Tallow Exports'!Y$246</f>
        <v>0</v>
      </c>
      <c r="AQ33" s="57">
        <f>'[2]Australia Tallow Exports'!Z$246</f>
        <v>0</v>
      </c>
      <c r="AR33" s="57">
        <f>'[2]Australia Tallow Exports'!AA$246</f>
        <v>0</v>
      </c>
      <c r="AS33" s="57">
        <f>'[2]Australia Tallow Exports'!AB$246</f>
        <v>0</v>
      </c>
      <c r="AT33" s="57">
        <f>'[2]Australia Tallow Exports'!AC$246</f>
        <v>0</v>
      </c>
      <c r="AU33" s="57">
        <f>'[2]Australia Tallow Exports'!AD$246</f>
        <v>0</v>
      </c>
      <c r="AV33" s="57">
        <f>'[2]Australia Tallow Exports'!AE$246</f>
        <v>0</v>
      </c>
      <c r="AW33" s="58">
        <f>'[2]Australia Tallow Exports'!AF$246</f>
        <v>0</v>
      </c>
      <c r="BC33" s="57">
        <f>'[2]New Zealand Tallow Exports'!N$246</f>
        <v>0</v>
      </c>
      <c r="BD33" s="57">
        <f>'[2]New Zealand Tallow Exports'!O$246</f>
        <v>0</v>
      </c>
      <c r="BE33" s="57">
        <f>'[2]New Zealand Tallow Exports'!P$246</f>
        <v>0</v>
      </c>
      <c r="BF33" s="57">
        <f>'[2]New Zealand Tallow Exports'!Q$246</f>
        <v>0</v>
      </c>
      <c r="BG33" s="57">
        <f>'[2]New Zealand Tallow Exports'!R$246</f>
        <v>0</v>
      </c>
      <c r="BH33" s="57">
        <f>'[2]New Zealand Tallow Exports'!S$246</f>
        <v>0</v>
      </c>
      <c r="BI33" s="57">
        <f>'[2]New Zealand Tallow Exports'!T$246</f>
        <v>0</v>
      </c>
      <c r="BJ33" s="57">
        <f>'[2]New Zealand Tallow Exports'!U$246</f>
        <v>0</v>
      </c>
      <c r="BK33" s="57">
        <f>'[2]New Zealand Tallow Exports'!V$246</f>
        <v>0</v>
      </c>
      <c r="BL33" s="57">
        <f>'[2]New Zealand Tallow Exports'!W$246</f>
        <v>0</v>
      </c>
      <c r="BM33" s="57">
        <f>'[2]New Zealand Tallow Exports'!X$246</f>
        <v>0</v>
      </c>
      <c r="BN33" s="57">
        <f>'[2]New Zealand Tallow Exports'!Y$246</f>
        <v>0</v>
      </c>
      <c r="BO33" s="57">
        <f>'[2]New Zealand Tallow Exports'!Z$246</f>
        <v>0</v>
      </c>
      <c r="BP33" s="57">
        <f>'[2]New Zealand Tallow Exports'!AA$246</f>
        <v>0</v>
      </c>
      <c r="BQ33" s="57">
        <f>'[2]New Zealand Tallow Exports'!AB$246</f>
        <v>0</v>
      </c>
      <c r="BR33" s="57">
        <f>'[2]New Zealand Tallow Exports'!AC$246</f>
        <v>0</v>
      </c>
      <c r="BS33" s="57">
        <f>'[2]New Zealand Tallow Exports'!AD$246</f>
        <v>0</v>
      </c>
      <c r="BT33" s="57">
        <f>'[2]New Zealand Tallow Exports'!AE$246</f>
        <v>0</v>
      </c>
      <c r="BU33" s="58">
        <f>'[2]New Zealand Tallow Exports'!AF$246</f>
        <v>0</v>
      </c>
      <c r="BX33" s="57">
        <f>'[2]Paraguay Tallow Exports'!K$246</f>
        <v>0</v>
      </c>
      <c r="BY33" s="57">
        <f>'[2]Paraguay Tallow Exports'!L$246</f>
        <v>0</v>
      </c>
      <c r="BZ33" s="57">
        <f>'[2]Paraguay Tallow Exports'!M$246</f>
        <v>0</v>
      </c>
      <c r="CA33" s="57">
        <f>'[2]Paraguay Tallow Exports'!N$246</f>
        <v>0</v>
      </c>
      <c r="CB33" s="57">
        <f>'[2]Paraguay Tallow Exports'!O$246</f>
        <v>0</v>
      </c>
      <c r="CC33" s="57">
        <f>'[2]Paraguay Tallow Exports'!P$246</f>
        <v>0</v>
      </c>
      <c r="CD33" s="57">
        <f>'[2]Paraguay Tallow Exports'!Q$246</f>
        <v>0</v>
      </c>
      <c r="CE33" s="57">
        <f>'[2]Paraguay Tallow Exports'!R$246</f>
        <v>0</v>
      </c>
      <c r="CF33" s="57">
        <f>'[2]Paraguay Tallow Exports'!S$246</f>
        <v>0</v>
      </c>
      <c r="CG33" s="57">
        <f>'[2]Paraguay Tallow Exports'!T$246</f>
        <v>0</v>
      </c>
      <c r="CH33" s="57">
        <f>'[2]Paraguay Tallow Exports'!U$246</f>
        <v>0</v>
      </c>
      <c r="CI33" s="57">
        <f>'[2]Paraguay Tallow Exports'!V$246</f>
        <v>0</v>
      </c>
      <c r="CJ33" s="57">
        <f>'[2]Paraguay Tallow Exports'!W$246</f>
        <v>0</v>
      </c>
      <c r="CK33" s="57">
        <f>'[2]Paraguay Tallow Exports'!X$246</f>
        <v>0</v>
      </c>
      <c r="CL33" s="57">
        <f>'[2]Paraguay Tallow Exports'!Y$246</f>
        <v>0</v>
      </c>
      <c r="CM33" s="57">
        <f>'[2]Paraguay Tallow Exports'!Z$246</f>
        <v>0</v>
      </c>
      <c r="CN33" s="57">
        <f>'[2]Paraguay Tallow Exports'!AA$246</f>
        <v>0</v>
      </c>
      <c r="CO33" s="57">
        <f>'[2]Paraguay Tallow Exports'!AB$246</f>
        <v>0</v>
      </c>
      <c r="CP33" s="57">
        <f>'[2]Paraguay Tallow Exports'!AC$246</f>
        <v>0</v>
      </c>
      <c r="CQ33" s="57">
        <f>'[2]Paraguay Tallow Exports'!AD$246</f>
        <v>0</v>
      </c>
      <c r="CR33" s="58">
        <f t="shared" si="4"/>
        <v>0</v>
      </c>
      <c r="DE33" s="57">
        <f>'[2]Brazil Tallow Exports'!U$246</f>
        <v>0</v>
      </c>
      <c r="DF33" s="57">
        <f>'[2]Brazil Tallow Exports'!V$246</f>
        <v>0</v>
      </c>
      <c r="DG33" s="57">
        <f>'[2]Brazil Tallow Exports'!W$246</f>
        <v>0</v>
      </c>
      <c r="DH33" s="57">
        <f>'[2]Brazil Tallow Exports'!X$246</f>
        <v>0</v>
      </c>
      <c r="DI33" s="57">
        <f>'[2]Brazil Tallow Exports'!Y$246</f>
        <v>0</v>
      </c>
      <c r="DJ33" s="57">
        <f>'[2]Brazil Tallow Exports'!Z$246</f>
        <v>0</v>
      </c>
      <c r="DK33" s="57">
        <f>'[2]Brazil Tallow Exports'!AA$246</f>
        <v>0</v>
      </c>
      <c r="DL33" s="57">
        <f>'[2]Brazil Tallow Exports'!AB$246</f>
        <v>0</v>
      </c>
      <c r="DM33" s="57">
        <f>'[2]Brazil Tallow Exports'!AC$246</f>
        <v>1</v>
      </c>
      <c r="DN33" s="57">
        <f>'[2]Brazil Tallow Exports'!AD$246</f>
        <v>0</v>
      </c>
      <c r="DO33" s="57">
        <f>'[2]Brazil Tallow Exports'!AE$246</f>
        <v>0</v>
      </c>
      <c r="DP33" s="58">
        <f>'[2]Brazil Tallow Exports'!AF$246</f>
        <v>1</v>
      </c>
      <c r="EB33" s="57">
        <f t="shared" si="26"/>
        <v>7500</v>
      </c>
      <c r="EC33" s="57">
        <f t="shared" si="26"/>
        <v>5000</v>
      </c>
      <c r="ED33" s="57">
        <f t="shared" si="26"/>
        <v>2500</v>
      </c>
      <c r="EE33" s="57">
        <f t="shared" si="26"/>
        <v>2500</v>
      </c>
      <c r="EF33" s="57">
        <f t="shared" si="26"/>
        <v>2000</v>
      </c>
      <c r="EG33" s="57">
        <f t="shared" si="26"/>
        <v>2000</v>
      </c>
      <c r="EH33" s="57">
        <f t="shared" si="26"/>
        <v>0</v>
      </c>
      <c r="EI33" s="57">
        <f t="shared" si="26"/>
        <v>0</v>
      </c>
      <c r="EJ33" s="57">
        <f t="shared" si="26"/>
        <v>1</v>
      </c>
      <c r="EK33" s="57">
        <f t="shared" si="26"/>
        <v>0</v>
      </c>
      <c r="EL33" s="57">
        <f t="shared" si="26"/>
        <v>0</v>
      </c>
      <c r="EM33" s="57">
        <f t="shared" si="26"/>
        <v>1</v>
      </c>
      <c r="EN33" s="60">
        <f t="shared" ref="EN33:FN33" si="27">IF(FORECAST(EN$41,EI33:EM33,EI$41:EM$41)&lt;0,0,FORECAST(EN$41,EI33:EM33,EI$41:EM$41))*0.25</f>
        <v>0.3195198690660605</v>
      </c>
      <c r="EO33" s="60">
        <f t="shared" si="27"/>
        <v>0.12048553684208324</v>
      </c>
      <c r="EP33" s="60">
        <f t="shared" si="27"/>
        <v>9.6018049014404444E-2</v>
      </c>
      <c r="EQ33" s="60">
        <f t="shared" si="27"/>
        <v>5.2855145438822304E-2</v>
      </c>
      <c r="ER33" s="60">
        <f t="shared" si="27"/>
        <v>0</v>
      </c>
      <c r="ES33" s="60">
        <f t="shared" si="27"/>
        <v>0</v>
      </c>
      <c r="ET33" s="60">
        <f t="shared" si="27"/>
        <v>0</v>
      </c>
      <c r="EU33" s="60">
        <f t="shared" si="27"/>
        <v>0</v>
      </c>
      <c r="EV33" s="60">
        <f t="shared" si="27"/>
        <v>0</v>
      </c>
      <c r="EW33" s="60">
        <f t="shared" si="27"/>
        <v>0</v>
      </c>
      <c r="EX33" s="60">
        <f t="shared" si="27"/>
        <v>0</v>
      </c>
      <c r="EY33" s="60">
        <f t="shared" si="27"/>
        <v>0</v>
      </c>
      <c r="EZ33" s="60">
        <f t="shared" si="27"/>
        <v>0</v>
      </c>
      <c r="FA33" s="60">
        <f t="shared" si="27"/>
        <v>0</v>
      </c>
      <c r="FB33" s="60">
        <f t="shared" si="27"/>
        <v>0</v>
      </c>
      <c r="FC33" s="60">
        <f t="shared" si="27"/>
        <v>0</v>
      </c>
      <c r="FD33" s="60">
        <f t="shared" si="27"/>
        <v>0</v>
      </c>
      <c r="FE33" s="60">
        <f t="shared" si="27"/>
        <v>0</v>
      </c>
      <c r="FF33" s="60">
        <f t="shared" si="27"/>
        <v>0</v>
      </c>
      <c r="FG33" s="60">
        <f t="shared" si="27"/>
        <v>0</v>
      </c>
      <c r="FH33" s="60">
        <f t="shared" si="27"/>
        <v>0</v>
      </c>
      <c r="FI33" s="60">
        <f t="shared" si="27"/>
        <v>0</v>
      </c>
      <c r="FJ33" s="60">
        <f t="shared" si="27"/>
        <v>0</v>
      </c>
      <c r="FK33" s="60">
        <f t="shared" si="27"/>
        <v>0</v>
      </c>
      <c r="FL33" s="60">
        <f t="shared" si="27"/>
        <v>0</v>
      </c>
      <c r="FM33" s="60">
        <f t="shared" si="27"/>
        <v>0</v>
      </c>
      <c r="FN33" s="60">
        <f t="shared" si="27"/>
        <v>0</v>
      </c>
    </row>
    <row r="34" spans="1:171">
      <c r="A34" s="44" t="s">
        <v>150</v>
      </c>
      <c r="B34" s="57">
        <f>'[2]Canada Tallow Exports'!I$248</f>
        <v>0</v>
      </c>
      <c r="C34" s="57">
        <f>'[2]Canada Tallow Exports'!J$248</f>
        <v>5001</v>
      </c>
      <c r="D34" s="57">
        <f>'[2]Canada Tallow Exports'!K$248</f>
        <v>1998</v>
      </c>
      <c r="E34" s="57">
        <f>'[2]Canada Tallow Exports'!L$248</f>
        <v>0</v>
      </c>
      <c r="F34" s="57">
        <f>'[2]Canada Tallow Exports'!M$248</f>
        <v>0</v>
      </c>
      <c r="G34" s="57">
        <f>'[2]Canada Tallow Exports'!N$248</f>
        <v>0</v>
      </c>
      <c r="H34" s="57">
        <f>'[2]Canada Tallow Exports'!O$248</f>
        <v>0</v>
      </c>
      <c r="I34" s="57">
        <f>'[2]Canada Tallow Exports'!P$248</f>
        <v>3995</v>
      </c>
      <c r="J34" s="57">
        <f>'[2]Canada Tallow Exports'!Q$248</f>
        <v>4299</v>
      </c>
      <c r="K34" s="57">
        <f>'[2]Canada Tallow Exports'!R$248</f>
        <v>0</v>
      </c>
      <c r="L34" s="57">
        <f>'[2]Canada Tallow Exports'!S$248</f>
        <v>0</v>
      </c>
      <c r="M34" s="57">
        <f>'[2]Canada Tallow Exports'!T$248</f>
        <v>0</v>
      </c>
      <c r="N34" s="57">
        <f>'[2]Canada Tallow Exports'!U$248</f>
        <v>4929</v>
      </c>
      <c r="O34" s="57">
        <f>'[2]Canada Tallow Exports'!V$248</f>
        <v>0</v>
      </c>
      <c r="P34" s="57">
        <f>'[2]Canada Tallow Exports'!W$248</f>
        <v>0</v>
      </c>
      <c r="Q34" s="57">
        <f>'[2]Canada Tallow Exports'!X$248</f>
        <v>0</v>
      </c>
      <c r="R34" s="57">
        <f>'[2]Canada Tallow Exports'!Y$248</f>
        <v>0</v>
      </c>
      <c r="S34" s="57">
        <f>'[2]Canada Tallow Exports'!Z$248</f>
        <v>0</v>
      </c>
      <c r="T34" s="57">
        <f>'[2]Canada Tallow Exports'!AA$248</f>
        <v>0</v>
      </c>
      <c r="U34" s="57">
        <f>'[2]Canada Tallow Exports'!AB$248</f>
        <v>0</v>
      </c>
      <c r="V34" s="57">
        <f>'[2]Canada Tallow Exports'!AC$248</f>
        <v>0</v>
      </c>
      <c r="W34" s="57">
        <f>'[2]Canada Tallow Exports'!AD$248</f>
        <v>0</v>
      </c>
      <c r="X34" s="57">
        <f>'[2]Canada Tallow Exports'!AE$248</f>
        <v>0</v>
      </c>
      <c r="Y34" s="58">
        <f>'[2]Canada Tallow Exports'!AF$248</f>
        <v>0</v>
      </c>
      <c r="AE34" s="57">
        <f>'[2]Australia Tallow Exports'!N$248</f>
        <v>0</v>
      </c>
      <c r="AF34" s="57">
        <f>'[2]Australia Tallow Exports'!O$248</f>
        <v>0</v>
      </c>
      <c r="AG34" s="57">
        <f>'[2]Australia Tallow Exports'!P$248</f>
        <v>0</v>
      </c>
      <c r="AH34" s="57">
        <f>'[2]Australia Tallow Exports'!Q$248</f>
        <v>0</v>
      </c>
      <c r="AI34" s="57">
        <f>'[2]Australia Tallow Exports'!R$248</f>
        <v>0</v>
      </c>
      <c r="AJ34" s="57">
        <f>'[2]Australia Tallow Exports'!S$248</f>
        <v>0</v>
      </c>
      <c r="AK34" s="57">
        <f>'[2]Australia Tallow Exports'!T$248</f>
        <v>0</v>
      </c>
      <c r="AL34" s="57">
        <f>'[2]Australia Tallow Exports'!U$248</f>
        <v>0</v>
      </c>
      <c r="AM34" s="57">
        <f>'[2]Australia Tallow Exports'!V$248</f>
        <v>0</v>
      </c>
      <c r="AN34" s="57">
        <f>'[2]Australia Tallow Exports'!W$248</f>
        <v>0</v>
      </c>
      <c r="AO34" s="57">
        <f>'[2]Australia Tallow Exports'!X$248</f>
        <v>0</v>
      </c>
      <c r="AP34" s="57">
        <f>'[2]Australia Tallow Exports'!Y$248</f>
        <v>0</v>
      </c>
      <c r="AQ34" s="57">
        <f>'[2]Australia Tallow Exports'!Z$248</f>
        <v>0</v>
      </c>
      <c r="AR34" s="57">
        <f>'[2]Australia Tallow Exports'!AA$248</f>
        <v>0</v>
      </c>
      <c r="AS34" s="57">
        <f>'[2]Australia Tallow Exports'!AB$248</f>
        <v>0</v>
      </c>
      <c r="AT34" s="57">
        <f>'[2]Australia Tallow Exports'!AC$248</f>
        <v>0</v>
      </c>
      <c r="AU34" s="57">
        <f>'[2]Australia Tallow Exports'!AD$248</f>
        <v>0</v>
      </c>
      <c r="AV34" s="57">
        <f>'[2]Australia Tallow Exports'!AE$248</f>
        <v>0</v>
      </c>
      <c r="AW34" s="58">
        <f>'[2]Australia Tallow Exports'!AF$248</f>
        <v>0</v>
      </c>
      <c r="BC34" s="57">
        <f>'[2]New Zealand Tallow Exports'!N$248</f>
        <v>0</v>
      </c>
      <c r="BD34" s="57">
        <f>'[2]New Zealand Tallow Exports'!O$248</f>
        <v>0</v>
      </c>
      <c r="BE34" s="57">
        <f>'[2]New Zealand Tallow Exports'!P$248</f>
        <v>0</v>
      </c>
      <c r="BF34" s="57">
        <f>'[2]New Zealand Tallow Exports'!Q$248</f>
        <v>0</v>
      </c>
      <c r="BG34" s="57">
        <f>'[2]New Zealand Tallow Exports'!R$248</f>
        <v>0</v>
      </c>
      <c r="BH34" s="57">
        <f>'[2]New Zealand Tallow Exports'!S$248</f>
        <v>0</v>
      </c>
      <c r="BI34" s="57">
        <f>'[2]New Zealand Tallow Exports'!T$248</f>
        <v>0</v>
      </c>
      <c r="BJ34" s="57">
        <f>'[2]New Zealand Tallow Exports'!U$248</f>
        <v>0</v>
      </c>
      <c r="BK34" s="57">
        <f>'[2]New Zealand Tallow Exports'!V$248</f>
        <v>0</v>
      </c>
      <c r="BL34" s="57">
        <f>'[2]New Zealand Tallow Exports'!W$248</f>
        <v>0</v>
      </c>
      <c r="BM34" s="57">
        <f>'[2]New Zealand Tallow Exports'!X$248</f>
        <v>0</v>
      </c>
      <c r="BN34" s="57">
        <f>'[2]New Zealand Tallow Exports'!Y$248</f>
        <v>0</v>
      </c>
      <c r="BO34" s="57">
        <f>'[2]New Zealand Tallow Exports'!Z$248</f>
        <v>0</v>
      </c>
      <c r="BP34" s="57">
        <f>'[2]New Zealand Tallow Exports'!AA$248</f>
        <v>0</v>
      </c>
      <c r="BQ34" s="57">
        <f>'[2]New Zealand Tallow Exports'!AB$248</f>
        <v>0</v>
      </c>
      <c r="BR34" s="57">
        <f>'[2]New Zealand Tallow Exports'!AC$248</f>
        <v>0</v>
      </c>
      <c r="BS34" s="57">
        <f>'[2]New Zealand Tallow Exports'!AD$248</f>
        <v>0</v>
      </c>
      <c r="BT34" s="57">
        <f>'[2]New Zealand Tallow Exports'!AE$248</f>
        <v>0</v>
      </c>
      <c r="BU34" s="58">
        <f>'[2]New Zealand Tallow Exports'!AF$248</f>
        <v>0</v>
      </c>
      <c r="BX34" s="57">
        <f>'[2]Paraguay Tallow Exports'!K$248</f>
        <v>0</v>
      </c>
      <c r="BY34" s="57">
        <f>'[2]Paraguay Tallow Exports'!L$248</f>
        <v>0</v>
      </c>
      <c r="BZ34" s="57">
        <f>'[2]Paraguay Tallow Exports'!M$248</f>
        <v>0</v>
      </c>
      <c r="CA34" s="57">
        <f>'[2]Paraguay Tallow Exports'!N$248</f>
        <v>0</v>
      </c>
      <c r="CB34" s="57">
        <f>'[2]Paraguay Tallow Exports'!O$248</f>
        <v>0</v>
      </c>
      <c r="CC34" s="57">
        <f>'[2]Paraguay Tallow Exports'!P$248</f>
        <v>0</v>
      </c>
      <c r="CD34" s="57">
        <f>'[2]Paraguay Tallow Exports'!Q$248</f>
        <v>0</v>
      </c>
      <c r="CE34" s="57">
        <f>'[2]Paraguay Tallow Exports'!R$248</f>
        <v>0</v>
      </c>
      <c r="CF34" s="57">
        <f>'[2]Paraguay Tallow Exports'!S$248</f>
        <v>0</v>
      </c>
      <c r="CG34" s="57">
        <f>'[2]Paraguay Tallow Exports'!T$248</f>
        <v>0</v>
      </c>
      <c r="CH34" s="57">
        <f>'[2]Paraguay Tallow Exports'!U$248</f>
        <v>0</v>
      </c>
      <c r="CI34" s="57">
        <f>'[2]Paraguay Tallow Exports'!V$248</f>
        <v>0</v>
      </c>
      <c r="CJ34" s="57">
        <f>'[2]Paraguay Tallow Exports'!W$248</f>
        <v>0</v>
      </c>
      <c r="CK34" s="57">
        <f>'[2]Paraguay Tallow Exports'!X$248</f>
        <v>0</v>
      </c>
      <c r="CL34" s="57">
        <f>'[2]Paraguay Tallow Exports'!Y$248</f>
        <v>0</v>
      </c>
      <c r="CM34" s="57">
        <f>'[2]Paraguay Tallow Exports'!Z$248</f>
        <v>0</v>
      </c>
      <c r="CN34" s="57">
        <f>'[2]Paraguay Tallow Exports'!AA$248</f>
        <v>0</v>
      </c>
      <c r="CO34" s="57">
        <f>'[2]Paraguay Tallow Exports'!AB$248</f>
        <v>0</v>
      </c>
      <c r="CP34" s="57">
        <f>'[2]Paraguay Tallow Exports'!AC$248</f>
        <v>0</v>
      </c>
      <c r="CQ34" s="57">
        <f>'[2]Paraguay Tallow Exports'!AD$248</f>
        <v>0</v>
      </c>
      <c r="CR34" s="58">
        <f t="shared" si="4"/>
        <v>0</v>
      </c>
      <c r="DE34" s="57">
        <f>'[2]Brazil Tallow Exports'!U$248</f>
        <v>0</v>
      </c>
      <c r="DF34" s="57">
        <f>'[2]Brazil Tallow Exports'!V$248</f>
        <v>0</v>
      </c>
      <c r="DG34" s="57">
        <f>'[2]Brazil Tallow Exports'!W$248</f>
        <v>0</v>
      </c>
      <c r="DH34" s="57">
        <f>'[2]Brazil Tallow Exports'!X$248</f>
        <v>0</v>
      </c>
      <c r="DI34" s="57">
        <f>'[2]Brazil Tallow Exports'!Y$248</f>
        <v>0</v>
      </c>
      <c r="DJ34" s="57">
        <f>'[2]Brazil Tallow Exports'!Z$248</f>
        <v>0</v>
      </c>
      <c r="DK34" s="57">
        <f>'[2]Brazil Tallow Exports'!AA$248</f>
        <v>0</v>
      </c>
      <c r="DL34" s="57">
        <f>'[2]Brazil Tallow Exports'!AB$248</f>
        <v>0</v>
      </c>
      <c r="DM34" s="57">
        <f>'[2]Brazil Tallow Exports'!AC$248</f>
        <v>0</v>
      </c>
      <c r="DN34" s="57">
        <f>'[2]Brazil Tallow Exports'!AD$248</f>
        <v>0</v>
      </c>
      <c r="DO34" s="57">
        <f>'[2]Brazil Tallow Exports'!AE$248</f>
        <v>0</v>
      </c>
      <c r="DP34" s="58">
        <f>'[2]Brazil Tallow Exports'!AF$248</f>
        <v>0</v>
      </c>
      <c r="EB34" s="57">
        <f t="shared" si="26"/>
        <v>4929</v>
      </c>
      <c r="EC34" s="57">
        <f t="shared" si="26"/>
        <v>0</v>
      </c>
      <c r="ED34" s="57">
        <f t="shared" si="26"/>
        <v>0</v>
      </c>
      <c r="EE34" s="57">
        <f t="shared" si="26"/>
        <v>0</v>
      </c>
      <c r="EF34" s="57">
        <f t="shared" si="26"/>
        <v>0</v>
      </c>
      <c r="EG34" s="57">
        <f t="shared" si="26"/>
        <v>0</v>
      </c>
      <c r="EH34" s="57">
        <f t="shared" si="26"/>
        <v>0</v>
      </c>
      <c r="EI34" s="57">
        <f t="shared" si="26"/>
        <v>0</v>
      </c>
      <c r="EJ34" s="57">
        <f t="shared" si="26"/>
        <v>0</v>
      </c>
      <c r="EK34" s="57">
        <f t="shared" si="26"/>
        <v>0</v>
      </c>
      <c r="EL34" s="57">
        <f t="shared" si="26"/>
        <v>0</v>
      </c>
      <c r="EM34" s="57">
        <f t="shared" si="26"/>
        <v>0</v>
      </c>
      <c r="EN34" s="60">
        <f t="shared" si="24"/>
        <v>0</v>
      </c>
      <c r="EO34" s="60">
        <f t="shared" si="24"/>
        <v>0</v>
      </c>
      <c r="EP34" s="60">
        <f t="shared" si="24"/>
        <v>0</v>
      </c>
      <c r="EQ34" s="60">
        <f t="shared" si="24"/>
        <v>0</v>
      </c>
      <c r="ER34" s="60">
        <f t="shared" si="24"/>
        <v>0</v>
      </c>
      <c r="ES34" s="60">
        <f t="shared" si="24"/>
        <v>0</v>
      </c>
      <c r="ET34" s="60">
        <f t="shared" si="24"/>
        <v>0</v>
      </c>
      <c r="EU34" s="60">
        <f t="shared" si="24"/>
        <v>0</v>
      </c>
      <c r="EV34" s="60">
        <f t="shared" si="24"/>
        <v>0</v>
      </c>
      <c r="EW34" s="60">
        <f t="shared" si="24"/>
        <v>0</v>
      </c>
      <c r="EX34" s="60">
        <f t="shared" si="24"/>
        <v>0</v>
      </c>
      <c r="EY34" s="60">
        <f t="shared" si="24"/>
        <v>0</v>
      </c>
      <c r="EZ34" s="60">
        <f t="shared" si="24"/>
        <v>0</v>
      </c>
      <c r="FA34" s="60">
        <f t="shared" si="24"/>
        <v>0</v>
      </c>
      <c r="FB34" s="60">
        <f t="shared" si="24"/>
        <v>0</v>
      </c>
      <c r="FC34" s="60">
        <f t="shared" si="24"/>
        <v>0</v>
      </c>
      <c r="FD34" s="60">
        <f t="shared" si="25"/>
        <v>0</v>
      </c>
      <c r="FE34" s="60">
        <f t="shared" si="25"/>
        <v>0</v>
      </c>
      <c r="FF34" s="60">
        <f t="shared" si="25"/>
        <v>0</v>
      </c>
      <c r="FG34" s="60">
        <f t="shared" si="25"/>
        <v>0</v>
      </c>
      <c r="FH34" s="60">
        <f t="shared" si="25"/>
        <v>0</v>
      </c>
      <c r="FI34" s="60">
        <f t="shared" si="25"/>
        <v>0</v>
      </c>
      <c r="FJ34" s="60">
        <f t="shared" si="25"/>
        <v>0</v>
      </c>
      <c r="FK34" s="60">
        <f t="shared" si="25"/>
        <v>0</v>
      </c>
      <c r="FL34" s="60">
        <f t="shared" si="25"/>
        <v>0</v>
      </c>
      <c r="FM34" s="60">
        <f t="shared" si="25"/>
        <v>0</v>
      </c>
      <c r="FN34" s="60">
        <f t="shared" si="25"/>
        <v>0</v>
      </c>
    </row>
    <row r="35" spans="1:171">
      <c r="A35" s="44" t="s">
        <v>151</v>
      </c>
      <c r="B35" s="57">
        <f>'[2]Canada Tallow Exports'!I$250</f>
        <v>0</v>
      </c>
      <c r="C35" s="57">
        <f>'[2]Canada Tallow Exports'!J$250</f>
        <v>0</v>
      </c>
      <c r="D35" s="57">
        <f>'[2]Canada Tallow Exports'!K$250</f>
        <v>0</v>
      </c>
      <c r="E35" s="57">
        <f>'[2]Canada Tallow Exports'!L$250</f>
        <v>0</v>
      </c>
      <c r="F35" s="57">
        <f>'[2]Canada Tallow Exports'!M$250</f>
        <v>0</v>
      </c>
      <c r="G35" s="57">
        <f>'[2]Canada Tallow Exports'!N$250</f>
        <v>0</v>
      </c>
      <c r="H35" s="57">
        <f>'[2]Canada Tallow Exports'!O$250</f>
        <v>2500</v>
      </c>
      <c r="I35" s="57">
        <f>'[2]Canada Tallow Exports'!P$250</f>
        <v>0</v>
      </c>
      <c r="J35" s="57">
        <f>'[2]Canada Tallow Exports'!Q$250</f>
        <v>0</v>
      </c>
      <c r="K35" s="57">
        <f>'[2]Canada Tallow Exports'!R$250</f>
        <v>2500</v>
      </c>
      <c r="L35" s="57">
        <f>'[2]Canada Tallow Exports'!S$250</f>
        <v>2500</v>
      </c>
      <c r="M35" s="57">
        <f>'[2]Canada Tallow Exports'!T$250</f>
        <v>0</v>
      </c>
      <c r="N35" s="57">
        <f>'[2]Canada Tallow Exports'!U$250</f>
        <v>0</v>
      </c>
      <c r="O35" s="57">
        <f>'[2]Canada Tallow Exports'!V$250</f>
        <v>0</v>
      </c>
      <c r="P35" s="57">
        <f>'[2]Canada Tallow Exports'!W$250</f>
        <v>96</v>
      </c>
      <c r="Q35" s="57">
        <f>'[2]Canada Tallow Exports'!X$250</f>
        <v>87</v>
      </c>
      <c r="R35" s="57">
        <f>'[2]Canada Tallow Exports'!Y$250</f>
        <v>91</v>
      </c>
      <c r="S35" s="57">
        <f>'[2]Canada Tallow Exports'!Z$250</f>
        <v>177</v>
      </c>
      <c r="T35" s="57">
        <f>'[2]Canada Tallow Exports'!AA$250</f>
        <v>92</v>
      </c>
      <c r="U35" s="57">
        <f>'[2]Canada Tallow Exports'!AB$250</f>
        <v>95</v>
      </c>
      <c r="V35" s="57">
        <f>'[2]Canada Tallow Exports'!AC$250</f>
        <v>0</v>
      </c>
      <c r="W35" s="57">
        <f>'[2]Canada Tallow Exports'!AD$250</f>
        <v>0</v>
      </c>
      <c r="X35" s="57">
        <f>'[2]Canada Tallow Exports'!AE$250</f>
        <v>0</v>
      </c>
      <c r="Y35" s="58">
        <f>'[2]Canada Tallow Exports'!AF$250</f>
        <v>0</v>
      </c>
      <c r="AE35" s="57">
        <f>'[2]Australia Tallow Exports'!N$250</f>
        <v>0</v>
      </c>
      <c r="AF35" s="57">
        <f>'[2]Australia Tallow Exports'!O$250</f>
        <v>0</v>
      </c>
      <c r="AG35" s="57">
        <f>'[2]Australia Tallow Exports'!P$250</f>
        <v>0</v>
      </c>
      <c r="AH35" s="57">
        <f>'[2]Australia Tallow Exports'!Q$250</f>
        <v>0</v>
      </c>
      <c r="AI35" s="57">
        <f>'[2]Australia Tallow Exports'!R$250</f>
        <v>0</v>
      </c>
      <c r="AJ35" s="57">
        <f>'[2]Australia Tallow Exports'!S$250</f>
        <v>0</v>
      </c>
      <c r="AK35" s="57">
        <f>'[2]Australia Tallow Exports'!T$250</f>
        <v>0</v>
      </c>
      <c r="AL35" s="57">
        <f>'[2]Australia Tallow Exports'!U$250</f>
        <v>0</v>
      </c>
      <c r="AM35" s="57">
        <f>'[2]Australia Tallow Exports'!V$250</f>
        <v>0</v>
      </c>
      <c r="AN35" s="57">
        <f>'[2]Australia Tallow Exports'!W$250</f>
        <v>0</v>
      </c>
      <c r="AO35" s="57">
        <f>'[2]Australia Tallow Exports'!X$250</f>
        <v>0</v>
      </c>
      <c r="AP35" s="57">
        <f>'[2]Australia Tallow Exports'!Y$250</f>
        <v>0</v>
      </c>
      <c r="AQ35" s="57">
        <f>'[2]Australia Tallow Exports'!Z$250</f>
        <v>0</v>
      </c>
      <c r="AR35" s="57">
        <f>'[2]Australia Tallow Exports'!AA$250</f>
        <v>0</v>
      </c>
      <c r="AS35" s="57">
        <f>'[2]Australia Tallow Exports'!AB$250</f>
        <v>0</v>
      </c>
      <c r="AT35" s="57">
        <f>'[2]Australia Tallow Exports'!AC$250</f>
        <v>0</v>
      </c>
      <c r="AU35" s="57">
        <f>'[2]Australia Tallow Exports'!AD$250</f>
        <v>0</v>
      </c>
      <c r="AV35" s="57">
        <f>'[2]Australia Tallow Exports'!AE$250</f>
        <v>0</v>
      </c>
      <c r="AW35" s="58">
        <f>'[2]Australia Tallow Exports'!AF$250</f>
        <v>0</v>
      </c>
      <c r="BC35" s="57">
        <f>'[2]New Zealand Tallow Exports'!N$250</f>
        <v>0</v>
      </c>
      <c r="BD35" s="57">
        <f>'[2]New Zealand Tallow Exports'!O$250</f>
        <v>0</v>
      </c>
      <c r="BE35" s="57">
        <f>'[2]New Zealand Tallow Exports'!P$250</f>
        <v>0</v>
      </c>
      <c r="BF35" s="57">
        <f>'[2]New Zealand Tallow Exports'!Q$250</f>
        <v>0</v>
      </c>
      <c r="BG35" s="57">
        <f>'[2]New Zealand Tallow Exports'!R$250</f>
        <v>0</v>
      </c>
      <c r="BH35" s="57">
        <f>'[2]New Zealand Tallow Exports'!S$250</f>
        <v>0</v>
      </c>
      <c r="BI35" s="57">
        <f>'[2]New Zealand Tallow Exports'!T$250</f>
        <v>0</v>
      </c>
      <c r="BJ35" s="57">
        <f>'[2]New Zealand Tallow Exports'!U$250</f>
        <v>0</v>
      </c>
      <c r="BK35" s="57">
        <f>'[2]New Zealand Tallow Exports'!V$250</f>
        <v>0</v>
      </c>
      <c r="BL35" s="57">
        <f>'[2]New Zealand Tallow Exports'!W$250</f>
        <v>0</v>
      </c>
      <c r="BM35" s="57">
        <f>'[2]New Zealand Tallow Exports'!X$250</f>
        <v>0</v>
      </c>
      <c r="BN35" s="57">
        <f>'[2]New Zealand Tallow Exports'!Y$250</f>
        <v>0</v>
      </c>
      <c r="BO35" s="57">
        <f>'[2]New Zealand Tallow Exports'!Z$250</f>
        <v>0</v>
      </c>
      <c r="BP35" s="57">
        <f>'[2]New Zealand Tallow Exports'!AA$250</f>
        <v>0</v>
      </c>
      <c r="BQ35" s="57">
        <f>'[2]New Zealand Tallow Exports'!AB$250</f>
        <v>0</v>
      </c>
      <c r="BR35" s="57">
        <f>'[2]New Zealand Tallow Exports'!AC$250</f>
        <v>0</v>
      </c>
      <c r="BS35" s="57">
        <f>'[2]New Zealand Tallow Exports'!AD$250</f>
        <v>0</v>
      </c>
      <c r="BT35" s="57">
        <f>'[2]New Zealand Tallow Exports'!AE$250</f>
        <v>0</v>
      </c>
      <c r="BU35" s="58">
        <f>'[2]New Zealand Tallow Exports'!AF$250</f>
        <v>0</v>
      </c>
      <c r="BX35" s="57">
        <f>'[2]Paraguay Tallow Exports'!K$250</f>
        <v>0</v>
      </c>
      <c r="BY35" s="57">
        <f>'[2]Paraguay Tallow Exports'!L$250</f>
        <v>0</v>
      </c>
      <c r="BZ35" s="57">
        <f>'[2]Paraguay Tallow Exports'!M$250</f>
        <v>0</v>
      </c>
      <c r="CA35" s="57">
        <f>'[2]Paraguay Tallow Exports'!N$250</f>
        <v>0</v>
      </c>
      <c r="CB35" s="57">
        <f>'[2]Paraguay Tallow Exports'!O$250</f>
        <v>0</v>
      </c>
      <c r="CC35" s="57">
        <f>'[2]Paraguay Tallow Exports'!P$250</f>
        <v>0</v>
      </c>
      <c r="CD35" s="57">
        <f>'[2]Paraguay Tallow Exports'!Q$250</f>
        <v>0</v>
      </c>
      <c r="CE35" s="57">
        <f>'[2]Paraguay Tallow Exports'!R$250</f>
        <v>0</v>
      </c>
      <c r="CF35" s="57">
        <f>'[2]Paraguay Tallow Exports'!S$250</f>
        <v>0</v>
      </c>
      <c r="CG35" s="57">
        <f>'[2]Paraguay Tallow Exports'!T$250</f>
        <v>0</v>
      </c>
      <c r="CH35" s="57">
        <f>'[2]Paraguay Tallow Exports'!U$250</f>
        <v>0</v>
      </c>
      <c r="CI35" s="57">
        <f>'[2]Paraguay Tallow Exports'!V$250</f>
        <v>0</v>
      </c>
      <c r="CJ35" s="57">
        <f>'[2]Paraguay Tallow Exports'!W$250</f>
        <v>0</v>
      </c>
      <c r="CK35" s="57">
        <f>'[2]Paraguay Tallow Exports'!X$250</f>
        <v>0</v>
      </c>
      <c r="CL35" s="57">
        <f>'[2]Paraguay Tallow Exports'!Y$250</f>
        <v>0</v>
      </c>
      <c r="CM35" s="57">
        <f>'[2]Paraguay Tallow Exports'!Z$250</f>
        <v>0</v>
      </c>
      <c r="CN35" s="57">
        <f>'[2]Paraguay Tallow Exports'!AA$250</f>
        <v>0</v>
      </c>
      <c r="CO35" s="57">
        <f>'[2]Paraguay Tallow Exports'!AB$250</f>
        <v>0</v>
      </c>
      <c r="CP35" s="57">
        <f>'[2]Paraguay Tallow Exports'!AC$250</f>
        <v>0</v>
      </c>
      <c r="CQ35" s="57">
        <f>'[2]Paraguay Tallow Exports'!AD$250</f>
        <v>0</v>
      </c>
      <c r="CR35" s="58">
        <f t="shared" si="4"/>
        <v>0</v>
      </c>
      <c r="DE35" s="57">
        <f>'[2]Brazil Tallow Exports'!U$250</f>
        <v>0</v>
      </c>
      <c r="DF35" s="57">
        <f>'[2]Brazil Tallow Exports'!V$250</f>
        <v>2</v>
      </c>
      <c r="DG35" s="57">
        <f>'[2]Brazil Tallow Exports'!W$250</f>
        <v>0</v>
      </c>
      <c r="DH35" s="57">
        <f>'[2]Brazil Tallow Exports'!X$250</f>
        <v>2</v>
      </c>
      <c r="DI35" s="57">
        <f>'[2]Brazil Tallow Exports'!Y$250</f>
        <v>0</v>
      </c>
      <c r="DJ35" s="57">
        <f>'[2]Brazil Tallow Exports'!Z$250</f>
        <v>0</v>
      </c>
      <c r="DK35" s="57">
        <f>'[2]Brazil Tallow Exports'!AA$250</f>
        <v>0</v>
      </c>
      <c r="DL35" s="57">
        <f>'[2]Brazil Tallow Exports'!AB$250</f>
        <v>0</v>
      </c>
      <c r="DM35" s="57">
        <f>'[2]Brazil Tallow Exports'!AC$250</f>
        <v>0</v>
      </c>
      <c r="DN35" s="57">
        <f>'[2]Brazil Tallow Exports'!AD$250</f>
        <v>0</v>
      </c>
      <c r="DO35" s="57">
        <f>'[2]Brazil Tallow Exports'!AE$250</f>
        <v>0</v>
      </c>
      <c r="DP35" s="58">
        <f>'[2]Brazil Tallow Exports'!AF$250</f>
        <v>0</v>
      </c>
      <c r="EB35" s="57">
        <f t="shared" si="26"/>
        <v>0</v>
      </c>
      <c r="EC35" s="57">
        <f t="shared" si="26"/>
        <v>2</v>
      </c>
      <c r="ED35" s="57">
        <f t="shared" si="26"/>
        <v>96</v>
      </c>
      <c r="EE35" s="57">
        <f t="shared" si="26"/>
        <v>89</v>
      </c>
      <c r="EF35" s="57">
        <f t="shared" si="26"/>
        <v>91</v>
      </c>
      <c r="EG35" s="57">
        <f t="shared" si="26"/>
        <v>177</v>
      </c>
      <c r="EH35" s="57">
        <f t="shared" si="26"/>
        <v>92</v>
      </c>
      <c r="EI35" s="57">
        <f t="shared" si="26"/>
        <v>95</v>
      </c>
      <c r="EJ35" s="57">
        <f t="shared" si="26"/>
        <v>0</v>
      </c>
      <c r="EK35" s="57">
        <f t="shared" si="26"/>
        <v>0</v>
      </c>
      <c r="EL35" s="57">
        <f t="shared" si="26"/>
        <v>0</v>
      </c>
      <c r="EM35" s="57">
        <f t="shared" si="26"/>
        <v>0</v>
      </c>
      <c r="EN35" s="60">
        <f t="shared" ref="EN35:FN37" si="28">IF(FORECAST(EN$41,EI35:EM35,EI$41:EM$41)&lt;0,0,FORECAST(EN$41,EI35:EM35,EI$41:EM$41))*0.5</f>
        <v>0</v>
      </c>
      <c r="EO35" s="60">
        <f t="shared" si="28"/>
        <v>0</v>
      </c>
      <c r="EP35" s="60">
        <f t="shared" si="28"/>
        <v>0</v>
      </c>
      <c r="EQ35" s="60">
        <f t="shared" si="28"/>
        <v>0</v>
      </c>
      <c r="ER35" s="60">
        <f t="shared" si="28"/>
        <v>0</v>
      </c>
      <c r="ES35" s="60">
        <f t="shared" si="28"/>
        <v>0</v>
      </c>
      <c r="ET35" s="60">
        <f t="shared" si="28"/>
        <v>0</v>
      </c>
      <c r="EU35" s="60">
        <f t="shared" si="28"/>
        <v>0</v>
      </c>
      <c r="EV35" s="60">
        <f t="shared" si="28"/>
        <v>0</v>
      </c>
      <c r="EW35" s="60">
        <f t="shared" si="28"/>
        <v>0</v>
      </c>
      <c r="EX35" s="60">
        <f t="shared" si="28"/>
        <v>0</v>
      </c>
      <c r="EY35" s="60">
        <f t="shared" si="28"/>
        <v>0</v>
      </c>
      <c r="EZ35" s="60">
        <f t="shared" si="28"/>
        <v>0</v>
      </c>
      <c r="FA35" s="60">
        <f t="shared" si="28"/>
        <v>0</v>
      </c>
      <c r="FB35" s="60">
        <f t="shared" si="28"/>
        <v>0</v>
      </c>
      <c r="FC35" s="60">
        <f t="shared" si="28"/>
        <v>0</v>
      </c>
      <c r="FD35" s="60">
        <f t="shared" si="28"/>
        <v>0</v>
      </c>
      <c r="FE35" s="60">
        <f t="shared" si="28"/>
        <v>0</v>
      </c>
      <c r="FF35" s="60">
        <f t="shared" si="28"/>
        <v>0</v>
      </c>
      <c r="FG35" s="60">
        <f t="shared" si="28"/>
        <v>0</v>
      </c>
      <c r="FH35" s="60">
        <f t="shared" si="28"/>
        <v>0</v>
      </c>
      <c r="FI35" s="60">
        <f t="shared" si="28"/>
        <v>0</v>
      </c>
      <c r="FJ35" s="60">
        <f t="shared" si="28"/>
        <v>0</v>
      </c>
      <c r="FK35" s="60">
        <f t="shared" si="28"/>
        <v>0</v>
      </c>
      <c r="FL35" s="60">
        <f t="shared" si="28"/>
        <v>0</v>
      </c>
      <c r="FM35" s="60">
        <f t="shared" si="28"/>
        <v>0</v>
      </c>
      <c r="FN35" s="60">
        <f t="shared" si="28"/>
        <v>0</v>
      </c>
    </row>
    <row r="36" spans="1:171">
      <c r="A36" s="44" t="s">
        <v>152</v>
      </c>
      <c r="B36" s="57">
        <f>'[2]Canada Tallow Exports'!I$266</f>
        <v>2501</v>
      </c>
      <c r="C36" s="57">
        <f>'[2]Canada Tallow Exports'!J$266</f>
        <v>1995</v>
      </c>
      <c r="D36" s="57">
        <f>'[2]Canada Tallow Exports'!K$266</f>
        <v>0</v>
      </c>
      <c r="E36" s="57">
        <f>'[2]Canada Tallow Exports'!L$266</f>
        <v>5959</v>
      </c>
      <c r="F36" s="57">
        <f>'[2]Canada Tallow Exports'!M$266</f>
        <v>43737</v>
      </c>
      <c r="G36" s="57">
        <f>'[2]Canada Tallow Exports'!N$266</f>
        <v>28822</v>
      </c>
      <c r="H36" s="57">
        <f>'[2]Canada Tallow Exports'!O$266</f>
        <v>5082</v>
      </c>
      <c r="I36" s="57">
        <f>'[2]Canada Tallow Exports'!P$266</f>
        <v>14319</v>
      </c>
      <c r="J36" s="57">
        <f>'[2]Canada Tallow Exports'!Q$266</f>
        <v>15300</v>
      </c>
      <c r="K36" s="57">
        <f>'[2]Canada Tallow Exports'!R$266</f>
        <v>14423</v>
      </c>
      <c r="L36" s="57">
        <f>'[2]Canada Tallow Exports'!S$266</f>
        <v>1502</v>
      </c>
      <c r="M36" s="57">
        <f>'[2]Canada Tallow Exports'!T$266</f>
        <v>4500</v>
      </c>
      <c r="N36" s="57">
        <f>'[2]Canada Tallow Exports'!U$266</f>
        <v>0</v>
      </c>
      <c r="O36" s="57">
        <f>'[2]Canada Tallow Exports'!V$266</f>
        <v>0</v>
      </c>
      <c r="P36" s="57">
        <f>'[2]Canada Tallow Exports'!W$266</f>
        <v>5080</v>
      </c>
      <c r="Q36" s="57">
        <f>'[2]Canada Tallow Exports'!X$266</f>
        <v>12087</v>
      </c>
      <c r="R36" s="57">
        <f>'[2]Canada Tallow Exports'!Y$266</f>
        <v>0</v>
      </c>
      <c r="S36" s="57">
        <f>'[2]Canada Tallow Exports'!Z$266</f>
        <v>0</v>
      </c>
      <c r="T36" s="57">
        <f>'[2]Canada Tallow Exports'!AA$266</f>
        <v>445</v>
      </c>
      <c r="U36" s="57">
        <f>'[2]Canada Tallow Exports'!AB$266</f>
        <v>237</v>
      </c>
      <c r="V36" s="57">
        <f>'[2]Canada Tallow Exports'!AC$266</f>
        <v>0</v>
      </c>
      <c r="W36" s="57">
        <f>'[2]Canada Tallow Exports'!AD$266</f>
        <v>428</v>
      </c>
      <c r="X36" s="57">
        <f>'[2]Canada Tallow Exports'!AE$266</f>
        <v>1581</v>
      </c>
      <c r="Y36" s="58">
        <f>'[2]Canada Tallow Exports'!AF$266</f>
        <v>1150</v>
      </c>
      <c r="AE36" s="57">
        <f>'[2]Australia Tallow Exports'!N$266</f>
        <v>0</v>
      </c>
      <c r="AF36" s="57">
        <f>'[2]Australia Tallow Exports'!O$266</f>
        <v>0</v>
      </c>
      <c r="AG36" s="57">
        <f>'[2]Australia Tallow Exports'!P$266</f>
        <v>0</v>
      </c>
      <c r="AH36" s="57">
        <f>'[2]Australia Tallow Exports'!Q$266</f>
        <v>0</v>
      </c>
      <c r="AI36" s="57">
        <f>'[2]Australia Tallow Exports'!R$266</f>
        <v>0</v>
      </c>
      <c r="AJ36" s="57">
        <f>'[2]Australia Tallow Exports'!S$266</f>
        <v>0</v>
      </c>
      <c r="AK36" s="57">
        <f>'[2]Australia Tallow Exports'!T$266</f>
        <v>0</v>
      </c>
      <c r="AL36" s="57">
        <f>'[2]Australia Tallow Exports'!U$266</f>
        <v>0</v>
      </c>
      <c r="AM36" s="57">
        <f>'[2]Australia Tallow Exports'!V$266</f>
        <v>0</v>
      </c>
      <c r="AN36" s="57">
        <f>'[2]Australia Tallow Exports'!W$266</f>
        <v>0</v>
      </c>
      <c r="AO36" s="57">
        <f>'[2]Australia Tallow Exports'!X$266</f>
        <v>0</v>
      </c>
      <c r="AP36" s="57">
        <f>'[2]Australia Tallow Exports'!Y$266</f>
        <v>0</v>
      </c>
      <c r="AQ36" s="57">
        <f>'[2]Australia Tallow Exports'!Z$266</f>
        <v>0</v>
      </c>
      <c r="AR36" s="57">
        <f>'[2]Australia Tallow Exports'!AA$266</f>
        <v>0</v>
      </c>
      <c r="AS36" s="57">
        <f>'[2]Australia Tallow Exports'!AB$266</f>
        <v>0</v>
      </c>
      <c r="AT36" s="57">
        <f>'[2]Australia Tallow Exports'!AC$266</f>
        <v>0</v>
      </c>
      <c r="AU36" s="57">
        <f>'[2]Australia Tallow Exports'!AD$266</f>
        <v>0</v>
      </c>
      <c r="AV36" s="57">
        <f>'[2]Australia Tallow Exports'!AE$266</f>
        <v>0</v>
      </c>
      <c r="AW36" s="58">
        <f>'[2]Australia Tallow Exports'!AF$266</f>
        <v>0</v>
      </c>
      <c r="BC36" s="57">
        <f>'[2]New Zealand Tallow Exports'!N$266</f>
        <v>0</v>
      </c>
      <c r="BD36" s="57">
        <f>'[2]New Zealand Tallow Exports'!O$266</f>
        <v>0</v>
      </c>
      <c r="BE36" s="57">
        <f>'[2]New Zealand Tallow Exports'!P$266</f>
        <v>0</v>
      </c>
      <c r="BF36" s="57">
        <f>'[2]New Zealand Tallow Exports'!Q$266</f>
        <v>0</v>
      </c>
      <c r="BG36" s="57">
        <f>'[2]New Zealand Tallow Exports'!R$266</f>
        <v>0</v>
      </c>
      <c r="BH36" s="57">
        <f>'[2]New Zealand Tallow Exports'!S$266</f>
        <v>0</v>
      </c>
      <c r="BI36" s="57">
        <f>'[2]New Zealand Tallow Exports'!T$266</f>
        <v>0</v>
      </c>
      <c r="BJ36" s="57">
        <f>'[2]New Zealand Tallow Exports'!U$266</f>
        <v>0</v>
      </c>
      <c r="BK36" s="57">
        <f>'[2]New Zealand Tallow Exports'!V$266</f>
        <v>0</v>
      </c>
      <c r="BL36" s="57">
        <f>'[2]New Zealand Tallow Exports'!W$266</f>
        <v>0</v>
      </c>
      <c r="BM36" s="57">
        <f>'[2]New Zealand Tallow Exports'!X$266</f>
        <v>0</v>
      </c>
      <c r="BN36" s="57">
        <f>'[2]New Zealand Tallow Exports'!Y$266</f>
        <v>0</v>
      </c>
      <c r="BO36" s="57">
        <f>'[2]New Zealand Tallow Exports'!Z$266</f>
        <v>0</v>
      </c>
      <c r="BP36" s="57">
        <f>'[2]New Zealand Tallow Exports'!AA$266</f>
        <v>0</v>
      </c>
      <c r="BQ36" s="57">
        <f>'[2]New Zealand Tallow Exports'!AB$266</f>
        <v>0</v>
      </c>
      <c r="BR36" s="57">
        <f>'[2]New Zealand Tallow Exports'!AC$266</f>
        <v>0</v>
      </c>
      <c r="BS36" s="57">
        <f>'[2]New Zealand Tallow Exports'!AD$266</f>
        <v>0</v>
      </c>
      <c r="BT36" s="57">
        <f>'[2]New Zealand Tallow Exports'!AE$266</f>
        <v>0</v>
      </c>
      <c r="BU36" s="58">
        <f>'[2]New Zealand Tallow Exports'!AF$266</f>
        <v>0</v>
      </c>
      <c r="BX36" s="57">
        <f>'[2]Paraguay Tallow Exports'!K$266</f>
        <v>0</v>
      </c>
      <c r="BY36" s="57">
        <f>'[2]Paraguay Tallow Exports'!L$266</f>
        <v>0</v>
      </c>
      <c r="BZ36" s="57">
        <f>'[2]Paraguay Tallow Exports'!M$266</f>
        <v>0</v>
      </c>
      <c r="CA36" s="57">
        <f>'[2]Paraguay Tallow Exports'!N$266</f>
        <v>0</v>
      </c>
      <c r="CB36" s="57">
        <f>'[2]Paraguay Tallow Exports'!O$266</f>
        <v>0</v>
      </c>
      <c r="CC36" s="57">
        <f>'[2]Paraguay Tallow Exports'!P$266</f>
        <v>0</v>
      </c>
      <c r="CD36" s="57">
        <f>'[2]Paraguay Tallow Exports'!Q$266</f>
        <v>0</v>
      </c>
      <c r="CE36" s="57">
        <f>'[2]Paraguay Tallow Exports'!R$266</f>
        <v>0</v>
      </c>
      <c r="CF36" s="57">
        <f>'[2]Paraguay Tallow Exports'!S$266</f>
        <v>0</v>
      </c>
      <c r="CG36" s="57">
        <f>'[2]Paraguay Tallow Exports'!T$266</f>
        <v>0</v>
      </c>
      <c r="CH36" s="57">
        <f>'[2]Paraguay Tallow Exports'!U$266</f>
        <v>0</v>
      </c>
      <c r="CI36" s="57">
        <f>'[2]Paraguay Tallow Exports'!V$266</f>
        <v>0</v>
      </c>
      <c r="CJ36" s="57">
        <f>'[2]Paraguay Tallow Exports'!W$266</f>
        <v>0</v>
      </c>
      <c r="CK36" s="57">
        <f>'[2]Paraguay Tallow Exports'!X$266</f>
        <v>0</v>
      </c>
      <c r="CL36" s="57">
        <f>'[2]Paraguay Tallow Exports'!Y$266</f>
        <v>0</v>
      </c>
      <c r="CM36" s="57">
        <f>'[2]Paraguay Tallow Exports'!Z$266</f>
        <v>0</v>
      </c>
      <c r="CN36" s="57">
        <f>'[2]Paraguay Tallow Exports'!AA$266</f>
        <v>0</v>
      </c>
      <c r="CO36" s="57">
        <f>'[2]Paraguay Tallow Exports'!AB$266</f>
        <v>0</v>
      </c>
      <c r="CP36" s="57">
        <f>'[2]Paraguay Tallow Exports'!AC$266</f>
        <v>0</v>
      </c>
      <c r="CQ36" s="57">
        <f>'[2]Paraguay Tallow Exports'!AD$266</f>
        <v>0</v>
      </c>
      <c r="CR36" s="58">
        <f t="shared" si="4"/>
        <v>0</v>
      </c>
      <c r="DE36" s="57">
        <f>'[2]Brazil Tallow Exports'!U$266</f>
        <v>0</v>
      </c>
      <c r="DF36" s="57">
        <f>'[2]Brazil Tallow Exports'!V$266</f>
        <v>0</v>
      </c>
      <c r="DG36" s="57">
        <f>'[2]Brazil Tallow Exports'!W$266</f>
        <v>0</v>
      </c>
      <c r="DH36" s="57">
        <f>'[2]Brazil Tallow Exports'!X$266</f>
        <v>0</v>
      </c>
      <c r="DI36" s="57">
        <f>'[2]Brazil Tallow Exports'!Y$266</f>
        <v>0</v>
      </c>
      <c r="DJ36" s="57">
        <f>'[2]Brazil Tallow Exports'!Z$266</f>
        <v>0</v>
      </c>
      <c r="DK36" s="57">
        <f>'[2]Brazil Tallow Exports'!AA$266</f>
        <v>0</v>
      </c>
      <c r="DL36" s="57">
        <f>'[2]Brazil Tallow Exports'!AB$266</f>
        <v>0</v>
      </c>
      <c r="DM36" s="57">
        <f>'[2]Brazil Tallow Exports'!AC$266</f>
        <v>0</v>
      </c>
      <c r="DN36" s="57">
        <f>'[2]Brazil Tallow Exports'!AD$266</f>
        <v>0</v>
      </c>
      <c r="DO36" s="57">
        <f>'[2]Brazil Tallow Exports'!AE$266</f>
        <v>0</v>
      </c>
      <c r="DP36" s="58">
        <f>'[2]Brazil Tallow Exports'!AF$266</f>
        <v>0</v>
      </c>
      <c r="EB36" s="57">
        <f t="shared" si="26"/>
        <v>0</v>
      </c>
      <c r="EC36" s="57">
        <f t="shared" si="26"/>
        <v>0</v>
      </c>
      <c r="ED36" s="57">
        <f t="shared" si="26"/>
        <v>5080</v>
      </c>
      <c r="EE36" s="57">
        <f t="shared" si="26"/>
        <v>12087</v>
      </c>
      <c r="EF36" s="57">
        <f t="shared" si="26"/>
        <v>0</v>
      </c>
      <c r="EG36" s="57">
        <f t="shared" si="26"/>
        <v>0</v>
      </c>
      <c r="EH36" s="57">
        <f t="shared" si="26"/>
        <v>445</v>
      </c>
      <c r="EI36" s="57">
        <f t="shared" si="26"/>
        <v>237</v>
      </c>
      <c r="EJ36" s="57">
        <f t="shared" si="26"/>
        <v>0</v>
      </c>
      <c r="EK36" s="57">
        <f t="shared" si="26"/>
        <v>428</v>
      </c>
      <c r="EL36" s="57">
        <f t="shared" si="26"/>
        <v>1581</v>
      </c>
      <c r="EM36" s="57">
        <f t="shared" si="26"/>
        <v>1150</v>
      </c>
      <c r="EN36" s="60">
        <f>IF(FORECAST(EN$41,EI36:EM36,EI$41:EM$41)&lt;0,0,FORECAST(EN$41,EI36:EM36,EI$41:EM$41))</f>
        <v>2417.3274472827743</v>
      </c>
      <c r="EO36" s="60">
        <f t="shared" si="28"/>
        <v>1373.2664458392644</v>
      </c>
      <c r="EP36" s="60">
        <f t="shared" si="28"/>
        <v>999.2428332083141</v>
      </c>
      <c r="EQ36" s="60">
        <f t="shared" si="28"/>
        <v>740.97425910038305</v>
      </c>
      <c r="ER36" s="60">
        <f t="shared" si="28"/>
        <v>611.18375619232006</v>
      </c>
      <c r="ES36" s="60">
        <f t="shared" si="28"/>
        <v>201.95390049588696</v>
      </c>
      <c r="ET36" s="60">
        <f t="shared" si="28"/>
        <v>72.458740743466478</v>
      </c>
      <c r="EU36" s="60">
        <f t="shared" si="28"/>
        <v>0</v>
      </c>
      <c r="EV36" s="60">
        <f t="shared" si="28"/>
        <v>0</v>
      </c>
      <c r="EW36" s="60">
        <f t="shared" si="28"/>
        <v>0</v>
      </c>
      <c r="EX36" s="60">
        <f t="shared" si="28"/>
        <v>0</v>
      </c>
      <c r="EY36" s="60">
        <f t="shared" si="28"/>
        <v>0</v>
      </c>
      <c r="EZ36" s="60">
        <f t="shared" si="28"/>
        <v>0</v>
      </c>
      <c r="FA36" s="60">
        <f t="shared" si="28"/>
        <v>0</v>
      </c>
      <c r="FB36" s="60">
        <f t="shared" si="28"/>
        <v>0</v>
      </c>
      <c r="FC36" s="60">
        <f t="shared" si="28"/>
        <v>0</v>
      </c>
      <c r="FD36" s="60">
        <f t="shared" si="28"/>
        <v>0</v>
      </c>
      <c r="FE36" s="60">
        <f t="shared" si="28"/>
        <v>0</v>
      </c>
      <c r="FF36" s="60">
        <f t="shared" si="28"/>
        <v>0</v>
      </c>
      <c r="FG36" s="60">
        <f t="shared" si="28"/>
        <v>0</v>
      </c>
      <c r="FH36" s="60">
        <f t="shared" si="28"/>
        <v>0</v>
      </c>
      <c r="FI36" s="60">
        <f t="shared" si="28"/>
        <v>0</v>
      </c>
      <c r="FJ36" s="60">
        <f t="shared" si="28"/>
        <v>0</v>
      </c>
      <c r="FK36" s="60">
        <f t="shared" si="28"/>
        <v>0</v>
      </c>
      <c r="FL36" s="60">
        <f t="shared" si="28"/>
        <v>0</v>
      </c>
      <c r="FM36" s="60">
        <f t="shared" si="28"/>
        <v>0</v>
      </c>
      <c r="FN36" s="60">
        <f t="shared" si="28"/>
        <v>0</v>
      </c>
    </row>
    <row r="37" spans="1:171">
      <c r="A37" s="44" t="s">
        <v>153</v>
      </c>
      <c r="B37" s="57">
        <f>'[2]Canada Tallow Exports'!I$274</f>
        <v>0</v>
      </c>
      <c r="C37" s="57">
        <f>'[2]Canada Tallow Exports'!J$274</f>
        <v>8203</v>
      </c>
      <c r="D37" s="57">
        <f>'[2]Canada Tallow Exports'!K$274</f>
        <v>0</v>
      </c>
      <c r="E37" s="57">
        <f>'[2]Canada Tallow Exports'!L$274</f>
        <v>0</v>
      </c>
      <c r="F37" s="57">
        <f>'[2]Canada Tallow Exports'!M$274</f>
        <v>1206</v>
      </c>
      <c r="G37" s="57">
        <f>'[2]Canada Tallow Exports'!N$274</f>
        <v>2002</v>
      </c>
      <c r="H37" s="57">
        <f>'[2]Canada Tallow Exports'!O$274</f>
        <v>0</v>
      </c>
      <c r="I37" s="57">
        <f>'[2]Canada Tallow Exports'!P$274</f>
        <v>0</v>
      </c>
      <c r="J37" s="57">
        <f>'[2]Canada Tallow Exports'!Q$274</f>
        <v>0</v>
      </c>
      <c r="K37" s="57">
        <f>'[2]Canada Tallow Exports'!R$274</f>
        <v>0</v>
      </c>
      <c r="L37" s="57">
        <f>'[2]Canada Tallow Exports'!S$274</f>
        <v>0</v>
      </c>
      <c r="M37" s="57">
        <f>'[2]Canada Tallow Exports'!T$274</f>
        <v>0</v>
      </c>
      <c r="N37" s="57">
        <f>'[2]Canada Tallow Exports'!U$274</f>
        <v>0</v>
      </c>
      <c r="O37" s="57">
        <f>'[2]Canada Tallow Exports'!V$274</f>
        <v>0</v>
      </c>
      <c r="P37" s="57">
        <f>'[2]Canada Tallow Exports'!W$274</f>
        <v>0</v>
      </c>
      <c r="Q37" s="57">
        <f>'[2]Canada Tallow Exports'!X$274</f>
        <v>0</v>
      </c>
      <c r="R37" s="57">
        <f>'[2]Canada Tallow Exports'!Y$274</f>
        <v>0</v>
      </c>
      <c r="S37" s="57">
        <f>'[2]Canada Tallow Exports'!Z$274</f>
        <v>0</v>
      </c>
      <c r="T37" s="57">
        <f>'[2]Canada Tallow Exports'!AA$274</f>
        <v>0</v>
      </c>
      <c r="U37" s="57">
        <f>'[2]Canada Tallow Exports'!AB$274</f>
        <v>0</v>
      </c>
      <c r="V37" s="57">
        <f>'[2]Canada Tallow Exports'!AC$274</f>
        <v>0</v>
      </c>
      <c r="W37" s="57">
        <f>'[2]Canada Tallow Exports'!AD$274</f>
        <v>0</v>
      </c>
      <c r="X37" s="57">
        <f>'[2]Canada Tallow Exports'!AE$274</f>
        <v>0</v>
      </c>
      <c r="Y37" s="58">
        <f>'[2]Canada Tallow Exports'!AF$274</f>
        <v>0</v>
      </c>
      <c r="AE37" s="57">
        <f>'[2]Australia Tallow Exports'!N$274</f>
        <v>0</v>
      </c>
      <c r="AF37" s="57">
        <f>'[2]Australia Tallow Exports'!O$274</f>
        <v>0</v>
      </c>
      <c r="AG37" s="57">
        <f>'[2]Australia Tallow Exports'!P$274</f>
        <v>0</v>
      </c>
      <c r="AH37" s="57">
        <f>'[2]Australia Tallow Exports'!Q$274</f>
        <v>0</v>
      </c>
      <c r="AI37" s="57">
        <f>'[2]Australia Tallow Exports'!R$274</f>
        <v>0</v>
      </c>
      <c r="AJ37" s="57">
        <f>'[2]Australia Tallow Exports'!S$274</f>
        <v>0</v>
      </c>
      <c r="AK37" s="57">
        <f>'[2]Australia Tallow Exports'!T$274</f>
        <v>0</v>
      </c>
      <c r="AL37" s="57">
        <f>'[2]Australia Tallow Exports'!U$274</f>
        <v>0</v>
      </c>
      <c r="AM37" s="57">
        <f>'[2]Australia Tallow Exports'!V$274</f>
        <v>0</v>
      </c>
      <c r="AN37" s="57">
        <f>'[2]Australia Tallow Exports'!W$274</f>
        <v>0</v>
      </c>
      <c r="AO37" s="57">
        <f>'[2]Australia Tallow Exports'!X$274</f>
        <v>0</v>
      </c>
      <c r="AP37" s="57">
        <f>'[2]Australia Tallow Exports'!Y$274</f>
        <v>0</v>
      </c>
      <c r="AQ37" s="57">
        <f>'[2]Australia Tallow Exports'!Z$274</f>
        <v>0</v>
      </c>
      <c r="AR37" s="57">
        <f>'[2]Australia Tallow Exports'!AA$274</f>
        <v>0</v>
      </c>
      <c r="AS37" s="57">
        <f>'[2]Australia Tallow Exports'!AB$274</f>
        <v>0</v>
      </c>
      <c r="AT37" s="57">
        <f>'[2]Australia Tallow Exports'!AC$274</f>
        <v>0</v>
      </c>
      <c r="AU37" s="57">
        <f>'[2]Australia Tallow Exports'!AD$274</f>
        <v>0</v>
      </c>
      <c r="AV37" s="57">
        <f>'[2]Australia Tallow Exports'!AE$274</f>
        <v>0</v>
      </c>
      <c r="AW37" s="58">
        <f>'[2]Australia Tallow Exports'!AF$274</f>
        <v>0</v>
      </c>
      <c r="BC37" s="57">
        <f>'[2]New Zealand Tallow Exports'!N$274</f>
        <v>0</v>
      </c>
      <c r="BD37" s="57">
        <f>'[2]New Zealand Tallow Exports'!O$274</f>
        <v>0</v>
      </c>
      <c r="BE37" s="57">
        <f>'[2]New Zealand Tallow Exports'!P$274</f>
        <v>0</v>
      </c>
      <c r="BF37" s="57">
        <f>'[2]New Zealand Tallow Exports'!Q$274</f>
        <v>0</v>
      </c>
      <c r="BG37" s="57">
        <f>'[2]New Zealand Tallow Exports'!R$274</f>
        <v>0</v>
      </c>
      <c r="BH37" s="57">
        <f>'[2]New Zealand Tallow Exports'!S$274</f>
        <v>0</v>
      </c>
      <c r="BI37" s="57">
        <f>'[2]New Zealand Tallow Exports'!T$274</f>
        <v>0</v>
      </c>
      <c r="BJ37" s="57">
        <f>'[2]New Zealand Tallow Exports'!U$274</f>
        <v>0</v>
      </c>
      <c r="BK37" s="57">
        <f>'[2]New Zealand Tallow Exports'!V$274</f>
        <v>0</v>
      </c>
      <c r="BL37" s="57">
        <f>'[2]New Zealand Tallow Exports'!W$274</f>
        <v>0</v>
      </c>
      <c r="BM37" s="57">
        <f>'[2]New Zealand Tallow Exports'!X$274</f>
        <v>0</v>
      </c>
      <c r="BN37" s="57">
        <f>'[2]New Zealand Tallow Exports'!Y$274</f>
        <v>0</v>
      </c>
      <c r="BO37" s="57">
        <f>'[2]New Zealand Tallow Exports'!Z$274</f>
        <v>0</v>
      </c>
      <c r="BP37" s="57">
        <f>'[2]New Zealand Tallow Exports'!AA$274</f>
        <v>0</v>
      </c>
      <c r="BQ37" s="57">
        <f>'[2]New Zealand Tallow Exports'!AB$274</f>
        <v>0</v>
      </c>
      <c r="BR37" s="57">
        <f>'[2]New Zealand Tallow Exports'!AC$274</f>
        <v>0</v>
      </c>
      <c r="BS37" s="57">
        <f>'[2]New Zealand Tallow Exports'!AD$274</f>
        <v>0</v>
      </c>
      <c r="BT37" s="57">
        <f>'[2]New Zealand Tallow Exports'!AE$274</f>
        <v>0</v>
      </c>
      <c r="BU37" s="58">
        <f>'[2]New Zealand Tallow Exports'!AF$274</f>
        <v>0</v>
      </c>
      <c r="BX37" s="57">
        <f>'[2]Paraguay Tallow Exports'!K$274</f>
        <v>0</v>
      </c>
      <c r="BY37" s="57">
        <f>'[2]Paraguay Tallow Exports'!L$274</f>
        <v>0</v>
      </c>
      <c r="BZ37" s="57">
        <f>'[2]Paraguay Tallow Exports'!M$274</f>
        <v>0</v>
      </c>
      <c r="CA37" s="57">
        <f>'[2]Paraguay Tallow Exports'!N$274</f>
        <v>0</v>
      </c>
      <c r="CB37" s="57">
        <f>'[2]Paraguay Tallow Exports'!O$274</f>
        <v>0</v>
      </c>
      <c r="CC37" s="57">
        <f>'[2]Paraguay Tallow Exports'!P$274</f>
        <v>0</v>
      </c>
      <c r="CD37" s="57">
        <f>'[2]Paraguay Tallow Exports'!Q$274</f>
        <v>0</v>
      </c>
      <c r="CE37" s="57">
        <f>'[2]Paraguay Tallow Exports'!R$274</f>
        <v>0</v>
      </c>
      <c r="CF37" s="57">
        <f>'[2]Paraguay Tallow Exports'!S$274</f>
        <v>13</v>
      </c>
      <c r="CG37" s="57">
        <f>'[2]Paraguay Tallow Exports'!T$274</f>
        <v>0</v>
      </c>
      <c r="CH37" s="57">
        <f>'[2]Paraguay Tallow Exports'!U$274</f>
        <v>0</v>
      </c>
      <c r="CI37" s="57">
        <f>'[2]Paraguay Tallow Exports'!V$274</f>
        <v>0</v>
      </c>
      <c r="CJ37" s="57">
        <f>'[2]Paraguay Tallow Exports'!W$274</f>
        <v>0</v>
      </c>
      <c r="CK37" s="57">
        <f>'[2]Paraguay Tallow Exports'!X$274</f>
        <v>70</v>
      </c>
      <c r="CL37" s="57">
        <f>'[2]Paraguay Tallow Exports'!Y$274</f>
        <v>68</v>
      </c>
      <c r="CM37" s="57">
        <f>'[2]Paraguay Tallow Exports'!Z$274</f>
        <v>34</v>
      </c>
      <c r="CN37" s="57">
        <f>'[2]Paraguay Tallow Exports'!AA$274</f>
        <v>0</v>
      </c>
      <c r="CO37" s="57">
        <f>'[2]Paraguay Tallow Exports'!AB$274</f>
        <v>0</v>
      </c>
      <c r="CP37" s="57">
        <f>'[2]Paraguay Tallow Exports'!AC$274</f>
        <v>0</v>
      </c>
      <c r="CQ37" s="57">
        <f>'[2]Paraguay Tallow Exports'!AD$274</f>
        <v>0</v>
      </c>
      <c r="CR37" s="58">
        <f>FORECAST(CR$41,CM37:CQ37,CM$41:CQ$41)*0</f>
        <v>0</v>
      </c>
      <c r="DE37" s="57">
        <f>'[2]Brazil Tallow Exports'!U$274</f>
        <v>0</v>
      </c>
      <c r="DF37" s="57">
        <f>'[2]Brazil Tallow Exports'!V$274</f>
        <v>0</v>
      </c>
      <c r="DG37" s="57">
        <f>'[2]Brazil Tallow Exports'!W$274</f>
        <v>0</v>
      </c>
      <c r="DH37" s="57">
        <f>'[2]Brazil Tallow Exports'!X$274</f>
        <v>0</v>
      </c>
      <c r="DI37" s="57">
        <f>'[2]Brazil Tallow Exports'!Y$274</f>
        <v>0</v>
      </c>
      <c r="DJ37" s="57">
        <f>'[2]Brazil Tallow Exports'!Z$274</f>
        <v>0</v>
      </c>
      <c r="DK37" s="57">
        <f>'[2]Brazil Tallow Exports'!AA$274</f>
        <v>0</v>
      </c>
      <c r="DL37" s="57">
        <f>'[2]Brazil Tallow Exports'!AB$274</f>
        <v>0</v>
      </c>
      <c r="DM37" s="57">
        <f>'[2]Brazil Tallow Exports'!AC$274</f>
        <v>0</v>
      </c>
      <c r="DN37" s="57">
        <f>'[2]Brazil Tallow Exports'!AD$274</f>
        <v>0</v>
      </c>
      <c r="DO37" s="57">
        <f>'[2]Brazil Tallow Exports'!AE$274</f>
        <v>0</v>
      </c>
      <c r="DP37" s="58">
        <f>'[2]Brazil Tallow Exports'!AF$274</f>
        <v>0</v>
      </c>
      <c r="EB37" s="57">
        <f t="shared" si="26"/>
        <v>0</v>
      </c>
      <c r="EC37" s="57">
        <f t="shared" si="26"/>
        <v>0</v>
      </c>
      <c r="ED37" s="57">
        <f t="shared" si="26"/>
        <v>0</v>
      </c>
      <c r="EE37" s="57">
        <f t="shared" si="26"/>
        <v>70</v>
      </c>
      <c r="EF37" s="57">
        <f t="shared" si="26"/>
        <v>68</v>
      </c>
      <c r="EG37" s="57">
        <f t="shared" si="26"/>
        <v>34</v>
      </c>
      <c r="EH37" s="57">
        <f t="shared" si="26"/>
        <v>0</v>
      </c>
      <c r="EI37" s="57">
        <f t="shared" si="26"/>
        <v>0</v>
      </c>
      <c r="EJ37" s="57">
        <f t="shared" si="26"/>
        <v>0</v>
      </c>
      <c r="EK37" s="57">
        <f t="shared" si="26"/>
        <v>0</v>
      </c>
      <c r="EL37" s="57">
        <f t="shared" si="26"/>
        <v>0</v>
      </c>
      <c r="EM37" s="57">
        <f t="shared" si="26"/>
        <v>0</v>
      </c>
      <c r="EN37" s="60">
        <f t="shared" si="28"/>
        <v>0</v>
      </c>
      <c r="EO37" s="60">
        <f t="shared" si="28"/>
        <v>0</v>
      </c>
      <c r="EP37" s="60">
        <f t="shared" si="28"/>
        <v>0</v>
      </c>
      <c r="EQ37" s="60">
        <f t="shared" si="28"/>
        <v>0</v>
      </c>
      <c r="ER37" s="60">
        <f t="shared" si="28"/>
        <v>0</v>
      </c>
      <c r="ES37" s="60">
        <f t="shared" si="28"/>
        <v>0</v>
      </c>
      <c r="ET37" s="60">
        <f t="shared" si="28"/>
        <v>0</v>
      </c>
      <c r="EU37" s="60">
        <f t="shared" si="28"/>
        <v>0</v>
      </c>
      <c r="EV37" s="60">
        <f t="shared" si="28"/>
        <v>0</v>
      </c>
      <c r="EW37" s="60">
        <f t="shared" si="28"/>
        <v>0</v>
      </c>
      <c r="EX37" s="60">
        <f t="shared" si="28"/>
        <v>0</v>
      </c>
      <c r="EY37" s="60">
        <f t="shared" si="28"/>
        <v>0</v>
      </c>
      <c r="EZ37" s="60">
        <f t="shared" si="28"/>
        <v>0</v>
      </c>
      <c r="FA37" s="60">
        <f t="shared" si="28"/>
        <v>0</v>
      </c>
      <c r="FB37" s="60">
        <f t="shared" si="28"/>
        <v>0</v>
      </c>
      <c r="FC37" s="60">
        <f t="shared" si="28"/>
        <v>0</v>
      </c>
      <c r="FD37" s="60">
        <f t="shared" si="28"/>
        <v>0</v>
      </c>
      <c r="FE37" s="60">
        <f t="shared" si="28"/>
        <v>0</v>
      </c>
      <c r="FF37" s="60">
        <f t="shared" si="28"/>
        <v>0</v>
      </c>
      <c r="FG37" s="60">
        <f t="shared" si="28"/>
        <v>0</v>
      </c>
      <c r="FH37" s="60">
        <f t="shared" si="28"/>
        <v>0</v>
      </c>
      <c r="FI37" s="60">
        <f t="shared" si="28"/>
        <v>0</v>
      </c>
      <c r="FJ37" s="60">
        <f t="shared" si="28"/>
        <v>0</v>
      </c>
      <c r="FK37" s="60">
        <f t="shared" si="28"/>
        <v>0</v>
      </c>
      <c r="FL37" s="60">
        <f t="shared" si="28"/>
        <v>0</v>
      </c>
      <c r="FM37" s="60">
        <f t="shared" si="28"/>
        <v>0</v>
      </c>
      <c r="FN37" s="60">
        <f t="shared" si="28"/>
        <v>0</v>
      </c>
    </row>
    <row r="38" spans="1:171">
      <c r="A38" s="44" t="s">
        <v>154</v>
      </c>
      <c r="B38" s="57">
        <f>'[2]Canada Tallow Exports'!I$284</f>
        <v>42540</v>
      </c>
      <c r="C38" s="57">
        <f>'[2]Canada Tallow Exports'!J$284</f>
        <v>55054</v>
      </c>
      <c r="D38" s="57">
        <f>'[2]Canada Tallow Exports'!K$284</f>
        <v>39780</v>
      </c>
      <c r="E38" s="57">
        <f>'[2]Canada Tallow Exports'!L$284</f>
        <v>14723</v>
      </c>
      <c r="F38" s="57">
        <f>'[2]Canada Tallow Exports'!M$284</f>
        <v>26198</v>
      </c>
      <c r="G38" s="57">
        <f>'[2]Canada Tallow Exports'!N$284</f>
        <v>33215</v>
      </c>
      <c r="H38" s="57">
        <f>'[2]Canada Tallow Exports'!O$284</f>
        <v>29578</v>
      </c>
      <c r="I38" s="57">
        <f>'[2]Canada Tallow Exports'!P$284</f>
        <v>34230</v>
      </c>
      <c r="J38" s="57">
        <f>'[2]Canada Tallow Exports'!Q$284</f>
        <v>45149</v>
      </c>
      <c r="K38" s="57">
        <f>'[2]Canada Tallow Exports'!R$284</f>
        <v>31279</v>
      </c>
      <c r="L38" s="57">
        <f>'[2]Canada Tallow Exports'!S$284</f>
        <v>46106</v>
      </c>
      <c r="M38" s="57">
        <f>'[2]Canada Tallow Exports'!T$284</f>
        <v>49051</v>
      </c>
      <c r="N38" s="57">
        <f>'[2]Canada Tallow Exports'!U$284</f>
        <v>62460</v>
      </c>
      <c r="O38" s="57">
        <f>'[2]Canada Tallow Exports'!V$284</f>
        <v>59436</v>
      </c>
      <c r="P38" s="57">
        <f>'[2]Canada Tallow Exports'!W$284</f>
        <v>62592</v>
      </c>
      <c r="Q38" s="57">
        <f>'[2]Canada Tallow Exports'!X$284</f>
        <v>63898</v>
      </c>
      <c r="R38" s="57">
        <f>'[2]Canada Tallow Exports'!Y$284</f>
        <v>78150</v>
      </c>
      <c r="S38" s="57">
        <f>'[2]Canada Tallow Exports'!Z$284</f>
        <v>73782</v>
      </c>
      <c r="T38" s="57">
        <f>'[2]Canada Tallow Exports'!AA$284</f>
        <v>131632</v>
      </c>
      <c r="U38" s="57">
        <f>'[2]Canada Tallow Exports'!AB$284</f>
        <v>163182</v>
      </c>
      <c r="V38" s="57">
        <f>'[2]Canada Tallow Exports'!AC$284</f>
        <v>208747</v>
      </c>
      <c r="W38" s="57">
        <f>'[2]Canada Tallow Exports'!AD$284</f>
        <v>197574</v>
      </c>
      <c r="X38" s="57">
        <f>'[2]Canada Tallow Exports'!AE$284</f>
        <v>242378</v>
      </c>
      <c r="Y38" s="58">
        <f>'[2]Canada Tallow Exports'!AF$284</f>
        <v>248850</v>
      </c>
      <c r="AE38" s="57">
        <f>'[2]Australia Tallow Exports'!N$284</f>
        <v>111</v>
      </c>
      <c r="AF38" s="57">
        <f>'[2]Australia Tallow Exports'!O$284</f>
        <v>0</v>
      </c>
      <c r="AG38" s="57">
        <f>'[2]Australia Tallow Exports'!P$284</f>
        <v>1</v>
      </c>
      <c r="AH38" s="57">
        <f>'[2]Australia Tallow Exports'!Q$284</f>
        <v>9</v>
      </c>
      <c r="AI38" s="57">
        <f>'[2]Australia Tallow Exports'!R$284</f>
        <v>0</v>
      </c>
      <c r="AJ38" s="57">
        <f>'[2]Australia Tallow Exports'!S$284</f>
        <v>28</v>
      </c>
      <c r="AK38" s="57">
        <f>'[2]Australia Tallow Exports'!T$284</f>
        <v>29</v>
      </c>
      <c r="AL38" s="57">
        <f>'[2]Australia Tallow Exports'!U$284</f>
        <v>0</v>
      </c>
      <c r="AM38" s="57">
        <f>'[2]Australia Tallow Exports'!V$284</f>
        <v>0</v>
      </c>
      <c r="AN38" s="57">
        <f>'[2]Australia Tallow Exports'!W$284</f>
        <v>0</v>
      </c>
      <c r="AO38" s="57">
        <f>'[2]Australia Tallow Exports'!X$284</f>
        <v>19</v>
      </c>
      <c r="AP38" s="57">
        <f>'[2]Australia Tallow Exports'!Y$284</f>
        <v>504</v>
      </c>
      <c r="AQ38" s="57">
        <f>'[2]Australia Tallow Exports'!Z$284</f>
        <v>22624</v>
      </c>
      <c r="AR38" s="57">
        <f>'[2]Australia Tallow Exports'!AA$284</f>
        <v>10574</v>
      </c>
      <c r="AS38" s="57">
        <f>'[2]Australia Tallow Exports'!AB$284</f>
        <v>29277</v>
      </c>
      <c r="AT38" s="57">
        <f>'[2]Australia Tallow Exports'!AC$284</f>
        <v>24673</v>
      </c>
      <c r="AU38" s="57">
        <f>'[2]Australia Tallow Exports'!AD$284</f>
        <v>101527</v>
      </c>
      <c r="AV38" s="57">
        <f>'[2]Australia Tallow Exports'!AE$284</f>
        <v>230370</v>
      </c>
      <c r="AW38" s="58">
        <f>'[2]Australia Tallow Exports'!AF$284</f>
        <v>195197.39810637844</v>
      </c>
      <c r="AX38" s="60"/>
      <c r="AY38" s="60"/>
      <c r="AZ38" s="60"/>
      <c r="BA38" s="60"/>
      <c r="BB38" s="60"/>
      <c r="BC38" s="57">
        <f>'[2]New Zealand Tallow Exports'!N$284</f>
        <v>0</v>
      </c>
      <c r="BD38" s="57">
        <f>'[2]New Zealand Tallow Exports'!O$284</f>
        <v>0</v>
      </c>
      <c r="BE38" s="57">
        <f>'[2]New Zealand Tallow Exports'!P$284</f>
        <v>0</v>
      </c>
      <c r="BF38" s="57">
        <f>'[2]New Zealand Tallow Exports'!Q$284</f>
        <v>0</v>
      </c>
      <c r="BG38" s="57">
        <f>'[2]New Zealand Tallow Exports'!R$284</f>
        <v>14</v>
      </c>
      <c r="BH38" s="57">
        <f>'[2]New Zealand Tallow Exports'!S$284</f>
        <v>0</v>
      </c>
      <c r="BI38" s="57">
        <f>'[2]New Zealand Tallow Exports'!T$284</f>
        <v>15</v>
      </c>
      <c r="BJ38" s="57">
        <f>'[2]New Zealand Tallow Exports'!U$284</f>
        <v>0</v>
      </c>
      <c r="BK38" s="57">
        <f>'[2]New Zealand Tallow Exports'!V$284</f>
        <v>0</v>
      </c>
      <c r="BL38" s="57">
        <f>'[2]New Zealand Tallow Exports'!W$284</f>
        <v>0</v>
      </c>
      <c r="BM38" s="57">
        <f>'[2]New Zealand Tallow Exports'!X$284</f>
        <v>1</v>
      </c>
      <c r="BN38" s="57">
        <f>'[2]New Zealand Tallow Exports'!Y$284</f>
        <v>0</v>
      </c>
      <c r="BO38" s="57">
        <f>'[2]New Zealand Tallow Exports'!Z$284</f>
        <v>0</v>
      </c>
      <c r="BP38" s="57">
        <f>'[2]New Zealand Tallow Exports'!AA$284</f>
        <v>7</v>
      </c>
      <c r="BQ38" s="57">
        <f>'[2]New Zealand Tallow Exports'!AB$284</f>
        <v>11</v>
      </c>
      <c r="BR38" s="57">
        <f>'[2]New Zealand Tallow Exports'!AC$284</f>
        <v>7</v>
      </c>
      <c r="BS38" s="57">
        <f>'[2]New Zealand Tallow Exports'!AD$284</f>
        <v>48969</v>
      </c>
      <c r="BT38" s="57">
        <f>'[2]New Zealand Tallow Exports'!AE$284</f>
        <v>85571</v>
      </c>
      <c r="BU38" s="58">
        <f>'[2]New Zealand Tallow Exports'!AF$284</f>
        <v>117887.7984397634</v>
      </c>
      <c r="BX38" s="57">
        <f>'[2]Paraguay Tallow Exports'!K$284</f>
        <v>0</v>
      </c>
      <c r="BY38" s="57">
        <f>'[2]Paraguay Tallow Exports'!L$284</f>
        <v>0</v>
      </c>
      <c r="BZ38" s="57">
        <f>'[2]Paraguay Tallow Exports'!M$284</f>
        <v>0</v>
      </c>
      <c r="CA38" s="57">
        <f>'[2]Paraguay Tallow Exports'!N$284</f>
        <v>0</v>
      </c>
      <c r="CB38" s="57">
        <f>'[2]Paraguay Tallow Exports'!O$284</f>
        <v>0</v>
      </c>
      <c r="CC38" s="57">
        <f>'[2]Paraguay Tallow Exports'!P$284</f>
        <v>0</v>
      </c>
      <c r="CD38" s="57">
        <f>'[2]Paraguay Tallow Exports'!Q$284</f>
        <v>0</v>
      </c>
      <c r="CE38" s="57">
        <f>'[2]Paraguay Tallow Exports'!R$284</f>
        <v>0</v>
      </c>
      <c r="CF38" s="57">
        <f>'[2]Paraguay Tallow Exports'!S$284</f>
        <v>0</v>
      </c>
      <c r="CG38" s="57">
        <f>'[2]Paraguay Tallow Exports'!T$284</f>
        <v>0</v>
      </c>
      <c r="CH38" s="57">
        <f>'[2]Paraguay Tallow Exports'!U$284</f>
        <v>0</v>
      </c>
      <c r="CI38" s="57">
        <f>'[2]Paraguay Tallow Exports'!V$284</f>
        <v>0</v>
      </c>
      <c r="CJ38" s="57">
        <f>'[2]Paraguay Tallow Exports'!W$284</f>
        <v>0</v>
      </c>
      <c r="CK38" s="57">
        <f>'[2]Paraguay Tallow Exports'!X$284</f>
        <v>0</v>
      </c>
      <c r="CL38" s="57">
        <f>'[2]Paraguay Tallow Exports'!Y$284</f>
        <v>0</v>
      </c>
      <c r="CM38" s="57">
        <f>'[2]Paraguay Tallow Exports'!Z$284</f>
        <v>0</v>
      </c>
      <c r="CN38" s="57">
        <f>'[2]Paraguay Tallow Exports'!AA$284</f>
        <v>0</v>
      </c>
      <c r="CO38" s="57">
        <f>'[2]Paraguay Tallow Exports'!AB$284</f>
        <v>0</v>
      </c>
      <c r="CP38" s="57">
        <f>'[2]Paraguay Tallow Exports'!AC$284</f>
        <v>0</v>
      </c>
      <c r="CQ38" s="57">
        <f>'[2]Paraguay Tallow Exports'!AD$284</f>
        <v>0</v>
      </c>
      <c r="CR38" s="58">
        <f t="shared" si="4"/>
        <v>0</v>
      </c>
      <c r="DE38" s="57">
        <f>'[2]Brazil Tallow Exports'!U$284</f>
        <v>0</v>
      </c>
      <c r="DF38" s="57">
        <f>'[2]Brazil Tallow Exports'!V$284</f>
        <v>0</v>
      </c>
      <c r="DG38" s="57">
        <f>'[2]Brazil Tallow Exports'!W$284</f>
        <v>0</v>
      </c>
      <c r="DH38" s="57">
        <f>'[2]Brazil Tallow Exports'!X$284</f>
        <v>0</v>
      </c>
      <c r="DI38" s="57">
        <f>'[2]Brazil Tallow Exports'!Y$284</f>
        <v>0</v>
      </c>
      <c r="DJ38" s="57">
        <f>'[2]Brazil Tallow Exports'!Z$284</f>
        <v>0</v>
      </c>
      <c r="DK38" s="57">
        <f>'[2]Brazil Tallow Exports'!AA$284</f>
        <v>42</v>
      </c>
      <c r="DL38" s="57">
        <f>'[2]Brazil Tallow Exports'!AB$284</f>
        <v>0</v>
      </c>
      <c r="DM38" s="57">
        <f>'[2]Brazil Tallow Exports'!AC$284</f>
        <v>0</v>
      </c>
      <c r="DN38" s="57">
        <f>'[2]Brazil Tallow Exports'!AD$284</f>
        <v>21514.698</v>
      </c>
      <c r="DO38" s="57">
        <f>'[2]Brazil Tallow Exports'!AE$284</f>
        <v>138459.329</v>
      </c>
      <c r="DP38" s="58">
        <f>'[2]Brazil Tallow Exports'!AF$284</f>
        <v>481928.97399999999</v>
      </c>
      <c r="EB38" s="57">
        <f t="shared" si="26"/>
        <v>62460</v>
      </c>
      <c r="EC38" s="57">
        <f t="shared" si="26"/>
        <v>59436</v>
      </c>
      <c r="ED38" s="57">
        <f t="shared" si="26"/>
        <v>62592</v>
      </c>
      <c r="EE38" s="57">
        <f t="shared" si="26"/>
        <v>63918</v>
      </c>
      <c r="EF38" s="57">
        <f t="shared" si="26"/>
        <v>78654</v>
      </c>
      <c r="EG38" s="57">
        <f t="shared" si="26"/>
        <v>96406</v>
      </c>
      <c r="EH38" s="57">
        <f t="shared" si="26"/>
        <v>142255</v>
      </c>
      <c r="EI38" s="57">
        <f t="shared" si="26"/>
        <v>192470</v>
      </c>
      <c r="EJ38" s="57">
        <f t="shared" si="26"/>
        <v>233427</v>
      </c>
      <c r="EK38" s="57">
        <f t="shared" si="26"/>
        <v>369584.69799999997</v>
      </c>
      <c r="EL38" s="57">
        <f>X38+AV38+CR38+DO38+BT38</f>
        <v>696778.32900000003</v>
      </c>
      <c r="EM38" s="57">
        <f t="shared" si="26"/>
        <v>1043864.1705461418</v>
      </c>
      <c r="EN38" s="60">
        <f t="shared" ref="EN38:FD38" si="29">EN41-SUM(EN39:EN40,EN4:EN37)</f>
        <v>1432199.2341348636</v>
      </c>
      <c r="EO38" s="60">
        <f t="shared" si="29"/>
        <v>1662659.7664211707</v>
      </c>
      <c r="EP38" s="60">
        <f t="shared" si="29"/>
        <v>1724102.5616814038</v>
      </c>
      <c r="EQ38" s="60">
        <f t="shared" si="29"/>
        <v>1740670.7362488965</v>
      </c>
      <c r="ER38" s="60">
        <f t="shared" si="29"/>
        <v>1782334.9818745968</v>
      </c>
      <c r="ES38" s="60">
        <f t="shared" si="29"/>
        <v>1824745.1047767047</v>
      </c>
      <c r="ET38" s="60">
        <f t="shared" si="29"/>
        <v>1837422.6080532628</v>
      </c>
      <c r="EU38" s="60">
        <f t="shared" si="29"/>
        <v>1903925.9288062234</v>
      </c>
      <c r="EV38" s="60">
        <f t="shared" si="29"/>
        <v>1971256.3078158582</v>
      </c>
      <c r="EW38" s="60">
        <f t="shared" si="29"/>
        <v>2025085.6339779901</v>
      </c>
      <c r="EX38" s="60">
        <f t="shared" si="29"/>
        <v>2069122.1510114535</v>
      </c>
      <c r="EY38" s="60">
        <f t="shared" si="29"/>
        <v>2116572.2781470064</v>
      </c>
      <c r="EZ38" s="60">
        <f t="shared" si="29"/>
        <v>2171925.1179399043</v>
      </c>
      <c r="FA38" s="60">
        <f t="shared" si="29"/>
        <v>2231408.6535792057</v>
      </c>
      <c r="FB38" s="60">
        <f t="shared" si="29"/>
        <v>2288759.2673683492</v>
      </c>
      <c r="FC38" s="60">
        <f t="shared" si="29"/>
        <v>2353437.4250807227</v>
      </c>
      <c r="FD38" s="60">
        <f t="shared" si="29"/>
        <v>2460293.9649863909</v>
      </c>
      <c r="FE38" s="60">
        <f>FE41-SUM(FE39:FE40,FE4:FE37)</f>
        <v>2484993.9753812319</v>
      </c>
      <c r="FF38" s="60">
        <f t="shared" ref="FF38:FO38" si="30">FF41-SUM(FF39:FF40,FF4:FF37)</f>
        <v>1706699.8491257427</v>
      </c>
      <c r="FG38" s="60">
        <f t="shared" si="30"/>
        <v>1772817.1868179878</v>
      </c>
      <c r="FH38" s="60">
        <f t="shared" si="30"/>
        <v>1792135.7195383185</v>
      </c>
      <c r="FI38" s="60">
        <f t="shared" si="30"/>
        <v>1805078.6939723869</v>
      </c>
      <c r="FJ38" s="60">
        <f t="shared" si="30"/>
        <v>1813944.6827369747</v>
      </c>
      <c r="FK38" s="60">
        <f t="shared" si="30"/>
        <v>1832314.2491100372</v>
      </c>
      <c r="FL38" s="60">
        <f t="shared" si="30"/>
        <v>1840413.1662256047</v>
      </c>
      <c r="FM38" s="60">
        <f t="shared" si="30"/>
        <v>1848712.4333448713</v>
      </c>
      <c r="FN38" s="60">
        <f t="shared" si="30"/>
        <v>1867658.7502195761</v>
      </c>
      <c r="FO38" s="60">
        <f t="shared" si="30"/>
        <v>659930.46967073902</v>
      </c>
    </row>
    <row r="39" spans="1:171">
      <c r="A39" s="44" t="s">
        <v>155</v>
      </c>
      <c r="B39" s="57">
        <f>'[2]Canada Tallow Exports'!I$286</f>
        <v>0</v>
      </c>
      <c r="C39" s="57">
        <f>'[2]Canada Tallow Exports'!J$286</f>
        <v>0</v>
      </c>
      <c r="D39" s="57">
        <f>'[2]Canada Tallow Exports'!K$286</f>
        <v>0</v>
      </c>
      <c r="E39" s="57">
        <f>'[2]Canada Tallow Exports'!L$286</f>
        <v>0</v>
      </c>
      <c r="F39" s="57">
        <f>'[2]Canada Tallow Exports'!M$286</f>
        <v>0</v>
      </c>
      <c r="G39" s="57">
        <f>'[2]Canada Tallow Exports'!N$286</f>
        <v>0</v>
      </c>
      <c r="H39" s="57">
        <f>'[2]Canada Tallow Exports'!O$286</f>
        <v>0</v>
      </c>
      <c r="I39" s="57">
        <f>'[2]Canada Tallow Exports'!P$286</f>
        <v>0</v>
      </c>
      <c r="J39" s="57">
        <f>'[2]Canada Tallow Exports'!Q$286</f>
        <v>0</v>
      </c>
      <c r="K39" s="57">
        <f>'[2]Canada Tallow Exports'!R$286</f>
        <v>0</v>
      </c>
      <c r="L39" s="57">
        <f>'[2]Canada Tallow Exports'!S$286</f>
        <v>0</v>
      </c>
      <c r="M39" s="57">
        <f>'[2]Canada Tallow Exports'!T$286</f>
        <v>0</v>
      </c>
      <c r="N39" s="57">
        <f>'[2]Canada Tallow Exports'!U$286</f>
        <v>0</v>
      </c>
      <c r="O39" s="57">
        <f>'[2]Canada Tallow Exports'!V$286</f>
        <v>0</v>
      </c>
      <c r="P39" s="57">
        <f>'[2]Canada Tallow Exports'!W$286</f>
        <v>0</v>
      </c>
      <c r="Q39" s="57">
        <f>'[2]Canada Tallow Exports'!X$286</f>
        <v>0</v>
      </c>
      <c r="R39" s="57">
        <f>'[2]Canada Tallow Exports'!Y$286</f>
        <v>0</v>
      </c>
      <c r="S39" s="57">
        <f>'[2]Canada Tallow Exports'!Z$286</f>
        <v>0</v>
      </c>
      <c r="T39" s="57">
        <f>'[2]Canada Tallow Exports'!AA$286</f>
        <v>0</v>
      </c>
      <c r="U39" s="57">
        <f>'[2]Canada Tallow Exports'!AB$286</f>
        <v>0</v>
      </c>
      <c r="V39" s="57">
        <f>'[2]Canada Tallow Exports'!AC$286</f>
        <v>0</v>
      </c>
      <c r="W39" s="57">
        <f>'[2]Canada Tallow Exports'!AD$286</f>
        <v>0</v>
      </c>
      <c r="X39" s="57">
        <f>'[2]Canada Tallow Exports'!AE$286</f>
        <v>0</v>
      </c>
      <c r="Y39" s="58">
        <f>'[2]Canada Tallow Exports'!AF$286</f>
        <v>0</v>
      </c>
      <c r="AE39" s="57">
        <f>'[2]Australia Tallow Exports'!N$286</f>
        <v>0</v>
      </c>
      <c r="AF39" s="57">
        <f>'[2]Australia Tallow Exports'!O$286</f>
        <v>0</v>
      </c>
      <c r="AG39" s="57">
        <f>'[2]Australia Tallow Exports'!P$286</f>
        <v>0</v>
      </c>
      <c r="AH39" s="57">
        <f>'[2]Australia Tallow Exports'!Q$286</f>
        <v>0</v>
      </c>
      <c r="AI39" s="57">
        <f>'[2]Australia Tallow Exports'!R$286</f>
        <v>0</v>
      </c>
      <c r="AJ39" s="57">
        <f>'[2]Australia Tallow Exports'!S$286</f>
        <v>0</v>
      </c>
      <c r="AK39" s="57">
        <f>'[2]Australia Tallow Exports'!T$286</f>
        <v>0</v>
      </c>
      <c r="AL39" s="57">
        <f>'[2]Australia Tallow Exports'!U$286</f>
        <v>0</v>
      </c>
      <c r="AM39" s="57">
        <f>'[2]Australia Tallow Exports'!V$286</f>
        <v>0</v>
      </c>
      <c r="AN39" s="57">
        <f>'[2]Australia Tallow Exports'!W$286</f>
        <v>0</v>
      </c>
      <c r="AO39" s="57">
        <f>'[2]Australia Tallow Exports'!X$286</f>
        <v>0</v>
      </c>
      <c r="AP39" s="57">
        <f>'[2]Australia Tallow Exports'!Y$286</f>
        <v>0</v>
      </c>
      <c r="AQ39" s="57">
        <f>'[2]Australia Tallow Exports'!Z$286</f>
        <v>0</v>
      </c>
      <c r="AR39" s="57">
        <f>'[2]Australia Tallow Exports'!AA$286</f>
        <v>0</v>
      </c>
      <c r="AS39" s="57">
        <f>'[2]Australia Tallow Exports'!AB$286</f>
        <v>0</v>
      </c>
      <c r="AT39" s="57">
        <f>'[2]Australia Tallow Exports'!AC$286</f>
        <v>0</v>
      </c>
      <c r="AU39" s="57">
        <f>'[2]Australia Tallow Exports'!AD$286</f>
        <v>0</v>
      </c>
      <c r="AV39" s="57">
        <f>'[2]Australia Tallow Exports'!AE$286</f>
        <v>0</v>
      </c>
      <c r="AW39" s="58">
        <f>'[2]Australia Tallow Exports'!AF$286</f>
        <v>0</v>
      </c>
      <c r="BC39" s="57">
        <f>'[2]New Zealand Tallow Exports'!N$286</f>
        <v>0</v>
      </c>
      <c r="BD39" s="57">
        <f>'[2]New Zealand Tallow Exports'!O$286</f>
        <v>0</v>
      </c>
      <c r="BE39" s="57">
        <f>'[2]New Zealand Tallow Exports'!P$286</f>
        <v>0</v>
      </c>
      <c r="BF39" s="57">
        <f>'[2]New Zealand Tallow Exports'!Q$286</f>
        <v>0</v>
      </c>
      <c r="BG39" s="57">
        <f>'[2]New Zealand Tallow Exports'!R$286</f>
        <v>0</v>
      </c>
      <c r="BH39" s="57">
        <f>'[2]New Zealand Tallow Exports'!S$286</f>
        <v>0</v>
      </c>
      <c r="BI39" s="57">
        <f>'[2]New Zealand Tallow Exports'!T$286</f>
        <v>0</v>
      </c>
      <c r="BJ39" s="57">
        <f>'[2]New Zealand Tallow Exports'!U$286</f>
        <v>0</v>
      </c>
      <c r="BK39" s="57">
        <f>'[2]New Zealand Tallow Exports'!V$286</f>
        <v>0</v>
      </c>
      <c r="BL39" s="57">
        <f>'[2]New Zealand Tallow Exports'!W$286</f>
        <v>0</v>
      </c>
      <c r="BM39" s="57">
        <f>'[2]New Zealand Tallow Exports'!X$286</f>
        <v>0</v>
      </c>
      <c r="BN39" s="57">
        <f>'[2]New Zealand Tallow Exports'!Y$286</f>
        <v>0</v>
      </c>
      <c r="BO39" s="57">
        <f>'[2]New Zealand Tallow Exports'!Z$286</f>
        <v>0</v>
      </c>
      <c r="BP39" s="57">
        <f>'[2]New Zealand Tallow Exports'!AA$286</f>
        <v>0</v>
      </c>
      <c r="BQ39" s="57">
        <f>'[2]New Zealand Tallow Exports'!AB$286</f>
        <v>0</v>
      </c>
      <c r="BR39" s="57">
        <f>'[2]New Zealand Tallow Exports'!AC$286</f>
        <v>0</v>
      </c>
      <c r="BS39" s="57">
        <f>'[2]New Zealand Tallow Exports'!AD$286</f>
        <v>0</v>
      </c>
      <c r="BT39" s="57">
        <f>'[2]New Zealand Tallow Exports'!AE$286</f>
        <v>0</v>
      </c>
      <c r="BU39" s="58">
        <f>'[2]New Zealand Tallow Exports'!AF$286</f>
        <v>0</v>
      </c>
      <c r="BX39" s="57">
        <f>'[2]Paraguay Tallow Exports'!K$286</f>
        <v>0</v>
      </c>
      <c r="BY39" s="57">
        <f>'[2]Paraguay Tallow Exports'!L$286</f>
        <v>0</v>
      </c>
      <c r="BZ39" s="57">
        <f>'[2]Paraguay Tallow Exports'!M$286</f>
        <v>0</v>
      </c>
      <c r="CA39" s="57">
        <f>'[2]Paraguay Tallow Exports'!N$286</f>
        <v>0</v>
      </c>
      <c r="CB39" s="57">
        <f>'[2]Paraguay Tallow Exports'!O$286</f>
        <v>0</v>
      </c>
      <c r="CC39" s="57">
        <f>'[2]Paraguay Tallow Exports'!P$286</f>
        <v>0</v>
      </c>
      <c r="CD39" s="57">
        <f>'[2]Paraguay Tallow Exports'!Q$286</f>
        <v>0</v>
      </c>
      <c r="CE39" s="57">
        <f>'[2]Paraguay Tallow Exports'!R$286</f>
        <v>0</v>
      </c>
      <c r="CF39" s="57">
        <f>'[2]Paraguay Tallow Exports'!S$286</f>
        <v>0</v>
      </c>
      <c r="CG39" s="57">
        <f>'[2]Paraguay Tallow Exports'!T$286</f>
        <v>0</v>
      </c>
      <c r="CH39" s="57">
        <f>'[2]Paraguay Tallow Exports'!U$286</f>
        <v>0</v>
      </c>
      <c r="CI39" s="57">
        <f>'[2]Paraguay Tallow Exports'!V$286</f>
        <v>0</v>
      </c>
      <c r="CJ39" s="57">
        <f>'[2]Paraguay Tallow Exports'!W$286</f>
        <v>0</v>
      </c>
      <c r="CK39" s="57">
        <f>'[2]Paraguay Tallow Exports'!X$286</f>
        <v>0</v>
      </c>
      <c r="CL39" s="57">
        <f>'[2]Paraguay Tallow Exports'!Y$286</f>
        <v>0</v>
      </c>
      <c r="CM39" s="57">
        <f>'[2]Paraguay Tallow Exports'!Z$286</f>
        <v>0</v>
      </c>
      <c r="CN39" s="57">
        <f>'[2]Paraguay Tallow Exports'!AA$286</f>
        <v>0</v>
      </c>
      <c r="CO39" s="57">
        <f>'[2]Paraguay Tallow Exports'!AB$286</f>
        <v>0</v>
      </c>
      <c r="CP39" s="57">
        <f>'[2]Paraguay Tallow Exports'!AC$286</f>
        <v>0</v>
      </c>
      <c r="CQ39" s="57">
        <f>'[2]Paraguay Tallow Exports'!AD$286</f>
        <v>0</v>
      </c>
      <c r="CR39" s="58">
        <f t="shared" si="4"/>
        <v>0</v>
      </c>
      <c r="DE39" s="57">
        <f>'[2]Brazil Tallow Exports'!U$286</f>
        <v>0</v>
      </c>
      <c r="DF39" s="57">
        <f>'[2]Brazil Tallow Exports'!V$286</f>
        <v>0</v>
      </c>
      <c r="DG39" s="57">
        <f>'[2]Brazil Tallow Exports'!W$286</f>
        <v>0</v>
      </c>
      <c r="DH39" s="57">
        <f>'[2]Brazil Tallow Exports'!X$286</f>
        <v>0</v>
      </c>
      <c r="DI39" s="57">
        <f>'[2]Brazil Tallow Exports'!Y$286</f>
        <v>0</v>
      </c>
      <c r="DJ39" s="57">
        <f>'[2]Brazil Tallow Exports'!Z$286</f>
        <v>0</v>
      </c>
      <c r="DK39" s="57">
        <f>'[2]Brazil Tallow Exports'!AA$286</f>
        <v>0</v>
      </c>
      <c r="DL39" s="57">
        <f>'[2]Brazil Tallow Exports'!AB$286</f>
        <v>0</v>
      </c>
      <c r="DM39" s="57">
        <f>'[2]Brazil Tallow Exports'!AC$286</f>
        <v>0</v>
      </c>
      <c r="DN39" s="57">
        <f>'[2]Brazil Tallow Exports'!AD$286</f>
        <v>0</v>
      </c>
      <c r="DO39" s="57">
        <f>'[2]Brazil Tallow Exports'!AE$286</f>
        <v>0</v>
      </c>
      <c r="DP39" s="58">
        <f>'[2]Brazil Tallow Exports'!AF$286</f>
        <v>0</v>
      </c>
      <c r="EB39" s="57">
        <f t="shared" si="26"/>
        <v>0</v>
      </c>
      <c r="EC39" s="57">
        <f t="shared" si="26"/>
        <v>0</v>
      </c>
      <c r="ED39" s="57">
        <f t="shared" si="26"/>
        <v>0</v>
      </c>
      <c r="EE39" s="57">
        <f t="shared" si="26"/>
        <v>0</v>
      </c>
      <c r="EF39" s="57">
        <f t="shared" si="26"/>
        <v>0</v>
      </c>
      <c r="EG39" s="57">
        <f t="shared" si="26"/>
        <v>0</v>
      </c>
      <c r="EH39" s="57">
        <f t="shared" si="26"/>
        <v>0</v>
      </c>
      <c r="EI39" s="57">
        <f t="shared" si="26"/>
        <v>0</v>
      </c>
      <c r="EJ39" s="57">
        <f t="shared" si="26"/>
        <v>0</v>
      </c>
      <c r="EK39" s="57">
        <f t="shared" si="26"/>
        <v>0</v>
      </c>
      <c r="EL39" s="57">
        <f t="shared" si="26"/>
        <v>0</v>
      </c>
      <c r="EM39" s="57">
        <f t="shared" si="26"/>
        <v>0</v>
      </c>
      <c r="EN39" s="60">
        <f t="shared" si="24"/>
        <v>0</v>
      </c>
      <c r="EO39" s="60">
        <f t="shared" si="24"/>
        <v>0</v>
      </c>
      <c r="EP39" s="60">
        <f t="shared" si="24"/>
        <v>0</v>
      </c>
      <c r="EQ39" s="60">
        <f t="shared" si="24"/>
        <v>0</v>
      </c>
      <c r="ER39" s="60">
        <f t="shared" si="24"/>
        <v>0</v>
      </c>
      <c r="ES39" s="60">
        <f t="shared" si="24"/>
        <v>0</v>
      </c>
      <c r="ET39" s="60">
        <f t="shared" si="24"/>
        <v>0</v>
      </c>
      <c r="EU39" s="60">
        <f t="shared" si="24"/>
        <v>0</v>
      </c>
      <c r="EV39" s="60">
        <f t="shared" si="24"/>
        <v>0</v>
      </c>
      <c r="EW39" s="60">
        <f t="shared" si="24"/>
        <v>0</v>
      </c>
      <c r="EX39" s="60">
        <f t="shared" si="24"/>
        <v>0</v>
      </c>
      <c r="EY39" s="60">
        <f t="shared" si="24"/>
        <v>0</v>
      </c>
      <c r="EZ39" s="60">
        <f t="shared" si="24"/>
        <v>0</v>
      </c>
      <c r="FA39" s="60">
        <f t="shared" si="24"/>
        <v>0</v>
      </c>
      <c r="FB39" s="60">
        <f t="shared" si="24"/>
        <v>0</v>
      </c>
      <c r="FC39" s="60">
        <f t="shared" si="24"/>
        <v>0</v>
      </c>
      <c r="FD39" s="60">
        <f t="shared" si="25"/>
        <v>0</v>
      </c>
      <c r="FE39" s="60">
        <f t="shared" si="25"/>
        <v>0</v>
      </c>
      <c r="FF39" s="60">
        <f t="shared" si="25"/>
        <v>0</v>
      </c>
      <c r="FG39" s="60">
        <f t="shared" si="25"/>
        <v>0</v>
      </c>
      <c r="FH39" s="60">
        <f t="shared" si="25"/>
        <v>0</v>
      </c>
      <c r="FI39" s="60">
        <f t="shared" si="25"/>
        <v>0</v>
      </c>
      <c r="FJ39" s="60">
        <f t="shared" si="25"/>
        <v>0</v>
      </c>
      <c r="FK39" s="60">
        <f t="shared" si="25"/>
        <v>0</v>
      </c>
      <c r="FL39" s="60">
        <f t="shared" si="25"/>
        <v>0</v>
      </c>
      <c r="FM39" s="60">
        <f t="shared" si="25"/>
        <v>0</v>
      </c>
      <c r="FN39" s="60">
        <f t="shared" si="25"/>
        <v>0</v>
      </c>
    </row>
    <row r="40" spans="1:171">
      <c r="A40" s="44" t="s">
        <v>156</v>
      </c>
      <c r="B40" s="57">
        <f>'[2]Canada Tallow Exports'!I$231-SUM(B29:B39)</f>
        <v>9022</v>
      </c>
      <c r="C40" s="57">
        <f>'[2]Canada Tallow Exports'!J$231-SUM(C29:C39)</f>
        <v>21756</v>
      </c>
      <c r="D40" s="57">
        <f>'[2]Canada Tallow Exports'!K$231-SUM(D29:D39)</f>
        <v>7371</v>
      </c>
      <c r="E40" s="57">
        <f>'[2]Canada Tallow Exports'!L$231-SUM(E29:E39)</f>
        <v>13147</v>
      </c>
      <c r="F40" s="57">
        <f>'[2]Canada Tallow Exports'!M$231-SUM(F29:F39)</f>
        <v>58197</v>
      </c>
      <c r="G40" s="57">
        <f>'[2]Canada Tallow Exports'!N$231-SUM(G29:G39)</f>
        <v>30937</v>
      </c>
      <c r="H40" s="57">
        <f>'[2]Canada Tallow Exports'!O$231-SUM(H29:H39)</f>
        <v>10325</v>
      </c>
      <c r="I40" s="57">
        <f>'[2]Canada Tallow Exports'!P$231-SUM(I29:I39)</f>
        <v>8897</v>
      </c>
      <c r="J40" s="57">
        <f>'[2]Canada Tallow Exports'!Q$231-SUM(J29:J39)</f>
        <v>20968</v>
      </c>
      <c r="K40" s="57">
        <f>'[2]Canada Tallow Exports'!R$231-SUM(K29:K39)</f>
        <v>18390</v>
      </c>
      <c r="L40" s="57">
        <f>'[2]Canada Tallow Exports'!S$231-SUM(L29:L39)</f>
        <v>12624</v>
      </c>
      <c r="M40" s="57">
        <f>'[2]Canada Tallow Exports'!T$231-SUM(M29:M39)</f>
        <v>7766</v>
      </c>
      <c r="N40" s="57">
        <f>'[2]Canada Tallow Exports'!U$231-SUM(N29:N39)</f>
        <v>2054</v>
      </c>
      <c r="O40" s="57">
        <f>'[2]Canada Tallow Exports'!V$231-SUM(O29:O39)</f>
        <v>1566</v>
      </c>
      <c r="P40" s="57">
        <f>'[2]Canada Tallow Exports'!W$231-SUM(P29:P39)</f>
        <v>1518</v>
      </c>
      <c r="Q40" s="57">
        <f>'[2]Canada Tallow Exports'!X$231-SUM(Q29:Q39)</f>
        <v>0</v>
      </c>
      <c r="R40" s="57">
        <f>'[2]Canada Tallow Exports'!Y$231-SUM(R29:R39)</f>
        <v>2277</v>
      </c>
      <c r="S40" s="57">
        <f>'[2]Canada Tallow Exports'!Z$231-SUM(S29:S39)</f>
        <v>3937</v>
      </c>
      <c r="T40" s="57">
        <f>'[2]Canada Tallow Exports'!AA$231-SUM(T29:T39)</f>
        <v>2001</v>
      </c>
      <c r="U40" s="57">
        <f>'[2]Canada Tallow Exports'!AB$231-SUM(U29:U39)</f>
        <v>2</v>
      </c>
      <c r="V40" s="57">
        <f>'[2]Canada Tallow Exports'!AC$231-SUM(V29:V39)</f>
        <v>55</v>
      </c>
      <c r="W40" s="57">
        <f>'[2]Canada Tallow Exports'!AD$231-SUM(W29:W39)</f>
        <v>0</v>
      </c>
      <c r="X40" s="57">
        <f>'[2]Canada Tallow Exports'!AE$231-SUM(X29:X39)</f>
        <v>0</v>
      </c>
      <c r="Y40" s="58">
        <f>'[2]Canada Tallow Exports'!AF$231-SUM(Y29:Y39)</f>
        <v>0</v>
      </c>
      <c r="AE40" s="57">
        <f>'[2]Australia Tallow Exports'!N$231-SUM(AE29:AE39)</f>
        <v>37</v>
      </c>
      <c r="AF40" s="57">
        <f>'[2]Australia Tallow Exports'!O$231-SUM(AF29:AF39)</f>
        <v>0</v>
      </c>
      <c r="AG40" s="57">
        <f>'[2]Australia Tallow Exports'!P$231-SUM(AG29:AG39)</f>
        <v>0</v>
      </c>
      <c r="AH40" s="57">
        <f>'[2]Australia Tallow Exports'!Q$231-SUM(AH29:AH39)</f>
        <v>0</v>
      </c>
      <c r="AI40" s="57">
        <f>'[2]Australia Tallow Exports'!R$231-SUM(AI29:AI39)</f>
        <v>0</v>
      </c>
      <c r="AJ40" s="57">
        <f>'[2]Australia Tallow Exports'!S$231-SUM(AJ29:AJ39)</f>
        <v>0</v>
      </c>
      <c r="AK40" s="57">
        <f>'[2]Australia Tallow Exports'!T$231-SUM(AK29:AK39)</f>
        <v>0</v>
      </c>
      <c r="AL40" s="57">
        <f>'[2]Australia Tallow Exports'!U$231-SUM(AL29:AL39)</f>
        <v>0</v>
      </c>
      <c r="AM40" s="57">
        <f>'[2]Australia Tallow Exports'!V$231-SUM(AM29:AM39)</f>
        <v>0</v>
      </c>
      <c r="AN40" s="57">
        <f>'[2]Australia Tallow Exports'!W$231-SUM(AN29:AN39)</f>
        <v>0</v>
      </c>
      <c r="AO40" s="57">
        <f>'[2]Australia Tallow Exports'!X$231-SUM(AO29:AO39)</f>
        <v>0</v>
      </c>
      <c r="AP40" s="57">
        <f>'[2]Australia Tallow Exports'!Y$231-SUM(AP29:AP39)</f>
        <v>0</v>
      </c>
      <c r="AQ40" s="57">
        <f>'[2]Australia Tallow Exports'!Z$231-SUM(AQ29:AQ39)</f>
        <v>0</v>
      </c>
      <c r="AR40" s="57">
        <f>'[2]Australia Tallow Exports'!AA$231-SUM(AR29:AR39)</f>
        <v>0</v>
      </c>
      <c r="AS40" s="57">
        <f>'[2]Australia Tallow Exports'!AB$231-SUM(AS29:AS39)</f>
        <v>0</v>
      </c>
      <c r="AT40" s="57">
        <f>'[2]Australia Tallow Exports'!AC$231-SUM(AT29:AT39)</f>
        <v>0</v>
      </c>
      <c r="AU40" s="57">
        <f>'[2]Australia Tallow Exports'!AD$231-SUM(AU29:AU39)</f>
        <v>0</v>
      </c>
      <c r="AV40" s="57">
        <f>'[2]Australia Tallow Exports'!AE$231-SUM(AV29:AV39)</f>
        <v>0</v>
      </c>
      <c r="AW40" s="58">
        <f>'[2]Australia Tallow Exports'!AF$231-SUM(AW29:AW39)</f>
        <v>0</v>
      </c>
      <c r="BC40" s="57">
        <f>'[2]New Zealand Tallow Exports'!N$231-SUM(BC29:BC39)</f>
        <v>212</v>
      </c>
      <c r="BD40" s="57">
        <f>'[2]New Zealand Tallow Exports'!O$231-SUM(BD29:BD39)</f>
        <v>105</v>
      </c>
      <c r="BE40" s="57">
        <f>'[2]New Zealand Tallow Exports'!P$231-SUM(BE29:BE39)</f>
        <v>35</v>
      </c>
      <c r="BF40" s="57">
        <f>'[2]New Zealand Tallow Exports'!Q$231-SUM(BF29:BF39)</f>
        <v>151</v>
      </c>
      <c r="BG40" s="57">
        <f>'[2]New Zealand Tallow Exports'!R$231-SUM(BG29:BG39)</f>
        <v>141</v>
      </c>
      <c r="BH40" s="57">
        <f>'[2]New Zealand Tallow Exports'!S$231-SUM(BH29:BH39)</f>
        <v>236</v>
      </c>
      <c r="BI40" s="57">
        <f>'[2]New Zealand Tallow Exports'!T$231-SUM(BI29:BI39)</f>
        <v>263</v>
      </c>
      <c r="BJ40" s="57">
        <f>'[2]New Zealand Tallow Exports'!U$231-SUM(BJ29:BJ39)</f>
        <v>35</v>
      </c>
      <c r="BK40" s="57">
        <f>'[2]New Zealand Tallow Exports'!V$231-SUM(BK29:BK39)</f>
        <v>70</v>
      </c>
      <c r="BL40" s="57">
        <f>'[2]New Zealand Tallow Exports'!W$231-SUM(BL29:BL39)</f>
        <v>17</v>
      </c>
      <c r="BM40" s="57">
        <f>'[2]New Zealand Tallow Exports'!X$231-SUM(BM29:BM39)</f>
        <v>0</v>
      </c>
      <c r="BN40" s="57">
        <f>'[2]New Zealand Tallow Exports'!Y$231-SUM(BN29:BN39)</f>
        <v>0</v>
      </c>
      <c r="BO40" s="57">
        <f>'[2]New Zealand Tallow Exports'!Z$231-SUM(BO29:BO39)</f>
        <v>0</v>
      </c>
      <c r="BP40" s="57">
        <f>'[2]New Zealand Tallow Exports'!AA$231-SUM(BP29:BP39)</f>
        <v>0</v>
      </c>
      <c r="BQ40" s="57">
        <f>'[2]New Zealand Tallow Exports'!AB$231-SUM(BQ29:BQ39)</f>
        <v>0</v>
      </c>
      <c r="BR40" s="57">
        <f>'[2]New Zealand Tallow Exports'!AC$231-SUM(BR29:BR39)</f>
        <v>0</v>
      </c>
      <c r="BS40" s="57">
        <f>'[2]New Zealand Tallow Exports'!AD$231-SUM(BS29:BS39)</f>
        <v>0</v>
      </c>
      <c r="BT40" s="57">
        <f>'[2]New Zealand Tallow Exports'!AE$231-SUM(BT29:BT39)</f>
        <v>0</v>
      </c>
      <c r="BU40" s="58">
        <f>'[2]New Zealand Tallow Exports'!AF$231-SUM(BU29:BU39)</f>
        <v>0</v>
      </c>
      <c r="BX40" s="57">
        <f>'[2]Paraguay Tallow Exports'!K$231-SUM(BX29:BX39)</f>
        <v>0</v>
      </c>
      <c r="BY40" s="57">
        <f>'[2]Paraguay Tallow Exports'!L$231-SUM(BY29:BY39)</f>
        <v>0</v>
      </c>
      <c r="BZ40" s="57">
        <f>'[2]Paraguay Tallow Exports'!M$231-SUM(BZ29:BZ39)</f>
        <v>50</v>
      </c>
      <c r="CA40" s="57">
        <f>'[2]Paraguay Tallow Exports'!N$231-SUM(CA29:CA39)</f>
        <v>775</v>
      </c>
      <c r="CB40" s="57">
        <f>'[2]Paraguay Tallow Exports'!O$231-SUM(CB29:CB39)</f>
        <v>1250</v>
      </c>
      <c r="CC40" s="57">
        <f>'[2]Paraguay Tallow Exports'!P$231-SUM(CC29:CC39)</f>
        <v>649</v>
      </c>
      <c r="CD40" s="57">
        <f>'[2]Paraguay Tallow Exports'!Q$231-SUM(CD29:CD39)</f>
        <v>1700</v>
      </c>
      <c r="CE40" s="57">
        <f>'[2]Paraguay Tallow Exports'!R$231-SUM(CE29:CE39)</f>
        <v>549</v>
      </c>
      <c r="CF40" s="57">
        <f>'[2]Paraguay Tallow Exports'!S$231-SUM(CF29:CF39)</f>
        <v>364</v>
      </c>
      <c r="CG40" s="57">
        <f>'[2]Paraguay Tallow Exports'!T$231-SUM(CG29:CG39)</f>
        <v>420</v>
      </c>
      <c r="CH40" s="57">
        <f>'[2]Paraguay Tallow Exports'!U$231-SUM(CH29:CH39)</f>
        <v>644</v>
      </c>
      <c r="CI40" s="57">
        <f>'[2]Paraguay Tallow Exports'!V$231-SUM(CI29:CI39)</f>
        <v>1436</v>
      </c>
      <c r="CJ40" s="57">
        <f>'[2]Paraguay Tallow Exports'!W$231-SUM(CJ29:CJ39)</f>
        <v>2923</v>
      </c>
      <c r="CK40" s="57">
        <f>'[2]Paraguay Tallow Exports'!X$231-SUM(CK29:CK39)</f>
        <v>0</v>
      </c>
      <c r="CL40" s="57">
        <f>'[2]Paraguay Tallow Exports'!Y$231-SUM(CL29:CL39)</f>
        <v>0</v>
      </c>
      <c r="CM40" s="57">
        <f>'[2]Paraguay Tallow Exports'!Z$231-SUM(CM29:CM39)</f>
        <v>0</v>
      </c>
      <c r="CN40" s="57">
        <f>'[2]Paraguay Tallow Exports'!AA$231-SUM(CN29:CN39)</f>
        <v>0</v>
      </c>
      <c r="CO40" s="57">
        <f>'[2]Paraguay Tallow Exports'!AB$231-SUM(CO29:CO39)</f>
        <v>728</v>
      </c>
      <c r="CP40" s="57">
        <f>'[2]Paraguay Tallow Exports'!AC$231-SUM(CP29:CP39)</f>
        <v>1567</v>
      </c>
      <c r="CQ40" s="57">
        <f>'[2]Paraguay Tallow Exports'!AD$231-SUM(CQ29:CQ39)</f>
        <v>2281</v>
      </c>
      <c r="CR40" s="58">
        <f>CR41-SUM(CR4:CR39)</f>
        <v>2481.8770543477585</v>
      </c>
      <c r="DE40" s="57">
        <f>'[2]Brazil Tallow Exports'!U$231-SUM(DE29:DE39)</f>
        <v>192</v>
      </c>
      <c r="DF40" s="57">
        <f>'[2]Brazil Tallow Exports'!V$231-SUM(DF29:DF39)</f>
        <v>169</v>
      </c>
      <c r="DG40" s="57">
        <f>'[2]Brazil Tallow Exports'!W$231-SUM(DG29:DG39)</f>
        <v>254</v>
      </c>
      <c r="DH40" s="57">
        <f>'[2]Brazil Tallow Exports'!X$231-SUM(DH29:DH39)</f>
        <v>358</v>
      </c>
      <c r="DI40" s="57">
        <f>'[2]Brazil Tallow Exports'!Y$231-SUM(DI29:DI39)</f>
        <v>432</v>
      </c>
      <c r="DJ40" s="57">
        <f>'[2]Brazil Tallow Exports'!Z$231-SUM(DJ29:DJ39)</f>
        <v>582</v>
      </c>
      <c r="DK40" s="57">
        <f>'[2]Brazil Tallow Exports'!AA$231-SUM(DK29:DK39)</f>
        <v>431</v>
      </c>
      <c r="DL40" s="57">
        <f>'[2]Brazil Tallow Exports'!AB$231-SUM(DL29:DL39)</f>
        <v>564</v>
      </c>
      <c r="DM40" s="57">
        <f>'[2]Brazil Tallow Exports'!AC$231-SUM(DM29:DM39)</f>
        <v>309</v>
      </c>
      <c r="DN40" s="57">
        <f>'[2]Brazil Tallow Exports'!AD$231-SUM(DN29:DN39)</f>
        <v>392</v>
      </c>
      <c r="DO40" s="57">
        <f>'[2]Brazil Tallow Exports'!AE$231-SUM(DO29:DO39)</f>
        <v>288</v>
      </c>
      <c r="DP40" s="58">
        <f>'[2]Brazil Tallow Exports'!AF$231-SUM(DP29:DP39)</f>
        <v>300</v>
      </c>
      <c r="EB40" s="57">
        <f t="shared" si="26"/>
        <v>2925</v>
      </c>
      <c r="EC40" s="57">
        <f t="shared" si="26"/>
        <v>3241</v>
      </c>
      <c r="ED40" s="57">
        <f t="shared" si="26"/>
        <v>4712</v>
      </c>
      <c r="EE40" s="57">
        <f t="shared" si="26"/>
        <v>358</v>
      </c>
      <c r="EF40" s="57">
        <f t="shared" si="26"/>
        <v>2709</v>
      </c>
      <c r="EG40" s="57">
        <f t="shared" si="26"/>
        <v>4519</v>
      </c>
      <c r="EH40" s="57">
        <f t="shared" si="26"/>
        <v>2432</v>
      </c>
      <c r="EI40" s="57">
        <f t="shared" si="26"/>
        <v>1294</v>
      </c>
      <c r="EJ40" s="57">
        <f t="shared" si="26"/>
        <v>1931</v>
      </c>
      <c r="EK40" s="57">
        <f t="shared" si="26"/>
        <v>2673</v>
      </c>
      <c r="EL40" s="57">
        <f t="shared" si="26"/>
        <v>2769.8770543477585</v>
      </c>
      <c r="EM40" s="57">
        <f t="shared" si="26"/>
        <v>300</v>
      </c>
      <c r="EN40" s="60">
        <f t="shared" ref="EN40:FN40" si="31">IF(FORECAST(EN$41,EI40:EM40,EI$41:EM$41)&lt;0,0,FORECAST(EN$41,EI40:EM40,EI$41:EM$41))*0.5</f>
        <v>0</v>
      </c>
      <c r="EO40" s="60">
        <f t="shared" si="31"/>
        <v>0</v>
      </c>
      <c r="EP40" s="60">
        <f t="shared" si="31"/>
        <v>0</v>
      </c>
      <c r="EQ40" s="60">
        <f t="shared" si="31"/>
        <v>0</v>
      </c>
      <c r="ER40" s="60">
        <f t="shared" si="31"/>
        <v>0</v>
      </c>
      <c r="ES40" s="60">
        <f t="shared" si="31"/>
        <v>0</v>
      </c>
      <c r="ET40" s="60">
        <f t="shared" si="31"/>
        <v>0</v>
      </c>
      <c r="EU40" s="60">
        <f t="shared" si="31"/>
        <v>0</v>
      </c>
      <c r="EV40" s="60">
        <f t="shared" si="31"/>
        <v>0</v>
      </c>
      <c r="EW40" s="60">
        <f t="shared" si="31"/>
        <v>0</v>
      </c>
      <c r="EX40" s="60">
        <f t="shared" si="31"/>
        <v>0</v>
      </c>
      <c r="EY40" s="60">
        <f t="shared" si="31"/>
        <v>0</v>
      </c>
      <c r="EZ40" s="60">
        <f t="shared" si="31"/>
        <v>0</v>
      </c>
      <c r="FA40" s="60">
        <f t="shared" si="31"/>
        <v>0</v>
      </c>
      <c r="FB40" s="60">
        <f t="shared" si="31"/>
        <v>0</v>
      </c>
      <c r="FC40" s="60">
        <f t="shared" si="31"/>
        <v>0</v>
      </c>
      <c r="FD40" s="60">
        <f t="shared" si="31"/>
        <v>0</v>
      </c>
      <c r="FE40" s="60">
        <f t="shared" si="31"/>
        <v>0</v>
      </c>
      <c r="FF40" s="60">
        <f t="shared" si="31"/>
        <v>0</v>
      </c>
      <c r="FG40" s="60">
        <f t="shared" si="31"/>
        <v>0</v>
      </c>
      <c r="FH40" s="60">
        <f t="shared" si="31"/>
        <v>0</v>
      </c>
      <c r="FI40" s="60">
        <f t="shared" si="31"/>
        <v>0</v>
      </c>
      <c r="FJ40" s="60">
        <f t="shared" si="31"/>
        <v>0</v>
      </c>
      <c r="FK40" s="60">
        <f t="shared" si="31"/>
        <v>0</v>
      </c>
      <c r="FL40" s="60">
        <f t="shared" si="31"/>
        <v>0</v>
      </c>
      <c r="FM40" s="60">
        <f t="shared" si="31"/>
        <v>0</v>
      </c>
      <c r="FN40" s="60">
        <f t="shared" si="31"/>
        <v>0</v>
      </c>
    </row>
    <row r="41" spans="1:171" ht="13.5" thickBot="1">
      <c r="A41" s="44" t="s">
        <v>157</v>
      </c>
      <c r="B41" s="57">
        <f>'[2]Canada Tallow Exports'!I$289</f>
        <v>227098</v>
      </c>
      <c r="C41" s="57">
        <f>'[2]Canada Tallow Exports'!J$289</f>
        <v>252480</v>
      </c>
      <c r="D41" s="57">
        <f>'[2]Canada Tallow Exports'!K$289</f>
        <v>245241</v>
      </c>
      <c r="E41" s="57">
        <f>'[2]Canada Tallow Exports'!L$289</f>
        <v>173435</v>
      </c>
      <c r="F41" s="57">
        <f>'[2]Canada Tallow Exports'!M$289</f>
        <v>289432</v>
      </c>
      <c r="G41" s="57">
        <f>'[2]Canada Tallow Exports'!N$289</f>
        <v>230654</v>
      </c>
      <c r="H41" s="57">
        <f>'[2]Canada Tallow Exports'!O$289</f>
        <v>237722</v>
      </c>
      <c r="I41" s="57">
        <f>'[2]Canada Tallow Exports'!P$289</f>
        <v>207846</v>
      </c>
      <c r="J41" s="57">
        <f>'[2]Canada Tallow Exports'!Q$289</f>
        <v>183765</v>
      </c>
      <c r="K41" s="57">
        <f>'[2]Canada Tallow Exports'!R$289</f>
        <v>170281</v>
      </c>
      <c r="L41" s="57">
        <f>'[2]Canada Tallow Exports'!S$289</f>
        <v>181890</v>
      </c>
      <c r="M41" s="57">
        <f>'[2]Canada Tallow Exports'!T$289</f>
        <v>144744</v>
      </c>
      <c r="N41" s="57">
        <f>'[2]Canada Tallow Exports'!U$289</f>
        <v>161878</v>
      </c>
      <c r="O41" s="57">
        <f>'[2]Canada Tallow Exports'!V$289</f>
        <v>138282</v>
      </c>
      <c r="P41" s="57">
        <f>'[2]Canada Tallow Exports'!W$289</f>
        <v>129101</v>
      </c>
      <c r="Q41" s="57">
        <f>'[2]Canada Tallow Exports'!X$289</f>
        <v>128802</v>
      </c>
      <c r="R41" s="57">
        <f>'[2]Canada Tallow Exports'!Y$289</f>
        <v>158109</v>
      </c>
      <c r="S41" s="57">
        <f>'[2]Canada Tallow Exports'!Z$289</f>
        <v>145915</v>
      </c>
      <c r="T41" s="57">
        <f>'[2]Canada Tallow Exports'!AA$289</f>
        <v>169779</v>
      </c>
      <c r="U41" s="57">
        <f>'[2]Canada Tallow Exports'!AB$289</f>
        <v>196806</v>
      </c>
      <c r="V41" s="57">
        <f>'[2]Canada Tallow Exports'!AC$289</f>
        <v>216986</v>
      </c>
      <c r="W41" s="57">
        <f>'[2]Canada Tallow Exports'!AD$289</f>
        <v>237072</v>
      </c>
      <c r="X41" s="57">
        <f>'[2]Canada Tallow Exports'!AE$289</f>
        <v>259930</v>
      </c>
      <c r="Y41" s="61">
        <f>SUM(Y4:Y40)</f>
        <v>250000</v>
      </c>
      <c r="AE41" s="57">
        <f>'[2]Australia Tallow Exports'!N$289</f>
        <v>375786</v>
      </c>
      <c r="AF41" s="57">
        <f>'[2]Australia Tallow Exports'!O$289</f>
        <v>364206</v>
      </c>
      <c r="AG41" s="57">
        <f>'[2]Australia Tallow Exports'!P$289</f>
        <v>361858</v>
      </c>
      <c r="AH41" s="57">
        <f>'[2]Australia Tallow Exports'!Q$289</f>
        <v>372400</v>
      </c>
      <c r="AI41" s="57">
        <f>'[2]Australia Tallow Exports'!R$289</f>
        <v>344354</v>
      </c>
      <c r="AJ41" s="57">
        <f>'[2]Australia Tallow Exports'!S$289</f>
        <v>352354</v>
      </c>
      <c r="AK41" s="57">
        <f>'[2]Australia Tallow Exports'!T$289</f>
        <v>364578</v>
      </c>
      <c r="AL41" s="57">
        <f>'[2]Australia Tallow Exports'!U$289</f>
        <v>360842</v>
      </c>
      <c r="AM41" s="57">
        <f>'[2]Australia Tallow Exports'!V$289</f>
        <v>428746</v>
      </c>
      <c r="AN41" s="57">
        <f>'[2]Australia Tallow Exports'!W$289</f>
        <v>459428</v>
      </c>
      <c r="AO41" s="57">
        <f>'[2]Australia Tallow Exports'!X$289</f>
        <v>470090</v>
      </c>
      <c r="AP41" s="57">
        <f>'[2]Australia Tallow Exports'!Y$289</f>
        <v>434718</v>
      </c>
      <c r="AQ41" s="57">
        <f>'[2]Australia Tallow Exports'!Z$289</f>
        <v>420858</v>
      </c>
      <c r="AR41" s="57">
        <f>'[2]Australia Tallow Exports'!AA$289</f>
        <v>440992</v>
      </c>
      <c r="AS41" s="57">
        <f>'[2]Australia Tallow Exports'!AB$289</f>
        <v>401435</v>
      </c>
      <c r="AT41" s="57">
        <f>'[2]Australia Tallow Exports'!AC$289</f>
        <v>431228</v>
      </c>
      <c r="AU41" s="57">
        <f>'[2]Australia Tallow Exports'!AD$289</f>
        <v>390951</v>
      </c>
      <c r="AV41" s="57">
        <f>'[2]Australia Tallow Exports'!AE$289</f>
        <v>447604</v>
      </c>
      <c r="AW41" s="61">
        <f>'[2]Australia Tallow Exports'!AF$289</f>
        <v>451682.39810637844</v>
      </c>
      <c r="BC41" s="57">
        <f>'[2]New Zealand Tallow Exports'!N$290</f>
        <v>145309</v>
      </c>
      <c r="BD41" s="57">
        <f>'[2]New Zealand Tallow Exports'!O$290</f>
        <v>165059</v>
      </c>
      <c r="BE41" s="57">
        <f>'[2]New Zealand Tallow Exports'!P$290</f>
        <v>136746</v>
      </c>
      <c r="BF41" s="57">
        <f>'[2]New Zealand Tallow Exports'!Q$290</f>
        <v>159791</v>
      </c>
      <c r="BG41" s="57">
        <f>'[2]New Zealand Tallow Exports'!R$290</f>
        <v>136637</v>
      </c>
      <c r="BH41" s="57">
        <f>'[2]New Zealand Tallow Exports'!S$290</f>
        <v>144247</v>
      </c>
      <c r="BI41" s="57">
        <f>'[2]New Zealand Tallow Exports'!T$290</f>
        <v>120811</v>
      </c>
      <c r="BJ41" s="57">
        <f>'[2]New Zealand Tallow Exports'!U$290</f>
        <v>128593</v>
      </c>
      <c r="BK41" s="57">
        <f>'[2]New Zealand Tallow Exports'!V$290</f>
        <v>122498</v>
      </c>
      <c r="BL41" s="57">
        <f>'[2]New Zealand Tallow Exports'!W$290</f>
        <v>134377</v>
      </c>
      <c r="BM41" s="57">
        <f>'[2]New Zealand Tallow Exports'!X$290</f>
        <v>140607</v>
      </c>
      <c r="BN41" s="57">
        <f>'[2]New Zealand Tallow Exports'!Y$290</f>
        <v>163284</v>
      </c>
      <c r="BO41" s="57">
        <f>'[2]New Zealand Tallow Exports'!Z$290</f>
        <v>123895</v>
      </c>
      <c r="BP41" s="57">
        <f>'[2]New Zealand Tallow Exports'!AA$290</f>
        <v>147668</v>
      </c>
      <c r="BQ41" s="57">
        <f>'[2]New Zealand Tallow Exports'!AB$290</f>
        <v>116716</v>
      </c>
      <c r="BR41" s="57">
        <f>'[2]New Zealand Tallow Exports'!AC$290</f>
        <v>115560</v>
      </c>
      <c r="BS41" s="57">
        <f>'[2]New Zealand Tallow Exports'!AD$290</f>
        <v>149906</v>
      </c>
      <c r="BT41" s="57">
        <f>'[2]New Zealand Tallow Exports'!AE$290</f>
        <v>117494</v>
      </c>
      <c r="BU41" s="61">
        <f>'[2]New Zealand Tallow Exports'!AF$290</f>
        <v>151864.7984397634</v>
      </c>
      <c r="BX41" s="57">
        <f>'[2]Paraguay Tallow Exports'!K$289</f>
        <v>694</v>
      </c>
      <c r="BY41" s="57">
        <f>'[2]Paraguay Tallow Exports'!L$289</f>
        <v>0</v>
      </c>
      <c r="BZ41" s="57">
        <f>'[2]Paraguay Tallow Exports'!M$289</f>
        <v>607</v>
      </c>
      <c r="CA41" s="57">
        <f>'[2]Paraguay Tallow Exports'!N$289</f>
        <v>3308</v>
      </c>
      <c r="CB41" s="57">
        <f>'[2]Paraguay Tallow Exports'!O$289</f>
        <v>4819</v>
      </c>
      <c r="CC41" s="57">
        <f>'[2]Paraguay Tallow Exports'!P$289</f>
        <v>1556</v>
      </c>
      <c r="CD41" s="57">
        <f>'[2]Paraguay Tallow Exports'!Q$289</f>
        <v>6037</v>
      </c>
      <c r="CE41" s="57">
        <f>'[2]Paraguay Tallow Exports'!R$289</f>
        <v>6010</v>
      </c>
      <c r="CF41" s="57">
        <f>'[2]Paraguay Tallow Exports'!S$289</f>
        <v>12364</v>
      </c>
      <c r="CG41" s="57">
        <f>'[2]Paraguay Tallow Exports'!T$289</f>
        <v>11300</v>
      </c>
      <c r="CH41" s="57">
        <f>'[2]Paraguay Tallow Exports'!U$289</f>
        <v>14392</v>
      </c>
      <c r="CI41" s="57">
        <f>'[2]Paraguay Tallow Exports'!V$289</f>
        <v>29141</v>
      </c>
      <c r="CJ41" s="57">
        <f>'[2]Paraguay Tallow Exports'!W$289</f>
        <v>39200</v>
      </c>
      <c r="CK41" s="57">
        <f>'[2]Paraguay Tallow Exports'!X$289</f>
        <v>41631</v>
      </c>
      <c r="CL41" s="57">
        <f>'[2]Paraguay Tallow Exports'!Y$289</f>
        <v>37143</v>
      </c>
      <c r="CM41" s="57">
        <f>'[2]Paraguay Tallow Exports'!Z$289</f>
        <v>43516</v>
      </c>
      <c r="CN41" s="57">
        <f>'[2]Paraguay Tallow Exports'!AA$289</f>
        <v>38851</v>
      </c>
      <c r="CO41" s="57">
        <f>'[2]Paraguay Tallow Exports'!AB$289</f>
        <v>42477</v>
      </c>
      <c r="CP41" s="57">
        <f>'[2]Paraguay Tallow Exports'!AC$289</f>
        <v>44777</v>
      </c>
      <c r="CQ41" s="57">
        <f>'[2]Paraguay Tallow Exports'!AD$289</f>
        <v>55558</v>
      </c>
      <c r="CR41" s="61">
        <f>'Paraguay Tallow'!X12</f>
        <v>56396.816977977913</v>
      </c>
      <c r="DE41" s="57">
        <f>'[2]Brazil Tallow Exports'!U$289</f>
        <v>4054</v>
      </c>
      <c r="DF41" s="57">
        <f>'[2]Brazil Tallow Exports'!V$289</f>
        <v>13865</v>
      </c>
      <c r="DG41" s="57">
        <f>'[2]Brazil Tallow Exports'!W$289</f>
        <v>492</v>
      </c>
      <c r="DH41" s="57">
        <f>'[2]Brazil Tallow Exports'!X$289</f>
        <v>843</v>
      </c>
      <c r="DI41" s="57">
        <f>'[2]Brazil Tallow Exports'!Y$289</f>
        <v>1323</v>
      </c>
      <c r="DJ41" s="57">
        <f>'[2]Brazil Tallow Exports'!Z$289</f>
        <v>9087</v>
      </c>
      <c r="DK41" s="57">
        <f>'[2]Brazil Tallow Exports'!AA$289</f>
        <v>2050</v>
      </c>
      <c r="DL41" s="57">
        <f>'[2]Brazil Tallow Exports'!AB$289</f>
        <v>5152</v>
      </c>
      <c r="DM41" s="57">
        <f>'[2]Brazil Tallow Exports'!AC$289</f>
        <v>5560</v>
      </c>
      <c r="DN41" s="57">
        <f>'[2]Brazil Tallow Exports'!AD$289</f>
        <v>34114.698000000004</v>
      </c>
      <c r="DO41" s="57">
        <f>'[2]Brazil Tallow Exports'!AE$289</f>
        <v>156877.329</v>
      </c>
      <c r="DP41" s="61">
        <f>'[2]Brazil Tallow Exports'!AF$289</f>
        <v>505412.97399999999</v>
      </c>
      <c r="EB41" s="57">
        <f t="shared" si="26"/>
        <v>669759</v>
      </c>
      <c r="EC41" s="57">
        <f t="shared" si="26"/>
        <v>732532</v>
      </c>
      <c r="ED41" s="57">
        <f t="shared" si="26"/>
        <v>762598</v>
      </c>
      <c r="EE41" s="57">
        <f t="shared" si="26"/>
        <v>781973</v>
      </c>
      <c r="EF41" s="57">
        <f t="shared" si="26"/>
        <v>794577</v>
      </c>
      <c r="EG41" s="57">
        <f t="shared" si="26"/>
        <v>743271</v>
      </c>
      <c r="EH41" s="57">
        <f t="shared" si="26"/>
        <v>799340</v>
      </c>
      <c r="EI41" s="57">
        <f t="shared" si="26"/>
        <v>762586</v>
      </c>
      <c r="EJ41" s="57">
        <f t="shared" si="26"/>
        <v>814111</v>
      </c>
      <c r="EK41" s="57">
        <f t="shared" si="26"/>
        <v>867601.69799999997</v>
      </c>
      <c r="EL41" s="57">
        <f t="shared" si="26"/>
        <v>1038302.1459779779</v>
      </c>
      <c r="EM41" s="57">
        <f t="shared" si="26"/>
        <v>1358960.1705461419</v>
      </c>
      <c r="EN41" s="60">
        <f>'Brazil Tallow'!Z12+'Paraguay Tallow'!Z12+'New Zealand Tallow'!Z12+'Australia Tallow'!Z12+'Canada Tallow'!AC12</f>
        <v>1836370.5899300403</v>
      </c>
      <c r="EO41" s="60">
        <f>'Brazil Tallow'!AA12+'Paraguay Tallow'!AA12+'New Zealand Tallow'!AA12+'Australia Tallow'!AA12+'Canada Tallow'!AD12</f>
        <v>2005074.1957311127</v>
      </c>
      <c r="EP41" s="60">
        <f>'Brazil Tallow'!AB12+'Paraguay Tallow'!AB12+'New Zealand Tallow'!AB12+'Australia Tallow'!AB12+'Canada Tallow'!AE12</f>
        <v>2083861.9465000164</v>
      </c>
      <c r="EQ41" s="60">
        <f>'Brazil Tallow'!AC12+'Paraguay Tallow'!AC12+'New Zealand Tallow'!AC12+'Australia Tallow'!AC12+'Canada Tallow'!AF12</f>
        <v>2120895.1315433593</v>
      </c>
      <c r="ER41" s="60">
        <f>'Brazil Tallow'!AD12+'Paraguay Tallow'!AD12+'New Zealand Tallow'!AD12+'Australia Tallow'!AD12+'Canada Tallow'!AG12</f>
        <v>2161639.7046749257</v>
      </c>
      <c r="ES41" s="60">
        <f>'Brazil Tallow'!AE12+'Paraguay Tallow'!AE12+'New Zealand Tallow'!AE12+'Australia Tallow'!AE12+'Canada Tallow'!AH12</f>
        <v>2187818.5500954338</v>
      </c>
      <c r="ET41" s="60">
        <f>'Brazil Tallow'!AF12+'Paraguay Tallow'!AF12+'New Zealand Tallow'!AF12+'Australia Tallow'!AF12+'Canada Tallow'!AI12</f>
        <v>2219417.3724381747</v>
      </c>
      <c r="EU41" s="60">
        <f>'Brazil Tallow'!AG12+'Paraguay Tallow'!AG12+'New Zealand Tallow'!AG12+'Australia Tallow'!AG12+'Canada Tallow'!AJ12</f>
        <v>2288823.1868159729</v>
      </c>
      <c r="EV41" s="60">
        <f>'Brazil Tallow'!AH12+'Paraguay Tallow'!AH12+'New Zealand Tallow'!AH12+'Australia Tallow'!AH12+'Canada Tallow'!AK12</f>
        <v>2356061.3057110794</v>
      </c>
      <c r="EW41" s="60">
        <f>'Brazil Tallow'!AI12+'Paraguay Tallow'!AI12+'New Zealand Tallow'!AI12+'Australia Tallow'!AI12+'Canada Tallow'!AL12</f>
        <v>2416361.1508940225</v>
      </c>
      <c r="EX41" s="60">
        <f>'Brazil Tallow'!AJ12+'Paraguay Tallow'!AJ12+'New Zealand Tallow'!AJ12+'Australia Tallow'!AJ12+'Canada Tallow'!AM12</f>
        <v>2467986.3159590112</v>
      </c>
      <c r="EY41" s="60">
        <f>'Brazil Tallow'!AK12+'Paraguay Tallow'!AK12+'New Zealand Tallow'!AK12+'Australia Tallow'!AK12+'Canada Tallow'!AN12</f>
        <v>2518011.0184367816</v>
      </c>
      <c r="EZ41" s="60">
        <f>'Brazil Tallow'!AL12+'Paraguay Tallow'!AL12+'New Zealand Tallow'!AL12+'Australia Tallow'!AL12+'Canada Tallow'!AO12</f>
        <v>2579855.8206807231</v>
      </c>
      <c r="FA41" s="60">
        <f>'Brazil Tallow'!AM12+'Paraguay Tallow'!AM12+'New Zealand Tallow'!AM12+'Australia Tallow'!AM12+'Canada Tallow'!AP12</f>
        <v>2647164.97813302</v>
      </c>
      <c r="FB41" s="60">
        <f>'Brazil Tallow'!AN12+'Paraguay Tallow'!AN12+'New Zealand Tallow'!AN12+'Australia Tallow'!AN12+'Canada Tallow'!AQ12</f>
        <v>2710535.0138368411</v>
      </c>
      <c r="FC41" s="60">
        <f>'Brazil Tallow'!AO12+'Paraguay Tallow'!AO12+'New Zealand Tallow'!AO12+'Australia Tallow'!AO12+'Canada Tallow'!AR12</f>
        <v>2782004.5221379129</v>
      </c>
      <c r="FD41" s="60">
        <f>'Brazil Tallow'!AP12+'Paraguay Tallow'!AP12+'New Zealand Tallow'!AP12+'Australia Tallow'!AP12+'Canada Tallow'!AS12</f>
        <v>2856830.3802477075</v>
      </c>
      <c r="FE41" s="60">
        <f>'Brazil Tallow'!AQ12+'Paraguay Tallow'!AQ12+'New Zealand Tallow'!AQ12+'Australia Tallow'!AQ12+'Canada Tallow'!AQ12</f>
        <v>2858909.2629343262</v>
      </c>
      <c r="FF41" s="60">
        <f>'Brazil Tallow'!AR12+'Paraguay Tallow'!AR12+'New Zealand Tallow'!AR12+'Australia Tallow'!AR12+'Canada Tallow'!AR12</f>
        <v>2164410.3754990539</v>
      </c>
      <c r="FG41" s="60">
        <f>'Brazil Tallow'!AS12+'Paraguay Tallow'!AS12+'New Zealand Tallow'!AS12+'Australia Tallow'!AS12+'Canada Tallow'!AS12</f>
        <v>2189380.5333448919</v>
      </c>
      <c r="FH41" s="60">
        <f>'Brazil Tallow'!AT12+'Paraguay Tallow'!AT12+'New Zealand Tallow'!AT12+'Australia Tallow'!AT12+'Canada Tallow'!AT12</f>
        <v>2189191.595115446</v>
      </c>
      <c r="FI41" s="60">
        <f>'Brazil Tallow'!AU12+'Paraguay Tallow'!AU12+'New Zealand Tallow'!AU12+'Australia Tallow'!AU12+'Canada Tallow'!AU12</f>
        <v>2189047.764805526</v>
      </c>
      <c r="FJ41" s="60">
        <f>'Brazil Tallow'!AV12+'Paraguay Tallow'!AV12+'New Zealand Tallow'!AV12+'Australia Tallow'!AV12+'Canada Tallow'!AV12</f>
        <v>2189023.5694665657</v>
      </c>
      <c r="FK41" s="60">
        <f>'Brazil Tallow'!AW12+'Paraguay Tallow'!AW12+'New Zealand Tallow'!AW12+'Australia Tallow'!AW12+'Canada Tallow'!AW12</f>
        <v>2189072.722700424</v>
      </c>
      <c r="FL41" s="60">
        <f>'Brazil Tallow'!AX12+'Paraguay Tallow'!AX12+'New Zealand Tallow'!AX12+'Australia Tallow'!AX12+'Canada Tallow'!AX12</f>
        <v>2189133.0270903902</v>
      </c>
      <c r="FM41" s="60">
        <f>'Brazil Tallow'!AY12+'Paraguay Tallow'!AY12+'New Zealand Tallow'!AY12+'Australia Tallow'!AY12+'Canada Tallow'!AY12</f>
        <v>2189145.3751169387</v>
      </c>
      <c r="FN41" s="60">
        <f>'Brazil Tallow'!AZ12+'Paraguay Tallow'!AZ12+'New Zealand Tallow'!AZ12+'Australia Tallow'!AZ12+'Canada Tallow'!AZ12</f>
        <v>2189106.1820699973</v>
      </c>
      <c r="FO41" s="60">
        <f>'Brazil Tallow'!BA12+'Paraguay Tallow'!BA12+'New Zealand Tallow'!BA12+'Australia Tallow'!BA12+'Canada Tallow'!BA12</f>
        <v>659930.46967073902</v>
      </c>
    </row>
    <row r="42" spans="1:171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4"/>
      <c r="BE42" s="54"/>
      <c r="BF42" s="54"/>
      <c r="BG42" s="54"/>
      <c r="BH42" s="54"/>
      <c r="BI42" s="54"/>
      <c r="BJ42" s="54"/>
      <c r="BK42" s="54"/>
      <c r="BL42" s="54"/>
      <c r="BM42" s="54"/>
      <c r="BN42" s="54"/>
      <c r="BO42" s="54"/>
      <c r="BP42" s="54"/>
      <c r="BQ42" s="54"/>
      <c r="BR42" s="54"/>
      <c r="BS42" s="54"/>
      <c r="BT42" s="54"/>
      <c r="BU42" s="54"/>
      <c r="BV42" s="54"/>
      <c r="BW42" s="54"/>
      <c r="BX42" s="54"/>
      <c r="BY42" s="54"/>
      <c r="BZ42" s="54"/>
      <c r="CA42" s="54"/>
      <c r="CB42" s="54"/>
      <c r="CC42" s="54"/>
      <c r="CD42" s="54"/>
      <c r="CE42" s="54"/>
      <c r="CF42" s="54"/>
      <c r="CG42" s="54"/>
      <c r="CH42" s="54"/>
      <c r="CI42" s="54"/>
      <c r="CJ42" s="54"/>
      <c r="CK42" s="54"/>
      <c r="CL42" s="54"/>
      <c r="CM42" s="54"/>
      <c r="CN42" s="54"/>
      <c r="CO42" s="54"/>
      <c r="CP42" s="54"/>
      <c r="CQ42" s="54"/>
      <c r="CR42" s="54"/>
      <c r="CS42" s="54"/>
      <c r="CT42" s="54"/>
      <c r="CU42" s="54"/>
      <c r="CV42" s="54"/>
      <c r="CW42" s="54"/>
      <c r="CX42" s="54"/>
      <c r="CY42" s="54"/>
      <c r="CZ42" s="54"/>
      <c r="DA42" s="54"/>
      <c r="DB42" s="54"/>
      <c r="DC42" s="54"/>
      <c r="DD42" s="54"/>
      <c r="DE42" s="54"/>
      <c r="DF42" s="54"/>
      <c r="DG42" s="54"/>
      <c r="DH42" s="54"/>
      <c r="DI42" s="54"/>
      <c r="DJ42" s="54"/>
      <c r="DK42" s="54"/>
      <c r="DL42" s="54"/>
      <c r="DM42" s="54"/>
      <c r="DN42" s="54"/>
      <c r="DO42" s="54"/>
      <c r="DP42" s="54"/>
      <c r="DQ42" s="54"/>
      <c r="DR42" s="54"/>
      <c r="DS42" s="54"/>
      <c r="DT42" s="54"/>
      <c r="DU42" s="54"/>
      <c r="DV42" s="54"/>
      <c r="DW42" s="54"/>
      <c r="DX42" s="54"/>
      <c r="DY42" s="54"/>
      <c r="DZ42" s="54"/>
      <c r="EA42" s="54"/>
      <c r="EB42" s="54"/>
      <c r="EC42" s="54"/>
      <c r="ED42" s="54"/>
      <c r="EE42" s="54"/>
      <c r="EF42" s="54"/>
      <c r="EG42" s="54"/>
      <c r="EH42" s="54"/>
      <c r="EI42" s="54"/>
      <c r="EJ42" s="54"/>
      <c r="EK42" s="54"/>
      <c r="EL42" s="54"/>
      <c r="EM42" s="54"/>
      <c r="EN42" s="54"/>
      <c r="EO42" s="54"/>
      <c r="EP42" s="54"/>
      <c r="EQ42" s="54"/>
      <c r="ER42" s="54"/>
      <c r="ES42" s="54"/>
      <c r="ET42" s="54"/>
      <c r="EU42" s="54"/>
      <c r="EV42" s="54"/>
      <c r="EW42" s="54"/>
      <c r="EX42" s="54"/>
      <c r="EY42" s="54"/>
      <c r="EZ42" s="54"/>
      <c r="FA42" s="54"/>
      <c r="FB42" s="54"/>
      <c r="FC42" s="54"/>
      <c r="FD42" s="54"/>
      <c r="FE42" s="54"/>
      <c r="FF42" s="54"/>
      <c r="FG42" s="54"/>
      <c r="FH42" s="54"/>
      <c r="FI42" s="54"/>
      <c r="FJ42" s="54"/>
      <c r="FK42" s="54"/>
      <c r="FL42" s="54"/>
      <c r="FM42" s="54"/>
      <c r="FN42" s="54"/>
    </row>
    <row r="43" spans="1:171">
      <c r="Y43" s="44">
        <f>SUM('Canada Tallow'!AA56:AA64,'Canada Tallow'!AB53:AB55)</f>
        <v>211.45499999999998</v>
      </c>
      <c r="EG43" s="62" t="s">
        <v>158</v>
      </c>
    </row>
    <row r="44" spans="1:171">
      <c r="EG44" s="62" t="s">
        <v>159</v>
      </c>
      <c r="EM44" s="57">
        <f>FORECAST(EM41,EI45:EL45,EI41:EL41)</f>
        <v>2025.3972716568283</v>
      </c>
      <c r="EN44" s="57">
        <f>FORECAST(EN41,EJ45:EM45,EJ41:EM41)</f>
        <v>2755.3263919763258</v>
      </c>
      <c r="EO44" s="57">
        <f>FORECAST(EO41,EK45:EN45,EK41:EN41)</f>
        <v>2281.9777482714535</v>
      </c>
      <c r="EP44" s="57">
        <f>FORECAST(EP41,EL45:EO45,EL41:EO41)</f>
        <v>2338.2726087739925</v>
      </c>
      <c r="EQ44" s="57">
        <f>FORECAST(EQ41,EM45:EP45,EM41:EP41)</f>
        <v>2353.8231563690069</v>
      </c>
      <c r="ER44" s="57">
        <f t="shared" ref="ER44:EX44" si="32">FORECAST(ER41,EN45:EQ45,EN41:EQ41)</f>
        <v>2466.5345225127521</v>
      </c>
      <c r="ES44" s="57">
        <f t="shared" si="32"/>
        <v>2432.3286365782405</v>
      </c>
      <c r="ET44" s="57">
        <f t="shared" si="32"/>
        <v>2493.1761828842118</v>
      </c>
      <c r="EU44" s="57">
        <f t="shared" si="32"/>
        <v>2588.6749278896041</v>
      </c>
      <c r="EV44" s="57">
        <f t="shared" si="32"/>
        <v>2636.002336593614</v>
      </c>
      <c r="EW44" s="57">
        <f t="shared" si="32"/>
        <v>2705.2137991773684</v>
      </c>
      <c r="EX44" s="57">
        <f t="shared" si="32"/>
        <v>2767.024680683754</v>
      </c>
    </row>
    <row r="45" spans="1:171" ht="13.5">
      <c r="EG45" s="62" t="s">
        <v>160</v>
      </c>
      <c r="EH45" s="57">
        <f>SUM('[4]Inedible Tallow Complex'!Z$41:Z$49,'[4]Inedible Tallow Complex'!AA$38:AA$40)</f>
        <v>271.04284475605999</v>
      </c>
      <c r="EI45" s="57">
        <f>SUM('[4]Inedible Tallow Complex'!AA$41:AA$49,'[4]Inedible Tallow Complex'!AB$38:AB$40)</f>
        <v>408.99266311463992</v>
      </c>
      <c r="EJ45" s="57">
        <f>SUM('[4]Inedible Tallow Complex'!AB$41:AB$49,'[4]Inedible Tallow Complex'!AC$38:AC$40)</f>
        <v>511.70585600376</v>
      </c>
      <c r="EK45" s="57">
        <f>SUM('[4]Inedible Tallow Complex'!AC$41:AC$49,'[4]Inedible Tallow Complex'!AD$38:AD$40)</f>
        <v>702.44172196915997</v>
      </c>
      <c r="EL45" s="57">
        <f>SUM('[4]Inedible Tallow Complex'!AD$41:AD$49,'[4]Inedible Tallow Complex'!AE$38:AE$40)</f>
        <v>1148.6836040000001</v>
      </c>
      <c r="EM45" s="57">
        <f>SUM('[4]Inedible Tallow Complex'!AE$41:AE$49,'[4]Inedible Tallow Complex'!AF$38:AF$40)</f>
        <v>1698.357833</v>
      </c>
      <c r="EN45" s="63">
        <f>FORECAST(EN46,EJ45:EM45,EJ46:EM46)-300</f>
        <v>1948.5594704367882</v>
      </c>
      <c r="EO45" s="63">
        <f t="shared" ref="EO45:FO45" si="33">FORECAST(EO46,EK45:EN45,EK46:EN46)</f>
        <v>2311.4133127211308</v>
      </c>
      <c r="EP45" s="63">
        <f t="shared" si="33"/>
        <v>2358.4000223880739</v>
      </c>
      <c r="EQ45" s="63">
        <f>FORECAST(EQ46,EM45:EP45,EM46:EP46)</f>
        <v>2352.4847205357255</v>
      </c>
      <c r="ER45" s="63">
        <f t="shared" si="33"/>
        <v>2437.9003088439267</v>
      </c>
      <c r="ES45" s="63">
        <f t="shared" si="33"/>
        <v>2461.4782208982424</v>
      </c>
      <c r="ET45" s="63">
        <f t="shared" si="33"/>
        <v>2484.0688302629437</v>
      </c>
      <c r="EU45" s="63">
        <f t="shared" si="33"/>
        <v>2570.075280466041</v>
      </c>
      <c r="EV45" s="63">
        <f t="shared" si="33"/>
        <v>2639.0342196110205</v>
      </c>
      <c r="EW45" s="63">
        <f t="shared" si="33"/>
        <v>2708.2954631877678</v>
      </c>
      <c r="EX45" s="63">
        <f t="shared" si="33"/>
        <v>2758.7305027254156</v>
      </c>
      <c r="EY45" s="57">
        <f t="shared" si="33"/>
        <v>2812.2254393000212</v>
      </c>
      <c r="EZ45" s="57">
        <f t="shared" si="33"/>
        <v>2879.8855890898376</v>
      </c>
      <c r="FA45" s="57">
        <f t="shared" si="33"/>
        <v>2947.9969409325026</v>
      </c>
      <c r="FB45" s="57">
        <f t="shared" si="33"/>
        <v>3015.5783824128766</v>
      </c>
      <c r="FC45" s="57">
        <f t="shared" si="33"/>
        <v>3091.9818897766472</v>
      </c>
      <c r="FD45" s="57">
        <f t="shared" si="33"/>
        <v>3216.4979707523839</v>
      </c>
      <c r="FE45" s="57">
        <f t="shared" si="33"/>
        <v>3245.7740759398998</v>
      </c>
      <c r="FF45" s="57">
        <f t="shared" si="33"/>
        <v>2333.9925425460224</v>
      </c>
      <c r="FG45" s="57">
        <f t="shared" si="33"/>
        <v>2411.4911919875863</v>
      </c>
      <c r="FH45" s="57">
        <f t="shared" si="33"/>
        <v>2434.08519826576</v>
      </c>
      <c r="FI45" s="57">
        <f t="shared" si="33"/>
        <v>2449.2582811880829</v>
      </c>
      <c r="FJ45" s="57">
        <f t="shared" si="33"/>
        <v>2459.6514680932387</v>
      </c>
      <c r="FK45" s="57">
        <f t="shared" si="33"/>
        <v>2481.1527091398448</v>
      </c>
      <c r="FL45" s="57">
        <f t="shared" si="33"/>
        <v>2490.6472037923263</v>
      </c>
      <c r="FM45" s="57">
        <f t="shared" si="33"/>
        <v>2500.3638279761331</v>
      </c>
      <c r="FN45" s="57">
        <f t="shared" si="33"/>
        <v>2522.5489911801342</v>
      </c>
      <c r="FO45" s="57">
        <f t="shared" si="33"/>
        <v>2653.874556762994</v>
      </c>
    </row>
    <row r="46" spans="1:171">
      <c r="EG46" s="62" t="s">
        <v>161</v>
      </c>
      <c r="EH46" s="57">
        <f>EH38*2204.622/1000000</f>
        <v>313.61850260999995</v>
      </c>
      <c r="EI46" s="57">
        <f t="shared" ref="EI46:FD46" si="34">EI38*2204.622/1000000</f>
        <v>424.32359633999999</v>
      </c>
      <c r="EJ46" s="57">
        <f t="shared" si="34"/>
        <v>514.61829959399995</v>
      </c>
      <c r="EK46" s="57">
        <f t="shared" si="34"/>
        <v>814.79455607415593</v>
      </c>
      <c r="EL46" s="57">
        <f>EL38*2204.622/1000000</f>
        <v>1536.1328332366381</v>
      </c>
      <c r="EM46" s="57">
        <f>EM38*2204.622/1000000</f>
        <v>2301.325915397776</v>
      </c>
      <c r="EN46" s="63">
        <f>EN38*2204.622/1000000</f>
        <v>3157.4579399568711</v>
      </c>
      <c r="EO46" s="63">
        <f t="shared" si="34"/>
        <v>3665.5362995669739</v>
      </c>
      <c r="EP46" s="63">
        <f t="shared" si="34"/>
        <v>3800.9944377391798</v>
      </c>
      <c r="EQ46" s="63">
        <f t="shared" si="34"/>
        <v>3837.5209998905143</v>
      </c>
      <c r="ER46" s="63">
        <f t="shared" si="34"/>
        <v>3929.3749124103369</v>
      </c>
      <c r="ES46" s="63">
        <f t="shared" si="34"/>
        <v>4022.873202383028</v>
      </c>
      <c r="ET46" s="63">
        <f t="shared" si="34"/>
        <v>4050.8223050115998</v>
      </c>
      <c r="EU46" s="63">
        <f t="shared" si="34"/>
        <v>4197.4369890166336</v>
      </c>
      <c r="EV46" s="63">
        <f t="shared" si="34"/>
        <v>4345.8750238496123</v>
      </c>
      <c r="EW46" s="63">
        <f t="shared" si="34"/>
        <v>4464.5483405518244</v>
      </c>
      <c r="EX46" s="63">
        <f t="shared" si="34"/>
        <v>4561.6322148071722</v>
      </c>
      <c r="EY46" s="57">
        <f t="shared" si="34"/>
        <v>4666.2418089930097</v>
      </c>
      <c r="EZ46" s="57">
        <f t="shared" si="34"/>
        <v>4788.2738973629075</v>
      </c>
      <c r="FA46" s="57">
        <f t="shared" si="34"/>
        <v>4919.4126086710949</v>
      </c>
      <c r="FB46" s="57">
        <f t="shared" si="34"/>
        <v>5045.8490335441447</v>
      </c>
      <c r="FC46" s="57">
        <f t="shared" si="34"/>
        <v>5188.4399229563123</v>
      </c>
      <c r="FD46" s="57">
        <f t="shared" si="34"/>
        <v>5424.0182016762265</v>
      </c>
      <c r="FE46" s="57">
        <f>FE38*2204.622/1000000</f>
        <v>5478.4723879929215</v>
      </c>
      <c r="FF46" s="57">
        <f t="shared" ref="FF46:FN46" si="35">FF38*2204.622/1000000</f>
        <v>3762.6280347792926</v>
      </c>
      <c r="FG46" s="57">
        <f t="shared" si="35"/>
        <v>3908.3917720370455</v>
      </c>
      <c r="FH46" s="57">
        <f t="shared" si="35"/>
        <v>3950.9818342800063</v>
      </c>
      <c r="FI46" s="57">
        <f t="shared" si="35"/>
        <v>3979.5162004627914</v>
      </c>
      <c r="FJ46" s="57">
        <f t="shared" si="35"/>
        <v>3999.0623543449547</v>
      </c>
      <c r="FK46" s="57">
        <f t="shared" si="35"/>
        <v>4039.5603045014682</v>
      </c>
      <c r="FL46" s="57">
        <f t="shared" si="35"/>
        <v>4057.4153553506248</v>
      </c>
      <c r="FM46" s="57">
        <f t="shared" si="35"/>
        <v>4075.7121022256365</v>
      </c>
      <c r="FN46" s="57">
        <f t="shared" si="35"/>
        <v>4117.481569226582</v>
      </c>
      <c r="FO46" s="57">
        <f>FO38*2204.622/1000000*3</f>
        <v>4364.6916957193316</v>
      </c>
    </row>
    <row r="47" spans="1:171">
      <c r="EH47" s="57">
        <f t="shared" ref="EH47:EM47" si="36">EH46-EH45</f>
        <v>42.575657853939958</v>
      </c>
      <c r="EI47" s="57">
        <f t="shared" si="36"/>
        <v>15.33093322536007</v>
      </c>
      <c r="EJ47" s="57">
        <f t="shared" si="36"/>
        <v>2.9124435902399455</v>
      </c>
      <c r="EK47" s="57">
        <f t="shared" si="36"/>
        <v>112.35283410499596</v>
      </c>
      <c r="EL47" s="57">
        <f t="shared" si="36"/>
        <v>387.44922923663808</v>
      </c>
      <c r="EM47" s="57">
        <f t="shared" si="36"/>
        <v>602.96808239777602</v>
      </c>
    </row>
    <row r="48" spans="1:171">
      <c r="EF48" s="64">
        <v>6.5900551925347897E-2</v>
      </c>
      <c r="EG48" s="44" t="s">
        <v>162</v>
      </c>
      <c r="EH48" s="65">
        <f>'[4]Inedible Tallow Complex'!Z41</f>
        <v>13.717806000000001</v>
      </c>
      <c r="EI48" s="65">
        <f>'[4]Inedible Tallow Complex'!AA41</f>
        <v>28.897444663120002</v>
      </c>
      <c r="EJ48" s="65">
        <f>'[4]Inedible Tallow Complex'!AB41</f>
        <v>47.857403738979997</v>
      </c>
      <c r="EK48" s="65">
        <f>'[4]Inedible Tallow Complex'!AC41</f>
        <v>35.786749</v>
      </c>
      <c r="EL48" s="65">
        <f>'[4]Inedible Tallow Complex'!AD41</f>
        <v>71.860951</v>
      </c>
      <c r="EM48" s="65">
        <f>'[4]Inedible Tallow Complex'!AE41</f>
        <v>103.96645699999999</v>
      </c>
      <c r="EN48" s="65">
        <f>'[4]Inedible Tallow Complex'!AF41</f>
        <v>193.62886300000002</v>
      </c>
      <c r="EO48" s="66">
        <f t="shared" ref="EO48:FD58" si="37">EO$46*$EF48*(1+EO$61)</f>
        <v>301.9510815548262</v>
      </c>
      <c r="EP48" s="66">
        <f t="shared" si="37"/>
        <v>313.10953914023673</v>
      </c>
      <c r="EQ48" s="66">
        <f t="shared" si="37"/>
        <v>316.1184398973723</v>
      </c>
      <c r="ER48" s="66">
        <f t="shared" si="37"/>
        <v>323.68496931182096</v>
      </c>
      <c r="ES48" s="66">
        <f t="shared" si="37"/>
        <v>331.38695545341659</v>
      </c>
      <c r="ET48" s="66">
        <f t="shared" si="37"/>
        <v>333.68928206471799</v>
      </c>
      <c r="EU48" s="66">
        <f t="shared" si="37"/>
        <v>345.76676781008325</v>
      </c>
      <c r="EV48" s="66">
        <f t="shared" si="37"/>
        <v>372.31423147135615</v>
      </c>
      <c r="EW48" s="66">
        <f t="shared" si="37"/>
        <v>367.77024967470163</v>
      </c>
      <c r="EX48" s="66">
        <f t="shared" si="37"/>
        <v>435.89041692254773</v>
      </c>
      <c r="EY48" s="66">
        <f t="shared" si="37"/>
        <v>384.38488828721643</v>
      </c>
      <c r="EZ48" s="66">
        <f t="shared" si="37"/>
        <v>394.43736575744026</v>
      </c>
      <c r="FA48" s="66">
        <f t="shared" si="37"/>
        <v>405.24000757492581</v>
      </c>
      <c r="FB48" s="66">
        <f t="shared" si="37"/>
        <v>415.65529530317804</v>
      </c>
      <c r="FC48" s="66">
        <f t="shared" si="37"/>
        <v>427.40131819291315</v>
      </c>
      <c r="FD48" s="66">
        <f t="shared" si="37"/>
        <v>446.80724142949538</v>
      </c>
      <c r="FE48" s="66">
        <f>FE$46*$EF48*(1+FE$61)</f>
        <v>451.29294259564028</v>
      </c>
      <c r="FF48" s="66">
        <f t="shared" ref="FF48:FO59" si="38">FF$46*$EF48*(1+FF$61)</f>
        <v>557.90834440892058</v>
      </c>
      <c r="FG48" s="66">
        <f t="shared" si="38"/>
        <v>837.08681848262177</v>
      </c>
      <c r="FH48" s="66">
        <f t="shared" si="38"/>
        <v>1106.5805049858225</v>
      </c>
      <c r="FI48" s="66">
        <f t="shared" si="38"/>
        <v>1376.8246485333971</v>
      </c>
      <c r="FJ48" s="66">
        <f t="shared" si="38"/>
        <v>1647.1276020950856</v>
      </c>
      <c r="FK48" s="66">
        <f t="shared" si="38"/>
        <v>1930.0170886172054</v>
      </c>
      <c r="FL48" s="66">
        <f t="shared" si="38"/>
        <v>2205.9337682908986</v>
      </c>
      <c r="FM48" s="66">
        <f t="shared" si="38"/>
        <v>2484.473012485777</v>
      </c>
      <c r="FN48" s="66">
        <f t="shared" si="38"/>
        <v>2781.2791565334128</v>
      </c>
      <c r="FO48" s="66">
        <f>FO$46*$EF48*(1+FO$61)</f>
        <v>3183.6030266688304</v>
      </c>
    </row>
    <row r="49" spans="136:171">
      <c r="EF49" s="64">
        <v>7.9520455224912537E-2</v>
      </c>
      <c r="EG49" s="44" t="s">
        <v>163</v>
      </c>
      <c r="EH49" s="65">
        <f>'[4]Inedible Tallow Complex'!Z42</f>
        <v>22.93691939088</v>
      </c>
      <c r="EI49" s="65">
        <f>'[4]Inedible Tallow Complex'!AA42</f>
        <v>27.20229470816</v>
      </c>
      <c r="EJ49" s="65">
        <f>'[4]Inedible Tallow Complex'!AB42</f>
        <v>26.550395188020001</v>
      </c>
      <c r="EK49" s="65">
        <f>'[4]Inedible Tallow Complex'!AC42</f>
        <v>30.984408999999999</v>
      </c>
      <c r="EL49" s="65">
        <f>'[4]Inedible Tallow Complex'!AD42</f>
        <v>30.751085</v>
      </c>
      <c r="EM49" s="65">
        <f>'[4]Inedible Tallow Complex'!AE42</f>
        <v>62.784942999999998</v>
      </c>
      <c r="EN49" s="65">
        <f>'[4]Inedible Tallow Complex'!AF42</f>
        <v>164.072664</v>
      </c>
      <c r="EO49" s="66">
        <f t="shared" si="37"/>
        <v>364.35639398125892</v>
      </c>
      <c r="EP49" s="66">
        <f t="shared" si="37"/>
        <v>377.82100999547509</v>
      </c>
      <c r="EQ49" s="66">
        <f t="shared" si="37"/>
        <v>381.45177105806903</v>
      </c>
      <c r="ER49" s="66">
        <f t="shared" si="37"/>
        <v>390.58210223027601</v>
      </c>
      <c r="ES49" s="66">
        <f t="shared" si="37"/>
        <v>399.87588545700015</v>
      </c>
      <c r="ET49" s="66">
        <f t="shared" si="37"/>
        <v>402.65404216218991</v>
      </c>
      <c r="EU49" s="66">
        <f t="shared" si="37"/>
        <v>417.22762518061108</v>
      </c>
      <c r="EV49" s="66">
        <f t="shared" si="37"/>
        <v>449.26174832122842</v>
      </c>
      <c r="EW49" s="66">
        <f t="shared" si="37"/>
        <v>443.7786455178861</v>
      </c>
      <c r="EX49" s="66">
        <f t="shared" si="37"/>
        <v>525.97745192063394</v>
      </c>
      <c r="EY49" s="66">
        <f t="shared" si="37"/>
        <v>463.82709105080437</v>
      </c>
      <c r="EZ49" s="66">
        <f t="shared" si="37"/>
        <v>475.95715007483068</v>
      </c>
      <c r="FA49" s="66">
        <f t="shared" si="37"/>
        <v>488.99241260087501</v>
      </c>
      <c r="FB49" s="66">
        <f t="shared" si="37"/>
        <v>501.56026517951921</v>
      </c>
      <c r="FC49" s="66">
        <f t="shared" si="37"/>
        <v>515.73388072574505</v>
      </c>
      <c r="FD49" s="66">
        <f t="shared" si="37"/>
        <v>539.15049568188124</v>
      </c>
      <c r="FE49" s="66">
        <f t="shared" ref="FE49:FT59" si="39">FE$46*$EF49*(1+FE$61)</f>
        <v>544.56327278788854</v>
      </c>
      <c r="FF49" s="66">
        <f t="shared" si="39"/>
        <v>673.21326187725163</v>
      </c>
      <c r="FG49" s="66">
        <f t="shared" si="39"/>
        <v>1010.0905519564874</v>
      </c>
      <c r="FH49" s="66">
        <f t="shared" si="39"/>
        <v>1335.2814647010507</v>
      </c>
      <c r="FI49" s="66">
        <f t="shared" si="39"/>
        <v>1661.3779341375064</v>
      </c>
      <c r="FJ49" s="66">
        <f t="shared" si="39"/>
        <v>1987.545368064508</v>
      </c>
      <c r="FK49" s="66">
        <f t="shared" si="39"/>
        <v>2328.9006388377124</v>
      </c>
      <c r="FL49" s="66">
        <f t="shared" si="38"/>
        <v>2661.8420077757637</v>
      </c>
      <c r="FM49" s="66">
        <f t="shared" si="38"/>
        <v>2997.947956045678</v>
      </c>
      <c r="FN49" s="66">
        <f t="shared" si="38"/>
        <v>3356.0960898421217</v>
      </c>
      <c r="FO49" s="66">
        <f t="shared" si="38"/>
        <v>3841.5696764254117</v>
      </c>
    </row>
    <row r="50" spans="136:171">
      <c r="EF50" s="64">
        <v>9.6296321271332169E-2</v>
      </c>
      <c r="EG50" s="44" t="s">
        <v>164</v>
      </c>
      <c r="EH50" s="65">
        <f>'[4]Inedible Tallow Complex'!Z43</f>
        <v>22.97415321806</v>
      </c>
      <c r="EI50" s="65">
        <f>'[4]Inedible Tallow Complex'!AA43</f>
        <v>47.335100600920001</v>
      </c>
      <c r="EJ50" s="65">
        <f>'[4]Inedible Tallow Complex'!AB43</f>
        <v>32.119732687460001</v>
      </c>
      <c r="EK50" s="65">
        <f>'[4]Inedible Tallow Complex'!AC43</f>
        <v>35.139523999999994</v>
      </c>
      <c r="EL50" s="65">
        <f>'[4]Inedible Tallow Complex'!AD43</f>
        <v>76.318060000000003</v>
      </c>
      <c r="EM50" s="65">
        <f>'[4]Inedible Tallow Complex'!AE43</f>
        <v>140.56934700000002</v>
      </c>
      <c r="EN50" s="65">
        <f>'[4]Inedible Tallow Complex'!AF43</f>
        <v>170.50000399999999</v>
      </c>
      <c r="EO50" s="66">
        <f t="shared" si="37"/>
        <v>441.22207641853925</v>
      </c>
      <c r="EP50" s="66">
        <f t="shared" si="37"/>
        <v>457.52722690884832</v>
      </c>
      <c r="EQ50" s="66">
        <f t="shared" si="37"/>
        <v>461.92394386367602</v>
      </c>
      <c r="ER50" s="66">
        <f t="shared" si="37"/>
        <v>472.98043620122314</v>
      </c>
      <c r="ES50" s="66">
        <f t="shared" si="37"/>
        <v>484.23486291313617</v>
      </c>
      <c r="ET50" s="66">
        <f t="shared" si="37"/>
        <v>487.59910762059417</v>
      </c>
      <c r="EU50" s="66">
        <f t="shared" si="37"/>
        <v>505.24717601314865</v>
      </c>
      <c r="EV50" s="66">
        <f t="shared" si="37"/>
        <v>544.03931075218475</v>
      </c>
      <c r="EW50" s="66">
        <f t="shared" si="37"/>
        <v>537.39947666646424</v>
      </c>
      <c r="EX50" s="66">
        <f t="shared" si="37"/>
        <v>636.93918185415851</v>
      </c>
      <c r="EY50" s="66">
        <f t="shared" si="37"/>
        <v>561.67740046064137</v>
      </c>
      <c r="EZ50" s="66">
        <f t="shared" si="37"/>
        <v>576.36645194449045</v>
      </c>
      <c r="FA50" s="66">
        <f t="shared" si="37"/>
        <v>592.1516712885425</v>
      </c>
      <c r="FB50" s="66">
        <f t="shared" si="37"/>
        <v>607.37087452600986</v>
      </c>
      <c r="FC50" s="66">
        <f t="shared" si="37"/>
        <v>624.53459714750875</v>
      </c>
      <c r="FD50" s="66">
        <f t="shared" si="37"/>
        <v>652.89124916270907</v>
      </c>
      <c r="FE50" s="66">
        <f t="shared" si="39"/>
        <v>659.44592143786099</v>
      </c>
      <c r="FF50" s="66">
        <f t="shared" si="38"/>
        <v>815.23628563866293</v>
      </c>
      <c r="FG50" s="66">
        <f t="shared" si="38"/>
        <v>1223.1821866365094</v>
      </c>
      <c r="FH50" s="66">
        <f t="shared" si="38"/>
        <v>1616.9763182168551</v>
      </c>
      <c r="FI50" s="66">
        <f t="shared" si="38"/>
        <v>2011.8670453572395</v>
      </c>
      <c r="FJ50" s="66">
        <f t="shared" si="38"/>
        <v>2406.8437078630732</v>
      </c>
      <c r="FK50" s="66">
        <f t="shared" si="38"/>
        <v>2820.2122773596548</v>
      </c>
      <c r="FL50" s="66">
        <f t="shared" si="38"/>
        <v>3223.391923868161</v>
      </c>
      <c r="FM50" s="66">
        <f t="shared" si="38"/>
        <v>3630.4037585497326</v>
      </c>
      <c r="FN50" s="66">
        <f t="shared" si="38"/>
        <v>4064.1078621950769</v>
      </c>
      <c r="FO50" s="66">
        <f t="shared" si="38"/>
        <v>4651.9983657157927</v>
      </c>
    </row>
    <row r="51" spans="136:171">
      <c r="EF51" s="64">
        <v>7.2922578977317715E-2</v>
      </c>
      <c r="EG51" s="44" t="s">
        <v>165</v>
      </c>
      <c r="EH51" s="65">
        <f>'[4]Inedible Tallow Complex'!Z44</f>
        <v>9.4971590392800014</v>
      </c>
      <c r="EI51" s="65">
        <f>'[4]Inedible Tallow Complex'!AA44</f>
        <v>27.694398961459999</v>
      </c>
      <c r="EJ51" s="65">
        <f>'[4]Inedible Tallow Complex'!AB44</f>
        <v>38.59261385232</v>
      </c>
      <c r="EK51" s="65">
        <f>'[4]Inedible Tallow Complex'!AC44</f>
        <v>43.761764999999997</v>
      </c>
      <c r="EL51" s="65">
        <f>'[4]Inedible Tallow Complex'!AD44</f>
        <v>116.67876200000001</v>
      </c>
      <c r="EM51" s="65">
        <f>'[4]Inedible Tallow Complex'!AE44</f>
        <v>135.70073199999999</v>
      </c>
      <c r="EN51" s="65">
        <f>'[4]Inedible Tallow Complex'!AF44</f>
        <v>86.476101999999997</v>
      </c>
      <c r="EO51" s="66">
        <f t="shared" si="37"/>
        <v>334.12545037424701</v>
      </c>
      <c r="EP51" s="66">
        <f t="shared" si="37"/>
        <v>346.47289634797585</v>
      </c>
      <c r="EQ51" s="66">
        <f t="shared" si="37"/>
        <v>349.80241023953909</v>
      </c>
      <c r="ER51" s="66">
        <f t="shared" si="37"/>
        <v>358.17519047716706</v>
      </c>
      <c r="ES51" s="66">
        <f t="shared" si="37"/>
        <v>366.69786102063927</v>
      </c>
      <c r="ET51" s="66">
        <f t="shared" si="37"/>
        <v>369.24551182536072</v>
      </c>
      <c r="EU51" s="66">
        <f t="shared" si="37"/>
        <v>382.60991291735019</v>
      </c>
      <c r="EV51" s="66">
        <f t="shared" si="37"/>
        <v>411.98613904789357</v>
      </c>
      <c r="EW51" s="66">
        <f t="shared" si="37"/>
        <v>406.95797370242894</v>
      </c>
      <c r="EX51" s="66">
        <f t="shared" si="37"/>
        <v>482.33667890214144</v>
      </c>
      <c r="EY51" s="66">
        <f t="shared" si="37"/>
        <v>425.34298355444326</v>
      </c>
      <c r="EZ51" s="66">
        <f t="shared" si="37"/>
        <v>436.46660180684444</v>
      </c>
      <c r="FA51" s="66">
        <f t="shared" si="37"/>
        <v>448.42031809728809</v>
      </c>
      <c r="FB51" s="66">
        <f t="shared" si="37"/>
        <v>459.94540582030646</v>
      </c>
      <c r="FC51" s="66">
        <f t="shared" si="37"/>
        <v>472.9430250635624</v>
      </c>
      <c r="FD51" s="66">
        <f t="shared" si="37"/>
        <v>494.41674460767928</v>
      </c>
      <c r="FE51" s="66">
        <f t="shared" si="39"/>
        <v>499.38041923558524</v>
      </c>
      <c r="FF51" s="66">
        <f t="shared" si="38"/>
        <v>617.35621506404107</v>
      </c>
      <c r="FG51" s="66">
        <f t="shared" si="38"/>
        <v>926.28252492967806</v>
      </c>
      <c r="FH51" s="66">
        <f t="shared" si="38"/>
        <v>1224.4920856049835</v>
      </c>
      <c r="FI51" s="66">
        <f t="shared" si="38"/>
        <v>1523.5320682037568</v>
      </c>
      <c r="FJ51" s="66">
        <f t="shared" si="38"/>
        <v>1822.6371273121131</v>
      </c>
      <c r="FK51" s="66">
        <f t="shared" si="38"/>
        <v>2135.6698762051828</v>
      </c>
      <c r="FL51" s="66">
        <f t="shared" si="38"/>
        <v>2440.9868314782848</v>
      </c>
      <c r="FM51" s="66">
        <f t="shared" si="38"/>
        <v>2749.2057983860668</v>
      </c>
      <c r="FN51" s="66">
        <f t="shared" si="38"/>
        <v>3077.6380929256488</v>
      </c>
      <c r="FO51" s="66">
        <f t="shared" si="38"/>
        <v>3522.8315448355015</v>
      </c>
    </row>
    <row r="52" spans="136:171">
      <c r="EF52" s="64">
        <v>7.0406231878818296E-2</v>
      </c>
      <c r="EG52" s="44" t="s">
        <v>24</v>
      </c>
      <c r="EH52" s="65">
        <f>'[4]Inedible Tallow Complex'!Z45</f>
        <v>7.5981941699400002</v>
      </c>
      <c r="EI52" s="65">
        <f>'[4]Inedible Tallow Complex'!AA45</f>
        <v>36.180682410620001</v>
      </c>
      <c r="EJ52" s="65">
        <f>'[4]Inedible Tallow Complex'!AB45</f>
        <v>39.112483089900003</v>
      </c>
      <c r="EK52" s="65">
        <f>'[4]Inedible Tallow Complex'!AC45</f>
        <v>54.260813999999996</v>
      </c>
      <c r="EL52" s="65">
        <f>'[4]Inedible Tallow Complex'!AD45</f>
        <v>69.709271999999999</v>
      </c>
      <c r="EM52" s="65">
        <f>'[4]Inedible Tallow Complex'!AE45</f>
        <v>93.2089</v>
      </c>
      <c r="EN52" s="65">
        <f>'[4]Inedible Tallow Complex'!AF45</f>
        <v>189.48645000000002</v>
      </c>
      <c r="EO52" s="66">
        <f t="shared" si="37"/>
        <v>322.59574833442241</v>
      </c>
      <c r="EP52" s="66">
        <f t="shared" si="37"/>
        <v>334.51711969195406</v>
      </c>
      <c r="EQ52" s="66">
        <f t="shared" si="37"/>
        <v>337.73174169765775</v>
      </c>
      <c r="ER52" s="66">
        <f t="shared" si="37"/>
        <v>345.81560152746692</v>
      </c>
      <c r="ES52" s="66">
        <f t="shared" si="37"/>
        <v>354.04417938257973</v>
      </c>
      <c r="ET52" s="66">
        <f t="shared" si="37"/>
        <v>356.50391813316986</v>
      </c>
      <c r="EU52" s="66">
        <f t="shared" si="37"/>
        <v>369.4071524317925</v>
      </c>
      <c r="EV52" s="66">
        <f t="shared" si="37"/>
        <v>397.76969003917702</v>
      </c>
      <c r="EW52" s="66">
        <f t="shared" si="37"/>
        <v>392.91503212385646</v>
      </c>
      <c r="EX52" s="66">
        <f t="shared" si="37"/>
        <v>465.69263641932179</v>
      </c>
      <c r="EY52" s="66">
        <f t="shared" si="37"/>
        <v>410.66562850824801</v>
      </c>
      <c r="EZ52" s="66">
        <f t="shared" si="37"/>
        <v>421.40540289628234</v>
      </c>
      <c r="FA52" s="66">
        <f t="shared" si="37"/>
        <v>432.9466310420994</v>
      </c>
      <c r="FB52" s="66">
        <f t="shared" si="37"/>
        <v>444.07402135152529</v>
      </c>
      <c r="FC52" s="66">
        <f t="shared" si="37"/>
        <v>456.62313038122534</v>
      </c>
      <c r="FD52" s="66">
        <f t="shared" si="37"/>
        <v>477.3558540276843</v>
      </c>
      <c r="FE52" s="66">
        <f t="shared" si="39"/>
        <v>482.14824661341629</v>
      </c>
      <c r="FF52" s="66">
        <f t="shared" si="38"/>
        <v>596.05303925342992</v>
      </c>
      <c r="FG52" s="66">
        <f t="shared" si="38"/>
        <v>894.31919646974382</v>
      </c>
      <c r="FH52" s="66">
        <f t="shared" si="38"/>
        <v>1182.2384084865971</v>
      </c>
      <c r="FI52" s="66">
        <f t="shared" si="38"/>
        <v>1470.9593869703108</v>
      </c>
      <c r="FJ52" s="66">
        <f t="shared" si="38"/>
        <v>1759.7431963616493</v>
      </c>
      <c r="FK52" s="66">
        <f t="shared" si="38"/>
        <v>2061.9740912822017</v>
      </c>
      <c r="FL52" s="66">
        <f t="shared" si="38"/>
        <v>2356.7554422843259</v>
      </c>
      <c r="FM52" s="66">
        <f t="shared" si="38"/>
        <v>2654.3386649005884</v>
      </c>
      <c r="FN52" s="66">
        <f t="shared" si="38"/>
        <v>2971.4377117272056</v>
      </c>
      <c r="FO52" s="66">
        <f t="shared" si="38"/>
        <v>3401.2688263926116</v>
      </c>
    </row>
    <row r="53" spans="136:171">
      <c r="EF53" s="64">
        <v>8.2650766464832326E-2</v>
      </c>
      <c r="EG53" s="44" t="s">
        <v>166</v>
      </c>
      <c r="EH53" s="65">
        <f>'[4]Inedible Tallow Complex'!Z46</f>
        <v>21.24846707148</v>
      </c>
      <c r="EI53" s="65">
        <f>'[4]Inedible Tallow Complex'!AA46</f>
        <v>54.962203952919999</v>
      </c>
      <c r="EJ53" s="65">
        <f>'[4]Inedible Tallow Complex'!AB46</f>
        <v>34.996442117560001</v>
      </c>
      <c r="EK53" s="65">
        <f>'[4]Inedible Tallow Complex'!AC46</f>
        <v>71.898547000000008</v>
      </c>
      <c r="EL53" s="65">
        <f>'[4]Inedible Tallow Complex'!AD46</f>
        <v>107.935512</v>
      </c>
      <c r="EM53" s="65">
        <f>'[4]Inedible Tallow Complex'!AE46</f>
        <v>132.71839300000002</v>
      </c>
      <c r="EN53" s="65">
        <f>'[4]Inedible Tallow Complex'!AF46</f>
        <v>81.442381999999995</v>
      </c>
      <c r="EO53" s="66">
        <f t="shared" si="37"/>
        <v>378.69923082984451</v>
      </c>
      <c r="EP53" s="66">
        <f t="shared" si="37"/>
        <v>392.69387950963448</v>
      </c>
      <c r="EQ53" s="66">
        <f t="shared" si="37"/>
        <v>396.46756495730097</v>
      </c>
      <c r="ER53" s="66">
        <f t="shared" si="37"/>
        <v>405.95731029799714</v>
      </c>
      <c r="ES53" s="66">
        <f t="shared" si="37"/>
        <v>415.61694195973979</v>
      </c>
      <c r="ET53" s="66">
        <f t="shared" si="37"/>
        <v>418.5044604025594</v>
      </c>
      <c r="EU53" s="66">
        <f t="shared" si="37"/>
        <v>433.65173041257839</v>
      </c>
      <c r="EV53" s="66">
        <f t="shared" si="37"/>
        <v>466.9468721860045</v>
      </c>
      <c r="EW53" s="66">
        <f t="shared" si="37"/>
        <v>461.24792783237945</v>
      </c>
      <c r="EX53" s="66">
        <f t="shared" si="37"/>
        <v>546.68247838250102</v>
      </c>
      <c r="EY53" s="66">
        <f t="shared" si="37"/>
        <v>482.08557752939748</v>
      </c>
      <c r="EZ53" s="66">
        <f t="shared" si="37"/>
        <v>494.69313457574276</v>
      </c>
      <c r="FA53" s="66">
        <f t="shared" si="37"/>
        <v>508.2415283292828</v>
      </c>
      <c r="FB53" s="66">
        <f t="shared" si="37"/>
        <v>521.30411261032123</v>
      </c>
      <c r="FC53" s="66">
        <f t="shared" si="37"/>
        <v>536.03567048634341</v>
      </c>
      <c r="FD53" s="66">
        <f t="shared" si="37"/>
        <v>560.37407710967705</v>
      </c>
      <c r="FE53" s="66">
        <f t="shared" si="39"/>
        <v>565.99992740504399</v>
      </c>
      <c r="FF53" s="66">
        <f t="shared" si="38"/>
        <v>699.71420474229217</v>
      </c>
      <c r="FG53" s="66">
        <f t="shared" si="38"/>
        <v>1049.8526207120447</v>
      </c>
      <c r="FH53" s="66">
        <f t="shared" si="38"/>
        <v>1387.8446267904544</v>
      </c>
      <c r="FI53" s="66">
        <f t="shared" si="38"/>
        <v>1726.7778366692019</v>
      </c>
      <c r="FJ53" s="66">
        <f t="shared" si="38"/>
        <v>2065.7848045454211</v>
      </c>
      <c r="FK53" s="66">
        <f t="shared" si="38"/>
        <v>2420.5774762726942</v>
      </c>
      <c r="FL53" s="66">
        <f t="shared" si="38"/>
        <v>2766.6250341337509</v>
      </c>
      <c r="FM53" s="66">
        <f t="shared" si="38"/>
        <v>3115.9617445352128</v>
      </c>
      <c r="FN53" s="66">
        <f t="shared" si="38"/>
        <v>3488.2083279143249</v>
      </c>
      <c r="FO53" s="66">
        <f t="shared" si="38"/>
        <v>3992.7925121478379</v>
      </c>
    </row>
    <row r="54" spans="136:171">
      <c r="EF54" s="64">
        <v>8.9131443526072912E-2</v>
      </c>
      <c r="EG54" s="44" t="s">
        <v>167</v>
      </c>
      <c r="EH54" s="65">
        <f>'[4]Inedible Tallow Complex'!Z47</f>
        <v>24.702782532339999</v>
      </c>
      <c r="EI54" s="65">
        <f>'[4]Inedible Tallow Complex'!AA47</f>
        <v>51.163998636739997</v>
      </c>
      <c r="EJ54" s="65">
        <f>'[4]Inedible Tallow Complex'!AB47</f>
        <v>45.790398324000002</v>
      </c>
      <c r="EK54" s="65">
        <f>'[4]Inedible Tallow Complex'!AC47</f>
        <v>43.048353999999996</v>
      </c>
      <c r="EL54" s="65">
        <f>'[4]Inedible Tallow Complex'!AD47</f>
        <v>75.708606000000003</v>
      </c>
      <c r="EM54" s="65">
        <f>'[4]Inedible Tallow Complex'!AE47</f>
        <v>132.696729</v>
      </c>
      <c r="EN54" s="65">
        <f>'[4]Inedible Tallow Complex'!AF47</f>
        <v>189.76729699999999</v>
      </c>
      <c r="EO54" s="66">
        <f t="shared" si="37"/>
        <v>408.39317709703005</v>
      </c>
      <c r="EP54" s="66">
        <f t="shared" si="37"/>
        <v>423.48515133783371</v>
      </c>
      <c r="EQ54" s="66">
        <f t="shared" si="37"/>
        <v>427.55473285232529</v>
      </c>
      <c r="ER54" s="66">
        <f t="shared" si="37"/>
        <v>437.78857262283708</v>
      </c>
      <c r="ES54" s="66">
        <f t="shared" si="37"/>
        <v>448.20561956344369</v>
      </c>
      <c r="ET54" s="66">
        <f t="shared" si="37"/>
        <v>451.31954939162245</v>
      </c>
      <c r="EU54" s="66">
        <f t="shared" si="37"/>
        <v>467.65452242598201</v>
      </c>
      <c r="EV54" s="66">
        <f t="shared" si="37"/>
        <v>503.56034853750924</v>
      </c>
      <c r="EW54" s="66">
        <f t="shared" si="37"/>
        <v>497.41454785664689</v>
      </c>
      <c r="EX54" s="66">
        <f t="shared" si="37"/>
        <v>589.54805300416058</v>
      </c>
      <c r="EY54" s="66">
        <f t="shared" si="37"/>
        <v>519.8860853465759</v>
      </c>
      <c r="EZ54" s="66">
        <f t="shared" si="37"/>
        <v>533.48220558771379</v>
      </c>
      <c r="FA54" s="66">
        <f t="shared" si="37"/>
        <v>548.09293388902336</v>
      </c>
      <c r="FB54" s="66">
        <f t="shared" si="37"/>
        <v>562.1797602180369</v>
      </c>
      <c r="FC54" s="66">
        <f t="shared" si="37"/>
        <v>578.0664249767533</v>
      </c>
      <c r="FD54" s="66">
        <f t="shared" si="37"/>
        <v>604.31321503387016</v>
      </c>
      <c r="FE54" s="66">
        <f t="shared" si="39"/>
        <v>610.38019032442617</v>
      </c>
      <c r="FF54" s="66">
        <f t="shared" si="38"/>
        <v>754.57905343098582</v>
      </c>
      <c r="FG54" s="66">
        <f t="shared" si="38"/>
        <v>1132.1719516480359</v>
      </c>
      <c r="FH54" s="66">
        <f t="shared" si="38"/>
        <v>1496.6660354973405</v>
      </c>
      <c r="FI54" s="66">
        <f t="shared" si="38"/>
        <v>1862.1751232838681</v>
      </c>
      <c r="FJ54" s="66">
        <f t="shared" si="38"/>
        <v>2227.7637524596344</v>
      </c>
      <c r="FK54" s="66">
        <f t="shared" si="38"/>
        <v>2610.3758483435795</v>
      </c>
      <c r="FL54" s="66">
        <f t="shared" si="38"/>
        <v>2983.5571227598562</v>
      </c>
      <c r="FM54" s="66">
        <f t="shared" si="38"/>
        <v>3360.2854533795198</v>
      </c>
      <c r="FN54" s="66">
        <f t="shared" si="38"/>
        <v>3761.7200285609433</v>
      </c>
      <c r="FO54" s="66">
        <f t="shared" si="38"/>
        <v>4305.8688446556534</v>
      </c>
    </row>
    <row r="55" spans="136:171">
      <c r="EF55" s="64">
        <v>0.11094161718745285</v>
      </c>
      <c r="EG55" s="44" t="s">
        <v>168</v>
      </c>
      <c r="EH55" s="65">
        <f>'[4]Inedible Tallow Complex'!Z48</f>
        <v>29.812095204099997</v>
      </c>
      <c r="EI55" s="65">
        <f>'[4]Inedible Tallow Complex'!AA48</f>
        <v>29.132203623820001</v>
      </c>
      <c r="EJ55" s="65">
        <f>'[4]Inedible Tallow Complex'!AB48</f>
        <v>38.542586615280001</v>
      </c>
      <c r="EK55" s="65">
        <f>'[4]Inedible Tallow Complex'!AC48</f>
        <v>67.424770999999993</v>
      </c>
      <c r="EL55" s="65">
        <f>'[4]Inedible Tallow Complex'!AD48</f>
        <v>73.368600999999998</v>
      </c>
      <c r="EM55" s="65">
        <f>'[4]Inedible Tallow Complex'!AE48</f>
        <v>116.094672</v>
      </c>
      <c r="EN55" s="65">
        <f>'[4]Inedible Tallow Complex'!AF48</f>
        <v>124.25082673828</v>
      </c>
      <c r="EO55" s="66">
        <f t="shared" si="37"/>
        <v>508.32565616658962</v>
      </c>
      <c r="EP55" s="66">
        <f t="shared" si="37"/>
        <v>527.11058730412208</v>
      </c>
      <c r="EQ55" s="66">
        <f t="shared" si="37"/>
        <v>532.17598214833083</v>
      </c>
      <c r="ER55" s="66">
        <f t="shared" si="37"/>
        <v>544.9140091482609</v>
      </c>
      <c r="ES55" s="66">
        <f t="shared" si="37"/>
        <v>557.88007351555052</v>
      </c>
      <c r="ET55" s="66">
        <f t="shared" si="37"/>
        <v>561.75597182124034</v>
      </c>
      <c r="EU55" s="66">
        <f t="shared" si="37"/>
        <v>582.08805950492263</v>
      </c>
      <c r="EV55" s="66">
        <f t="shared" si="37"/>
        <v>626.77992421256715</v>
      </c>
      <c r="EW55" s="66">
        <f t="shared" si="37"/>
        <v>619.13026614047294</v>
      </c>
      <c r="EX55" s="66">
        <f t="shared" si="37"/>
        <v>733.80853964138043</v>
      </c>
      <c r="EY55" s="66">
        <f t="shared" si="37"/>
        <v>647.10051559673741</v>
      </c>
      <c r="EZ55" s="66">
        <f t="shared" si="37"/>
        <v>664.02356213738574</v>
      </c>
      <c r="FA55" s="66">
        <f t="shared" si="37"/>
        <v>682.20948802289672</v>
      </c>
      <c r="FB55" s="66">
        <f t="shared" si="37"/>
        <v>699.7433148314168</v>
      </c>
      <c r="FC55" s="66">
        <f t="shared" si="37"/>
        <v>719.51739466589572</v>
      </c>
      <c r="FD55" s="66">
        <f t="shared" si="37"/>
        <v>752.18668868517534</v>
      </c>
      <c r="FE55" s="66">
        <f t="shared" si="39"/>
        <v>759.73823305092662</v>
      </c>
      <c r="FF55" s="66">
        <f t="shared" si="38"/>
        <v>939.22208786984015</v>
      </c>
      <c r="FG55" s="66">
        <f t="shared" si="38"/>
        <v>1409.2107373237543</v>
      </c>
      <c r="FH55" s="66">
        <f t="shared" si="38"/>
        <v>1862.8953352364092</v>
      </c>
      <c r="FI55" s="66">
        <f t="shared" si="38"/>
        <v>2317.8433052408018</v>
      </c>
      <c r="FJ55" s="66">
        <f t="shared" si="38"/>
        <v>2772.8902801530744</v>
      </c>
      <c r="FK55" s="66">
        <f t="shared" si="38"/>
        <v>3249.1263085803344</v>
      </c>
      <c r="FL55" s="66">
        <f t="shared" si="38"/>
        <v>3713.6238242713662</v>
      </c>
      <c r="FM55" s="66">
        <f t="shared" si="38"/>
        <v>4182.5363492553142</v>
      </c>
      <c r="FN55" s="66">
        <f t="shared" si="38"/>
        <v>4682.2006563026634</v>
      </c>
      <c r="FO55" s="66">
        <f t="shared" si="38"/>
        <v>5359.500913764844</v>
      </c>
    </row>
    <row r="56" spans="136:171">
      <c r="EF56" s="64">
        <v>0.10116835512292786</v>
      </c>
      <c r="EG56" s="44" t="s">
        <v>169</v>
      </c>
      <c r="EH56" s="65">
        <f>'[4]Inedible Tallow Complex'!Z49</f>
        <v>26.213829080340002</v>
      </c>
      <c r="EI56" s="65">
        <f>'[4]Inedible Tallow Complex'!AA49</f>
        <v>34.523714269439999</v>
      </c>
      <c r="EJ56" s="65">
        <f>'[4]Inedible Tallow Complex'!AB49</f>
        <v>84.586798430640002</v>
      </c>
      <c r="EK56" s="65">
        <f>'[4]Inedible Tallow Complex'!AC49</f>
        <v>111.91224100738</v>
      </c>
      <c r="EL56" s="65">
        <f>'[4]Inedible Tallow Complex'!AD49</f>
        <v>110.549975</v>
      </c>
      <c r="EM56" s="65">
        <f>'[4]Inedible Tallow Complex'!AE49</f>
        <v>153.10229199999998</v>
      </c>
      <c r="EN56" s="65">
        <f>'[4]Inedible Tallow Complex'!AF49</f>
        <v>241.81523061388</v>
      </c>
      <c r="EO56" s="66">
        <f t="shared" si="37"/>
        <v>463.54534758821814</v>
      </c>
      <c r="EP56" s="66">
        <f t="shared" si="37"/>
        <v>480.67544387183858</v>
      </c>
      <c r="EQ56" s="66">
        <f t="shared" si="37"/>
        <v>485.294609135771</v>
      </c>
      <c r="ER56" s="66">
        <f t="shared" si="37"/>
        <v>496.91049568731563</v>
      </c>
      <c r="ES56" s="66">
        <f t="shared" si="37"/>
        <v>508.73433094149527</v>
      </c>
      <c r="ET56" s="66">
        <f t="shared" si="37"/>
        <v>512.26878686661348</v>
      </c>
      <c r="EU56" s="66">
        <f t="shared" si="37"/>
        <v>530.8097448886848</v>
      </c>
      <c r="EV56" s="66">
        <f t="shared" si="37"/>
        <v>571.5645360524843</v>
      </c>
      <c r="EW56" s="66">
        <f t="shared" si="37"/>
        <v>564.5887649755316</v>
      </c>
      <c r="EX56" s="66">
        <f t="shared" si="37"/>
        <v>669.16460037930995</v>
      </c>
      <c r="EY56" s="66">
        <f t="shared" si="37"/>
        <v>590.09501052707265</v>
      </c>
      <c r="EZ56" s="66">
        <f t="shared" si="37"/>
        <v>605.52724259282058</v>
      </c>
      <c r="FA56" s="66">
        <f t="shared" si="37"/>
        <v>622.11110223780781</v>
      </c>
      <c r="FB56" s="66">
        <f t="shared" si="37"/>
        <v>638.10030865284546</v>
      </c>
      <c r="FC56" s="66">
        <f t="shared" si="37"/>
        <v>656.13241582452588</v>
      </c>
      <c r="FD56" s="66">
        <f t="shared" si="37"/>
        <v>685.92374952550631</v>
      </c>
      <c r="FE56" s="66">
        <f t="shared" si="39"/>
        <v>692.81005009952821</v>
      </c>
      <c r="FF56" s="66">
        <f t="shared" si="38"/>
        <v>856.48250074058024</v>
      </c>
      <c r="FG56" s="66">
        <f t="shared" si="38"/>
        <v>1285.0680919471627</v>
      </c>
      <c r="FH56" s="66">
        <f t="shared" si="38"/>
        <v>1698.7859165023754</v>
      </c>
      <c r="FI56" s="66">
        <f t="shared" si="38"/>
        <v>2113.6558179757876</v>
      </c>
      <c r="FJ56" s="66">
        <f t="shared" si="38"/>
        <v>2528.6160026443899</v>
      </c>
      <c r="FK56" s="66">
        <f t="shared" si="38"/>
        <v>2962.8986178405817</v>
      </c>
      <c r="FL56" s="66">
        <f t="shared" si="38"/>
        <v>3386.4768097984934</v>
      </c>
      <c r="FM56" s="66">
        <f t="shared" si="38"/>
        <v>3814.0810763651971</v>
      </c>
      <c r="FN56" s="66">
        <f t="shared" si="38"/>
        <v>4269.7280854781575</v>
      </c>
      <c r="FO56" s="66">
        <f t="shared" si="38"/>
        <v>4887.3624296396201</v>
      </c>
    </row>
    <row r="57" spans="136:171">
      <c r="EF57" s="64">
        <v>8.4946810763782798E-2</v>
      </c>
      <c r="EG57" s="44" t="s">
        <v>170</v>
      </c>
      <c r="EH57" s="65">
        <f>'[4]Inedible Tallow Complex'!AA38</f>
        <v>35.431179953840001</v>
      </c>
      <c r="EI57" s="65">
        <f>'[4]Inedible Tallow Complex'!AB38</f>
        <v>7.9776710013000001</v>
      </c>
      <c r="EJ57" s="65">
        <f>'[4]Inedible Tallow Complex'!AC38</f>
        <v>39.960761341160001</v>
      </c>
      <c r="EK57" s="65">
        <f>'[4]Inedible Tallow Complex'!AD38</f>
        <v>63.675419961779994</v>
      </c>
      <c r="EL57" s="65">
        <f>'[4]Inedible Tallow Complex'!AE38</f>
        <v>121.226862</v>
      </c>
      <c r="EM57" s="65">
        <f>'[4]Inedible Tallow Complex'!AF38</f>
        <v>166.254729</v>
      </c>
      <c r="EN57" s="65">
        <f>'[4]Inedible Tallow Complex'!AG38</f>
        <v>102.56839785676</v>
      </c>
      <c r="EO57" s="66">
        <f>EO$46*$EF57*(1+EO$61)</f>
        <v>389.21952298386549</v>
      </c>
      <c r="EP57" s="66">
        <f t="shared" si="37"/>
        <v>403.60294402102636</v>
      </c>
      <c r="EQ57" s="66">
        <f t="shared" si="37"/>
        <v>407.48146272467756</v>
      </c>
      <c r="ER57" s="66">
        <f t="shared" si="37"/>
        <v>417.2348338805956</v>
      </c>
      <c r="ES57" s="66">
        <f t="shared" si="37"/>
        <v>427.16281081190493</v>
      </c>
      <c r="ET57" s="66">
        <f t="shared" si="37"/>
        <v>430.13054472691351</v>
      </c>
      <c r="EU57" s="66">
        <f t="shared" si="37"/>
        <v>445.69860699862272</v>
      </c>
      <c r="EV57" s="66">
        <f t="shared" si="37"/>
        <v>479.91869023020399</v>
      </c>
      <c r="EW57" s="66">
        <f t="shared" si="37"/>
        <v>474.0614287882704</v>
      </c>
      <c r="EX57" s="66">
        <f t="shared" si="37"/>
        <v>561.86935736154032</v>
      </c>
      <c r="EY57" s="66">
        <f t="shared" si="37"/>
        <v>495.47794990822587</v>
      </c>
      <c r="EZ57" s="66">
        <f t="shared" si="37"/>
        <v>508.43574580555952</v>
      </c>
      <c r="FA57" s="66">
        <f t="shared" si="37"/>
        <v>522.36051492218826</v>
      </c>
      <c r="FB57" s="66">
        <f t="shared" si="37"/>
        <v>535.78597874386344</v>
      </c>
      <c r="FC57" s="66">
        <f t="shared" si="37"/>
        <v>550.92678036828215</v>
      </c>
      <c r="FD57" s="66">
        <f t="shared" si="37"/>
        <v>575.9413096963799</v>
      </c>
      <c r="FE57" s="66">
        <f t="shared" si="39"/>
        <v>581.72344652180493</v>
      </c>
      <c r="FF57" s="66">
        <f t="shared" si="38"/>
        <v>719.15231620102622</v>
      </c>
      <c r="FG57" s="66">
        <f t="shared" si="38"/>
        <v>1079.017602812359</v>
      </c>
      <c r="FH57" s="66">
        <f t="shared" si="38"/>
        <v>1426.3990513828403</v>
      </c>
      <c r="FI57" s="66">
        <f t="shared" si="38"/>
        <v>1774.7478504636338</v>
      </c>
      <c r="FJ57" s="66">
        <f t="shared" si="38"/>
        <v>2123.1724565444283</v>
      </c>
      <c r="FK57" s="66">
        <f t="shared" si="38"/>
        <v>2487.8212944764691</v>
      </c>
      <c r="FL57" s="66">
        <f t="shared" si="38"/>
        <v>2843.4820786435475</v>
      </c>
      <c r="FM57" s="66">
        <f t="shared" si="38"/>
        <v>3202.5233882476396</v>
      </c>
      <c r="FN57" s="66">
        <f t="shared" si="38"/>
        <v>3585.1110087656525</v>
      </c>
      <c r="FO57" s="66">
        <f t="shared" si="38"/>
        <v>4103.7125783072961</v>
      </c>
    </row>
    <row r="58" spans="136:171">
      <c r="EF58" s="64">
        <v>7.8493949074165084E-2</v>
      </c>
      <c r="EG58" s="44" t="s">
        <v>171</v>
      </c>
      <c r="EH58" s="65">
        <f>'[4]Inedible Tallow Complex'!AA39</f>
        <v>31.907066223779999</v>
      </c>
      <c r="EI58" s="65">
        <f>'[4]Inedible Tallow Complex'!AB39</f>
        <v>32.476224150699998</v>
      </c>
      <c r="EJ58" s="65">
        <f>'[4]Inedible Tallow Complex'!AC39</f>
        <v>43.25556593116</v>
      </c>
      <c r="EK58" s="65">
        <f>'[4]Inedible Tallow Complex'!AD39</f>
        <v>67.293489000000008</v>
      </c>
      <c r="EL58" s="65">
        <f>'[4]Inedible Tallow Complex'!AE39</f>
        <v>158.68839600000001</v>
      </c>
      <c r="EM58" s="65">
        <f>'[4]Inedible Tallow Complex'!AF39</f>
        <v>264.017403</v>
      </c>
      <c r="EN58" s="65">
        <f>'[4]Inedible Tallow Complex'!AG39</f>
        <v>195.86665962335999</v>
      </c>
      <c r="EO58" s="66">
        <f t="shared" ref="EO58:FD59" si="40">EO$46*$EF58*(1+EO$61)</f>
        <v>359.65302453464199</v>
      </c>
      <c r="EP58" s="66">
        <f t="shared" si="40"/>
        <v>372.94382978385494</v>
      </c>
      <c r="EQ58" s="66">
        <f t="shared" si="40"/>
        <v>376.52772242055642</v>
      </c>
      <c r="ER58" s="66">
        <f t="shared" si="40"/>
        <v>385.54019283504857</v>
      </c>
      <c r="ES58" s="66">
        <f t="shared" si="40"/>
        <v>394.71400534959599</v>
      </c>
      <c r="ET58" s="66">
        <f t="shared" si="40"/>
        <v>397.4562996475907</v>
      </c>
      <c r="EU58" s="66">
        <f t="shared" si="40"/>
        <v>411.84175657236062</v>
      </c>
      <c r="EV58" s="66">
        <f t="shared" si="40"/>
        <v>443.46236064615869</v>
      </c>
      <c r="EW58" s="66">
        <f t="shared" si="40"/>
        <v>438.05003760302895</v>
      </c>
      <c r="EX58" s="66">
        <f t="shared" si="40"/>
        <v>519.18776380801035</v>
      </c>
      <c r="EY58" s="66">
        <f t="shared" si="40"/>
        <v>457.83968365354662</v>
      </c>
      <c r="EZ58" s="66">
        <f t="shared" si="40"/>
        <v>469.81315931594759</v>
      </c>
      <c r="FA58" s="66">
        <f t="shared" si="40"/>
        <v>482.68015347479314</v>
      </c>
      <c r="FB58" s="66">
        <f t="shared" si="40"/>
        <v>495.08577134367397</v>
      </c>
      <c r="FC58" s="66">
        <f t="shared" si="40"/>
        <v>509.07642385862226</v>
      </c>
      <c r="FD58" s="66">
        <f t="shared" si="37"/>
        <v>532.19076062464774</v>
      </c>
      <c r="FE58" s="66">
        <f t="shared" si="39"/>
        <v>537.5336657841699</v>
      </c>
      <c r="FF58" s="66">
        <f t="shared" si="38"/>
        <v>664.52295003073118</v>
      </c>
      <c r="FG58" s="66">
        <f t="shared" si="38"/>
        <v>997.05159032752556</v>
      </c>
      <c r="FH58" s="66">
        <f t="shared" si="38"/>
        <v>1318.0447092949362</v>
      </c>
      <c r="FI58" s="66">
        <f t="shared" si="38"/>
        <v>1639.9316953894418</v>
      </c>
      <c r="FJ58" s="66">
        <f t="shared" si="38"/>
        <v>1961.8887299147725</v>
      </c>
      <c r="FK58" s="66">
        <f t="shared" si="38"/>
        <v>2298.8375459707886</v>
      </c>
      <c r="FL58" s="66">
        <f t="shared" si="38"/>
        <v>2627.4810727739259</v>
      </c>
      <c r="FM58" s="66">
        <f t="shared" si="38"/>
        <v>2959.2483282857811</v>
      </c>
      <c r="FN58" s="66">
        <f t="shared" si="38"/>
        <v>3312.7732332390178</v>
      </c>
      <c r="FO58" s="66">
        <f t="shared" si="38"/>
        <v>3791.9799841855693</v>
      </c>
    </row>
    <row r="59" spans="136:171">
      <c r="EF59" s="64">
        <v>6.7620918583037454E-2</v>
      </c>
      <c r="EG59" s="44" t="s">
        <v>172</v>
      </c>
      <c r="EH59" s="65">
        <f>'[4]Inedible Tallow Complex'!AA40</f>
        <v>25.003192872020001</v>
      </c>
      <c r="EI59" s="65">
        <f>'[4]Inedible Tallow Complex'!AB40</f>
        <v>31.446726135439999</v>
      </c>
      <c r="EJ59" s="65">
        <f>'[4]Inedible Tallow Complex'!AC40</f>
        <v>40.34067468728</v>
      </c>
      <c r="EK59" s="65">
        <f>'[4]Inedible Tallow Complex'!AD40</f>
        <v>77.255639000000002</v>
      </c>
      <c r="EL59" s="65">
        <f>'[4]Inedible Tallow Complex'!AE40</f>
        <v>135.88752199999999</v>
      </c>
      <c r="EM59" s="65">
        <f>'[4]Inedible Tallow Complex'!AF40</f>
        <v>197.243236</v>
      </c>
      <c r="EN59" s="66">
        <f t="shared" ref="EN59:FC60" si="41">EN$46*$EF59*(1+EN$61)</f>
        <v>266.88775785898594</v>
      </c>
      <c r="EO59" s="66">
        <f t="shared" si="41"/>
        <v>309.83366459523342</v>
      </c>
      <c r="EP59" s="66">
        <f t="shared" si="41"/>
        <v>321.28341926117412</v>
      </c>
      <c r="EQ59" s="66">
        <f t="shared" si="41"/>
        <v>324.37086886786619</v>
      </c>
      <c r="ER59" s="66">
        <f t="shared" si="41"/>
        <v>332.1349262929117</v>
      </c>
      <c r="ES59" s="66">
        <f t="shared" si="41"/>
        <v>340.03797661028239</v>
      </c>
      <c r="ET59" s="66">
        <f t="shared" si="41"/>
        <v>342.40040660192687</v>
      </c>
      <c r="EU59" s="66">
        <f t="shared" si="41"/>
        <v>354.7931811146546</v>
      </c>
      <c r="EV59" s="66">
        <f t="shared" si="40"/>
        <v>382.03367950772775</v>
      </c>
      <c r="EW59" s="66">
        <f t="shared" si="40"/>
        <v>377.37107480811233</v>
      </c>
      <c r="EX59" s="66">
        <f t="shared" si="40"/>
        <v>447.26955287469303</v>
      </c>
      <c r="EY59" s="66">
        <f t="shared" si="40"/>
        <v>394.41944681835218</v>
      </c>
      <c r="EZ59" s="66">
        <f t="shared" si="40"/>
        <v>404.73434920857579</v>
      </c>
      <c r="FA59" s="66">
        <f t="shared" si="40"/>
        <v>415.81899935914498</v>
      </c>
      <c r="FB59" s="66">
        <f t="shared" si="40"/>
        <v>426.50618334948354</v>
      </c>
      <c r="FC59" s="66">
        <f t="shared" si="40"/>
        <v>438.55884200401243</v>
      </c>
      <c r="FD59" s="66">
        <f t="shared" si="40"/>
        <v>458.47136651057667</v>
      </c>
      <c r="FE59" s="66">
        <f t="shared" si="39"/>
        <v>463.07416913486014</v>
      </c>
      <c r="FF59" s="66">
        <f t="shared" si="38"/>
        <v>572.47281899564575</v>
      </c>
      <c r="FG59" s="66">
        <f t="shared" si="38"/>
        <v>858.93938587447417</v>
      </c>
      <c r="FH59" s="66">
        <f t="shared" si="38"/>
        <v>1135.4683389903601</v>
      </c>
      <c r="FI59" s="66">
        <f t="shared" si="38"/>
        <v>1412.7673402047083</v>
      </c>
      <c r="FJ59" s="66">
        <f t="shared" si="38"/>
        <v>1690.126686697814</v>
      </c>
      <c r="FK59" s="66">
        <f t="shared" si="38"/>
        <v>1980.4011438492373</v>
      </c>
      <c r="FL59" s="66">
        <f t="shared" si="38"/>
        <v>2263.5207655642771</v>
      </c>
      <c r="FM59" s="66">
        <f t="shared" si="38"/>
        <v>2549.3314151506265</v>
      </c>
      <c r="FN59" s="66">
        <f t="shared" si="38"/>
        <v>2853.885831088237</v>
      </c>
      <c r="FO59" s="66">
        <f t="shared" si="38"/>
        <v>3266.7125657908227</v>
      </c>
    </row>
    <row r="61" spans="136:171">
      <c r="EN61" s="67">
        <v>0.25</v>
      </c>
      <c r="EO61" s="67">
        <v>0.25</v>
      </c>
      <c r="EP61" s="67">
        <v>0.25</v>
      </c>
      <c r="EQ61" s="67">
        <v>0.25</v>
      </c>
      <c r="ER61" s="67">
        <v>0.25</v>
      </c>
      <c r="ES61" s="67">
        <v>0.25</v>
      </c>
      <c r="ET61" s="67">
        <v>0.25</v>
      </c>
      <c r="EU61" s="67">
        <v>0.25</v>
      </c>
      <c r="EV61" s="67">
        <v>0.3</v>
      </c>
      <c r="EW61" s="67">
        <v>0.25</v>
      </c>
      <c r="EX61" s="67">
        <v>0.45</v>
      </c>
      <c r="EY61" s="67">
        <v>0.25</v>
      </c>
      <c r="EZ61" s="67">
        <v>0.25</v>
      </c>
      <c r="FA61" s="67">
        <v>0.25</v>
      </c>
      <c r="FB61" s="67">
        <v>0.25</v>
      </c>
      <c r="FC61" s="67">
        <v>0.25</v>
      </c>
      <c r="FD61" s="67">
        <v>0.25</v>
      </c>
      <c r="FE61" s="67">
        <v>0.25</v>
      </c>
      <c r="FF61" s="67">
        <v>1.25</v>
      </c>
      <c r="FG61" s="67">
        <v>2.25</v>
      </c>
      <c r="FH61" s="67">
        <v>3.25</v>
      </c>
      <c r="FI61" s="67">
        <v>4.25</v>
      </c>
      <c r="FJ61" s="67">
        <v>5.25</v>
      </c>
      <c r="FK61" s="67">
        <v>6.25</v>
      </c>
      <c r="FL61" s="67">
        <v>7.25</v>
      </c>
      <c r="FM61" s="67">
        <v>8.25</v>
      </c>
      <c r="FN61" s="67">
        <v>9.25</v>
      </c>
      <c r="FO61" s="67">
        <v>10.068181818181801</v>
      </c>
    </row>
    <row r="62" spans="136:171">
      <c r="EG62" s="44" t="s">
        <v>173</v>
      </c>
    </row>
    <row r="63" spans="136:171">
      <c r="EG63" s="44" t="s">
        <v>174</v>
      </c>
      <c r="EH63" s="44">
        <v>1502000011</v>
      </c>
    </row>
    <row r="64" spans="136:171">
      <c r="EG64" s="44" t="s">
        <v>175</v>
      </c>
      <c r="EH64" s="44">
        <v>1502100010</v>
      </c>
    </row>
    <row r="65" spans="137:138">
      <c r="EG65" s="44" t="s">
        <v>176</v>
      </c>
      <c r="EH65" s="44">
        <v>1502100020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Canada Tallow</vt:lpstr>
      <vt:lpstr>Australia Tallow</vt:lpstr>
      <vt:lpstr>New Zealand Tallow</vt:lpstr>
      <vt:lpstr>Paraguay Tallow</vt:lpstr>
      <vt:lpstr>Brazil Tallow</vt:lpstr>
      <vt:lpstr>Uruguay Tallow</vt:lpstr>
      <vt:lpstr>Mexico Tallow</vt:lpstr>
      <vt:lpstr>China Tallow</vt:lpstr>
      <vt:lpstr>EU-28 Tallow</vt:lpstr>
      <vt:lpstr>Tallow Trade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2025-07-17T10:22:59Z</dcterms:created>
  <dcterms:modified xsi:type="dcterms:W3CDTF">2025-07-17T10:23:30Z</dcterms:modified>
</cp:coreProperties>
</file>