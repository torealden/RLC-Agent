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3B8654FB-3617-4437-AB7F-834E38234DDF}" xr6:coauthVersionLast="47" xr6:coauthVersionMax="47" xr10:uidLastSave="{00000000-0000-0000-0000-000000000000}"/>
  <bookViews>
    <workbookView xWindow="1560" yWindow="1650" windowWidth="27240" windowHeight="14550" xr2:uid="{DDB11341-2175-487A-9795-26569F75107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A12" i="1"/>
  <c r="B14" i="1" s="1"/>
  <c r="E5" i="1"/>
  <c r="B5" i="1" a="1"/>
  <c r="B5" i="1" s="1"/>
  <c r="C5" i="1" s="1"/>
  <c r="E4" i="1"/>
  <c r="B4" i="1" a="1"/>
  <c r="B4" i="1" s="1"/>
  <c r="C4" i="1" s="1"/>
  <c r="E3" i="1"/>
  <c r="B3" i="1" a="1"/>
  <c r="B3" i="1" s="1"/>
  <c r="C2" i="1" a="1"/>
  <c r="C2" i="1" s="1"/>
  <c r="B2" i="1" s="1"/>
  <c r="C3" i="1" l="1"/>
  <c r="C11" i="1"/>
  <c r="B12" i="1"/>
  <c r="C14" i="1" s="1"/>
  <c r="B6" i="1"/>
  <c r="B21" i="1" l="1"/>
  <c r="B22" i="1" s="1"/>
  <c r="B23" i="1" s="1"/>
  <c r="C6" i="1"/>
  <c r="C19" i="1"/>
  <c r="D19" i="1" s="1"/>
  <c r="C23" i="1" l="1"/>
  <c r="B24" i="1"/>
  <c r="E26" i="1" l="1"/>
  <c r="E27" i="1" s="1"/>
  <c r="E28" i="1" s="1"/>
  <c r="B25" i="1"/>
  <c r="B26" i="1" s="1"/>
  <c r="B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<sst xmlns="http://schemas.openxmlformats.org/spreadsheetml/2006/main" count="21" uniqueCount="21">
  <si>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Traded Price</t>
  </si>
  <si>
    <t>$ per mmbtu</t>
  </si>
  <si>
    <t>Btu per Traded Unit</t>
  </si>
  <si>
    <t>Btu per Gallon</t>
  </si>
  <si>
    <t>Natural Gas ($/mmbtu)</t>
  </si>
  <si>
    <t>Crude Oil ($/barrell)</t>
  </si>
  <si>
    <t>Heating Oil ($ per gallon)</t>
  </si>
  <si>
    <t>Soybean Oil as SME (cents per pound)</t>
  </si>
  <si>
    <t>British Natural Gas (GBp per mmbtu)</t>
  </si>
  <si>
    <t>Crude:Natty Ratio</t>
  </si>
  <si>
    <t>Natural Gas</t>
  </si>
  <si>
    <t xml:space="preserve">  European</t>
  </si>
  <si>
    <t xml:space="preserve">  Futures</t>
  </si>
  <si>
    <t xml:space="preserve">  U.S. Export</t>
  </si>
  <si>
    <t>GBp per 1,000 therm</t>
  </si>
  <si>
    <t>USd per 1,000 therm</t>
  </si>
  <si>
    <t>USD per 1000 therm</t>
  </si>
  <si>
    <t>USD therm</t>
  </si>
  <si>
    <t>USD per ccf</t>
  </si>
  <si>
    <t>USD per mcf</t>
  </si>
  <si>
    <t>USD per 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</si>
</sst>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_);[Red]\(#,##0.0000\)"/>
    <numFmt numFmtId="165" formatCode="_(* #,##0_);_(* \(#,##0\);_(* &quot;-&quot;??_);_(@_)"/>
    <numFmt numFmtId="166" formatCode="_(* #,##0.00000000_);_(* \(#,##0.00000000\);_(* &quot;-&quot;??_);_(@_)"/>
  </numFmts>
  <fonts count="4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38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4" fontId="0" fillId="0" borderId="0" xfId="0" applyNumberFormat="1"/>
    <xf numFmtId="40" fontId="1" fillId="0" borderId="0" xfId="0" applyNumberFormat="1" applyFont="1"/>
    <xf numFmtId="38" fontId="3" fillId="0" borderId="0" xfId="0" applyNumberFormat="1" applyFont="1"/>
    <xf numFmtId="43" fontId="0" fillId="0" borderId="0" xfId="0" applyNumberFormat="1"/>
    <xf numFmtId="165" fontId="0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@BO@A?Last" advise="1">
        <values>
          <value>
            <val>41.9</val>
          </value>
        </values>
      </ddeItem>
      <ddeItem name="QCL@C?Last" advise="1">
        <values>
          <value>
            <val>68.210000000000008</val>
          </value>
        </values>
      </ddeItem>
      <ddeItem name="QHO@A?Last" advise="1">
        <values>
          <value>
            <val>2.2145000000000001</val>
          </value>
        </values>
      </ddeItem>
      <ddeItem name="qng@a?Last" advise="1">
        <values>
          <value>
            <val>3.9420000000000002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5E17-E42B-46DF-BC03-A8DB1F9AF140}">
  <dimension ref="A1:E32"/>
  <sheetViews>
    <sheetView tabSelected="1" zoomScale="175" zoomScaleNormal="175" workbookViewId="0">
      <selection sqref="A1:E5"/>
    </sheetView>
  </sheetViews>
  <sheetFormatPr defaultRowHeight="12.75" x14ac:dyDescent="0.2"/>
  <cols>
    <col min="1" max="1" width="49.6640625" customWidth="1"/>
    <col min="2" max="5" width="22.1640625" customWidth="1"/>
  </cols>
  <sheetData>
    <row r="1" spans="1:5" ht="42.75" customHeight="1" thickBot="1" x14ac:dyDescent="0.3">
      <c r="A1" s="1"/>
      <c r="B1" s="2" t="s">
        <v>0</v>
      </c>
      <c r="C1" s="2" t="s">
        <v>1</v>
      </c>
      <c r="D1" s="3" t="s">
        <v>2</v>
      </c>
      <c r="E1" s="3" t="s">
        <v>3</v>
      </c>
    </row>
    <row r="2" spans="1:5" ht="18" x14ac:dyDescent="0.25">
      <c r="A2" s="1" t="s">
        <v>4</v>
      </c>
      <c r="B2" s="4">
        <f>C2</f>
        <v>3.9420000000000002</v>
      </c>
      <c r="C2" s="4" cm="1">
        <f t="array" ref="C2">[1]!'qng@a?Last'</f>
        <v>3.9420000000000002</v>
      </c>
      <c r="D2" s="5">
        <v>1000000</v>
      </c>
    </row>
    <row r="3" spans="1:5" ht="18" x14ac:dyDescent="0.25">
      <c r="A3" s="1" t="s">
        <v>5</v>
      </c>
      <c r="B3" s="4">
        <f t="array" ref="B3">[1]!'QCL@C?Last'</f>
        <v>68.210000000000008</v>
      </c>
      <c r="C3" s="4">
        <f>B3/5691000*1000000</f>
        <v>11.985591284484276</v>
      </c>
      <c r="D3" s="5">
        <v>5691000</v>
      </c>
      <c r="E3" s="5">
        <f>D3/42</f>
        <v>135500</v>
      </c>
    </row>
    <row r="4" spans="1:5" ht="18" x14ac:dyDescent="0.25">
      <c r="A4" s="1" t="s">
        <v>6</v>
      </c>
      <c r="B4" s="4">
        <f t="array" ref="B4">[1]!'QHO@A?Last'</f>
        <v>2.2145000000000001</v>
      </c>
      <c r="C4" s="4">
        <f>B4/138690*1000000</f>
        <v>15.967265123657079</v>
      </c>
      <c r="D4" s="5">
        <v>138690</v>
      </c>
      <c r="E4" s="5">
        <f>D4</f>
        <v>138690</v>
      </c>
    </row>
    <row r="5" spans="1:5" ht="18" x14ac:dyDescent="0.25">
      <c r="A5" s="1" t="s">
        <v>7</v>
      </c>
      <c r="B5" s="4" cm="1">
        <f t="array" ref="B5">[1]!'@BO@A?Last'</f>
        <v>41.9</v>
      </c>
      <c r="C5" s="4">
        <f>B5/17260/100*1000000</f>
        <v>24.275782155272303</v>
      </c>
      <c r="D5" s="5">
        <v>17260</v>
      </c>
      <c r="E5" s="5">
        <f>D5*7.6</f>
        <v>131176</v>
      </c>
    </row>
    <row r="6" spans="1:5" ht="18" x14ac:dyDescent="0.25">
      <c r="A6" s="1" t="s">
        <v>8</v>
      </c>
      <c r="B6" s="4" t="e">
        <f ca="1">_xll.RHistory("NGLNMc1","NDA_RAW.Nda_last","START:"&amp;$A12&amp;" END:"&amp;$A12&amp;" INTERVAL:1d")</f>
        <v>#NAME?</v>
      </c>
      <c r="C6" s="4" t="e">
        <f ca="1">B6/10*B12</f>
        <v>#NAME?</v>
      </c>
      <c r="D6" s="5">
        <v>10000000</v>
      </c>
      <c r="E6" s="5"/>
    </row>
    <row r="7" spans="1:5" x14ac:dyDescent="0.2">
      <c r="B7" s="6"/>
      <c r="C7" s="6"/>
    </row>
    <row r="9" spans="1:5" hidden="1" x14ac:dyDescent="0.2"/>
    <row r="10" spans="1:5" hidden="1" x14ac:dyDescent="0.2"/>
    <row r="11" spans="1:5" ht="18" hidden="1" x14ac:dyDescent="0.25">
      <c r="A11" s="1" t="s">
        <v>9</v>
      </c>
      <c r="B11" s="7"/>
      <c r="C11" s="7">
        <f>B3/C2</f>
        <v>17.303399289700661</v>
      </c>
    </row>
    <row r="12" spans="1:5" hidden="1" x14ac:dyDescent="0.2">
      <c r="A12" s="8">
        <f ca="1">TODAY()-1</f>
        <v>45854</v>
      </c>
      <c r="B12" s="9" t="e">
        <f ca="1">_xll.RHistory("GBP=",".Close","START:"&amp;$A12&amp;" END:"&amp;$A12&amp;" INTERVAL:1D",,,)</f>
        <v>#NAME?</v>
      </c>
    </row>
    <row r="13" spans="1:5" hidden="1" x14ac:dyDescent="0.2">
      <c r="A13" t="s">
        <v>10</v>
      </c>
    </row>
    <row r="14" spans="1:5" hidden="1" x14ac:dyDescent="0.2">
      <c r="A14" t="s">
        <v>11</v>
      </c>
      <c r="B14" s="10" t="e">
        <f ca="1">_xll.RHistory("NGLNMc1","NDA_RAW.Nda_last","START:"&amp;$A12&amp;" END:"&amp;$A12&amp;" INTERVAL:1W",,,)</f>
        <v>#NAME?</v>
      </c>
      <c r="C14" s="11" t="e">
        <f ca="1">B14*B12/100*D14/1000000</f>
        <v>#NAME?</v>
      </c>
      <c r="D14" s="12">
        <f>1000*99976.1*30</f>
        <v>2999283000</v>
      </c>
    </row>
    <row r="15" spans="1:5" hidden="1" x14ac:dyDescent="0.2">
      <c r="A15" t="s">
        <v>12</v>
      </c>
    </row>
    <row r="16" spans="1:5" hidden="1" x14ac:dyDescent="0.2">
      <c r="A16" t="s">
        <v>13</v>
      </c>
    </row>
    <row r="17" spans="1:5" hidden="1" x14ac:dyDescent="0.2"/>
    <row r="18" spans="1:5" hidden="1" x14ac:dyDescent="0.2"/>
    <row r="19" spans="1:5" hidden="1" x14ac:dyDescent="0.2">
      <c r="C19" t="e">
        <f ca="1">B6/100/30*B12</f>
        <v>#NAME?</v>
      </c>
      <c r="D19" t="e">
        <f ca="1">C19*B12</f>
        <v>#NAME?</v>
      </c>
    </row>
    <row r="20" spans="1:5" hidden="1" x14ac:dyDescent="0.2"/>
    <row r="21" spans="1:5" hidden="1" x14ac:dyDescent="0.2">
      <c r="A21" t="s">
        <v>14</v>
      </c>
      <c r="B21" t="e">
        <f ca="1">B6/30</f>
        <v>#NAME?</v>
      </c>
    </row>
    <row r="22" spans="1:5" hidden="1" x14ac:dyDescent="0.2">
      <c r="A22" t="s">
        <v>15</v>
      </c>
      <c r="B22" t="e">
        <f ca="1">B21*B12</f>
        <v>#NAME?</v>
      </c>
    </row>
    <row r="23" spans="1:5" hidden="1" x14ac:dyDescent="0.2">
      <c r="A23" t="s">
        <v>16</v>
      </c>
      <c r="B23" t="e">
        <f ca="1">B22/100</f>
        <v>#NAME?</v>
      </c>
      <c r="C23" t="e">
        <f ca="1">B23*99976.1</f>
        <v>#NAME?</v>
      </c>
    </row>
    <row r="24" spans="1:5" hidden="1" x14ac:dyDescent="0.2">
      <c r="A24" t="s">
        <v>17</v>
      </c>
      <c r="B24" t="e">
        <f ca="1">B23/1000</f>
        <v>#NAME?</v>
      </c>
    </row>
    <row r="25" spans="1:5" hidden="1" x14ac:dyDescent="0.2">
      <c r="A25" t="s">
        <v>18</v>
      </c>
      <c r="B25" s="13" t="e">
        <f ca="1">B24*1.037</f>
        <v>#NAME?</v>
      </c>
    </row>
    <row r="26" spans="1:5" hidden="1" x14ac:dyDescent="0.2">
      <c r="A26" t="s">
        <v>19</v>
      </c>
      <c r="B26" s="13" t="e">
        <f ca="1">B25/10</f>
        <v>#NAME?</v>
      </c>
      <c r="E26" t="e">
        <f ca="1">B24/99976.1</f>
        <v>#NAME?</v>
      </c>
    </row>
    <row r="27" spans="1:5" hidden="1" x14ac:dyDescent="0.2">
      <c r="A27" t="s">
        <v>20</v>
      </c>
      <c r="B27" s="13" t="e">
        <f ca="1">B26/1.037</f>
        <v>#NAME?</v>
      </c>
      <c r="E27" t="e">
        <f ca="1">E26*1000000</f>
        <v>#NAME?</v>
      </c>
    </row>
    <row r="28" spans="1:5" hidden="1" x14ac:dyDescent="0.2">
      <c r="E28" t="e">
        <f ca="1">E27*100000</f>
        <v>#NAME?</v>
      </c>
    </row>
    <row r="29" spans="1:5" hidden="1" x14ac:dyDescent="0.2"/>
    <row r="30" spans="1:5" hidden="1" x14ac:dyDescent="0.2"/>
    <row r="31" spans="1:5" hidden="1" x14ac:dyDescent="0.2"/>
    <row r="32" spans="1:5" hidden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2025-07-17T08:18:32Z</dcterms:created>
  <dcterms:modified xsi:type="dcterms:W3CDTF">2025-07-17T08:19:06Z</dcterms:modified>
</cp:coreProperties>
</file>