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522DC3EF-2D4A-487D-8BBC-FA0B7090D4DA}" xr6:coauthVersionLast="47" xr6:coauthVersionMax="47" xr10:uidLastSave="{00000000-0000-0000-0000-000000000000}"/>
  <bookViews>
    <workbookView xWindow="390" yWindow="390" windowWidth="27240" windowHeight="14550" xr2:uid="{E0D4B672-8BA8-48FD-B50E-29333783BC48}"/>
  </bookViews>
  <sheets>
    <sheet name="Soybean Oil Futures" sheetId="1" r:id="rId1"/>
    <sheet name="Canola Oil LA" sheetId="2" r:id="rId2"/>
    <sheet name="Palm Oil Futures" sheetId="3" r:id="rId3"/>
    <sheet name="USDA SBO Comp" sheetId="4" r:id="rId4"/>
    <sheet name="CO Comp Table" sheetId="5" r:id="rId5"/>
    <sheet name="Canada Canola Comp Table" sheetId="6" r:id="rId6"/>
    <sheet name="Canada CO Comp Table" sheetId="7" r:id="rId7"/>
    <sheet name="Malaysia PO Comp Table" sheetId="8" r:id="rId8"/>
    <sheet name="SBO Biofuel Use" sheetId="9" r:id="rId9"/>
    <sheet name="SBO Non-Biofuel Use" sheetId="10" r:id="rId10"/>
    <sheet name="SBO Usage in Biodiesel" sheetId="11" r:id="rId11"/>
    <sheet name="SBO Usage in RD" sheetId="12" r:id="rId12"/>
    <sheet name="SBO Daily Use" sheetId="13" r:id="rId13"/>
    <sheet name="SBO Days of Usage" sheetId="14" r:id="rId14"/>
    <sheet name="NOPA SBO Stocks" sheetId="15" r:id="rId15"/>
    <sheet name="NASS SBO Stocks" sheetId="16" r:id="rId16"/>
    <sheet name="EIA Canola Oil Use" sheetId="17" r:id="rId17"/>
    <sheet name="Malaysia PO Production" sheetId="18" r:id="rId18"/>
    <sheet name="Malaysia PO Stocks" sheetId="19" r:id="rId19"/>
    <sheet name="Malaysia PO Exports" sheetId="20" r:id="rId20"/>
  </sheets>
  <externalReferences>
    <externalReference r:id="rId21"/>
    <externalReference r:id="rId22"/>
    <externalReference r:id="rId23"/>
    <externalReference r:id="rId24"/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20" l="1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2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P13" i="19"/>
  <c r="O13" i="19"/>
  <c r="N13" i="19"/>
  <c r="M13" i="19"/>
  <c r="L13" i="19"/>
  <c r="K13" i="19"/>
  <c r="Q13" i="19" s="1"/>
  <c r="J13" i="19"/>
  <c r="I13" i="19"/>
  <c r="H13" i="19"/>
  <c r="G13" i="19"/>
  <c r="F13" i="19"/>
  <c r="E13" i="19"/>
  <c r="D13" i="19"/>
  <c r="C13" i="19"/>
  <c r="B13" i="19"/>
  <c r="P12" i="19"/>
  <c r="O12" i="19"/>
  <c r="N12" i="19"/>
  <c r="M12" i="19"/>
  <c r="L12" i="19"/>
  <c r="K12" i="19"/>
  <c r="Q12" i="19" s="1"/>
  <c r="J12" i="19"/>
  <c r="I12" i="19"/>
  <c r="H12" i="19"/>
  <c r="G12" i="19"/>
  <c r="F12" i="19"/>
  <c r="E12" i="19"/>
  <c r="D12" i="19"/>
  <c r="C12" i="19"/>
  <c r="B12" i="19"/>
  <c r="P11" i="19"/>
  <c r="O11" i="19"/>
  <c r="Q11" i="19" s="1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P10" i="19"/>
  <c r="O10" i="19"/>
  <c r="N10" i="19"/>
  <c r="M10" i="19"/>
  <c r="L10" i="19"/>
  <c r="K10" i="19"/>
  <c r="Q10" i="19" s="1"/>
  <c r="J10" i="19"/>
  <c r="I10" i="19"/>
  <c r="H10" i="19"/>
  <c r="G10" i="19"/>
  <c r="F10" i="19"/>
  <c r="E10" i="19"/>
  <c r="D10" i="19"/>
  <c r="C10" i="19"/>
  <c r="B10" i="19"/>
  <c r="P9" i="19"/>
  <c r="O9" i="19"/>
  <c r="N9" i="19"/>
  <c r="M9" i="19"/>
  <c r="L9" i="19"/>
  <c r="K9" i="19"/>
  <c r="Q9" i="19" s="1"/>
  <c r="J9" i="19"/>
  <c r="I9" i="19"/>
  <c r="H9" i="19"/>
  <c r="G9" i="19"/>
  <c r="F9" i="19"/>
  <c r="E9" i="19"/>
  <c r="D9" i="19"/>
  <c r="C9" i="19"/>
  <c r="B9" i="19"/>
  <c r="P8" i="19"/>
  <c r="O8" i="19"/>
  <c r="N8" i="19"/>
  <c r="M8" i="19"/>
  <c r="L8" i="19"/>
  <c r="K8" i="19"/>
  <c r="Q8" i="19" s="1"/>
  <c r="J8" i="19"/>
  <c r="I8" i="19"/>
  <c r="H8" i="19"/>
  <c r="G8" i="19"/>
  <c r="F8" i="19"/>
  <c r="E8" i="19"/>
  <c r="D8" i="19"/>
  <c r="C8" i="19"/>
  <c r="B8" i="19"/>
  <c r="P7" i="19"/>
  <c r="O7" i="19"/>
  <c r="N7" i="19"/>
  <c r="M7" i="19"/>
  <c r="Q7" i="19" s="1"/>
  <c r="L7" i="19"/>
  <c r="K7" i="19"/>
  <c r="J7" i="19"/>
  <c r="I7" i="19"/>
  <c r="H7" i="19"/>
  <c r="G7" i="19"/>
  <c r="F7" i="19"/>
  <c r="E7" i="19"/>
  <c r="D7" i="19"/>
  <c r="C7" i="19"/>
  <c r="B7" i="19"/>
  <c r="P6" i="19"/>
  <c r="O6" i="19"/>
  <c r="N6" i="19"/>
  <c r="M6" i="19"/>
  <c r="L6" i="19"/>
  <c r="K6" i="19"/>
  <c r="Q6" i="19" s="1"/>
  <c r="J6" i="19"/>
  <c r="I6" i="19"/>
  <c r="H6" i="19"/>
  <c r="G6" i="19"/>
  <c r="F6" i="19"/>
  <c r="E6" i="19"/>
  <c r="D6" i="19"/>
  <c r="C6" i="19"/>
  <c r="B6" i="19"/>
  <c r="P5" i="19"/>
  <c r="O5" i="19"/>
  <c r="N5" i="19"/>
  <c r="M5" i="19"/>
  <c r="L5" i="19"/>
  <c r="K5" i="19"/>
  <c r="Q5" i="19" s="1"/>
  <c r="J5" i="19"/>
  <c r="I5" i="19"/>
  <c r="H5" i="19"/>
  <c r="G5" i="19"/>
  <c r="F5" i="19"/>
  <c r="E5" i="19"/>
  <c r="D5" i="19"/>
  <c r="C5" i="19"/>
  <c r="B5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P3" i="19"/>
  <c r="O3" i="19"/>
  <c r="N3" i="19"/>
  <c r="M3" i="19"/>
  <c r="L3" i="19"/>
  <c r="K3" i="19"/>
  <c r="Q3" i="19" s="1"/>
  <c r="J3" i="19"/>
  <c r="I3" i="19"/>
  <c r="H3" i="19"/>
  <c r="G3" i="19"/>
  <c r="F3" i="19"/>
  <c r="E3" i="19"/>
  <c r="D3" i="19"/>
  <c r="C3" i="19"/>
  <c r="B3" i="19"/>
  <c r="P2" i="19"/>
  <c r="O2" i="19"/>
  <c r="N2" i="19"/>
  <c r="M2" i="19"/>
  <c r="L2" i="19"/>
  <c r="K2" i="19"/>
  <c r="Q2" i="19" s="1"/>
  <c r="J2" i="19"/>
  <c r="I2" i="19"/>
  <c r="H2" i="19"/>
  <c r="G2" i="19"/>
  <c r="F2" i="19"/>
  <c r="E2" i="19"/>
  <c r="D2" i="19"/>
  <c r="C2" i="19"/>
  <c r="B2" i="19"/>
  <c r="P13" i="18"/>
  <c r="O13" i="18"/>
  <c r="N13" i="18"/>
  <c r="M13" i="18"/>
  <c r="L13" i="18"/>
  <c r="K13" i="18"/>
  <c r="Q13" i="18" s="1"/>
  <c r="J13" i="18"/>
  <c r="I13" i="18"/>
  <c r="H13" i="18"/>
  <c r="G13" i="18"/>
  <c r="F13" i="18"/>
  <c r="E13" i="18"/>
  <c r="D13" i="18"/>
  <c r="C13" i="18"/>
  <c r="B13" i="18"/>
  <c r="P12" i="18"/>
  <c r="O12" i="18"/>
  <c r="Q12" i="18" s="1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P11" i="18"/>
  <c r="O11" i="18"/>
  <c r="N11" i="18"/>
  <c r="M11" i="18"/>
  <c r="L11" i="18"/>
  <c r="K11" i="18"/>
  <c r="Q11" i="18" s="1"/>
  <c r="J11" i="18"/>
  <c r="I11" i="18"/>
  <c r="H11" i="18"/>
  <c r="G11" i="18"/>
  <c r="F11" i="18"/>
  <c r="E11" i="18"/>
  <c r="D11" i="18"/>
  <c r="C11" i="18"/>
  <c r="B11" i="18"/>
  <c r="P10" i="18"/>
  <c r="O10" i="18"/>
  <c r="N10" i="18"/>
  <c r="M10" i="18"/>
  <c r="L10" i="18"/>
  <c r="K10" i="18"/>
  <c r="Q10" i="18" s="1"/>
  <c r="J10" i="18"/>
  <c r="I10" i="18"/>
  <c r="H10" i="18"/>
  <c r="G10" i="18"/>
  <c r="F10" i="18"/>
  <c r="E10" i="18"/>
  <c r="D10" i="18"/>
  <c r="C10" i="18"/>
  <c r="B10" i="18"/>
  <c r="P9" i="18"/>
  <c r="O9" i="18"/>
  <c r="N9" i="18"/>
  <c r="M9" i="18"/>
  <c r="L9" i="18"/>
  <c r="K9" i="18"/>
  <c r="Q9" i="18" s="1"/>
  <c r="J9" i="18"/>
  <c r="I9" i="18"/>
  <c r="H9" i="18"/>
  <c r="G9" i="18"/>
  <c r="F9" i="18"/>
  <c r="E9" i="18"/>
  <c r="D9" i="18"/>
  <c r="C9" i="18"/>
  <c r="B9" i="18"/>
  <c r="P8" i="18"/>
  <c r="O8" i="18"/>
  <c r="N8" i="18"/>
  <c r="M8" i="18"/>
  <c r="Q8" i="18" s="1"/>
  <c r="L8" i="18"/>
  <c r="K8" i="18"/>
  <c r="J8" i="18"/>
  <c r="I8" i="18"/>
  <c r="H8" i="18"/>
  <c r="G8" i="18"/>
  <c r="F8" i="18"/>
  <c r="E8" i="18"/>
  <c r="D8" i="18"/>
  <c r="C8" i="18"/>
  <c r="B8" i="18"/>
  <c r="P7" i="18"/>
  <c r="O7" i="18"/>
  <c r="N7" i="18"/>
  <c r="M7" i="18"/>
  <c r="L7" i="18"/>
  <c r="K7" i="18"/>
  <c r="Q7" i="18" s="1"/>
  <c r="J7" i="18"/>
  <c r="I7" i="18"/>
  <c r="H7" i="18"/>
  <c r="G7" i="18"/>
  <c r="F7" i="18"/>
  <c r="E7" i="18"/>
  <c r="D7" i="18"/>
  <c r="C7" i="18"/>
  <c r="B7" i="18"/>
  <c r="P6" i="18"/>
  <c r="O6" i="18"/>
  <c r="N6" i="18"/>
  <c r="M6" i="18"/>
  <c r="L6" i="18"/>
  <c r="K6" i="18"/>
  <c r="Q6" i="18" s="1"/>
  <c r="J6" i="18"/>
  <c r="I6" i="18"/>
  <c r="H6" i="18"/>
  <c r="G6" i="18"/>
  <c r="F6" i="18"/>
  <c r="E6" i="18"/>
  <c r="D6" i="18"/>
  <c r="C6" i="18"/>
  <c r="B6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P4" i="18"/>
  <c r="O4" i="18"/>
  <c r="N4" i="18"/>
  <c r="M4" i="18"/>
  <c r="L4" i="18"/>
  <c r="K4" i="18"/>
  <c r="Q4" i="18" s="1"/>
  <c r="J4" i="18"/>
  <c r="I4" i="18"/>
  <c r="H4" i="18"/>
  <c r="G4" i="18"/>
  <c r="F4" i="18"/>
  <c r="E4" i="18"/>
  <c r="D4" i="18"/>
  <c r="C4" i="18"/>
  <c r="B4" i="18"/>
  <c r="P3" i="18"/>
  <c r="O3" i="18"/>
  <c r="N3" i="18"/>
  <c r="M3" i="18"/>
  <c r="L3" i="18"/>
  <c r="K3" i="18"/>
  <c r="Q3" i="18" s="1"/>
  <c r="J3" i="18"/>
  <c r="I3" i="18"/>
  <c r="H3" i="18"/>
  <c r="G3" i="18"/>
  <c r="F3" i="18"/>
  <c r="E3" i="18"/>
  <c r="D3" i="18"/>
  <c r="C3" i="18"/>
  <c r="B3" i="18"/>
  <c r="P2" i="18"/>
  <c r="O2" i="18"/>
  <c r="N2" i="18"/>
  <c r="M2" i="18"/>
  <c r="L2" i="18"/>
  <c r="K2" i="18"/>
  <c r="Q2" i="18" s="1"/>
  <c r="J2" i="18"/>
  <c r="I2" i="18"/>
  <c r="H2" i="18"/>
  <c r="G2" i="18"/>
  <c r="F2" i="18"/>
  <c r="E2" i="18"/>
  <c r="D2" i="18"/>
  <c r="C2" i="18"/>
  <c r="B2" i="18"/>
  <c r="O1" i="18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B2" i="17"/>
  <c r="AA1" i="17"/>
  <c r="Y1" i="17"/>
  <c r="M1" i="18" s="1"/>
  <c r="X1" i="17"/>
  <c r="L1" i="18" s="1"/>
  <c r="W1" i="17"/>
  <c r="K1" i="18" s="1"/>
  <c r="V1" i="17"/>
  <c r="J1" i="18" s="1"/>
  <c r="U1" i="17"/>
  <c r="I1" i="18" s="1"/>
  <c r="T1" i="17"/>
  <c r="H1" i="18" s="1"/>
  <c r="S1" i="17"/>
  <c r="G1" i="18" s="1"/>
  <c r="R1" i="17"/>
  <c r="F1" i="18" s="1"/>
  <c r="Q1" i="17"/>
  <c r="E1" i="18" s="1"/>
  <c r="P1" i="17"/>
  <c r="D1" i="18" s="1"/>
  <c r="O1" i="17"/>
  <c r="C1" i="18" s="1"/>
  <c r="N1" i="17"/>
  <c r="B1" i="18" s="1"/>
  <c r="M1" i="17"/>
  <c r="E1" i="17"/>
  <c r="C1" i="17"/>
  <c r="B1" i="17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AG1" i="16"/>
  <c r="AB1" i="17" s="1"/>
  <c r="P1" i="18" s="1"/>
  <c r="AF1" i="16"/>
  <c r="AE1" i="16"/>
  <c r="Z1" i="17" s="1"/>
  <c r="N1" i="18" s="1"/>
  <c r="AD1" i="16"/>
  <c r="AC1" i="16"/>
  <c r="AB1" i="16"/>
  <c r="AA1" i="16"/>
  <c r="Z1" i="16"/>
  <c r="Y1" i="16"/>
  <c r="X1" i="16"/>
  <c r="W1" i="16"/>
  <c r="V1" i="16"/>
  <c r="U1" i="16"/>
  <c r="T1" i="16"/>
  <c r="S1" i="16"/>
  <c r="R1" i="16"/>
  <c r="Q1" i="16"/>
  <c r="L1" i="17" s="1"/>
  <c r="P1" i="16"/>
  <c r="K1" i="17" s="1"/>
  <c r="O1" i="16"/>
  <c r="J1" i="17" s="1"/>
  <c r="N1" i="16"/>
  <c r="I1" i="17" s="1"/>
  <c r="M1" i="16"/>
  <c r="H1" i="17" s="1"/>
  <c r="L1" i="16"/>
  <c r="G1" i="17" s="1"/>
  <c r="K1" i="16"/>
  <c r="F1" i="17" s="1"/>
  <c r="J1" i="16"/>
  <c r="I1" i="16"/>
  <c r="D1" i="17" s="1"/>
  <c r="H1" i="16"/>
  <c r="G1" i="16"/>
  <c r="F1" i="16"/>
  <c r="E1" i="16"/>
  <c r="D1" i="16"/>
  <c r="C1" i="16"/>
  <c r="B1" i="16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G1" i="14"/>
  <c r="AF1" i="14"/>
  <c r="AE1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H10" i="8"/>
  <c r="G10" i="8"/>
  <c r="F10" i="8"/>
  <c r="E10" i="8"/>
  <c r="D10" i="8"/>
  <c r="C10" i="8"/>
  <c r="B10" i="8"/>
  <c r="H9" i="8"/>
  <c r="G9" i="8"/>
  <c r="F9" i="8"/>
  <c r="E9" i="8"/>
  <c r="D9" i="8"/>
  <c r="C9" i="8"/>
  <c r="B9" i="8"/>
  <c r="H8" i="8"/>
  <c r="G8" i="8"/>
  <c r="F8" i="8"/>
  <c r="E8" i="8"/>
  <c r="D8" i="8"/>
  <c r="C8" i="8"/>
  <c r="B8" i="8"/>
  <c r="H7" i="8"/>
  <c r="G7" i="8"/>
  <c r="F7" i="8"/>
  <c r="E7" i="8"/>
  <c r="D7" i="8"/>
  <c r="C7" i="8"/>
  <c r="B7" i="8"/>
  <c r="H6" i="8"/>
  <c r="G6" i="8"/>
  <c r="F6" i="8"/>
  <c r="E6" i="8"/>
  <c r="D6" i="8"/>
  <c r="C6" i="8"/>
  <c r="B6" i="8"/>
  <c r="H5" i="8"/>
  <c r="G5" i="8"/>
  <c r="F5" i="8"/>
  <c r="E5" i="8"/>
  <c r="D5" i="8"/>
  <c r="C5" i="8"/>
  <c r="B5" i="8"/>
  <c r="H4" i="8"/>
  <c r="G4" i="8"/>
  <c r="F4" i="8"/>
  <c r="E4" i="8"/>
  <c r="D4" i="8"/>
  <c r="C4" i="8"/>
  <c r="B4" i="8"/>
  <c r="H3" i="8"/>
  <c r="G3" i="8"/>
  <c r="F3" i="8"/>
  <c r="E3" i="8"/>
  <c r="D3" i="8"/>
  <c r="C3" i="8"/>
  <c r="B3" i="8"/>
  <c r="H2" i="8"/>
  <c r="G2" i="8"/>
  <c r="F2" i="8"/>
  <c r="E2" i="8"/>
  <c r="D2" i="8"/>
  <c r="C2" i="8"/>
  <c r="B2" i="8"/>
  <c r="B1" i="8"/>
  <c r="H9" i="7"/>
  <c r="G9" i="7"/>
  <c r="F9" i="7"/>
  <c r="E9" i="7"/>
  <c r="D9" i="7"/>
  <c r="C9" i="7"/>
  <c r="B9" i="7"/>
  <c r="H8" i="7"/>
  <c r="G8" i="7"/>
  <c r="F8" i="7"/>
  <c r="E8" i="7"/>
  <c r="D8" i="7"/>
  <c r="C8" i="7"/>
  <c r="B8" i="7"/>
  <c r="H7" i="7"/>
  <c r="G7" i="7"/>
  <c r="F7" i="7"/>
  <c r="E7" i="7"/>
  <c r="D7" i="7"/>
  <c r="C7" i="7"/>
  <c r="B7" i="7"/>
  <c r="H6" i="7"/>
  <c r="G6" i="7"/>
  <c r="F6" i="7"/>
  <c r="E6" i="7"/>
  <c r="D6" i="7"/>
  <c r="C6" i="7"/>
  <c r="B6" i="7"/>
  <c r="H5" i="7"/>
  <c r="G5" i="7"/>
  <c r="F5" i="7"/>
  <c r="E5" i="7"/>
  <c r="D5" i="7"/>
  <c r="C5" i="7"/>
  <c r="B5" i="7"/>
  <c r="H4" i="7"/>
  <c r="G4" i="7"/>
  <c r="F4" i="7"/>
  <c r="E4" i="7"/>
  <c r="D4" i="7"/>
  <c r="C4" i="7"/>
  <c r="B4" i="7"/>
  <c r="H3" i="7"/>
  <c r="G3" i="7"/>
  <c r="F3" i="7"/>
  <c r="E3" i="7"/>
  <c r="D3" i="7"/>
  <c r="C3" i="7"/>
  <c r="B3" i="7"/>
  <c r="H2" i="7"/>
  <c r="G2" i="7"/>
  <c r="F2" i="7"/>
  <c r="E2" i="7"/>
  <c r="D2" i="7"/>
  <c r="C2" i="7"/>
  <c r="B2" i="7"/>
  <c r="B1" i="7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H6" i="6"/>
  <c r="G6" i="6"/>
  <c r="F6" i="6"/>
  <c r="E6" i="6"/>
  <c r="D6" i="6"/>
  <c r="C6" i="6"/>
  <c r="B6" i="6"/>
  <c r="H5" i="6"/>
  <c r="G5" i="6"/>
  <c r="F5" i="6"/>
  <c r="E5" i="6"/>
  <c r="D5" i="6"/>
  <c r="C5" i="6"/>
  <c r="B5" i="6"/>
  <c r="H4" i="6"/>
  <c r="G4" i="6"/>
  <c r="F4" i="6"/>
  <c r="E4" i="6"/>
  <c r="D4" i="6"/>
  <c r="C4" i="6"/>
  <c r="B4" i="6"/>
  <c r="H3" i="6"/>
  <c r="G3" i="6"/>
  <c r="F3" i="6"/>
  <c r="E3" i="6"/>
  <c r="D3" i="6"/>
  <c r="C3" i="6"/>
  <c r="B3" i="6"/>
  <c r="H2" i="6"/>
  <c r="G2" i="6"/>
  <c r="F2" i="6"/>
  <c r="E2" i="6"/>
  <c r="D2" i="6"/>
  <c r="C2" i="6"/>
  <c r="B2" i="6"/>
  <c r="H1" i="6"/>
  <c r="H1" i="7" s="1"/>
  <c r="H1" i="8" s="1"/>
  <c r="G1" i="6"/>
  <c r="G1" i="7" s="1"/>
  <c r="G1" i="8" s="1"/>
  <c r="F1" i="6"/>
  <c r="F1" i="7" s="1"/>
  <c r="F1" i="8" s="1"/>
  <c r="E1" i="6"/>
  <c r="E1" i="7" s="1"/>
  <c r="E1" i="8" s="1"/>
  <c r="D1" i="6"/>
  <c r="D1" i="7" s="1"/>
  <c r="D1" i="8" s="1"/>
  <c r="C1" i="6"/>
  <c r="C1" i="7" s="1"/>
  <c r="C1" i="8" s="1"/>
  <c r="B1" i="6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H4" i="5"/>
  <c r="G4" i="5"/>
  <c r="F4" i="5"/>
  <c r="E4" i="5"/>
  <c r="D4" i="5"/>
  <c r="C4" i="5"/>
  <c r="B4" i="5"/>
  <c r="A4" i="5"/>
  <c r="H3" i="5"/>
  <c r="G3" i="5"/>
  <c r="F3" i="5"/>
  <c r="E3" i="5"/>
  <c r="D3" i="5"/>
  <c r="C3" i="5"/>
  <c r="B3" i="5"/>
  <c r="A3" i="5"/>
  <c r="H2" i="5"/>
  <c r="G2" i="5"/>
  <c r="F2" i="5"/>
  <c r="E2" i="5"/>
  <c r="D2" i="5"/>
  <c r="C2" i="5"/>
  <c r="B2" i="5"/>
  <c r="A2" i="5"/>
  <c r="H1" i="5"/>
  <c r="G1" i="5"/>
  <c r="F1" i="5"/>
  <c r="E1" i="5"/>
  <c r="D1" i="5"/>
  <c r="C1" i="5"/>
  <c r="B1" i="5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H3" i="4"/>
  <c r="G3" i="4"/>
  <c r="F3" i="4"/>
  <c r="E3" i="4"/>
  <c r="D3" i="4"/>
  <c r="C3" i="4"/>
  <c r="B3" i="4"/>
  <c r="A3" i="4"/>
  <c r="H2" i="4"/>
  <c r="G2" i="4"/>
  <c r="F2" i="4"/>
  <c r="E2" i="4"/>
  <c r="D2" i="4"/>
  <c r="C2" i="4"/>
  <c r="B2" i="4"/>
  <c r="A2" i="4"/>
  <c r="H1" i="4"/>
  <c r="G1" i="4"/>
  <c r="F1" i="4"/>
  <c r="E1" i="4"/>
  <c r="D1" i="4"/>
  <c r="C1" i="4"/>
  <c r="B1" i="4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F2" i="3"/>
  <c r="E2" i="3"/>
  <c r="D2" i="3"/>
  <c r="C2" i="3"/>
  <c r="B2" i="3"/>
  <c r="A2" i="3"/>
  <c r="G13" i="2"/>
  <c r="D13" i="2"/>
  <c r="B13" i="2"/>
  <c r="C13" i="2" s="1"/>
  <c r="G12" i="2"/>
  <c r="B12" i="2"/>
  <c r="D12" i="2" s="1"/>
  <c r="G11" i="2"/>
  <c r="B11" i="2"/>
  <c r="D11" i="2" s="1"/>
  <c r="G10" i="2"/>
  <c r="D10" i="2"/>
  <c r="F10" i="2" s="1"/>
  <c r="C10" i="2"/>
  <c r="B10" i="2"/>
  <c r="G9" i="2"/>
  <c r="B9" i="2"/>
  <c r="D9" i="2" s="1"/>
  <c r="G8" i="2"/>
  <c r="B8" i="2"/>
  <c r="C8" i="2" s="1"/>
  <c r="G7" i="2"/>
  <c r="B7" i="2"/>
  <c r="D7" i="2" s="1"/>
  <c r="G6" i="2"/>
  <c r="B6" i="2"/>
  <c r="D6" i="2" s="1"/>
  <c r="G5" i="2"/>
  <c r="B5" i="2"/>
  <c r="D5" i="2" s="1"/>
  <c r="G4" i="2"/>
  <c r="B4" i="2"/>
  <c r="D4" i="2" s="1"/>
  <c r="G3" i="2"/>
  <c r="B3" i="2"/>
  <c r="D3" i="2" s="1"/>
  <c r="G2" i="2"/>
  <c r="B2" i="2"/>
  <c r="C2" i="2" s="1"/>
  <c r="H10" i="1"/>
  <c r="G10" i="1"/>
  <c r="I10" i="1" s="1"/>
  <c r="F10" i="1"/>
  <c r="E10" i="1"/>
  <c r="D10" i="1"/>
  <c r="C10" i="1"/>
  <c r="B10" i="1"/>
  <c r="A10" i="1"/>
  <c r="H9" i="1"/>
  <c r="F9" i="1"/>
  <c r="G9" i="1" s="1"/>
  <c r="I9" i="1" s="1"/>
  <c r="E9" i="1"/>
  <c r="D9" i="1"/>
  <c r="C9" i="1"/>
  <c r="B9" i="1"/>
  <c r="A9" i="1"/>
  <c r="H8" i="1"/>
  <c r="F8" i="1"/>
  <c r="G8" i="1" s="1"/>
  <c r="I8" i="1" s="1"/>
  <c r="E8" i="1"/>
  <c r="D8" i="1"/>
  <c r="C8" i="1"/>
  <c r="B8" i="1"/>
  <c r="A8" i="1"/>
  <c r="H7" i="1"/>
  <c r="F7" i="1"/>
  <c r="G7" i="1" s="1"/>
  <c r="I7" i="1" s="1"/>
  <c r="E7" i="1"/>
  <c r="D7" i="1"/>
  <c r="C7" i="1"/>
  <c r="B7" i="1"/>
  <c r="A7" i="1"/>
  <c r="H6" i="1"/>
  <c r="F6" i="1"/>
  <c r="G6" i="1" s="1"/>
  <c r="I6" i="1" s="1"/>
  <c r="E6" i="1"/>
  <c r="D6" i="1"/>
  <c r="C6" i="1"/>
  <c r="B6" i="1"/>
  <c r="A6" i="1"/>
  <c r="H5" i="1"/>
  <c r="I5" i="1" s="1"/>
  <c r="G5" i="1"/>
  <c r="F5" i="1"/>
  <c r="E5" i="1"/>
  <c r="D5" i="1"/>
  <c r="C5" i="1"/>
  <c r="B5" i="1"/>
  <c r="A5" i="1"/>
  <c r="H4" i="1"/>
  <c r="F4" i="1"/>
  <c r="G4" i="1" s="1"/>
  <c r="I4" i="1" s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  <c r="F13" i="2" l="1"/>
  <c r="C6" i="2"/>
  <c r="F6" i="2" s="1"/>
  <c r="C11" i="2"/>
  <c r="F11" i="2" s="1"/>
  <c r="C7" i="2"/>
  <c r="F7" i="2" s="1"/>
  <c r="C3" i="2"/>
  <c r="F3" i="2" s="1"/>
  <c r="C12" i="2"/>
  <c r="F12" i="2" s="1"/>
  <c r="D8" i="2"/>
  <c r="F8" i="2" s="1"/>
  <c r="C4" i="2"/>
  <c r="F4" i="2" s="1"/>
  <c r="D2" i="2"/>
  <c r="F2" i="2" s="1"/>
  <c r="C9" i="2"/>
  <c r="F9" i="2" s="1"/>
  <c r="C5" i="2"/>
  <c r="F5" i="2" s="1"/>
</calcChain>
</file>

<file path=xl/sharedStrings.xml><?xml version="1.0" encoding="utf-8"?>
<sst xmlns="http://schemas.openxmlformats.org/spreadsheetml/2006/main" count="210" uniqueCount="60">
  <si>
    <t>Date</t>
  </si>
  <si>
    <t>Forecast</t>
  </si>
  <si>
    <t>Low</t>
  </si>
  <si>
    <t>High</t>
  </si>
  <si>
    <t>Midpoint</t>
  </si>
  <si>
    <t>Current</t>
  </si>
  <si>
    <t>Spread</t>
  </si>
  <si>
    <t>Full Carry</t>
  </si>
  <si>
    <t>Spread % of Full Carry</t>
  </si>
  <si>
    <t>Harvested Acres</t>
  </si>
  <si>
    <r>
      <t xml:space="preserve">Carryin </t>
    </r>
    <r>
      <rPr>
        <sz val="9"/>
        <color theme="1"/>
        <rFont val="Helvetica-Normal"/>
      </rPr>
      <t>(August 1)</t>
    </r>
  </si>
  <si>
    <t>Production</t>
  </si>
  <si>
    <t>Imports</t>
  </si>
  <si>
    <t xml:space="preserve">    Total Supply</t>
  </si>
  <si>
    <t>Crush</t>
  </si>
  <si>
    <t>Exports</t>
  </si>
  <si>
    <t>Seed and Other</t>
  </si>
  <si>
    <t>Residual</t>
  </si>
  <si>
    <t xml:space="preserve">    Total Use</t>
  </si>
  <si>
    <r>
      <t xml:space="preserve">Carryout </t>
    </r>
    <r>
      <rPr>
        <sz val="9"/>
        <color theme="1"/>
        <rFont val="Helvetica-Normal"/>
      </rPr>
      <t>(July 31)</t>
    </r>
  </si>
  <si>
    <t>Stocks-to-Usage</t>
  </si>
  <si>
    <t>Carryin (August 1)</t>
  </si>
  <si>
    <t>Domestic Usage</t>
  </si>
  <si>
    <t>Carryout (July 31)</t>
  </si>
  <si>
    <t>Beginning Stocks (October 1)</t>
  </si>
  <si>
    <t xml:space="preserve">    Biodiesel</t>
  </si>
  <si>
    <t>Ending Stocks (September 30)</t>
  </si>
  <si>
    <t>SBO Monthly Biofuel Use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</si>
  <si>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</si>
  <si>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</si>
  <si>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</si>
  <si>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</si>
  <si>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</si>
  <si>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</si>
  <si>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</si>
  <si>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</si>
  <si>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</si>
  <si>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</si>
  <si>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</si>
  <si>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</si>
  <si>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SBO Monthly Non-Biofuel Use</t>
  </si>
  <si>
    <t>Soybean Oil Use per Day</t>
  </si>
  <si>
    <t>Days of Next Month's Usage Represented by End-of-Month Stocks</t>
  </si>
  <si>
    <t>NASS Soybean Oil Stocks</t>
  </si>
  <si>
    <t>5-Yr. Avg.</t>
  </si>
  <si>
    <t>10/11</t>
  </si>
  <si>
    <t>11/12</t>
  </si>
  <si>
    <t>12/13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</si>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</sst>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mmm\-yy;@"/>
    <numFmt numFmtId="165" formatCode="0.0_);[Red]\(0.0\)"/>
    <numFmt numFmtId="166" formatCode="0.0%"/>
    <numFmt numFmtId="167" formatCode="#,##0.0_);[Red]\(#,##0.0\)"/>
    <numFmt numFmtId="168" formatCode="0.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sz val="10"/>
      <color theme="1"/>
      <name val="Arial Narrow"/>
      <family val="2"/>
    </font>
    <font>
      <sz val="9"/>
      <color theme="1"/>
      <name val="Helvetica-Normal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/>
    <xf numFmtId="43" fontId="2" fillId="0" borderId="0" xfId="0" applyNumberFormat="1" applyFont="1"/>
    <xf numFmtId="2" fontId="2" fillId="0" borderId="0" xfId="0" applyNumberFormat="1" applyFont="1"/>
    <xf numFmtId="9" fontId="2" fillId="0" borderId="0" xfId="1" applyFont="1"/>
    <xf numFmtId="40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38" fontId="3" fillId="0" borderId="0" xfId="0" applyNumberFormat="1" applyFont="1"/>
    <xf numFmtId="38" fontId="3" fillId="0" borderId="0" xfId="0" quotePrefix="1" applyNumberFormat="1" applyFont="1"/>
    <xf numFmtId="165" fontId="3" fillId="0" borderId="0" xfId="0" applyNumberFormat="1" applyFont="1"/>
    <xf numFmtId="166" fontId="3" fillId="0" borderId="0" xfId="0" applyNumberFormat="1" applyFont="1"/>
    <xf numFmtId="40" fontId="3" fillId="0" borderId="0" xfId="0" applyNumberFormat="1" applyFont="1"/>
    <xf numFmtId="166" fontId="3" fillId="0" borderId="0" xfId="1" applyNumberFormat="1" applyFont="1"/>
    <xf numFmtId="38" fontId="3" fillId="0" borderId="0" xfId="0" applyNumberFormat="1" applyFont="1" applyAlignment="1">
      <alignment wrapText="1"/>
    </xf>
    <xf numFmtId="167" fontId="5" fillId="0" borderId="0" xfId="0" applyNumberFormat="1" applyFont="1"/>
    <xf numFmtId="14" fontId="3" fillId="0" borderId="0" xfId="0" applyNumberFormat="1" applyFont="1"/>
    <xf numFmtId="167" fontId="3" fillId="0" borderId="0" xfId="0" applyNumberFormat="1" applyFont="1"/>
    <xf numFmtId="2" fontId="3" fillId="0" borderId="0" xfId="0" applyNumberFormat="1" applyFont="1"/>
    <xf numFmtId="3" fontId="5" fillId="0" borderId="0" xfId="0" applyNumberFormat="1" applyFont="1"/>
    <xf numFmtId="3" fontId="3" fillId="0" borderId="0" xfId="0" applyNumberFormat="1" applyFont="1"/>
    <xf numFmtId="38" fontId="5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wrapText="1"/>
    </xf>
    <xf numFmtId="17" fontId="3" fillId="0" borderId="0" xfId="0" applyNumberFormat="1" applyFont="1"/>
    <xf numFmtId="3" fontId="3" fillId="0" borderId="0" xfId="0" quotePrefix="1" applyNumberFormat="1" applyFont="1" applyAlignment="1">
      <alignment horizontal="right"/>
    </xf>
    <xf numFmtId="164" fontId="3" fillId="0" borderId="0" xfId="0" applyNumberFormat="1" applyFont="1"/>
    <xf numFmtId="168" fontId="3" fillId="0" borderId="0" xfId="0" applyNumberFormat="1" applyFont="1"/>
    <xf numFmtId="0" fontId="3" fillId="0" borderId="0" xfId="0" quotePrefix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rap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rapb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lau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laub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biodiese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biodies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JWNLYO763DVDJFFAQRKSQ7NEE">
      <xxl21:absoluteUrl r:id="rId2"/>
    </xxl21:alternateUrls>
    <sheetNames>
      <sheetName val="Futures Price Forecasts"/>
      <sheetName val="Forecasts"/>
      <sheetName val="Sheet1"/>
      <sheetName val="Prices"/>
      <sheetName val="Chart1"/>
      <sheetName val="Chart2"/>
      <sheetName val="Chart3"/>
      <sheetName val="Chart4"/>
      <sheetName val="Chart5"/>
      <sheetName val="Monthly Oil Share Change (2)"/>
      <sheetName val="Monthly Oil Share Change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0"/>
      <sheetData sheetId="1">
        <row r="31">
          <cell r="A31">
            <v>45778</v>
          </cell>
          <cell r="B31">
            <v>42.5</v>
          </cell>
          <cell r="C31">
            <v>39.75</v>
          </cell>
          <cell r="D31">
            <v>46</v>
          </cell>
          <cell r="E31">
            <v>42.875</v>
          </cell>
          <cell r="F31">
            <v>42.71</v>
          </cell>
        </row>
        <row r="32">
          <cell r="A32">
            <v>45839</v>
          </cell>
          <cell r="B32">
            <v>44.5</v>
          </cell>
          <cell r="C32">
            <v>41.5</v>
          </cell>
          <cell r="D32">
            <v>47.75</v>
          </cell>
          <cell r="E32">
            <v>44.625</v>
          </cell>
          <cell r="F32">
            <v>43.2</v>
          </cell>
        </row>
        <row r="33">
          <cell r="A33">
            <v>45870</v>
          </cell>
          <cell r="B33">
            <v>44.75</v>
          </cell>
          <cell r="C33">
            <v>42.75</v>
          </cell>
          <cell r="D33">
            <v>47.25</v>
          </cell>
          <cell r="E33">
            <v>45</v>
          </cell>
          <cell r="F33">
            <v>43.26</v>
          </cell>
          <cell r="H33">
            <v>0.32134768958333332</v>
          </cell>
        </row>
        <row r="34">
          <cell r="A34">
            <v>45901</v>
          </cell>
          <cell r="B34">
            <v>43.75</v>
          </cell>
          <cell r="C34">
            <v>41.75</v>
          </cell>
          <cell r="D34">
            <v>45.5</v>
          </cell>
          <cell r="E34">
            <v>43.625</v>
          </cell>
          <cell r="F34">
            <v>43.2</v>
          </cell>
          <cell r="H34">
            <v>0.31624494791666669</v>
          </cell>
        </row>
        <row r="35">
          <cell r="A35">
            <v>45931</v>
          </cell>
          <cell r="B35">
            <v>41</v>
          </cell>
          <cell r="C35">
            <v>39.25</v>
          </cell>
          <cell r="D35">
            <v>43</v>
          </cell>
          <cell r="E35">
            <v>41.125</v>
          </cell>
          <cell r="F35">
            <v>43.07</v>
          </cell>
          <cell r="H35">
            <v>0.29921240833333329</v>
          </cell>
        </row>
        <row r="36">
          <cell r="A36">
            <v>45992</v>
          </cell>
          <cell r="B36">
            <v>41.75</v>
          </cell>
          <cell r="C36">
            <v>39.25</v>
          </cell>
          <cell r="D36">
            <v>44.25</v>
          </cell>
          <cell r="E36">
            <v>41.75</v>
          </cell>
          <cell r="F36">
            <v>43.2</v>
          </cell>
          <cell r="H36">
            <v>0.39603946458333333</v>
          </cell>
        </row>
        <row r="37">
          <cell r="A37">
            <v>46023</v>
          </cell>
          <cell r="B37">
            <v>43</v>
          </cell>
          <cell r="C37">
            <v>41</v>
          </cell>
          <cell r="D37">
            <v>44.75</v>
          </cell>
          <cell r="E37">
            <v>42.875</v>
          </cell>
          <cell r="F37">
            <v>43.34</v>
          </cell>
          <cell r="H37">
            <v>0.31241789166666667</v>
          </cell>
        </row>
        <row r="38">
          <cell r="A38">
            <v>46082</v>
          </cell>
          <cell r="B38">
            <v>41.5</v>
          </cell>
          <cell r="C38">
            <v>39.25</v>
          </cell>
          <cell r="D38">
            <v>44.25</v>
          </cell>
          <cell r="E38">
            <v>41.75</v>
          </cell>
          <cell r="F38">
            <v>43.5</v>
          </cell>
          <cell r="H38">
            <v>0.38876377916666666</v>
          </cell>
        </row>
        <row r="39">
          <cell r="A39">
            <v>46143</v>
          </cell>
          <cell r="B39">
            <v>42.25</v>
          </cell>
          <cell r="C39">
            <v>39.25</v>
          </cell>
          <cell r="D39">
            <v>46</v>
          </cell>
          <cell r="E39">
            <v>42.625</v>
          </cell>
          <cell r="F39">
            <v>43.7</v>
          </cell>
          <cell r="H39">
            <v>0.39859083541666662</v>
          </cell>
        </row>
        <row r="44">
          <cell r="A44">
            <v>45748</v>
          </cell>
          <cell r="B44">
            <v>4750</v>
          </cell>
          <cell r="C44">
            <v>4400</v>
          </cell>
          <cell r="D44">
            <v>5100</v>
          </cell>
          <cell r="E44">
            <v>4750</v>
          </cell>
          <cell r="F44">
            <v>4669</v>
          </cell>
        </row>
        <row r="45">
          <cell r="B45">
            <v>4650</v>
          </cell>
          <cell r="C45">
            <v>4300</v>
          </cell>
          <cell r="D45">
            <v>5000</v>
          </cell>
          <cell r="E45">
            <v>4650</v>
          </cell>
          <cell r="F45">
            <v>4529</v>
          </cell>
          <cell r="G45">
            <v>-140</v>
          </cell>
        </row>
        <row r="46">
          <cell r="A46">
            <v>45809</v>
          </cell>
        </row>
        <row r="47">
          <cell r="A47">
            <v>45839</v>
          </cell>
          <cell r="B47">
            <v>5000</v>
          </cell>
          <cell r="C47">
            <v>4750</v>
          </cell>
          <cell r="D47">
            <v>5250</v>
          </cell>
          <cell r="E47">
            <v>5000</v>
          </cell>
          <cell r="F47">
            <v>4299</v>
          </cell>
          <cell r="G47">
            <v>-114</v>
          </cell>
        </row>
        <row r="48">
          <cell r="A48">
            <v>45870</v>
          </cell>
          <cell r="B48">
            <v>5100</v>
          </cell>
          <cell r="C48">
            <v>4875</v>
          </cell>
          <cell r="D48">
            <v>5325</v>
          </cell>
          <cell r="E48">
            <v>5100</v>
          </cell>
          <cell r="F48">
            <v>4215</v>
          </cell>
          <cell r="G48">
            <v>-84</v>
          </cell>
        </row>
        <row r="49">
          <cell r="A49">
            <v>45901</v>
          </cell>
          <cell r="B49">
            <v>5200</v>
          </cell>
          <cell r="C49">
            <v>4975</v>
          </cell>
          <cell r="D49">
            <v>5425</v>
          </cell>
          <cell r="E49">
            <v>5200</v>
          </cell>
          <cell r="F49">
            <v>4163</v>
          </cell>
          <cell r="G49">
            <v>-52</v>
          </cell>
        </row>
        <row r="50">
          <cell r="A50">
            <v>45931</v>
          </cell>
          <cell r="B50">
            <v>5100</v>
          </cell>
          <cell r="C50">
            <v>4825</v>
          </cell>
          <cell r="D50">
            <v>5375</v>
          </cell>
          <cell r="E50">
            <v>5100</v>
          </cell>
          <cell r="F50">
            <v>4147</v>
          </cell>
          <cell r="G50">
            <v>-16</v>
          </cell>
        </row>
        <row r="51">
          <cell r="A51">
            <v>45962</v>
          </cell>
          <cell r="B51">
            <v>4900</v>
          </cell>
          <cell r="C51">
            <v>4625</v>
          </cell>
          <cell r="D51">
            <v>5175</v>
          </cell>
          <cell r="E51">
            <v>4900</v>
          </cell>
          <cell r="F51">
            <v>4150</v>
          </cell>
          <cell r="G51">
            <v>3</v>
          </cell>
        </row>
        <row r="52">
          <cell r="A52">
            <v>45992</v>
          </cell>
          <cell r="B52">
            <v>4800</v>
          </cell>
          <cell r="C52">
            <v>4575</v>
          </cell>
          <cell r="D52">
            <v>5025</v>
          </cell>
          <cell r="E52">
            <v>4800</v>
          </cell>
          <cell r="F52">
            <v>4160</v>
          </cell>
          <cell r="G52">
            <v>10</v>
          </cell>
        </row>
        <row r="53">
          <cell r="A53">
            <v>46023</v>
          </cell>
          <cell r="B53">
            <v>5200</v>
          </cell>
          <cell r="C53">
            <v>4925</v>
          </cell>
          <cell r="D53">
            <v>5475</v>
          </cell>
          <cell r="E53">
            <v>5200</v>
          </cell>
          <cell r="F53">
            <v>4166</v>
          </cell>
          <cell r="G53">
            <v>6</v>
          </cell>
        </row>
        <row r="54">
          <cell r="A54">
            <v>46054</v>
          </cell>
          <cell r="B54">
            <v>5100</v>
          </cell>
          <cell r="C54">
            <v>4825</v>
          </cell>
          <cell r="D54">
            <v>5375</v>
          </cell>
          <cell r="E54">
            <v>5100</v>
          </cell>
          <cell r="F54">
            <v>4169</v>
          </cell>
          <cell r="G54">
            <v>3</v>
          </cell>
        </row>
        <row r="55">
          <cell r="A55">
            <v>46082</v>
          </cell>
          <cell r="B55">
            <v>4900</v>
          </cell>
          <cell r="C55">
            <v>4550</v>
          </cell>
          <cell r="D55">
            <v>5250</v>
          </cell>
          <cell r="E55">
            <v>4900</v>
          </cell>
          <cell r="F55">
            <v>4167</v>
          </cell>
          <cell r="G55">
            <v>-2</v>
          </cell>
        </row>
      </sheetData>
      <sheetData sheetId="2"/>
      <sheetData sheetId="3">
        <row r="601">
          <cell r="D601">
            <v>30.957999999999998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SBO_NonBioUse_chart"/>
      <sheetName val="SBO_Nonbiochart_data"/>
      <sheetName val="Chart1"/>
      <sheetName val="Chart1-old"/>
      <sheetName val="Chart2"/>
      <sheetName val="Chart3"/>
      <sheetName val="Chart5 (2)"/>
      <sheetName val="Chart5 (3)"/>
      <sheetName val="Chart4"/>
      <sheetName val="Chart5"/>
      <sheetName val="Chart6"/>
      <sheetName val="Chart7"/>
      <sheetName val="Chart9"/>
      <sheetName val="Chart8"/>
      <sheetName val="Chart10"/>
      <sheetName val="Chart11"/>
      <sheetName val="Chart12"/>
      <sheetName val="US VO Trade Balance Chart"/>
      <sheetName val="Chart13"/>
      <sheetName val="Chart78"/>
      <sheetName val="SBO BBD use chart"/>
      <sheetName val="SBO Daily Use"/>
      <sheetName val="Chart14"/>
      <sheetName val="US SBO Use Breakout Chart"/>
      <sheetName val="SBO Ref Margin"/>
      <sheetName val="Sheet1"/>
      <sheetName val="Chart15"/>
      <sheetName val="Price Spreads"/>
      <sheetName val="Chart16"/>
      <sheetName val="Chart17"/>
      <sheetName val="SBO Biofuel Use Data"/>
      <sheetName val="Chart18"/>
      <sheetName val="Chart19"/>
      <sheetName val="Chart20"/>
      <sheetName val="Chart21"/>
      <sheetName val="Chart22"/>
      <sheetName val="Chart23"/>
      <sheetName val="Oil Domestic Use"/>
      <sheetName val="Oil Biodiesel Use"/>
      <sheetName val="Oil Non-Biodiesel Use"/>
      <sheetName val="Chart24"/>
      <sheetName val="Chart25"/>
      <sheetName val="SBO Stocks Cont"/>
      <sheetName val="Veg Oil Stocks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anola Oil Imports-Ex Canada"/>
      <sheetName val="Canola Meal Domestic Use"/>
      <sheetName val="Chart79"/>
      <sheetName val="CO Monthly BBD Feedstock Use"/>
      <sheetName val="Chart36"/>
      <sheetName val="Chart37"/>
      <sheetName val="Chart38"/>
      <sheetName val="Chart39"/>
      <sheetName val="FoG Qrtly imports"/>
      <sheetName val="Chart40"/>
      <sheetName val="Chart41"/>
      <sheetName val="Inedible Tallow Price Chart"/>
      <sheetName val="Tallow Imports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1"/>
      <sheetName val="Chart52"/>
      <sheetName val="UCO-YG RD Use"/>
      <sheetName val="UCO-YG BD Use"/>
      <sheetName val="Chart53"/>
      <sheetName val="Chart54"/>
      <sheetName val="China UCO Monthly Export US-EU"/>
      <sheetName val="UCO Imports by Origin"/>
      <sheetName val="Chart55"/>
      <sheetName val="UCO-YG Exports"/>
      <sheetName val="Tallow UCO Imports "/>
      <sheetName val="Chart56"/>
      <sheetName val="Chart57"/>
      <sheetName val="Chart58"/>
      <sheetName val="Chart59"/>
      <sheetName val="CWG Monthly Production"/>
      <sheetName val="Monthly CWG Imports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omplex Template Meal-Oil"/>
      <sheetName val="Complex Template"/>
      <sheetName val="Monthly Bal Template"/>
      <sheetName val="Chart50"/>
      <sheetName val="Sc1-Cc1_chartdata"/>
      <sheetName val="Sc1-Cc1_chat"/>
      <sheetName val="Canola Complex (2)"/>
      <sheetName val="Argentina Soybean Oil Exports"/>
    </sheetNames>
    <sheetDataSet>
      <sheetData sheetId="0">
        <row r="37">
          <cell r="J37" t="str">
            <v>22/23</v>
          </cell>
          <cell r="K37" t="str">
            <v>23/24</v>
          </cell>
          <cell r="N37" t="str">
            <v>24/25</v>
          </cell>
        </row>
        <row r="38">
          <cell r="K38" t="str">
            <v>USDA</v>
          </cell>
          <cell r="L38" t="str">
            <v>Change from January</v>
          </cell>
          <cell r="M38" t="str">
            <v>Fastmarkets</v>
          </cell>
          <cell r="N38" t="str">
            <v>USDA</v>
          </cell>
          <cell r="O38" t="str">
            <v>Change from January</v>
          </cell>
          <cell r="P38" t="str">
            <v>Fastmarkets</v>
          </cell>
        </row>
        <row r="40">
          <cell r="B40" t="str">
            <v>Beginning Stocks (October 1)</v>
          </cell>
          <cell r="J40">
            <v>1991.1480000000001</v>
          </cell>
          <cell r="K40">
            <v>1607</v>
          </cell>
          <cell r="L40">
            <v>0</v>
          </cell>
          <cell r="M40">
            <v>1602.2360000000001</v>
          </cell>
          <cell r="N40">
            <v>1501</v>
          </cell>
          <cell r="O40">
            <v>0</v>
          </cell>
          <cell r="P40">
            <v>1500.8580000000002</v>
          </cell>
        </row>
        <row r="41">
          <cell r="B41" t="str">
            <v>Production</v>
          </cell>
          <cell r="J41">
            <v>26241.309000000001</v>
          </cell>
          <cell r="K41">
            <v>27129.5</v>
          </cell>
          <cell r="L41">
            <v>0</v>
          </cell>
          <cell r="M41">
            <v>27108.617825749523</v>
          </cell>
          <cell r="N41">
            <v>28680</v>
          </cell>
          <cell r="O41">
            <v>0</v>
          </cell>
          <cell r="P41">
            <v>27752.088879999996</v>
          </cell>
        </row>
        <row r="42">
          <cell r="B42" t="str">
            <v>Imports</v>
          </cell>
          <cell r="J42">
            <v>374.64688900000004</v>
          </cell>
          <cell r="K42">
            <v>620.6</v>
          </cell>
          <cell r="L42">
            <v>0</v>
          </cell>
          <cell r="M42">
            <v>621.31669844889984</v>
          </cell>
          <cell r="N42">
            <v>550</v>
          </cell>
          <cell r="O42">
            <v>0</v>
          </cell>
          <cell r="P42">
            <v>550</v>
          </cell>
        </row>
        <row r="43">
          <cell r="B43" t="str">
            <v xml:space="preserve">    Total Supply</v>
          </cell>
          <cell r="J43">
            <v>28607.103889000002</v>
          </cell>
          <cell r="K43">
            <v>29357.1</v>
          </cell>
          <cell r="L43">
            <v>0</v>
          </cell>
          <cell r="M43">
            <v>29332.170524198424</v>
          </cell>
          <cell r="N43">
            <v>30731</v>
          </cell>
          <cell r="O43">
            <v>0</v>
          </cell>
          <cell r="P43">
            <v>29802.946879999996</v>
          </cell>
        </row>
        <row r="44">
          <cell r="B44" t="str">
            <v>Domestic Use</v>
          </cell>
          <cell r="J44">
            <v>26628.559782</v>
          </cell>
          <cell r="K44">
            <v>27239.1</v>
          </cell>
          <cell r="L44">
            <v>0</v>
          </cell>
          <cell r="M44">
            <v>27217.218906198425</v>
          </cell>
          <cell r="N44">
            <v>27600</v>
          </cell>
          <cell r="O44">
            <v>0</v>
          </cell>
          <cell r="P44">
            <v>26061.473592659229</v>
          </cell>
        </row>
        <row r="45">
          <cell r="B45" t="str">
            <v xml:space="preserve">    Biofuel</v>
          </cell>
          <cell r="J45">
            <v>12490.714</v>
          </cell>
          <cell r="K45">
            <v>12988.6</v>
          </cell>
          <cell r="L45">
            <v>0</v>
          </cell>
          <cell r="M45">
            <v>12985.676616766599</v>
          </cell>
          <cell r="N45">
            <v>13600</v>
          </cell>
          <cell r="O45">
            <v>0</v>
          </cell>
          <cell r="P45">
            <v>12211.473592659233</v>
          </cell>
        </row>
        <row r="46">
          <cell r="B46" t="str">
            <v xml:space="preserve">    Food, Feed and other Industrial</v>
          </cell>
          <cell r="J46">
            <v>14137.845782</v>
          </cell>
          <cell r="K46">
            <v>14250.499999999998</v>
          </cell>
          <cell r="L46">
            <v>0</v>
          </cell>
          <cell r="M46">
            <v>14231.542289431825</v>
          </cell>
          <cell r="N46">
            <v>14000</v>
          </cell>
          <cell r="O46">
            <v>0</v>
          </cell>
          <cell r="P46">
            <v>13849.999999999996</v>
          </cell>
        </row>
        <row r="47">
          <cell r="B47" t="str">
            <v>Exports</v>
          </cell>
          <cell r="J47">
            <v>376.80810700000001</v>
          </cell>
          <cell r="K47">
            <v>617</v>
          </cell>
          <cell r="L47">
            <v>0</v>
          </cell>
          <cell r="M47">
            <v>614.09361800000011</v>
          </cell>
          <cell r="N47">
            <v>1600</v>
          </cell>
          <cell r="O47">
            <v>0</v>
          </cell>
          <cell r="P47">
            <v>2000</v>
          </cell>
        </row>
        <row r="48">
          <cell r="B48" t="str">
            <v xml:space="preserve">    Total Use</v>
          </cell>
          <cell r="J48">
            <v>27005.367889000001</v>
          </cell>
          <cell r="K48">
            <v>27856.1</v>
          </cell>
          <cell r="L48">
            <v>0</v>
          </cell>
          <cell r="M48">
            <v>27831.312524198423</v>
          </cell>
          <cell r="N48">
            <v>29200</v>
          </cell>
          <cell r="O48">
            <v>0</v>
          </cell>
          <cell r="P48">
            <v>28061.473592659229</v>
          </cell>
        </row>
        <row r="49">
          <cell r="B49" t="str">
            <v>Ending Stocks (September 30)</v>
          </cell>
          <cell r="J49">
            <v>1601.7360000000008</v>
          </cell>
          <cell r="K49">
            <v>1501</v>
          </cell>
          <cell r="L49">
            <v>0</v>
          </cell>
          <cell r="M49">
            <v>1500.8580000000002</v>
          </cell>
          <cell r="N49">
            <v>1531</v>
          </cell>
          <cell r="O49">
            <v>0</v>
          </cell>
          <cell r="P49">
            <v>1741.4732873407665</v>
          </cell>
        </row>
        <row r="50">
          <cell r="B50" t="str">
            <v>Decatur (crude, ₵/lb)</v>
          </cell>
          <cell r="J50">
            <v>65.259416666666667</v>
          </cell>
          <cell r="K50">
            <v>47.28</v>
          </cell>
          <cell r="L50">
            <v>0</v>
          </cell>
          <cell r="M50">
            <v>46.9</v>
          </cell>
          <cell r="N50">
            <v>43</v>
          </cell>
          <cell r="O50">
            <v>0</v>
          </cell>
          <cell r="P50">
            <v>44.2</v>
          </cell>
        </row>
      </sheetData>
      <sheetData sheetId="1"/>
      <sheetData sheetId="2"/>
      <sheetData sheetId="3"/>
      <sheetData sheetId="4"/>
      <sheetData sheetId="5">
        <row r="371">
          <cell r="AI371">
            <v>4.62</v>
          </cell>
          <cell r="AJ371" t="str">
            <v xml:space="preserve">94/95 </v>
          </cell>
          <cell r="AK371" t="str">
            <v xml:space="preserve">95/96 </v>
          </cell>
          <cell r="AL371" t="str">
            <v xml:space="preserve">96/97 </v>
          </cell>
          <cell r="AM371" t="str">
            <v xml:space="preserve">97/98 </v>
          </cell>
          <cell r="AN371" t="str">
            <v xml:space="preserve">98/99 </v>
          </cell>
          <cell r="AO371" t="str">
            <v xml:space="preserve">99/00 </v>
          </cell>
          <cell r="AP371" t="str">
            <v xml:space="preserve">00/01 </v>
          </cell>
          <cell r="AQ371" t="str">
            <v xml:space="preserve">01/02 </v>
          </cell>
          <cell r="AR371" t="str">
            <v xml:space="preserve">02/03 </v>
          </cell>
          <cell r="AS371" t="str">
            <v xml:space="preserve">03/04 </v>
          </cell>
          <cell r="AT371" t="str">
            <v xml:space="preserve">04/05 </v>
          </cell>
          <cell r="AU371" t="str">
            <v xml:space="preserve">05/06 </v>
          </cell>
          <cell r="AV371" t="str">
            <v xml:space="preserve">06/07 </v>
          </cell>
          <cell r="AW371" t="str">
            <v xml:space="preserve">07/08 </v>
          </cell>
          <cell r="AX371" t="str">
            <v xml:space="preserve">08/09 </v>
          </cell>
          <cell r="AY371" t="str">
            <v xml:space="preserve">09/10 </v>
          </cell>
          <cell r="AZ371" t="str">
            <v xml:space="preserve">10/11 </v>
          </cell>
          <cell r="BA371" t="str">
            <v xml:space="preserve">11/12 </v>
          </cell>
          <cell r="BB371" t="str">
            <v xml:space="preserve">12/13 </v>
          </cell>
          <cell r="BC371" t="str">
            <v xml:space="preserve">13/14 </v>
          </cell>
          <cell r="BD371" t="str">
            <v xml:space="preserve">14/15 </v>
          </cell>
          <cell r="BE371" t="str">
            <v xml:space="preserve">15/16 </v>
          </cell>
          <cell r="BF371" t="str">
            <v xml:space="preserve">16/17 </v>
          </cell>
          <cell r="BG371" t="str">
            <v xml:space="preserve">17/18 </v>
          </cell>
          <cell r="BH371" t="str">
            <v xml:space="preserve">18/19 </v>
          </cell>
          <cell r="BI371" t="str">
            <v>19/20</v>
          </cell>
          <cell r="BJ371" t="str">
            <v>20/21</v>
          </cell>
          <cell r="BK371" t="str">
            <v xml:space="preserve">21/22 </v>
          </cell>
          <cell r="BL371" t="str">
            <v xml:space="preserve">22/23 </v>
          </cell>
          <cell r="BM371" t="str">
            <v xml:space="preserve">23/24 </v>
          </cell>
          <cell r="BN371" t="str">
            <v xml:space="preserve">24/25 </v>
          </cell>
        </row>
        <row r="372">
          <cell r="AI372">
            <v>4.5999999999999996</v>
          </cell>
          <cell r="AJ372">
            <v>8.9678684203870933</v>
          </cell>
          <cell r="AK372">
            <v>41.830823887051622</v>
          </cell>
          <cell r="AL372">
            <v>46.128009012219337</v>
          </cell>
          <cell r="AM372">
            <v>51.311828082258053</v>
          </cell>
          <cell r="AN372">
            <v>50.733566935632275</v>
          </cell>
          <cell r="AO372">
            <v>51.506056826503233</v>
          </cell>
          <cell r="AP372">
            <v>52.003384415761303</v>
          </cell>
          <cell r="AQ372">
            <v>59.525017930148387</v>
          </cell>
          <cell r="AR372">
            <v>57.222050185070962</v>
          </cell>
          <cell r="AS372">
            <v>55.193587128477418</v>
          </cell>
          <cell r="AT372">
            <v>50.553912093032245</v>
          </cell>
          <cell r="AU372">
            <v>53.139197770516112</v>
          </cell>
          <cell r="AV372">
            <v>58.757246695032244</v>
          </cell>
          <cell r="AW372">
            <v>55.902012253483882</v>
          </cell>
          <cell r="AX372">
            <v>58.621368797225813</v>
          </cell>
          <cell r="AY372">
            <v>60.752455816580607</v>
          </cell>
          <cell r="AZ372">
            <v>61.905055658129001</v>
          </cell>
          <cell r="BA372">
            <v>58.216804557493461</v>
          </cell>
          <cell r="BB372">
            <v>55.435175306063286</v>
          </cell>
          <cell r="BC372">
            <v>61.634137977164102</v>
          </cell>
          <cell r="BD372">
            <v>59.79709315628422</v>
          </cell>
          <cell r="BE372">
            <v>61.959367709677423</v>
          </cell>
          <cell r="BF372">
            <v>62.405057129032265</v>
          </cell>
          <cell r="BG372">
            <v>68.833734258064496</v>
          </cell>
          <cell r="BH372">
            <v>68.300214967741937</v>
          </cell>
          <cell r="BI372">
            <v>68.863754548387092</v>
          </cell>
          <cell r="BJ372">
            <v>70.568412548387101</v>
          </cell>
          <cell r="BK372">
            <v>68.657852645161313</v>
          </cell>
          <cell r="BL372">
            <v>73.075916741935487</v>
          </cell>
          <cell r="BM372">
            <v>81.181181741935504</v>
          </cell>
          <cell r="BN372">
            <v>81.475867410719999</v>
          </cell>
        </row>
        <row r="373">
          <cell r="AI373">
            <v>4.6100000000000003</v>
          </cell>
          <cell r="AJ373">
            <v>45.680501349460002</v>
          </cell>
          <cell r="AK373">
            <v>47.540004372893343</v>
          </cell>
          <cell r="AL373">
            <v>50.845218156706679</v>
          </cell>
          <cell r="AM373">
            <v>52.84146379630667</v>
          </cell>
          <cell r="AN373">
            <v>53.87828045117999</v>
          </cell>
          <cell r="AO373">
            <v>51.876741018586664</v>
          </cell>
          <cell r="AP373">
            <v>49.789922196046632</v>
          </cell>
          <cell r="AQ373">
            <v>51.819454184440005</v>
          </cell>
          <cell r="AR373">
            <v>52.969083449340012</v>
          </cell>
          <cell r="AS373">
            <v>50.664861890033315</v>
          </cell>
          <cell r="AT373">
            <v>58.931094429733307</v>
          </cell>
          <cell r="AU373">
            <v>59.675430186333337</v>
          </cell>
          <cell r="AV373">
            <v>54.404896612933314</v>
          </cell>
          <cell r="AW373">
            <v>59.936997990000009</v>
          </cell>
          <cell r="AX373">
            <v>50.05347656166667</v>
          </cell>
          <cell r="AY373">
            <v>56.083517935133308</v>
          </cell>
          <cell r="AZ373">
            <v>57.472942827133338</v>
          </cell>
          <cell r="BA373">
            <v>57.312451372464096</v>
          </cell>
          <cell r="BB373">
            <v>56.506369755645594</v>
          </cell>
          <cell r="BC373">
            <v>60.612299747512012</v>
          </cell>
          <cell r="BD373">
            <v>61.209252009880736</v>
          </cell>
          <cell r="BE373">
            <v>63.143294600000011</v>
          </cell>
          <cell r="BF373">
            <v>67.144827066666664</v>
          </cell>
          <cell r="BG373">
            <v>64.491756999999993</v>
          </cell>
          <cell r="BH373">
            <v>74.745435599999993</v>
          </cell>
          <cell r="BI373">
            <v>65.491341933333331</v>
          </cell>
          <cell r="BJ373">
            <v>69.297192833333327</v>
          </cell>
          <cell r="BK373">
            <v>74.997134866666713</v>
          </cell>
          <cell r="BL373">
            <v>73.579389100000014</v>
          </cell>
          <cell r="BM373">
            <v>75.87509146666666</v>
          </cell>
          <cell r="BN373">
            <v>83.758995905415318</v>
          </cell>
        </row>
        <row r="374">
          <cell r="AI374">
            <v>4.6399999999999997</v>
          </cell>
          <cell r="AJ374">
            <v>44.254968302380639</v>
          </cell>
          <cell r="AK374">
            <v>35.847497390529043</v>
          </cell>
          <cell r="AL374">
            <v>43.431716012322575</v>
          </cell>
          <cell r="AM374">
            <v>49.752878303954851</v>
          </cell>
          <cell r="AN374">
            <v>55.128953799129029</v>
          </cell>
          <cell r="AO374">
            <v>47.710258782800018</v>
          </cell>
          <cell r="AP374">
            <v>47.630847356193556</v>
          </cell>
          <cell r="AQ374">
            <v>53.563778867477417</v>
          </cell>
          <cell r="AR374">
            <v>52.516223509593537</v>
          </cell>
          <cell r="AS374">
            <v>49.461639080025812</v>
          </cell>
          <cell r="AT374">
            <v>50.434633900451622</v>
          </cell>
          <cell r="AU374">
            <v>44.533408326322586</v>
          </cell>
          <cell r="AV374">
            <v>56.49153808903224</v>
          </cell>
          <cell r="AW374">
            <v>59.381370392193546</v>
          </cell>
          <cell r="AX374">
            <v>48.053711134903232</v>
          </cell>
          <cell r="AY374">
            <v>56.401117655935487</v>
          </cell>
          <cell r="AZ374">
            <v>50.556429926451607</v>
          </cell>
          <cell r="BA374">
            <v>53.178973265412459</v>
          </cell>
          <cell r="BB374">
            <v>54.850574712832895</v>
          </cell>
          <cell r="BC374">
            <v>56.547014649902543</v>
          </cell>
          <cell r="BD374">
            <v>59.956877821789824</v>
          </cell>
          <cell r="BE374">
            <v>62.733374322580651</v>
          </cell>
          <cell r="BF374">
            <v>61.484899967741924</v>
          </cell>
          <cell r="BG374">
            <v>57.625150838709679</v>
          </cell>
          <cell r="BH374">
            <v>68.847751064516132</v>
          </cell>
          <cell r="BI374">
            <v>61.052084838709682</v>
          </cell>
          <cell r="BJ374">
            <v>73.069050806451614</v>
          </cell>
          <cell r="BK374">
            <v>74.058211612903222</v>
          </cell>
          <cell r="BL374">
            <v>65.292989225806451</v>
          </cell>
          <cell r="BM374">
            <v>70.734785870967741</v>
          </cell>
          <cell r="BN374">
            <v>81.528919428191628</v>
          </cell>
        </row>
        <row r="375">
          <cell r="AI375">
            <v>4.7</v>
          </cell>
          <cell r="AJ375">
            <v>43.315111546116128</v>
          </cell>
          <cell r="AK375">
            <v>40.994488535870957</v>
          </cell>
          <cell r="AL375">
            <v>43.104357400819346</v>
          </cell>
          <cell r="AM375">
            <v>51.029978415129015</v>
          </cell>
          <cell r="AN375">
            <v>43.181672693490327</v>
          </cell>
          <cell r="AO375">
            <v>44.691989400458048</v>
          </cell>
          <cell r="AP375">
            <v>47.85065049774839</v>
          </cell>
          <cell r="AQ375">
            <v>48.733676060535473</v>
          </cell>
          <cell r="AR375">
            <v>52.247754708606465</v>
          </cell>
          <cell r="AS375">
            <v>40.332554142148396</v>
          </cell>
          <cell r="AT375">
            <v>46.222740800516142</v>
          </cell>
          <cell r="AU375">
            <v>48.005869971483868</v>
          </cell>
          <cell r="AV375">
            <v>53.511161949032278</v>
          </cell>
          <cell r="AW375">
            <v>55.492726632903242</v>
          </cell>
          <cell r="AX375">
            <v>40.694423712258057</v>
          </cell>
          <cell r="AY375">
            <v>57.654099233161311</v>
          </cell>
          <cell r="AZ375">
            <v>59.80393112438707</v>
          </cell>
          <cell r="BA375">
            <v>47.93612401107427</v>
          </cell>
          <cell r="BB375">
            <v>52.663444021903793</v>
          </cell>
          <cell r="BC375">
            <v>55.855843024463653</v>
          </cell>
          <cell r="BD375">
            <v>55.245022614512131</v>
          </cell>
          <cell r="BE375">
            <v>56.244241774193533</v>
          </cell>
          <cell r="BF375">
            <v>56.519059999999989</v>
          </cell>
          <cell r="BG375">
            <v>55.762755322580645</v>
          </cell>
          <cell r="BH375">
            <v>67.345874387096771</v>
          </cell>
          <cell r="BI375">
            <v>63.394417129032249</v>
          </cell>
          <cell r="BJ375">
            <v>68.789677161290342</v>
          </cell>
          <cell r="BK375">
            <v>72.892280354838718</v>
          </cell>
          <cell r="BL375">
            <v>71.848425064516135</v>
          </cell>
          <cell r="BM375">
            <v>68.848209354838673</v>
          </cell>
          <cell r="BN375">
            <v>69.595349772159992</v>
          </cell>
        </row>
        <row r="376">
          <cell r="AI376">
            <v>4.75</v>
          </cell>
          <cell r="AJ376">
            <v>45.670633057557147</v>
          </cell>
          <cell r="AK376">
            <v>42.669348514924138</v>
          </cell>
          <cell r="AL376">
            <v>47.139181625021443</v>
          </cell>
          <cell r="AM376">
            <v>58.537487058457145</v>
          </cell>
          <cell r="AN376">
            <v>47.871865441514295</v>
          </cell>
          <cell r="AO376">
            <v>46.798452299200015</v>
          </cell>
          <cell r="AP376">
            <v>48.39869301434284</v>
          </cell>
          <cell r="AQ376">
            <v>59.623778877814296</v>
          </cell>
          <cell r="AR376">
            <v>57.150315261464279</v>
          </cell>
          <cell r="AS376">
            <v>48.886095981696542</v>
          </cell>
          <cell r="AT376">
            <v>52.83362428471429</v>
          </cell>
          <cell r="AU376">
            <v>46.433125865071432</v>
          </cell>
          <cell r="AV376">
            <v>51.125431545285728</v>
          </cell>
          <cell r="AW376">
            <v>62.907216736137897</v>
          </cell>
          <cell r="AX376">
            <v>50.5115862940714</v>
          </cell>
          <cell r="AY376">
            <v>58.209431036142881</v>
          </cell>
          <cell r="AZ376">
            <v>55.575402335500016</v>
          </cell>
          <cell r="BA376">
            <v>52.598673985454937</v>
          </cell>
          <cell r="BB376">
            <v>64.182862259301629</v>
          </cell>
          <cell r="BC376">
            <v>59.018373765055635</v>
          </cell>
          <cell r="BD376">
            <v>58.92313339838995</v>
          </cell>
          <cell r="BE376">
            <v>57.046559172413779</v>
          </cell>
          <cell r="BF376">
            <v>60.369107857142865</v>
          </cell>
          <cell r="BG376">
            <v>62.333242178571439</v>
          </cell>
          <cell r="BH376">
            <v>63.719071035714272</v>
          </cell>
          <cell r="BI376">
            <v>69.195729310344817</v>
          </cell>
          <cell r="BJ376">
            <v>69.503613214285707</v>
          </cell>
          <cell r="BK376">
            <v>72.122950142857135</v>
          </cell>
          <cell r="BL376">
            <v>75.579968857142831</v>
          </cell>
          <cell r="BM376">
            <v>71.227962677419356</v>
          </cell>
          <cell r="BN376">
            <v>74.381654771056105</v>
          </cell>
        </row>
        <row r="377">
          <cell r="AI377">
            <v>4.6900000000000004</v>
          </cell>
          <cell r="AJ377">
            <v>48.075925385877412</v>
          </cell>
          <cell r="AK377">
            <v>37.749174983987103</v>
          </cell>
          <cell r="AL377">
            <v>46.669050236729021</v>
          </cell>
          <cell r="AM377">
            <v>51.844079550438693</v>
          </cell>
          <cell r="AN377">
            <v>47.931461343683864</v>
          </cell>
          <cell r="AO377">
            <v>47.468687577200001</v>
          </cell>
          <cell r="AP377">
            <v>51.115112649509705</v>
          </cell>
          <cell r="AQ377">
            <v>50.013455464954845</v>
          </cell>
          <cell r="AR377">
            <v>53.239647388993546</v>
          </cell>
          <cell r="AS377">
            <v>51.827739798929045</v>
          </cell>
          <cell r="AT377">
            <v>49.105565035096774</v>
          </cell>
          <cell r="AU377">
            <v>56.797222386516125</v>
          </cell>
          <cell r="AV377">
            <v>54.438068276387099</v>
          </cell>
          <cell r="AW377">
            <v>65.417548507354837</v>
          </cell>
          <cell r="AX377">
            <v>50.927467493548406</v>
          </cell>
          <cell r="AY377">
            <v>55.162389868516115</v>
          </cell>
          <cell r="AZ377">
            <v>51.695228017612891</v>
          </cell>
          <cell r="BA377">
            <v>49.678638549126688</v>
          </cell>
          <cell r="BB377">
            <v>56.122377051390202</v>
          </cell>
          <cell r="BC377">
            <v>55.09612874379777</v>
          </cell>
          <cell r="BD377">
            <v>57.595553628537552</v>
          </cell>
          <cell r="BE377">
            <v>61.825052516129034</v>
          </cell>
          <cell r="BF377">
            <v>56.836345225806461</v>
          </cell>
          <cell r="BG377">
            <v>67.135924548387067</v>
          </cell>
          <cell r="BH377">
            <v>65.840533870967747</v>
          </cell>
          <cell r="BI377">
            <v>73.388564709677425</v>
          </cell>
          <cell r="BJ377">
            <v>74.331516322580669</v>
          </cell>
          <cell r="BK377">
            <v>78.455481483870969</v>
          </cell>
          <cell r="BL377">
            <v>75.784978612903274</v>
          </cell>
          <cell r="BM377">
            <v>72.083018161290326</v>
          </cell>
          <cell r="BN377">
            <v>75.427875657127075</v>
          </cell>
        </row>
        <row r="378">
          <cell r="AI378">
            <v>4.74</v>
          </cell>
          <cell r="AJ378">
            <v>43.494568748613354</v>
          </cell>
          <cell r="AK378">
            <v>39.281385735479994</v>
          </cell>
          <cell r="AL378">
            <v>42.173882339946665</v>
          </cell>
          <cell r="AM378">
            <v>47.784141713513328</v>
          </cell>
          <cell r="AN378">
            <v>51.128301119133326</v>
          </cell>
          <cell r="AO378">
            <v>45.259421397893327</v>
          </cell>
          <cell r="AP378">
            <v>49.973312116046678</v>
          </cell>
          <cell r="AQ378">
            <v>55.90294768497332</v>
          </cell>
          <cell r="AR378">
            <v>52.976678131426659</v>
          </cell>
          <cell r="AS378">
            <v>49.300334001140008</v>
          </cell>
          <cell r="AT378">
            <v>53.244542623933334</v>
          </cell>
          <cell r="AU378">
            <v>49.277533716733359</v>
          </cell>
          <cell r="AV378">
            <v>56.22055291773335</v>
          </cell>
          <cell r="AW378">
            <v>62.421441768866643</v>
          </cell>
          <cell r="AX378">
            <v>50.624823567533333</v>
          </cell>
          <cell r="AY378">
            <v>47.640799850800001</v>
          </cell>
          <cell r="AZ378">
            <v>52.874699443599994</v>
          </cell>
          <cell r="BA378">
            <v>51.809799371112412</v>
          </cell>
          <cell r="BB378">
            <v>55.027254738564899</v>
          </cell>
          <cell r="BC378">
            <v>52.58351401795273</v>
          </cell>
          <cell r="BD378">
            <v>58.957538465593217</v>
          </cell>
          <cell r="BE378">
            <v>59.131358900000002</v>
          </cell>
          <cell r="BF378">
            <v>62.462197233333328</v>
          </cell>
          <cell r="BG378">
            <v>58.311464366666677</v>
          </cell>
          <cell r="BH378">
            <v>64.306032258064548</v>
          </cell>
          <cell r="BI378">
            <v>61.665689466666663</v>
          </cell>
          <cell r="BJ378">
            <v>69.336134033333337</v>
          </cell>
          <cell r="BK378">
            <v>72.538317066666664</v>
          </cell>
          <cell r="BL378">
            <v>70.628643799999992</v>
          </cell>
          <cell r="BM378">
            <v>73.703546341628012</v>
          </cell>
          <cell r="BN378">
            <v>74.096632095852499</v>
          </cell>
        </row>
        <row r="379">
          <cell r="AI379">
            <v>4.75</v>
          </cell>
          <cell r="AJ379">
            <v>39.858764892696769</v>
          </cell>
          <cell r="AK379">
            <v>38.64161922910322</v>
          </cell>
          <cell r="AL379">
            <v>40.130481246941933</v>
          </cell>
          <cell r="AM379">
            <v>45.881817825193558</v>
          </cell>
          <cell r="AN379">
            <v>43.041641079503236</v>
          </cell>
          <cell r="AO379">
            <v>48.965325066361302</v>
          </cell>
          <cell r="AP379">
            <v>43.075942596232274</v>
          </cell>
          <cell r="AQ379">
            <v>47.867725904638696</v>
          </cell>
          <cell r="AR379">
            <v>50.221961698251611</v>
          </cell>
          <cell r="AS379">
            <v>45.1761306420645</v>
          </cell>
          <cell r="AT379">
            <v>49.365051887999982</v>
          </cell>
          <cell r="AU379">
            <v>50.67783460780641</v>
          </cell>
          <cell r="AV379">
            <v>56.912681790580635</v>
          </cell>
          <cell r="AW379">
            <v>54.788612914838744</v>
          </cell>
          <cell r="AX379">
            <v>52.476795127225813</v>
          </cell>
          <cell r="AY379">
            <v>44.68250056587096</v>
          </cell>
          <cell r="AZ379">
            <v>53.814464665354834</v>
          </cell>
          <cell r="BA379">
            <v>57.470471142588245</v>
          </cell>
          <cell r="BB379">
            <v>56.864090721696762</v>
          </cell>
          <cell r="BC379">
            <v>55.521634840630831</v>
          </cell>
          <cell r="BD379">
            <v>43.73089390242599</v>
          </cell>
          <cell r="BE379">
            <v>60.105592387096785</v>
          </cell>
          <cell r="BF379">
            <v>59.405521806451631</v>
          </cell>
          <cell r="BG379">
            <v>74.688894999999988</v>
          </cell>
          <cell r="BH379">
            <v>70.619945870967783</v>
          </cell>
          <cell r="BI379">
            <v>72.165882967741979</v>
          </cell>
          <cell r="BJ379">
            <v>67.423217870967733</v>
          </cell>
          <cell r="BK379">
            <v>71.73103893548388</v>
          </cell>
          <cell r="BL379">
            <v>78.580153516129016</v>
          </cell>
          <cell r="BM379">
            <v>80.145375517803885</v>
          </cell>
          <cell r="BN379">
            <v>74.881725153736269</v>
          </cell>
        </row>
        <row r="380">
          <cell r="AI380">
            <v>4.8099999999999996</v>
          </cell>
          <cell r="AJ380">
            <v>40.117361269813337</v>
          </cell>
          <cell r="AK380">
            <v>36.726231530986681</v>
          </cell>
          <cell r="AL380">
            <v>40.230680751406666</v>
          </cell>
          <cell r="AM380">
            <v>49.573990403379995</v>
          </cell>
          <cell r="AN380">
            <v>50.410844353259996</v>
          </cell>
          <cell r="AO380">
            <v>43.895775614673319</v>
          </cell>
          <cell r="AP380">
            <v>45.754613507873302</v>
          </cell>
          <cell r="AQ380">
            <v>58.030547986186662</v>
          </cell>
          <cell r="AR380">
            <v>50.669436903553333</v>
          </cell>
          <cell r="AS380">
            <v>49.68333471095999</v>
          </cell>
          <cell r="AT380">
            <v>51.62444490386666</v>
          </cell>
          <cell r="AU380">
            <v>52.176972330133374</v>
          </cell>
          <cell r="AV380">
            <v>54.067965453466641</v>
          </cell>
          <cell r="AW380">
            <v>57.287323717933319</v>
          </cell>
          <cell r="AX380">
            <v>47.245525738733356</v>
          </cell>
          <cell r="AY380">
            <v>45.738412855666638</v>
          </cell>
          <cell r="AZ380">
            <v>49.148619425666645</v>
          </cell>
          <cell r="BA380">
            <v>54.705344222137533</v>
          </cell>
          <cell r="BB380">
            <v>57.124416681973734</v>
          </cell>
          <cell r="BC380">
            <v>54.458635535781212</v>
          </cell>
          <cell r="BD380">
            <v>59.815228500000011</v>
          </cell>
          <cell r="BE380">
            <v>61.518188899999963</v>
          </cell>
          <cell r="BF380">
            <v>62.87580913333337</v>
          </cell>
          <cell r="BG380">
            <v>67.932906766666662</v>
          </cell>
          <cell r="BH380">
            <v>61.691752766666667</v>
          </cell>
          <cell r="BI380">
            <v>74.503591033333308</v>
          </cell>
          <cell r="BJ380">
            <v>66.03743503333331</v>
          </cell>
          <cell r="BK380">
            <v>72.06226999999997</v>
          </cell>
          <cell r="BL380">
            <v>73.40634651612902</v>
          </cell>
          <cell r="BM380">
            <v>78.217087591086667</v>
          </cell>
          <cell r="BN380">
            <v>73.509723892792593</v>
          </cell>
        </row>
        <row r="381">
          <cell r="AI381">
            <v>4.84</v>
          </cell>
          <cell r="AJ381">
            <v>37.961331428464526</v>
          </cell>
          <cell r="AK381">
            <v>32.276826490161298</v>
          </cell>
          <cell r="AL381">
            <v>43.288641895096781</v>
          </cell>
          <cell r="AM381">
            <v>43.516345583909683</v>
          </cell>
          <cell r="AN381">
            <v>46.299475105548382</v>
          </cell>
          <cell r="AO381">
            <v>45.17645879851613</v>
          </cell>
          <cell r="AP381">
            <v>50.411271094696751</v>
          </cell>
          <cell r="AQ381">
            <v>51.412466471877437</v>
          </cell>
          <cell r="AR381">
            <v>52.230721176864513</v>
          </cell>
          <cell r="AS381">
            <v>45.391190739599992</v>
          </cell>
          <cell r="AT381">
            <v>46.326750989935491</v>
          </cell>
          <cell r="AU381">
            <v>49.878363642387058</v>
          </cell>
          <cell r="AV381">
            <v>60.197971386193544</v>
          </cell>
          <cell r="AW381">
            <v>55.949405419548398</v>
          </cell>
          <cell r="AX381">
            <v>50.276442210645165</v>
          </cell>
          <cell r="AY381">
            <v>46.773426844645165</v>
          </cell>
          <cell r="AZ381">
            <v>49.669968199741895</v>
          </cell>
          <cell r="BA381">
            <v>50.664459619501102</v>
          </cell>
          <cell r="BB381">
            <v>55.561385003240623</v>
          </cell>
          <cell r="BC381">
            <v>57.278713674515572</v>
          </cell>
          <cell r="BD381">
            <v>56.758728354838709</v>
          </cell>
          <cell r="BE381">
            <v>65.037351032258044</v>
          </cell>
          <cell r="BF381">
            <v>63.436861741935481</v>
          </cell>
          <cell r="BG381">
            <v>64.426835516129046</v>
          </cell>
          <cell r="BH381">
            <v>67.792890806451595</v>
          </cell>
          <cell r="BI381">
            <v>74.129040193548391</v>
          </cell>
          <cell r="BJ381">
            <v>67.860589933333316</v>
          </cell>
          <cell r="BK381">
            <v>72.376582225806416</v>
          </cell>
          <cell r="BL381">
            <v>73.391318903225809</v>
          </cell>
          <cell r="BM381">
            <v>79.654744667035132</v>
          </cell>
          <cell r="BN381">
            <v>70.397094408349616</v>
          </cell>
        </row>
        <row r="382">
          <cell r="AI382">
            <v>4.87</v>
          </cell>
          <cell r="AJ382">
            <v>41.043905171716133</v>
          </cell>
          <cell r="AK382">
            <v>40.043213240638714</v>
          </cell>
          <cell r="AL382">
            <v>45.896165771696772</v>
          </cell>
          <cell r="AM382">
            <v>52.099141353580634</v>
          </cell>
          <cell r="AN382">
            <v>48.375464478406471</v>
          </cell>
          <cell r="AO382">
            <v>48.296156313683873</v>
          </cell>
          <cell r="AP382">
            <v>50.956826919412926</v>
          </cell>
          <cell r="AQ382">
            <v>47.934515483445161</v>
          </cell>
          <cell r="AR382">
            <v>51.01493323867097</v>
          </cell>
          <cell r="AS382">
            <v>48.900716836600004</v>
          </cell>
          <cell r="AT382">
            <v>56.418283890645164</v>
          </cell>
          <cell r="AU382">
            <v>54.845539314193545</v>
          </cell>
          <cell r="AV382">
            <v>60.287017805806464</v>
          </cell>
          <cell r="AW382">
            <v>56.211522831548365</v>
          </cell>
          <cell r="AX382">
            <v>54.584011673548396</v>
          </cell>
          <cell r="AY382">
            <v>54.28571458845159</v>
          </cell>
          <cell r="AZ382">
            <v>56.251049378717902</v>
          </cell>
          <cell r="BA382">
            <v>57.412574155775793</v>
          </cell>
          <cell r="BB382">
            <v>60.685280932695107</v>
          </cell>
          <cell r="BC382">
            <v>59.76363231053908</v>
          </cell>
          <cell r="BD382">
            <v>58.441420322580633</v>
          </cell>
          <cell r="BE382">
            <v>61.169066548387107</v>
          </cell>
          <cell r="BF382">
            <v>63.605589451612907</v>
          </cell>
          <cell r="BG382">
            <v>68.953925612903191</v>
          </cell>
          <cell r="BH382">
            <v>74.718401774193538</v>
          </cell>
          <cell r="BI382">
            <v>71.414018419354846</v>
          </cell>
          <cell r="BJ382">
            <v>63.964323666666672</v>
          </cell>
          <cell r="BK382">
            <v>73.545274677419371</v>
          </cell>
          <cell r="BL382">
            <v>78.208939483870978</v>
          </cell>
          <cell r="BM382">
            <v>77.145348393508613</v>
          </cell>
          <cell r="BN382">
            <v>78.839284898554808</v>
          </cell>
        </row>
        <row r="383">
          <cell r="AI383">
            <v>4.9000000000000004</v>
          </cell>
          <cell r="AJ383">
            <v>39.11873412470667</v>
          </cell>
          <cell r="AK383">
            <v>40.802219081386674</v>
          </cell>
          <cell r="AL383">
            <v>47.164483577139997</v>
          </cell>
          <cell r="AM383">
            <v>49.572673895086652</v>
          </cell>
          <cell r="AN383">
            <v>54.858514508246657</v>
          </cell>
          <cell r="AO383">
            <v>49.877983763826663</v>
          </cell>
          <cell r="AP383">
            <v>45.472535609733313</v>
          </cell>
          <cell r="AQ383">
            <v>52.667806189213337</v>
          </cell>
          <cell r="AR383">
            <v>53.93227269023334</v>
          </cell>
          <cell r="AS383">
            <v>49.938080086846668</v>
          </cell>
          <cell r="AT383">
            <v>52.164080223399999</v>
          </cell>
          <cell r="AU383">
            <v>58.246707204133386</v>
          </cell>
          <cell r="AV383">
            <v>59.84645329633333</v>
          </cell>
          <cell r="AW383">
            <v>51.116543135133341</v>
          </cell>
          <cell r="AX383">
            <v>52.71239710506665</v>
          </cell>
          <cell r="AY383">
            <v>47.041306117333342</v>
          </cell>
          <cell r="AZ383">
            <v>59.268104638079826</v>
          </cell>
          <cell r="BA383">
            <v>53.43230261653396</v>
          </cell>
          <cell r="BB383">
            <v>56.816385787262348</v>
          </cell>
          <cell r="BC383">
            <v>52.168053335158973</v>
          </cell>
          <cell r="BD383">
            <v>56.329597966666675</v>
          </cell>
          <cell r="BE383">
            <v>64.531152733333343</v>
          </cell>
          <cell r="BF383">
            <v>60.641257100000011</v>
          </cell>
          <cell r="BG383">
            <v>72.537940533333327</v>
          </cell>
          <cell r="BH383">
            <v>65.224831499999979</v>
          </cell>
          <cell r="BI383">
            <v>69.362962400000015</v>
          </cell>
          <cell r="BJ383">
            <v>67.513724933333336</v>
          </cell>
          <cell r="BK383">
            <v>70.475290396534547</v>
          </cell>
          <cell r="BL383">
            <v>75.737555466666677</v>
          </cell>
          <cell r="BM383">
            <v>78.860044809606819</v>
          </cell>
          <cell r="BN383">
            <v>84.709902788461022</v>
          </cell>
        </row>
        <row r="387">
          <cell r="AI387">
            <v>4.9000000000000004</v>
          </cell>
          <cell r="AJ387" t="str">
            <v xml:space="preserve">94/95 </v>
          </cell>
          <cell r="AK387" t="str">
            <v xml:space="preserve">95/96 </v>
          </cell>
          <cell r="AL387" t="str">
            <v xml:space="preserve">96/97 </v>
          </cell>
          <cell r="AM387" t="str">
            <v xml:space="preserve">97/98 </v>
          </cell>
          <cell r="AN387" t="str">
            <v xml:space="preserve">98/99 </v>
          </cell>
          <cell r="AO387" t="str">
            <v xml:space="preserve">99/00 </v>
          </cell>
          <cell r="AP387" t="str">
            <v xml:space="preserve">00/01 </v>
          </cell>
          <cell r="AQ387" t="str">
            <v xml:space="preserve">01/02 </v>
          </cell>
          <cell r="AR387" t="str">
            <v xml:space="preserve">02/03 </v>
          </cell>
          <cell r="AS387" t="str">
            <v xml:space="preserve">03/04 </v>
          </cell>
          <cell r="AT387" t="str">
            <v xml:space="preserve">04/05 </v>
          </cell>
          <cell r="AU387" t="str">
            <v xml:space="preserve">05/06 </v>
          </cell>
          <cell r="AV387" t="str">
            <v xml:space="preserve">06/07 </v>
          </cell>
          <cell r="AW387" t="str">
            <v xml:space="preserve">07/08 </v>
          </cell>
          <cell r="AX387" t="str">
            <v xml:space="preserve">08/09 </v>
          </cell>
          <cell r="AY387" t="str">
            <v xml:space="preserve">09/10 </v>
          </cell>
          <cell r="AZ387" t="str">
            <v xml:space="preserve">10/11 </v>
          </cell>
          <cell r="BA387" t="str">
            <v xml:space="preserve">11/12 </v>
          </cell>
          <cell r="BB387" t="str">
            <v xml:space="preserve">12/13 </v>
          </cell>
          <cell r="BC387" t="str">
            <v xml:space="preserve">13/14 </v>
          </cell>
          <cell r="BD387" t="str">
            <v xml:space="preserve">14/15 </v>
          </cell>
          <cell r="BE387" t="str">
            <v xml:space="preserve">15/16 </v>
          </cell>
          <cell r="BF387" t="str">
            <v xml:space="preserve">16/17 </v>
          </cell>
          <cell r="BG387" t="str">
            <v xml:space="preserve">17/18 </v>
          </cell>
          <cell r="BH387" t="str">
            <v xml:space="preserve">18/19 </v>
          </cell>
          <cell r="BI387" t="str">
            <v>19/20</v>
          </cell>
          <cell r="BJ387" t="str">
            <v>20/21</v>
          </cell>
          <cell r="BK387" t="str">
            <v xml:space="preserve">21/22 </v>
          </cell>
          <cell r="BL387" t="str">
            <v xml:space="preserve">22/23 </v>
          </cell>
          <cell r="BM387" t="str">
            <v xml:space="preserve">23/24 </v>
          </cell>
          <cell r="BN387" t="str">
            <v xml:space="preserve">24/25 </v>
          </cell>
        </row>
        <row r="388">
          <cell r="AI388">
            <v>4.96</v>
          </cell>
          <cell r="AJ388"/>
          <cell r="AK388"/>
          <cell r="AL388"/>
          <cell r="AM388"/>
          <cell r="AN388">
            <v>0.14845192849800068</v>
          </cell>
          <cell r="AO388">
            <v>0.59380771399200272</v>
          </cell>
          <cell r="AP388">
            <v>0.10594550710612409</v>
          </cell>
          <cell r="AQ388">
            <v>4.7053309611616596</v>
          </cell>
          <cell r="AR388">
            <v>5.6274177871419004</v>
          </cell>
          <cell r="AS388">
            <v>3.2679714900617962</v>
          </cell>
          <cell r="AT388">
            <v>26.33123743930997</v>
          </cell>
          <cell r="AU388">
            <v>88.427799471015888</v>
          </cell>
          <cell r="AV388">
            <v>166.1</v>
          </cell>
          <cell r="AW388">
            <v>246.8</v>
          </cell>
          <cell r="AX388">
            <v>295.3</v>
          </cell>
          <cell r="AY388">
            <v>244</v>
          </cell>
          <cell r="AZ388">
            <v>105</v>
          </cell>
          <cell r="BA388">
            <v>531.24151557377047</v>
          </cell>
          <cell r="BB388">
            <v>311.1290819672131</v>
          </cell>
          <cell r="BC388">
            <v>580.06077131147538</v>
          </cell>
          <cell r="BD388">
            <v>461.91774426229506</v>
          </cell>
          <cell r="BE388">
            <v>409.38934918032788</v>
          </cell>
          <cell r="BF388">
            <v>560.2701364026542</v>
          </cell>
          <cell r="BG388">
            <v>618.96054429300784</v>
          </cell>
          <cell r="BH388">
            <v>783.02353468238039</v>
          </cell>
          <cell r="BI388">
            <v>696.18438467083797</v>
          </cell>
          <cell r="BJ388">
            <v>785.87598756355499</v>
          </cell>
          <cell r="BK388">
            <v>834.43943405266543</v>
          </cell>
          <cell r="BL388">
            <v>906.40899999999999</v>
          </cell>
          <cell r="BM388">
            <v>1061.944</v>
          </cell>
          <cell r="BN388">
            <v>1227.0820000000001</v>
          </cell>
        </row>
        <row r="389">
          <cell r="AI389">
            <v>4.95</v>
          </cell>
          <cell r="AJ389"/>
          <cell r="AK389"/>
          <cell r="AL389"/>
          <cell r="AM389"/>
          <cell r="AN389">
            <v>0.14845192849800068</v>
          </cell>
          <cell r="AO389">
            <v>0.59380771399200272</v>
          </cell>
          <cell r="AP389">
            <v>0.10594550710612409</v>
          </cell>
          <cell r="AQ389">
            <v>4.7053309611616596</v>
          </cell>
          <cell r="AR389">
            <v>5.6274177871419004</v>
          </cell>
          <cell r="AS389">
            <v>3.2679714900617962</v>
          </cell>
          <cell r="AT389">
            <v>26.33123743930997</v>
          </cell>
          <cell r="AU389">
            <v>88.427799471015888</v>
          </cell>
          <cell r="AV389">
            <v>157.6</v>
          </cell>
          <cell r="AW389">
            <v>219.1</v>
          </cell>
          <cell r="AX389">
            <v>252.4</v>
          </cell>
          <cell r="AY389">
            <v>237</v>
          </cell>
          <cell r="AZ389">
            <v>73</v>
          </cell>
          <cell r="BA389">
            <v>543.65642991803281</v>
          </cell>
          <cell r="BB389">
            <v>253.02707459016392</v>
          </cell>
          <cell r="BC389">
            <v>551.30496065573766</v>
          </cell>
          <cell r="BD389">
            <v>449.03584180327869</v>
          </cell>
          <cell r="BE389">
            <v>465.14828934426231</v>
          </cell>
          <cell r="BF389">
            <v>640.6064903688922</v>
          </cell>
          <cell r="BG389">
            <v>629.27709169795571</v>
          </cell>
          <cell r="BH389">
            <v>784.39340940183877</v>
          </cell>
          <cell r="BI389">
            <v>645.39542296890977</v>
          </cell>
          <cell r="BJ389">
            <v>805.37285650950196</v>
          </cell>
          <cell r="BK389">
            <v>820.20644973968263</v>
          </cell>
          <cell r="BL389">
            <v>943.34199999999998</v>
          </cell>
          <cell r="BM389">
            <v>1062.1690000000001</v>
          </cell>
          <cell r="BN389">
            <v>1191.5229999999999</v>
          </cell>
        </row>
        <row r="390">
          <cell r="AI390">
            <v>5.0199999999999996</v>
          </cell>
          <cell r="AJ390"/>
          <cell r="AK390"/>
          <cell r="AL390"/>
          <cell r="AM390"/>
          <cell r="AN390">
            <v>0.14845192849800068</v>
          </cell>
          <cell r="AO390">
            <v>0.59380771399200272</v>
          </cell>
          <cell r="AP390">
            <v>0.10594550710612409</v>
          </cell>
          <cell r="AQ390">
            <v>4.7053309611616596</v>
          </cell>
          <cell r="AR390">
            <v>5.6274177871419004</v>
          </cell>
          <cell r="AS390">
            <v>3.2679714900617962</v>
          </cell>
          <cell r="AT390">
            <v>26.33123743930997</v>
          </cell>
          <cell r="AU390">
            <v>88.427799471015888</v>
          </cell>
          <cell r="AV390">
            <v>178.7</v>
          </cell>
          <cell r="AW390">
            <v>219.3</v>
          </cell>
          <cell r="AX390">
            <v>207</v>
          </cell>
          <cell r="AY390">
            <v>241</v>
          </cell>
          <cell r="AZ390">
            <v>63</v>
          </cell>
          <cell r="BA390">
            <v>595.48178278688522</v>
          </cell>
          <cell r="BB390">
            <v>281.03496024590163</v>
          </cell>
          <cell r="BC390">
            <v>561.09804754098366</v>
          </cell>
          <cell r="BD390">
            <v>534.22628770491792</v>
          </cell>
          <cell r="BE390">
            <v>437.10229713114757</v>
          </cell>
          <cell r="BF390">
            <v>654.68939716852515</v>
          </cell>
          <cell r="BG390">
            <v>636.32991055182811</v>
          </cell>
          <cell r="BH390">
            <v>862.13341442805211</v>
          </cell>
          <cell r="BI390">
            <v>700.68491711617048</v>
          </cell>
          <cell r="BJ390">
            <v>891.47086327785996</v>
          </cell>
          <cell r="BK390">
            <v>940.97093390345049</v>
          </cell>
          <cell r="BL390">
            <v>885.65899999999999</v>
          </cell>
          <cell r="BM390">
            <v>1141.3201944193002</v>
          </cell>
          <cell r="BN390">
            <v>1096.6990000000001</v>
          </cell>
        </row>
        <row r="391">
          <cell r="AI391">
            <v>5.09</v>
          </cell>
          <cell r="AJ391"/>
          <cell r="AK391"/>
          <cell r="AL391"/>
          <cell r="AM391"/>
          <cell r="AN391">
            <v>0.15748480840727289</v>
          </cell>
          <cell r="AO391">
            <v>0.62993923362909154</v>
          </cell>
          <cell r="AP391">
            <v>3.6232368797822416</v>
          </cell>
          <cell r="AQ391">
            <v>6.3683646097343614</v>
          </cell>
          <cell r="AR391">
            <v>5.1705605193162594</v>
          </cell>
          <cell r="AS391">
            <v>12.937129110066229</v>
          </cell>
          <cell r="AT391">
            <v>17.948954341994057</v>
          </cell>
          <cell r="AU391">
            <v>94.4</v>
          </cell>
          <cell r="AV391">
            <v>192.1</v>
          </cell>
          <cell r="AW391">
            <v>289</v>
          </cell>
          <cell r="AX391">
            <v>152</v>
          </cell>
          <cell r="AY391">
            <v>90</v>
          </cell>
          <cell r="AZ391">
            <v>150</v>
          </cell>
          <cell r="BA391">
            <v>307.89122827868852</v>
          </cell>
          <cell r="BB391">
            <v>314.4893450819672</v>
          </cell>
          <cell r="BC391">
            <v>241.86406639344261</v>
          </cell>
          <cell r="BD391">
            <v>306.61247950819671</v>
          </cell>
          <cell r="BE391">
            <v>393.13795040983604</v>
          </cell>
          <cell r="BF391">
            <v>420.94313711669025</v>
          </cell>
          <cell r="BG391">
            <v>491.8442757684038</v>
          </cell>
          <cell r="BH391">
            <v>711.94203871261902</v>
          </cell>
          <cell r="BI391">
            <v>623.25137377151998</v>
          </cell>
          <cell r="BJ391">
            <v>683.77633859659568</v>
          </cell>
          <cell r="BK391">
            <v>791.48900000000003</v>
          </cell>
          <cell r="BL391">
            <v>940.87400000000002</v>
          </cell>
          <cell r="BM391">
            <v>960.20299999999997</v>
          </cell>
          <cell r="BN391">
            <v>636.59772158966973</v>
          </cell>
        </row>
        <row r="392">
          <cell r="AI392">
            <v>5.09</v>
          </cell>
          <cell r="AJ392"/>
          <cell r="AK392"/>
          <cell r="AL392"/>
          <cell r="AM392"/>
          <cell r="AN392">
            <v>0.15748480840727289</v>
          </cell>
          <cell r="AO392">
            <v>0.62993923362909154</v>
          </cell>
          <cell r="AP392">
            <v>3.6232368797822416</v>
          </cell>
          <cell r="AQ392">
            <v>6.3683646097343614</v>
          </cell>
          <cell r="AR392">
            <v>5.1705605193162594</v>
          </cell>
          <cell r="AS392">
            <v>12.937129110066229</v>
          </cell>
          <cell r="AT392">
            <v>17.948954341994057</v>
          </cell>
          <cell r="AU392">
            <v>81.599999999999994</v>
          </cell>
          <cell r="AV392">
            <v>158.4</v>
          </cell>
          <cell r="AW392">
            <v>247.5</v>
          </cell>
          <cell r="AX392">
            <v>146</v>
          </cell>
          <cell r="AY392">
            <v>102</v>
          </cell>
          <cell r="AZ392">
            <v>150</v>
          </cell>
          <cell r="BA392">
            <v>327.35488893442624</v>
          </cell>
          <cell r="BB392">
            <v>289.15085245901639</v>
          </cell>
          <cell r="BC392">
            <v>278.93020860655736</v>
          </cell>
          <cell r="BD392">
            <v>312.44109918032785</v>
          </cell>
          <cell r="BE392">
            <v>417.11530286885244</v>
          </cell>
          <cell r="BF392">
            <v>403.78044304347202</v>
          </cell>
          <cell r="BG392">
            <v>544.03547119317955</v>
          </cell>
          <cell r="BH392">
            <v>657.85951157590421</v>
          </cell>
          <cell r="BI392">
            <v>667.12582193924868</v>
          </cell>
          <cell r="BJ392">
            <v>554.25915105210674</v>
          </cell>
          <cell r="BK392">
            <v>758.13099999999997</v>
          </cell>
          <cell r="BL392">
            <v>909.98699999999997</v>
          </cell>
          <cell r="BM392">
            <v>888.49042234729995</v>
          </cell>
          <cell r="BN392">
            <v>719.636333589571</v>
          </cell>
        </row>
        <row r="393">
          <cell r="AI393">
            <v>5.13</v>
          </cell>
          <cell r="AJ393"/>
          <cell r="AK393"/>
          <cell r="AL393"/>
          <cell r="AM393"/>
          <cell r="AN393">
            <v>0.15748480840727289</v>
          </cell>
          <cell r="AO393">
            <v>0.62993923362909154</v>
          </cell>
          <cell r="AP393">
            <v>3.6232368797822416</v>
          </cell>
          <cell r="AQ393">
            <v>6.3683646097343614</v>
          </cell>
          <cell r="AR393">
            <v>5.1705605193162594</v>
          </cell>
          <cell r="AS393">
            <v>12.937129110066229</v>
          </cell>
          <cell r="AT393">
            <v>17.948954341994057</v>
          </cell>
          <cell r="AU393">
            <v>111.3</v>
          </cell>
          <cell r="AV393">
            <v>222.4</v>
          </cell>
          <cell r="AW393">
            <v>259.5</v>
          </cell>
          <cell r="AX393">
            <v>102</v>
          </cell>
          <cell r="AY393">
            <v>112</v>
          </cell>
          <cell r="AZ393">
            <v>190</v>
          </cell>
          <cell r="BA393">
            <v>390.39648606557375</v>
          </cell>
          <cell r="BB393">
            <v>445.56155491803281</v>
          </cell>
          <cell r="BC393">
            <v>381.72403442622948</v>
          </cell>
          <cell r="BD393">
            <v>383.58728975409838</v>
          </cell>
          <cell r="BE393">
            <v>466.15356844262294</v>
          </cell>
          <cell r="BF393">
            <v>395.95947396180185</v>
          </cell>
          <cell r="BG393">
            <v>680.94274874726977</v>
          </cell>
          <cell r="BH393">
            <v>704.31191658863565</v>
          </cell>
          <cell r="BI393">
            <v>768.60693138262116</v>
          </cell>
          <cell r="BJ393">
            <v>751.11364006228337</v>
          </cell>
          <cell r="BK393">
            <v>919.11900000000003</v>
          </cell>
          <cell r="BL393">
            <v>952.70299999999997</v>
          </cell>
          <cell r="BM393">
            <v>1026.1990000000001</v>
          </cell>
          <cell r="BN393">
            <v>926.91414537093965</v>
          </cell>
        </row>
        <row r="394">
          <cell r="AI394">
            <v>5.17</v>
          </cell>
          <cell r="AJ394"/>
          <cell r="AK394"/>
          <cell r="AL394"/>
          <cell r="AM394"/>
          <cell r="AN394">
            <v>0.34572021789631785</v>
          </cell>
          <cell r="AO394">
            <v>1.3828808715852714</v>
          </cell>
          <cell r="AP394">
            <v>6.6667470785954341</v>
          </cell>
          <cell r="AQ394">
            <v>7.5145764566391513</v>
          </cell>
          <cell r="AR394">
            <v>13.039183905705046</v>
          </cell>
          <cell r="AS394">
            <v>14.863558198765865</v>
          </cell>
          <cell r="AT394">
            <v>41.138238360285243</v>
          </cell>
          <cell r="AU394">
            <v>116.7</v>
          </cell>
          <cell r="AV394">
            <v>214.9</v>
          </cell>
          <cell r="AW394">
            <v>266.5</v>
          </cell>
          <cell r="AX394">
            <v>102</v>
          </cell>
          <cell r="AY394">
            <v>127</v>
          </cell>
          <cell r="AZ394">
            <v>236</v>
          </cell>
          <cell r="BA394">
            <v>351.36586803278686</v>
          </cell>
          <cell r="BB394">
            <v>425.39752622950817</v>
          </cell>
          <cell r="BC394">
            <v>363.38942581967211</v>
          </cell>
          <cell r="BD394">
            <v>386.65846229508202</v>
          </cell>
          <cell r="BE394">
            <v>426.13822906581635</v>
          </cell>
          <cell r="BF394">
            <v>460.08687599782183</v>
          </cell>
          <cell r="BG394">
            <v>573.24796009750548</v>
          </cell>
          <cell r="BH394">
            <v>726.16438988074867</v>
          </cell>
          <cell r="BI394">
            <v>769.24420452231993</v>
          </cell>
          <cell r="BJ394">
            <v>702.15417561275945</v>
          </cell>
          <cell r="BK394">
            <v>842.00099999999998</v>
          </cell>
          <cell r="BL394">
            <v>926.59799999999996</v>
          </cell>
          <cell r="BM394">
            <v>1070.029</v>
          </cell>
          <cell r="BN394">
            <v>1029.7989628755749</v>
          </cell>
        </row>
        <row r="395">
          <cell r="AI395">
            <v>5.17</v>
          </cell>
          <cell r="AJ395"/>
          <cell r="AK395"/>
          <cell r="AL395"/>
          <cell r="AM395"/>
          <cell r="AN395">
            <v>0.34572021789631785</v>
          </cell>
          <cell r="AO395">
            <v>1.3828808715852714</v>
          </cell>
          <cell r="AP395">
            <v>6.6667470785954341</v>
          </cell>
          <cell r="AQ395">
            <v>7.5145764566391513</v>
          </cell>
          <cell r="AR395">
            <v>13.039183905705046</v>
          </cell>
          <cell r="AS395">
            <v>14.863558198765865</v>
          </cell>
          <cell r="AT395">
            <v>41.138238360285243</v>
          </cell>
          <cell r="AU395">
            <v>160.80000000000001</v>
          </cell>
          <cell r="AV395">
            <v>269.10000000000002</v>
          </cell>
          <cell r="AW395">
            <v>269.8</v>
          </cell>
          <cell r="AX395">
            <v>94</v>
          </cell>
          <cell r="AY395">
            <v>98</v>
          </cell>
          <cell r="AZ395">
            <v>264</v>
          </cell>
          <cell r="BA395">
            <v>430.50676967213116</v>
          </cell>
          <cell r="BB395">
            <v>422.73424262295083</v>
          </cell>
          <cell r="BC395">
            <v>366.80940163934429</v>
          </cell>
          <cell r="BD395">
            <v>444.25804139344262</v>
          </cell>
          <cell r="BE395">
            <v>564.30685018907764</v>
          </cell>
          <cell r="BF395">
            <v>585.4515715873539</v>
          </cell>
          <cell r="BG395">
            <v>627.43807733803544</v>
          </cell>
          <cell r="BH395">
            <v>757.75509364283459</v>
          </cell>
          <cell r="BI395">
            <v>920.25707588896512</v>
          </cell>
          <cell r="BJ395">
            <v>787.42594677582849</v>
          </cell>
          <cell r="BK395">
            <v>855.74599999999998</v>
          </cell>
          <cell r="BL395">
            <v>1140.8710000000001</v>
          </cell>
          <cell r="BM395">
            <v>1076.011</v>
          </cell>
          <cell r="BN395">
            <v>1062.6334797658242</v>
          </cell>
        </row>
        <row r="396">
          <cell r="AI396">
            <v>5.1100000000000003</v>
          </cell>
          <cell r="AJ396"/>
          <cell r="AK396"/>
          <cell r="AL396"/>
          <cell r="AM396"/>
          <cell r="AN396">
            <v>0.34572021789631785</v>
          </cell>
          <cell r="AO396">
            <v>1.3828808715852714</v>
          </cell>
          <cell r="AP396">
            <v>6.6667470785954341</v>
          </cell>
          <cell r="AQ396">
            <v>7.5145764566391513</v>
          </cell>
          <cell r="AR396">
            <v>13.039183905705046</v>
          </cell>
          <cell r="AS396">
            <v>14.863558198765865</v>
          </cell>
          <cell r="AT396">
            <v>41.138238360285243</v>
          </cell>
          <cell r="AU396">
            <v>185.3</v>
          </cell>
          <cell r="AV396">
            <v>255.9</v>
          </cell>
          <cell r="AW396">
            <v>298.8</v>
          </cell>
          <cell r="AX396">
            <v>112</v>
          </cell>
          <cell r="AY396">
            <v>89</v>
          </cell>
          <cell r="AZ396">
            <v>311</v>
          </cell>
          <cell r="BA396">
            <v>370.88274836065574</v>
          </cell>
          <cell r="BB396">
            <v>506.8634606557377</v>
          </cell>
          <cell r="BC396">
            <v>469.47562581967213</v>
          </cell>
          <cell r="BD396">
            <v>476.00673073770491</v>
          </cell>
          <cell r="BE396">
            <v>556.93482013970333</v>
          </cell>
          <cell r="BF396">
            <v>578.14261307527238</v>
          </cell>
          <cell r="BG396">
            <v>650.10543100688085</v>
          </cell>
          <cell r="BH396">
            <v>691.48587860583257</v>
          </cell>
          <cell r="BI396">
            <v>886.2960878834532</v>
          </cell>
          <cell r="BJ396">
            <v>681.88144339470978</v>
          </cell>
          <cell r="BK396">
            <v>809.79899999999998</v>
          </cell>
          <cell r="BL396">
            <v>1206.92</v>
          </cell>
          <cell r="BM396">
            <v>1266.837</v>
          </cell>
          <cell r="BN396">
            <v>1030.2917167837779</v>
          </cell>
        </row>
        <row r="397">
          <cell r="AI397">
            <v>5.04</v>
          </cell>
          <cell r="AJ397"/>
          <cell r="AK397"/>
          <cell r="AL397"/>
          <cell r="AM397"/>
          <cell r="AN397">
            <v>0.40001854693321803</v>
          </cell>
          <cell r="AO397">
            <v>1.6000741877328721</v>
          </cell>
          <cell r="AP397">
            <v>10.637580569212387</v>
          </cell>
          <cell r="AQ397">
            <v>12.961993024509113</v>
          </cell>
          <cell r="AR397">
            <v>15.212707826494727</v>
          </cell>
          <cell r="AS397">
            <v>13.814113468057771</v>
          </cell>
          <cell r="AT397">
            <v>77.428275425543987</v>
          </cell>
          <cell r="AU397">
            <v>163.5</v>
          </cell>
          <cell r="AV397">
            <v>348.1</v>
          </cell>
          <cell r="AW397">
            <v>319.10000000000002</v>
          </cell>
          <cell r="AX397">
            <v>164</v>
          </cell>
          <cell r="AY397">
            <v>96</v>
          </cell>
          <cell r="AZ397">
            <v>367</v>
          </cell>
          <cell r="BA397">
            <v>349.04511721311474</v>
          </cell>
          <cell r="BB397">
            <v>496.0729008196721</v>
          </cell>
          <cell r="BC397">
            <v>439.73592868852461</v>
          </cell>
          <cell r="BD397">
            <v>447.75640901639343</v>
          </cell>
          <cell r="BE397">
            <v>567.75045197681504</v>
          </cell>
          <cell r="BF397">
            <v>638.79849866435131</v>
          </cell>
          <cell r="BG397">
            <v>702.83240119970662</v>
          </cell>
          <cell r="BH397">
            <v>821.47230182376813</v>
          </cell>
          <cell r="BI397">
            <v>902.98995256898502</v>
          </cell>
          <cell r="BJ397">
            <v>810.43413965002856</v>
          </cell>
          <cell r="BK397">
            <v>956.48800000000006</v>
          </cell>
          <cell r="BL397">
            <v>1272.7660000000001</v>
          </cell>
          <cell r="BM397">
            <v>1139.1510000000001</v>
          </cell>
          <cell r="BN397">
            <v>1046.2599266588384</v>
          </cell>
        </row>
        <row r="398">
          <cell r="AI398">
            <v>5.04</v>
          </cell>
          <cell r="AJ398"/>
          <cell r="AK398"/>
          <cell r="AL398"/>
          <cell r="AM398"/>
          <cell r="AN398">
            <v>0.40001854693321803</v>
          </cell>
          <cell r="AO398">
            <v>1.6000741877328721</v>
          </cell>
          <cell r="AP398">
            <v>10.637580569212387</v>
          </cell>
          <cell r="AQ398">
            <v>12.961993024509113</v>
          </cell>
          <cell r="AR398">
            <v>15.212707826494727</v>
          </cell>
          <cell r="AS398">
            <v>13.814113468057771</v>
          </cell>
          <cell r="AT398">
            <v>77.428275425543987</v>
          </cell>
          <cell r="AU398">
            <v>208.5</v>
          </cell>
          <cell r="AV398">
            <v>311.5</v>
          </cell>
          <cell r="AW398">
            <v>331.9</v>
          </cell>
          <cell r="AX398">
            <v>168</v>
          </cell>
          <cell r="AY398">
            <v>84</v>
          </cell>
          <cell r="AZ398">
            <v>398</v>
          </cell>
          <cell r="BA398">
            <v>389.54997213114751</v>
          </cell>
          <cell r="BB398">
            <v>536.4827409836065</v>
          </cell>
          <cell r="BC398">
            <v>449.61221680327867</v>
          </cell>
          <cell r="BD398">
            <v>465.24152622950822</v>
          </cell>
          <cell r="BE398">
            <v>601.75034892403687</v>
          </cell>
          <cell r="BF398">
            <v>648.74333270469629</v>
          </cell>
          <cell r="BG398">
            <v>745.03835365192936</v>
          </cell>
          <cell r="BH398">
            <v>774.8716181755558</v>
          </cell>
          <cell r="BI398">
            <v>870.66386457987107</v>
          </cell>
          <cell r="BJ398">
            <v>831.389867929513</v>
          </cell>
          <cell r="BK398">
            <v>924.71799999999996</v>
          </cell>
          <cell r="BL398">
            <v>1197.1020000000001</v>
          </cell>
          <cell r="BM398">
            <v>1217.0319999999999</v>
          </cell>
          <cell r="BN398">
            <v>1123.6178318551986</v>
          </cell>
        </row>
        <row r="399">
          <cell r="AI399">
            <v>5</v>
          </cell>
          <cell r="AJ399"/>
          <cell r="AK399"/>
          <cell r="AL399"/>
          <cell r="AM399"/>
          <cell r="AN399">
            <v>0.40001854693321803</v>
          </cell>
          <cell r="AO399">
            <v>1.6000741877328721</v>
          </cell>
          <cell r="AP399">
            <v>10.637580569212387</v>
          </cell>
          <cell r="AQ399">
            <v>12.961993024509113</v>
          </cell>
          <cell r="AR399">
            <v>15.212707826494727</v>
          </cell>
          <cell r="AS399">
            <v>13.814113468057771</v>
          </cell>
          <cell r="AT399">
            <v>77.428275425543987</v>
          </cell>
          <cell r="AU399">
            <v>181.2</v>
          </cell>
          <cell r="AV399">
            <v>286.60000000000002</v>
          </cell>
          <cell r="AW399">
            <v>278.10000000000002</v>
          </cell>
          <cell r="AX399">
            <v>215</v>
          </cell>
          <cell r="AY399">
            <v>102</v>
          </cell>
          <cell r="AZ399">
            <v>430</v>
          </cell>
          <cell r="BA399">
            <v>325.83652663934424</v>
          </cell>
          <cell r="BB399">
            <v>531.04014508196724</v>
          </cell>
          <cell r="BC399">
            <v>397.51903852459014</v>
          </cell>
          <cell r="BD399">
            <v>391.36604877049183</v>
          </cell>
          <cell r="BE399">
            <v>568.54068272684015</v>
          </cell>
          <cell r="BF399">
            <v>640.00222788042845</v>
          </cell>
          <cell r="BG399">
            <v>758.8424535968428</v>
          </cell>
          <cell r="BH399">
            <v>698.41458149872597</v>
          </cell>
          <cell r="BI399">
            <v>882.08485924626416</v>
          </cell>
          <cell r="BJ399">
            <v>785.01534069521745</v>
          </cell>
          <cell r="BK399">
            <v>932.48199999999997</v>
          </cell>
          <cell r="BL399">
            <v>1207.4829999999999</v>
          </cell>
          <cell r="BM399">
            <v>1076.2909999999999</v>
          </cell>
          <cell r="BN399">
            <v>1120.4194741698409</v>
          </cell>
        </row>
        <row r="403">
          <cell r="AI403">
            <v>5.01</v>
          </cell>
          <cell r="AJ403" t="str">
            <v xml:space="preserve">94/95 </v>
          </cell>
          <cell r="AK403" t="str">
            <v xml:space="preserve">95/96 </v>
          </cell>
          <cell r="AL403" t="str">
            <v xml:space="preserve">96/97 </v>
          </cell>
          <cell r="AM403" t="str">
            <v xml:space="preserve">97/98 </v>
          </cell>
          <cell r="AN403" t="str">
            <v xml:space="preserve">98/99 </v>
          </cell>
          <cell r="AO403" t="str">
            <v xml:space="preserve">99/00 </v>
          </cell>
          <cell r="AP403" t="str">
            <v xml:space="preserve">00/01 </v>
          </cell>
          <cell r="AQ403" t="str">
            <v xml:space="preserve">01/02 </v>
          </cell>
          <cell r="AR403" t="str">
            <v xml:space="preserve">02/03 </v>
          </cell>
          <cell r="AS403" t="str">
            <v xml:space="preserve">03/04 </v>
          </cell>
          <cell r="AT403" t="str">
            <v xml:space="preserve">04/05 </v>
          </cell>
          <cell r="AU403" t="str">
            <v xml:space="preserve">05/06 </v>
          </cell>
          <cell r="AV403" t="str">
            <v xml:space="preserve">06/07 </v>
          </cell>
          <cell r="AW403" t="str">
            <v xml:space="preserve">07/08 </v>
          </cell>
          <cell r="AX403" t="str">
            <v xml:space="preserve">08/09 </v>
          </cell>
          <cell r="AY403" t="str">
            <v xml:space="preserve">09/10 </v>
          </cell>
          <cell r="AZ403" t="str">
            <v xml:space="preserve">10/11 </v>
          </cell>
          <cell r="BA403" t="str">
            <v xml:space="preserve">11/12 </v>
          </cell>
          <cell r="BB403" t="str">
            <v xml:space="preserve">12/13 </v>
          </cell>
          <cell r="BC403" t="str">
            <v xml:space="preserve">13/14 </v>
          </cell>
          <cell r="BD403" t="str">
            <v xml:space="preserve">14/15 </v>
          </cell>
          <cell r="BE403" t="str">
            <v xml:space="preserve">15/16 </v>
          </cell>
          <cell r="BF403" t="str">
            <v xml:space="preserve">16/17 </v>
          </cell>
          <cell r="BG403" t="str">
            <v xml:space="preserve">17/18 </v>
          </cell>
          <cell r="BH403" t="str">
            <v xml:space="preserve">18/19 </v>
          </cell>
          <cell r="BI403" t="str">
            <v>19/20</v>
          </cell>
          <cell r="BJ403" t="str">
            <v>20/21</v>
          </cell>
          <cell r="BK403" t="str">
            <v>21/22</v>
          </cell>
          <cell r="BL403" t="str">
            <v xml:space="preserve">22/23 </v>
          </cell>
          <cell r="BM403" t="str">
            <v xml:space="preserve">23/24 </v>
          </cell>
          <cell r="BN403" t="str">
            <v xml:space="preserve">24/25 </v>
          </cell>
        </row>
        <row r="404">
          <cell r="AI404">
            <v>5</v>
          </cell>
          <cell r="AJ404"/>
          <cell r="AK404"/>
          <cell r="AL404"/>
          <cell r="AM404"/>
          <cell r="AN404">
            <v>0.14845192849800068</v>
          </cell>
          <cell r="AO404">
            <v>0.59380771399200272</v>
          </cell>
          <cell r="AP404">
            <v>0.10594550710612409</v>
          </cell>
          <cell r="AQ404">
            <v>4.7053309611616596</v>
          </cell>
          <cell r="AR404">
            <v>5.6274177871419004</v>
          </cell>
          <cell r="AS404">
            <v>3.2679714900617962</v>
          </cell>
          <cell r="AT404">
            <v>26.33123743930997</v>
          </cell>
          <cell r="AU404">
            <v>88.427799471015888</v>
          </cell>
          <cell r="AV404">
            <v>166.1</v>
          </cell>
          <cell r="AW404">
            <v>246.8</v>
          </cell>
          <cell r="AX404">
            <v>295.3</v>
          </cell>
          <cell r="AY404">
            <v>244</v>
          </cell>
          <cell r="AZ404">
            <v>105</v>
          </cell>
          <cell r="BA404">
            <v>527</v>
          </cell>
          <cell r="BB404">
            <v>307</v>
          </cell>
          <cell r="BC404">
            <v>551</v>
          </cell>
          <cell r="BD404">
            <v>458.81</v>
          </cell>
          <cell r="BE404">
            <v>408</v>
          </cell>
          <cell r="BF404">
            <v>525.96</v>
          </cell>
          <cell r="BG404">
            <v>577.42999999999995</v>
          </cell>
          <cell r="BH404">
            <v>698.88</v>
          </cell>
          <cell r="BI404">
            <v>557.52</v>
          </cell>
          <cell r="BJ404">
            <v>723</v>
          </cell>
          <cell r="BK404">
            <v>644.12309883521937</v>
          </cell>
          <cell r="BL404">
            <v>640.09400000000005</v>
          </cell>
          <cell r="BM404">
            <v>645.47</v>
          </cell>
          <cell r="BN404">
            <v>518.05399999999997</v>
          </cell>
        </row>
        <row r="405">
          <cell r="AI405">
            <v>4.96</v>
          </cell>
          <cell r="AJ405"/>
          <cell r="AK405"/>
          <cell r="AL405"/>
          <cell r="AM405"/>
          <cell r="AN405">
            <v>0.14845192849800068</v>
          </cell>
          <cell r="AO405">
            <v>0.59380771399200272</v>
          </cell>
          <cell r="AP405">
            <v>0.10594550710612409</v>
          </cell>
          <cell r="AQ405">
            <v>4.7053309611616596</v>
          </cell>
          <cell r="AR405">
            <v>5.6274177871419004</v>
          </cell>
          <cell r="AS405">
            <v>3.2679714900617962</v>
          </cell>
          <cell r="AT405">
            <v>26.33123743930997</v>
          </cell>
          <cell r="AU405">
            <v>88.427799471015888</v>
          </cell>
          <cell r="AV405">
            <v>157.6</v>
          </cell>
          <cell r="AW405">
            <v>219.1</v>
          </cell>
          <cell r="AX405">
            <v>252.4</v>
          </cell>
          <cell r="AY405">
            <v>237</v>
          </cell>
          <cell r="AZ405">
            <v>73</v>
          </cell>
          <cell r="BA405">
            <v>538</v>
          </cell>
          <cell r="BB405">
            <v>246</v>
          </cell>
          <cell r="BC405">
            <v>535</v>
          </cell>
          <cell r="BD405">
            <v>447.12</v>
          </cell>
          <cell r="BE405">
            <v>464</v>
          </cell>
          <cell r="BF405">
            <v>595.83000000000004</v>
          </cell>
          <cell r="BG405">
            <v>590.79999999999995</v>
          </cell>
          <cell r="BH405">
            <v>703.79</v>
          </cell>
          <cell r="BI405">
            <v>526.53</v>
          </cell>
          <cell r="BJ405">
            <v>683</v>
          </cell>
          <cell r="BK405">
            <v>432.84409459115193</v>
          </cell>
          <cell r="BL405">
            <v>593.81100000000004</v>
          </cell>
          <cell r="BM405">
            <v>612.95299999999997</v>
          </cell>
          <cell r="BN405">
            <v>467.47699999999998</v>
          </cell>
        </row>
        <row r="406">
          <cell r="AI406">
            <v>5.03</v>
          </cell>
          <cell r="AJ406"/>
          <cell r="AK406"/>
          <cell r="AL406"/>
          <cell r="AM406"/>
          <cell r="AN406">
            <v>0.14845192849800068</v>
          </cell>
          <cell r="AO406">
            <v>0.59380771399200272</v>
          </cell>
          <cell r="AP406">
            <v>0.10594550710612409</v>
          </cell>
          <cell r="AQ406">
            <v>4.7053309611616596</v>
          </cell>
          <cell r="AR406">
            <v>5.6274177871419004</v>
          </cell>
          <cell r="AS406">
            <v>3.2679714900617962</v>
          </cell>
          <cell r="AT406">
            <v>26.33123743930997</v>
          </cell>
          <cell r="AU406">
            <v>88.427799471015888</v>
          </cell>
          <cell r="AV406">
            <v>178.7</v>
          </cell>
          <cell r="AW406">
            <v>219.3</v>
          </cell>
          <cell r="AX406">
            <v>207</v>
          </cell>
          <cell r="AY406">
            <v>241</v>
          </cell>
          <cell r="AZ406">
            <v>63</v>
          </cell>
          <cell r="BA406">
            <v>592</v>
          </cell>
          <cell r="BB406">
            <v>273</v>
          </cell>
          <cell r="BC406">
            <v>559</v>
          </cell>
          <cell r="BD406">
            <v>531.30999999999995</v>
          </cell>
          <cell r="BE406">
            <v>436</v>
          </cell>
          <cell r="BF406">
            <v>610.47</v>
          </cell>
          <cell r="BG406">
            <v>593.99</v>
          </cell>
          <cell r="BH406">
            <v>767.76</v>
          </cell>
          <cell r="BI406">
            <v>541.04999999999995</v>
          </cell>
          <cell r="BJ406">
            <v>744</v>
          </cell>
          <cell r="BK406">
            <v>541.99699766976471</v>
          </cell>
          <cell r="BL406">
            <v>533.59299999999996</v>
          </cell>
          <cell r="BM406">
            <v>603</v>
          </cell>
          <cell r="BN406">
            <v>399.74799999999999</v>
          </cell>
        </row>
        <row r="407">
          <cell r="AI407">
            <v>5.14</v>
          </cell>
          <cell r="AJ407"/>
          <cell r="AK407"/>
          <cell r="AL407"/>
          <cell r="AM407"/>
          <cell r="AN407">
            <v>0.15748480840727289</v>
          </cell>
          <cell r="AO407">
            <v>0.62993923362909154</v>
          </cell>
          <cell r="AP407">
            <v>3.6232368797822416</v>
          </cell>
          <cell r="AQ407">
            <v>6.3683646097343614</v>
          </cell>
          <cell r="AR407">
            <v>5.1705605193162594</v>
          </cell>
          <cell r="AS407">
            <v>12.937129110066229</v>
          </cell>
          <cell r="AT407">
            <v>17.948954341994057</v>
          </cell>
          <cell r="AU407">
            <v>94.4</v>
          </cell>
          <cell r="AV407">
            <v>192.1</v>
          </cell>
          <cell r="AW407">
            <v>289</v>
          </cell>
          <cell r="AX407">
            <v>152</v>
          </cell>
          <cell r="AY407">
            <v>90</v>
          </cell>
          <cell r="AZ407">
            <v>150</v>
          </cell>
          <cell r="BA407">
            <v>306</v>
          </cell>
          <cell r="BB407">
            <v>313</v>
          </cell>
          <cell r="BC407">
            <v>241</v>
          </cell>
          <cell r="BD407">
            <v>306</v>
          </cell>
          <cell r="BE407">
            <v>392.27</v>
          </cell>
          <cell r="BF407">
            <v>390.11</v>
          </cell>
          <cell r="BG407">
            <v>462.12</v>
          </cell>
          <cell r="BH407">
            <v>622.80999999999995</v>
          </cell>
          <cell r="BI407">
            <v>521</v>
          </cell>
          <cell r="BJ407">
            <v>515.40087194059493</v>
          </cell>
          <cell r="BK407">
            <v>543.04</v>
          </cell>
          <cell r="BL407">
            <v>556.82899999999995</v>
          </cell>
          <cell r="BM407">
            <v>544.50800000000004</v>
          </cell>
          <cell r="BN407">
            <v>338.58815621958564</v>
          </cell>
        </row>
        <row r="408">
          <cell r="AI408">
            <v>5.12</v>
          </cell>
          <cell r="AJ408"/>
          <cell r="AK408"/>
          <cell r="AL408"/>
          <cell r="AM408"/>
          <cell r="AN408">
            <v>0.15748480840727289</v>
          </cell>
          <cell r="AO408">
            <v>0.62993923362909154</v>
          </cell>
          <cell r="AP408">
            <v>3.6232368797822416</v>
          </cell>
          <cell r="AQ408">
            <v>6.3683646097343614</v>
          </cell>
          <cell r="AR408">
            <v>5.1705605193162594</v>
          </cell>
          <cell r="AS408">
            <v>12.937129110066229</v>
          </cell>
          <cell r="AT408">
            <v>17.948954341994057</v>
          </cell>
          <cell r="AU408">
            <v>81.599999999999994</v>
          </cell>
          <cell r="AV408">
            <v>158.4</v>
          </cell>
          <cell r="AW408">
            <v>247.5</v>
          </cell>
          <cell r="AX408">
            <v>146</v>
          </cell>
          <cell r="AY408">
            <v>102</v>
          </cell>
          <cell r="AZ408">
            <v>150</v>
          </cell>
          <cell r="BA408">
            <v>321</v>
          </cell>
          <cell r="BB408">
            <v>287</v>
          </cell>
          <cell r="BC408">
            <v>277</v>
          </cell>
          <cell r="BD408">
            <v>311</v>
          </cell>
          <cell r="BE408">
            <v>416</v>
          </cell>
          <cell r="BF408">
            <v>369.18</v>
          </cell>
          <cell r="BG408">
            <v>495.59</v>
          </cell>
          <cell r="BH408">
            <v>559.57000000000005</v>
          </cell>
          <cell r="BI408">
            <v>574.78</v>
          </cell>
          <cell r="BJ408">
            <v>363.23678948435662</v>
          </cell>
          <cell r="BK408">
            <v>536.60199999999998</v>
          </cell>
          <cell r="BL408">
            <v>536.27599999999995</v>
          </cell>
          <cell r="BM408">
            <v>521.55999999999995</v>
          </cell>
          <cell r="BN408">
            <v>379.37153883886378</v>
          </cell>
        </row>
        <row r="409">
          <cell r="AI409">
            <v>5.1100000000000003</v>
          </cell>
          <cell r="AJ409"/>
          <cell r="AK409"/>
          <cell r="AL409"/>
          <cell r="AM409"/>
          <cell r="AN409">
            <v>0.15748480840727289</v>
          </cell>
          <cell r="AO409">
            <v>0.62993923362909154</v>
          </cell>
          <cell r="AP409">
            <v>3.6232368797822416</v>
          </cell>
          <cell r="AQ409">
            <v>6.3683646097343614</v>
          </cell>
          <cell r="AR409">
            <v>5.1705605193162594</v>
          </cell>
          <cell r="AS409">
            <v>12.937129110066229</v>
          </cell>
          <cell r="AT409">
            <v>17.948954341994057</v>
          </cell>
          <cell r="AU409">
            <v>111.3</v>
          </cell>
          <cell r="AV409">
            <v>222.4</v>
          </cell>
          <cell r="AW409">
            <v>259.5</v>
          </cell>
          <cell r="AX409">
            <v>102</v>
          </cell>
          <cell r="AY409">
            <v>112</v>
          </cell>
          <cell r="AZ409">
            <v>190</v>
          </cell>
          <cell r="BA409">
            <v>388</v>
          </cell>
          <cell r="BB409">
            <v>443</v>
          </cell>
          <cell r="BC409">
            <v>379</v>
          </cell>
          <cell r="BD409">
            <v>381</v>
          </cell>
          <cell r="BE409">
            <v>464.48</v>
          </cell>
          <cell r="BF409">
            <v>369.46</v>
          </cell>
          <cell r="BG409">
            <v>624.15</v>
          </cell>
          <cell r="BH409">
            <v>617.01</v>
          </cell>
          <cell r="BI409">
            <v>656.02</v>
          </cell>
          <cell r="BJ409">
            <v>531.32215736145281</v>
          </cell>
          <cell r="BK409">
            <v>657.06299999999999</v>
          </cell>
          <cell r="BL409">
            <v>592.54200000000003</v>
          </cell>
          <cell r="BM409">
            <v>547.69156099999998</v>
          </cell>
          <cell r="BN409">
            <v>415.23322196654721</v>
          </cell>
        </row>
        <row r="410">
          <cell r="AI410">
            <v>5.29</v>
          </cell>
          <cell r="AJ410"/>
          <cell r="AK410"/>
          <cell r="AL410"/>
          <cell r="AM410"/>
          <cell r="AN410">
            <v>0.34572021789631785</v>
          </cell>
          <cell r="AO410">
            <v>1.3828808715852714</v>
          </cell>
          <cell r="AP410">
            <v>6.6667470785954341</v>
          </cell>
          <cell r="AQ410">
            <v>7.5145764566391513</v>
          </cell>
          <cell r="AR410">
            <v>13.039183905705046</v>
          </cell>
          <cell r="AS410">
            <v>14.863558198765865</v>
          </cell>
          <cell r="AT410">
            <v>41.138238360285243</v>
          </cell>
          <cell r="AU410">
            <v>116.7</v>
          </cell>
          <cell r="AV410">
            <v>214.9</v>
          </cell>
          <cell r="AW410">
            <v>266.5</v>
          </cell>
          <cell r="AX410">
            <v>102</v>
          </cell>
          <cell r="AY410">
            <v>127</v>
          </cell>
          <cell r="AZ410">
            <v>236</v>
          </cell>
          <cell r="BA410">
            <v>350</v>
          </cell>
          <cell r="BB410">
            <v>423</v>
          </cell>
          <cell r="BC410">
            <v>360</v>
          </cell>
          <cell r="BD410">
            <v>384.6</v>
          </cell>
          <cell r="BE410">
            <v>414.75</v>
          </cell>
          <cell r="BF410">
            <v>426.71</v>
          </cell>
          <cell r="BG410">
            <v>519.55999999999995</v>
          </cell>
          <cell r="BH410">
            <v>631.84</v>
          </cell>
          <cell r="BI410">
            <v>671.81</v>
          </cell>
          <cell r="BJ410">
            <v>572.65796175791775</v>
          </cell>
          <cell r="BK410">
            <v>578.07399999999996</v>
          </cell>
          <cell r="BL410">
            <v>578.74400000000003</v>
          </cell>
          <cell r="BM410">
            <v>504.93900000000002</v>
          </cell>
          <cell r="BN410">
            <v>432.29360944915561</v>
          </cell>
        </row>
        <row r="411">
          <cell r="AI411">
            <v>5.43</v>
          </cell>
          <cell r="AJ411"/>
          <cell r="AK411"/>
          <cell r="AL411"/>
          <cell r="AM411"/>
          <cell r="AN411">
            <v>0.34572021789631785</v>
          </cell>
          <cell r="AO411">
            <v>1.3828808715852714</v>
          </cell>
          <cell r="AP411">
            <v>6.6667470785954341</v>
          </cell>
          <cell r="AQ411">
            <v>7.5145764566391513</v>
          </cell>
          <cell r="AR411">
            <v>13.039183905705046</v>
          </cell>
          <cell r="AS411">
            <v>14.863558198765865</v>
          </cell>
          <cell r="AT411">
            <v>41.138238360285243</v>
          </cell>
          <cell r="AU411">
            <v>160.80000000000001</v>
          </cell>
          <cell r="AV411">
            <v>269.10000000000002</v>
          </cell>
          <cell r="AW411">
            <v>269.8</v>
          </cell>
          <cell r="AX411">
            <v>94</v>
          </cell>
          <cell r="AY411">
            <v>98</v>
          </cell>
          <cell r="AZ411">
            <v>264</v>
          </cell>
          <cell r="BA411">
            <v>429</v>
          </cell>
          <cell r="BB411">
            <v>416</v>
          </cell>
          <cell r="BC411">
            <v>364</v>
          </cell>
          <cell r="BD411">
            <v>443</v>
          </cell>
          <cell r="BE411">
            <v>543.78</v>
          </cell>
          <cell r="BF411">
            <v>545.51</v>
          </cell>
          <cell r="BG411">
            <v>581.33000000000004</v>
          </cell>
          <cell r="BH411">
            <v>659.05</v>
          </cell>
          <cell r="BI411">
            <v>805.35</v>
          </cell>
          <cell r="BJ411">
            <v>591.80741599068722</v>
          </cell>
          <cell r="BK411">
            <v>593.74400000000003</v>
          </cell>
          <cell r="BL411">
            <v>662.75699999999995</v>
          </cell>
          <cell r="BM411">
            <v>596.85599999999999</v>
          </cell>
          <cell r="BN411">
            <v>478.05987193746262</v>
          </cell>
        </row>
        <row r="412">
          <cell r="AI412">
            <v>5.55</v>
          </cell>
          <cell r="AJ412"/>
          <cell r="AK412"/>
          <cell r="AL412"/>
          <cell r="AM412"/>
          <cell r="AN412">
            <v>0.34572021789631785</v>
          </cell>
          <cell r="AO412">
            <v>1.3828808715852714</v>
          </cell>
          <cell r="AP412">
            <v>6.6667470785954341</v>
          </cell>
          <cell r="AQ412">
            <v>7.5145764566391513</v>
          </cell>
          <cell r="AR412">
            <v>13.039183905705046</v>
          </cell>
          <cell r="AS412">
            <v>14.863558198765865</v>
          </cell>
          <cell r="AT412">
            <v>41.138238360285243</v>
          </cell>
          <cell r="AU412">
            <v>185.3</v>
          </cell>
          <cell r="AV412">
            <v>255.9</v>
          </cell>
          <cell r="AW412">
            <v>298.8</v>
          </cell>
          <cell r="AX412">
            <v>112</v>
          </cell>
          <cell r="AY412">
            <v>89</v>
          </cell>
          <cell r="AZ412">
            <v>311</v>
          </cell>
          <cell r="BA412">
            <v>369</v>
          </cell>
          <cell r="BB412">
            <v>486</v>
          </cell>
          <cell r="BC412">
            <v>466.61</v>
          </cell>
          <cell r="BD412">
            <v>474</v>
          </cell>
          <cell r="BE412">
            <v>519.69000000000005</v>
          </cell>
          <cell r="BF412">
            <v>548.84</v>
          </cell>
          <cell r="BG412">
            <v>623.61</v>
          </cell>
          <cell r="BH412">
            <v>594.15</v>
          </cell>
          <cell r="BI412">
            <v>747.07</v>
          </cell>
          <cell r="BJ412">
            <v>450.21332781229057</v>
          </cell>
          <cell r="BK412">
            <v>559.88699999999994</v>
          </cell>
          <cell r="BL412">
            <v>627.38300000000004</v>
          </cell>
          <cell r="BM412">
            <v>577.89058302499996</v>
          </cell>
          <cell r="BN412">
            <v>433.28685744699578</v>
          </cell>
        </row>
        <row r="413">
          <cell r="AI413">
            <v>5.46</v>
          </cell>
          <cell r="AJ413"/>
          <cell r="AK413"/>
          <cell r="AL413"/>
          <cell r="AM413"/>
          <cell r="AN413">
            <v>0.40001854693321803</v>
          </cell>
          <cell r="AO413">
            <v>1.6000741877328721</v>
          </cell>
          <cell r="AP413">
            <v>10.637580569212387</v>
          </cell>
          <cell r="AQ413">
            <v>12.961993024509113</v>
          </cell>
          <cell r="AR413">
            <v>15.212707826494727</v>
          </cell>
          <cell r="AS413">
            <v>13.814113468057771</v>
          </cell>
          <cell r="AT413">
            <v>77.428275425543987</v>
          </cell>
          <cell r="AU413">
            <v>163.5</v>
          </cell>
          <cell r="AV413">
            <v>348.1</v>
          </cell>
          <cell r="AW413">
            <v>319.10000000000002</v>
          </cell>
          <cell r="AX413">
            <v>164</v>
          </cell>
          <cell r="AY413">
            <v>96</v>
          </cell>
          <cell r="AZ413">
            <v>367</v>
          </cell>
          <cell r="BA413">
            <v>347</v>
          </cell>
          <cell r="BB413">
            <v>480</v>
          </cell>
          <cell r="BC413">
            <v>434.63</v>
          </cell>
          <cell r="BD413">
            <v>446</v>
          </cell>
          <cell r="BE413">
            <v>535.6</v>
          </cell>
          <cell r="BF413">
            <v>606.15</v>
          </cell>
          <cell r="BG413">
            <v>671.27</v>
          </cell>
          <cell r="BH413">
            <v>708.5</v>
          </cell>
          <cell r="BI413">
            <v>774.83</v>
          </cell>
          <cell r="BJ413">
            <v>591.97520835919272</v>
          </cell>
          <cell r="BK413">
            <v>625.98500000000001</v>
          </cell>
          <cell r="BL413">
            <v>678.70100000000002</v>
          </cell>
          <cell r="BM413">
            <v>641.88599999999997</v>
          </cell>
          <cell r="BN413">
            <v>467.0645973795169</v>
          </cell>
        </row>
        <row r="414">
          <cell r="AI414">
            <v>5.53</v>
          </cell>
          <cell r="AJ414"/>
          <cell r="AK414"/>
          <cell r="AL414"/>
          <cell r="AM414"/>
          <cell r="AN414">
            <v>0.40001854693321803</v>
          </cell>
          <cell r="AO414">
            <v>1.6000741877328721</v>
          </cell>
          <cell r="AP414">
            <v>10.637580569212387</v>
          </cell>
          <cell r="AQ414">
            <v>12.961993024509113</v>
          </cell>
          <cell r="AR414">
            <v>15.212707826494727</v>
          </cell>
          <cell r="AS414">
            <v>13.814113468057771</v>
          </cell>
          <cell r="AT414">
            <v>77.428275425543987</v>
          </cell>
          <cell r="AU414">
            <v>208.5</v>
          </cell>
          <cell r="AV414">
            <v>311.5</v>
          </cell>
          <cell r="AW414">
            <v>331.9</v>
          </cell>
          <cell r="AX414">
            <v>168</v>
          </cell>
          <cell r="AY414">
            <v>84</v>
          </cell>
          <cell r="AZ414">
            <v>398</v>
          </cell>
          <cell r="BA414">
            <v>385</v>
          </cell>
          <cell r="BB414">
            <v>513</v>
          </cell>
          <cell r="BC414">
            <v>447.81</v>
          </cell>
          <cell r="BD414">
            <v>463.6</v>
          </cell>
          <cell r="BE414">
            <v>561.04</v>
          </cell>
          <cell r="BF414">
            <v>608.16999999999996</v>
          </cell>
          <cell r="BG414">
            <v>705.13</v>
          </cell>
          <cell r="BH414">
            <v>701.14</v>
          </cell>
          <cell r="BI414">
            <v>745.33</v>
          </cell>
          <cell r="BJ414">
            <v>559.77245693603948</v>
          </cell>
          <cell r="BK414">
            <v>642.899</v>
          </cell>
          <cell r="BL414">
            <v>617.53700000000003</v>
          </cell>
          <cell r="BM414">
            <v>636.02</v>
          </cell>
          <cell r="BN414">
            <v>501.54884813869637</v>
          </cell>
        </row>
        <row r="415">
          <cell r="AI415">
            <v>5.58</v>
          </cell>
          <cell r="AJ415"/>
          <cell r="AK415"/>
          <cell r="AL415"/>
          <cell r="AM415"/>
          <cell r="AN415">
            <v>0.40001854693321803</v>
          </cell>
          <cell r="AO415">
            <v>1.6000741877328721</v>
          </cell>
          <cell r="AP415">
            <v>10.637580569212387</v>
          </cell>
          <cell r="AQ415">
            <v>12.961993024509113</v>
          </cell>
          <cell r="AR415">
            <v>15.212707826494727</v>
          </cell>
          <cell r="AS415">
            <v>13.814113468057771</v>
          </cell>
          <cell r="AT415">
            <v>77.428275425543987</v>
          </cell>
          <cell r="AU415">
            <v>181.2</v>
          </cell>
          <cell r="AV415">
            <v>286.60000000000002</v>
          </cell>
          <cell r="AW415">
            <v>278.10000000000002</v>
          </cell>
          <cell r="AX415">
            <v>215</v>
          </cell>
          <cell r="AY415">
            <v>102</v>
          </cell>
          <cell r="AZ415">
            <v>430</v>
          </cell>
          <cell r="BA415">
            <v>322</v>
          </cell>
          <cell r="BB415">
            <v>502</v>
          </cell>
          <cell r="BC415">
            <v>395.21</v>
          </cell>
          <cell r="BD415">
            <v>390</v>
          </cell>
          <cell r="BE415">
            <v>536.84</v>
          </cell>
          <cell r="BF415">
            <v>603.91</v>
          </cell>
          <cell r="BG415">
            <v>688.71</v>
          </cell>
          <cell r="BH415">
            <v>598.79999999999995</v>
          </cell>
          <cell r="BI415">
            <v>736.53</v>
          </cell>
          <cell r="BJ415">
            <v>605.76855485648321</v>
          </cell>
          <cell r="BK415">
            <v>595.70399999999995</v>
          </cell>
          <cell r="BL415">
            <v>619.99400000000003</v>
          </cell>
          <cell r="BM415">
            <v>673.00900000000001</v>
          </cell>
          <cell r="BN415">
            <v>505.70721111783433</v>
          </cell>
        </row>
        <row r="420">
          <cell r="AI420">
            <v>5.85</v>
          </cell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32.205699752526151</v>
          </cell>
          <cell r="BG420">
            <v>40.074541115918066</v>
          </cell>
          <cell r="BH420">
            <v>76.782649391669793</v>
          </cell>
          <cell r="BI420">
            <v>133.67071913299699</v>
          </cell>
          <cell r="BJ420">
            <v>52.514866771312022</v>
          </cell>
          <cell r="BK420">
            <v>181.19418933905192</v>
          </cell>
          <cell r="BL420">
            <v>234.93311441671895</v>
          </cell>
          <cell r="BM420">
            <v>375.06844912424401</v>
          </cell>
          <cell r="BN420">
            <v>666.32562868253342</v>
          </cell>
        </row>
        <row r="421">
          <cell r="AI421">
            <v>5.9</v>
          </cell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43.207306171402365</v>
          </cell>
          <cell r="BG421">
            <v>36.162849437640205</v>
          </cell>
          <cell r="BH421">
            <v>72.646401512383491</v>
          </cell>
          <cell r="BI421">
            <v>113.29948778130169</v>
          </cell>
          <cell r="BJ421">
            <v>108.41118454323085</v>
          </cell>
          <cell r="BK421">
            <v>384.8622005480392</v>
          </cell>
          <cell r="BL421">
            <v>307.90740317359518</v>
          </cell>
          <cell r="BM421">
            <v>425.30358518648586</v>
          </cell>
          <cell r="BN421">
            <v>673.67477622097169</v>
          </cell>
        </row>
        <row r="422">
          <cell r="AI422">
            <v>5.81</v>
          </cell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43.047906052021773</v>
          </cell>
          <cell r="BG422">
            <v>40.006300452306867</v>
          </cell>
          <cell r="BH422">
            <v>88.582231066262779</v>
          </cell>
          <cell r="BI422">
            <v>152.54672970769172</v>
          </cell>
          <cell r="BJ422">
            <v>128.54105284215927</v>
          </cell>
          <cell r="BK422">
            <v>380.6223663808434</v>
          </cell>
          <cell r="BL422">
            <v>303.5355138314178</v>
          </cell>
          <cell r="BM422">
            <v>518.72187683618949</v>
          </cell>
          <cell r="BN422">
            <v>651.83436459617508</v>
          </cell>
        </row>
        <row r="423">
          <cell r="AI423">
            <v>5.83</v>
          </cell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29.006340470770887</v>
          </cell>
          <cell r="BG423">
            <v>28.24203843976337</v>
          </cell>
          <cell r="BH423">
            <v>82.046093698088796</v>
          </cell>
          <cell r="BI423">
            <v>92.996062818355384</v>
          </cell>
          <cell r="BJ423">
            <v>125.5018311880204</v>
          </cell>
          <cell r="BK423">
            <v>241.10323525149309</v>
          </cell>
          <cell r="BL423">
            <v>364.1141854559508</v>
          </cell>
          <cell r="BM423">
            <v>384.89352242898639</v>
          </cell>
          <cell r="BN423">
            <v>260.7538005484177</v>
          </cell>
        </row>
        <row r="424">
          <cell r="AI424">
            <v>5.82</v>
          </cell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33.129146096521282</v>
          </cell>
          <cell r="BG424">
            <v>42.629981060204855</v>
          </cell>
          <cell r="BH424">
            <v>92.624976386730111</v>
          </cell>
          <cell r="BI424">
            <v>84.721897631859491</v>
          </cell>
          <cell r="BJ424">
            <v>181.04823570521242</v>
          </cell>
          <cell r="BK424">
            <v>209.33140636971663</v>
          </cell>
          <cell r="BL424">
            <v>359.4151545916252</v>
          </cell>
          <cell r="BM424">
            <v>341.94830283517695</v>
          </cell>
          <cell r="BN424">
            <v>309.14292908658683</v>
          </cell>
        </row>
        <row r="425">
          <cell r="AI425">
            <v>5.96</v>
          </cell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24.662354887155615</v>
          </cell>
          <cell r="BG425">
            <v>48.193083024176111</v>
          </cell>
          <cell r="BH425">
            <v>80.477824436988001</v>
          </cell>
          <cell r="BI425">
            <v>103.78492898255523</v>
          </cell>
          <cell r="BJ425">
            <v>210.67596120328761</v>
          </cell>
          <cell r="BK425">
            <v>250.11160059344616</v>
          </cell>
          <cell r="BL425">
            <v>305.70676124597344</v>
          </cell>
          <cell r="BM425">
            <v>443.48629842355143</v>
          </cell>
          <cell r="BN425">
            <v>469.484583990479</v>
          </cell>
        </row>
        <row r="426">
          <cell r="AI426">
            <v>5.79</v>
          </cell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9.9461118527016019</v>
          </cell>
          <cell r="BF426">
            <v>32.140984194543208</v>
          </cell>
          <cell r="BG426">
            <v>52.261125581442222</v>
          </cell>
          <cell r="BH426">
            <v>87.08140509437834</v>
          </cell>
          <cell r="BI426">
            <v>87.344803597202272</v>
          </cell>
          <cell r="BJ426">
            <v>122.71813976609135</v>
          </cell>
          <cell r="BK426">
            <v>254.16697110286916</v>
          </cell>
          <cell r="BL426">
            <v>319.24215658086484</v>
          </cell>
          <cell r="BM426">
            <v>535.38841505652078</v>
          </cell>
          <cell r="BN426">
            <v>555.64562742600833</v>
          </cell>
        </row>
        <row r="427">
          <cell r="AI427">
            <v>5.87</v>
          </cell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19.386708795635037</v>
          </cell>
          <cell r="BF427">
            <v>38.478919110255859</v>
          </cell>
          <cell r="BG427">
            <v>45.536772461558812</v>
          </cell>
          <cell r="BH427">
            <v>90.394201272480217</v>
          </cell>
          <cell r="BI427">
            <v>105.22911798945771</v>
          </cell>
          <cell r="BJ427">
            <v>190.28012182186785</v>
          </cell>
          <cell r="BK427">
            <v>247.57876380015372</v>
          </cell>
          <cell r="BL427">
            <v>435.38128279124675</v>
          </cell>
          <cell r="BM427">
            <v>461.82348582627952</v>
          </cell>
          <cell r="BN427">
            <v>540.76645923776937</v>
          </cell>
        </row>
        <row r="428">
          <cell r="AI428">
            <v>5.69</v>
          </cell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35.304246779047503</v>
          </cell>
          <cell r="BF428">
            <v>27.827787629827235</v>
          </cell>
          <cell r="BG428">
            <v>25.250448195199827</v>
          </cell>
          <cell r="BH428">
            <v>91.301815925765396</v>
          </cell>
          <cell r="BI428">
            <v>130.33253253024691</v>
          </cell>
          <cell r="BJ428">
            <v>222.16149665509272</v>
          </cell>
          <cell r="BK428">
            <v>220.2922687951293</v>
          </cell>
          <cell r="BL428">
            <v>524.34147140382981</v>
          </cell>
          <cell r="BM428">
            <v>646.71149829913043</v>
          </cell>
          <cell r="BN428">
            <v>543.83483688435001</v>
          </cell>
        </row>
        <row r="429">
          <cell r="AI429">
            <v>5.54</v>
          </cell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30.582117140749503</v>
          </cell>
          <cell r="BF429">
            <v>30.647141806131934</v>
          </cell>
          <cell r="BG429">
            <v>22.156870289602232</v>
          </cell>
          <cell r="BH429">
            <v>105.73463388313826</v>
          </cell>
          <cell r="BI429">
            <v>115.74408021882417</v>
          </cell>
          <cell r="BJ429">
            <v>204.61977974559909</v>
          </cell>
          <cell r="BK429">
            <v>313.04002794109255</v>
          </cell>
          <cell r="BL429">
            <v>566.27734700202393</v>
          </cell>
          <cell r="BM429">
            <v>447.00248998196582</v>
          </cell>
          <cell r="BN429">
            <v>536.07381644288307</v>
          </cell>
        </row>
        <row r="430">
          <cell r="AI430">
            <v>5.42</v>
          </cell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38.958982120758208</v>
          </cell>
          <cell r="BF430">
            <v>38.810054816326776</v>
          </cell>
          <cell r="BG430">
            <v>31.863051801346842</v>
          </cell>
          <cell r="BH430">
            <v>65.056407189200584</v>
          </cell>
          <cell r="BI430">
            <v>116.79291156878769</v>
          </cell>
          <cell r="BJ430">
            <v>253.89993195054592</v>
          </cell>
          <cell r="BK430">
            <v>259.01008522264641</v>
          </cell>
          <cell r="BL430">
            <v>530.07905194258012</v>
          </cell>
          <cell r="BM430">
            <v>516.5673232101592</v>
          </cell>
          <cell r="BN430">
            <v>547.96791400376583</v>
          </cell>
        </row>
        <row r="431">
          <cell r="AI431">
            <v>5.55</v>
          </cell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30.206894391230755</v>
          </cell>
          <cell r="BF431">
            <v>34.568675271818044</v>
          </cell>
          <cell r="BG431">
            <v>61.759231954687806</v>
          </cell>
          <cell r="BH431">
            <v>92.202716141610779</v>
          </cell>
          <cell r="BI431">
            <v>136.95908581193558</v>
          </cell>
          <cell r="BJ431">
            <v>166.76707287513659</v>
          </cell>
          <cell r="BK431">
            <v>269.6282217126772</v>
          </cell>
          <cell r="BL431">
            <v>545.51445847429784</v>
          </cell>
          <cell r="BM431">
            <v>337.27890100299442</v>
          </cell>
          <cell r="BN431">
            <v>557.9550603608285</v>
          </cell>
        </row>
        <row r="435">
          <cell r="AI435">
            <v>5.63</v>
          </cell>
          <cell r="AJ435" t="str">
            <v xml:space="preserve">94/95 </v>
          </cell>
          <cell r="AK435" t="str">
            <v xml:space="preserve">95/96 </v>
          </cell>
          <cell r="AL435" t="str">
            <v xml:space="preserve">96/97 </v>
          </cell>
          <cell r="AM435" t="str">
            <v xml:space="preserve">97/98 </v>
          </cell>
          <cell r="AN435" t="str">
            <v xml:space="preserve">98/99 </v>
          </cell>
          <cell r="AO435" t="str">
            <v xml:space="preserve">99/00 </v>
          </cell>
          <cell r="AP435" t="str">
            <v xml:space="preserve">00/01 </v>
          </cell>
          <cell r="AQ435" t="str">
            <v xml:space="preserve">01/02 </v>
          </cell>
          <cell r="AR435" t="str">
            <v xml:space="preserve">02/03 </v>
          </cell>
          <cell r="AS435" t="str">
            <v xml:space="preserve">03/04 </v>
          </cell>
          <cell r="AT435" t="str">
            <v xml:space="preserve">04/05 </v>
          </cell>
          <cell r="AU435" t="str">
            <v xml:space="preserve">05/06 </v>
          </cell>
          <cell r="AV435" t="str">
            <v xml:space="preserve">06/07 </v>
          </cell>
          <cell r="AW435" t="str">
            <v xml:space="preserve">07/08 </v>
          </cell>
          <cell r="AX435" t="str">
            <v xml:space="preserve">08/09 </v>
          </cell>
          <cell r="AY435" t="str">
            <v xml:space="preserve">09/10 </v>
          </cell>
          <cell r="AZ435" t="str">
            <v xml:space="preserve">10/11 </v>
          </cell>
          <cell r="BA435" t="str">
            <v xml:space="preserve">11/12 </v>
          </cell>
          <cell r="BB435" t="str">
            <v xml:space="preserve">12/13 </v>
          </cell>
          <cell r="BC435" t="str">
            <v xml:space="preserve">13/14 </v>
          </cell>
          <cell r="BD435" t="str">
            <v xml:space="preserve">14/15 </v>
          </cell>
          <cell r="BE435" t="str">
            <v xml:space="preserve">15/16 </v>
          </cell>
          <cell r="BF435" t="str">
            <v xml:space="preserve">16/17 </v>
          </cell>
          <cell r="BG435" t="str">
            <v xml:space="preserve">17/18 </v>
          </cell>
          <cell r="BH435" t="str">
            <v xml:space="preserve">18/19 </v>
          </cell>
          <cell r="BI435" t="str">
            <v>19/20</v>
          </cell>
          <cell r="BJ435" t="str">
            <v>20/21</v>
          </cell>
          <cell r="BK435" t="str">
            <v xml:space="preserve">21/22 </v>
          </cell>
          <cell r="BL435" t="str">
            <v xml:space="preserve">22/23 </v>
          </cell>
          <cell r="BM435" t="str">
            <v xml:space="preserve">23/24 </v>
          </cell>
          <cell r="BN435" t="str">
            <v xml:space="preserve">24/25 </v>
          </cell>
        </row>
        <row r="436">
          <cell r="AI436">
            <v>5.61</v>
          </cell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>
            <v>4.2415155737704913</v>
          </cell>
          <cell r="BB436">
            <v>4.1290819672131143</v>
          </cell>
          <cell r="BC436">
            <v>29.060771311475406</v>
          </cell>
          <cell r="BD436">
            <v>3.1077442622950811</v>
          </cell>
          <cell r="BE436">
            <v>1.3893491803278686</v>
          </cell>
          <cell r="BF436">
            <v>1.9594180327868851</v>
          </cell>
          <cell r="BG436">
            <v>1.1993127049180325</v>
          </cell>
          <cell r="BH436">
            <v>6.8709901477832522</v>
          </cell>
          <cell r="BI436">
            <v>4.3820556650246312</v>
          </cell>
          <cell r="BJ436">
            <v>9.8874492610837432</v>
          </cell>
          <cell r="BK436">
            <v>8.0244130049261084</v>
          </cell>
          <cell r="BL436">
            <v>28.033793103448271</v>
          </cell>
          <cell r="BM436">
            <v>37.372554401270428</v>
          </cell>
          <cell r="BN436">
            <v>30.806832095290741</v>
          </cell>
        </row>
        <row r="437">
          <cell r="AI437">
            <v>5.58</v>
          </cell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>
            <v>5.6564299180327859</v>
          </cell>
          <cell r="BB437">
            <v>7.0270745901639344</v>
          </cell>
          <cell r="BC437">
            <v>16.304960655737702</v>
          </cell>
          <cell r="BD437">
            <v>1.9158418032786881</v>
          </cell>
          <cell r="BE437">
            <v>1.1482893442622948</v>
          </cell>
          <cell r="BF437">
            <v>1.4146377049180325</v>
          </cell>
          <cell r="BG437">
            <v>2.2038012295081963</v>
          </cell>
          <cell r="BH437">
            <v>7.6559874384236473</v>
          </cell>
          <cell r="BI437">
            <v>5.3084549261083742</v>
          </cell>
          <cell r="BJ437">
            <v>13.488540937931033</v>
          </cell>
          <cell r="BK437">
            <v>1.1880953694581282</v>
          </cell>
          <cell r="BL437">
            <v>41.191857953639214</v>
          </cell>
          <cell r="BM437">
            <v>23.912414813514243</v>
          </cell>
          <cell r="BN437">
            <v>43.288290013569878</v>
          </cell>
        </row>
        <row r="438">
          <cell r="AI438">
            <v>5.5</v>
          </cell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>
            <v>3.4817827868852449</v>
          </cell>
          <cell r="BB438">
            <v>8.0349602459016385</v>
          </cell>
          <cell r="BC438">
            <v>2.0980475409836066</v>
          </cell>
          <cell r="BD438">
            <v>2.916287704918032</v>
          </cell>
          <cell r="BE438">
            <v>1.1022971311475409</v>
          </cell>
          <cell r="BF438">
            <v>1.0283311475409835</v>
          </cell>
          <cell r="BG438">
            <v>2.0112639344262293</v>
          </cell>
          <cell r="BH438">
            <v>5.2548029556650251</v>
          </cell>
          <cell r="BI438">
            <v>6.7003559113300497</v>
          </cell>
          <cell r="BJ438">
            <v>18.426394380295566</v>
          </cell>
          <cell r="BK438">
            <v>17.423022660098525</v>
          </cell>
          <cell r="BL438">
            <v>48.2644469130028</v>
          </cell>
          <cell r="BM438">
            <v>19.245093605024735</v>
          </cell>
          <cell r="BN438">
            <v>38.699792075438509</v>
          </cell>
        </row>
        <row r="439">
          <cell r="AI439">
            <v>5.53</v>
          </cell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>
            <v>1.8912282786885242</v>
          </cell>
          <cell r="BB439">
            <v>1.4893450819672127</v>
          </cell>
          <cell r="BC439">
            <v>0.86406639344262282</v>
          </cell>
          <cell r="BD439">
            <v>0.61247950819672126</v>
          </cell>
          <cell r="BE439">
            <v>0.86795040983606542</v>
          </cell>
          <cell r="BF439">
            <v>1.6583643442622948</v>
          </cell>
          <cell r="BG439">
            <v>1.1868676229508193</v>
          </cell>
          <cell r="BH439">
            <v>6.6093472906403949</v>
          </cell>
          <cell r="BI439">
            <v>9.1530777694581271</v>
          </cell>
          <cell r="BJ439">
            <v>42.873635467980293</v>
          </cell>
          <cell r="BK439">
            <v>6.337819113300494</v>
          </cell>
          <cell r="BL439">
            <v>19.724495524213854</v>
          </cell>
          <cell r="BM439">
            <v>28.141952312384138</v>
          </cell>
          <cell r="BN439">
            <v>32.643853817158366</v>
          </cell>
        </row>
        <row r="440">
          <cell r="AI440">
            <v>5.8</v>
          </cell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>
            <v>6.3548889344262278</v>
          </cell>
          <cell r="BB440">
            <v>2.1508524590163929</v>
          </cell>
          <cell r="BC440">
            <v>1.9302086065573771</v>
          </cell>
          <cell r="BD440">
            <v>1.4410991803278685</v>
          </cell>
          <cell r="BE440">
            <v>1.1153028688524589</v>
          </cell>
          <cell r="BF440">
            <v>1.3186475409836065</v>
          </cell>
          <cell r="BG440">
            <v>5.3123422131147535</v>
          </cell>
          <cell r="BH440">
            <v>5.2051300492610837</v>
          </cell>
          <cell r="BI440">
            <v>7.6239243073891618</v>
          </cell>
          <cell r="BJ440">
            <v>8.8313733990147778</v>
          </cell>
          <cell r="BK440">
            <v>7.4322317241379316</v>
          </cell>
          <cell r="BL440">
            <v>11.314392063035188</v>
          </cell>
          <cell r="BM440">
            <v>21.262546578955302</v>
          </cell>
          <cell r="BN440">
            <v>26.172231185096827</v>
          </cell>
        </row>
        <row r="441">
          <cell r="AI441">
            <v>5.9</v>
          </cell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>
            <v>2.3964860655737699</v>
          </cell>
          <cell r="BB441">
            <v>2.5615549180327863</v>
          </cell>
          <cell r="BC441">
            <v>2.7240344262295078</v>
          </cell>
          <cell r="BD441">
            <v>2.5872897540983604</v>
          </cell>
          <cell r="BE441">
            <v>1.6735684426229505</v>
          </cell>
          <cell r="BF441">
            <v>1.6891118852459013</v>
          </cell>
          <cell r="BG441">
            <v>8.3802430327868844</v>
          </cell>
          <cell r="BH441">
            <v>6.3736714285714289</v>
          </cell>
          <cell r="BI441">
            <v>8.1011595862068972</v>
          </cell>
          <cell r="BJ441">
            <v>8.0120039408867001</v>
          </cell>
          <cell r="BK441">
            <v>7.5328630541871933</v>
          </cell>
          <cell r="BL441">
            <v>52.764776131539165</v>
          </cell>
          <cell r="BM441">
            <v>28.617329792926778</v>
          </cell>
          <cell r="BN441">
            <v>38.700833999712884</v>
          </cell>
        </row>
        <row r="442">
          <cell r="AI442">
            <v>5.99</v>
          </cell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>
            <v>1.3658680327868851</v>
          </cell>
          <cell r="BB442">
            <v>2.3975262295081965</v>
          </cell>
          <cell r="BC442">
            <v>3.3894258196721307</v>
          </cell>
          <cell r="BD442">
            <v>2.0584622950819669</v>
          </cell>
          <cell r="BE442">
            <v>1.4421172131147537</v>
          </cell>
          <cell r="BF442">
            <v>1.2358918032786883</v>
          </cell>
          <cell r="BG442">
            <v>1.0364993296089384</v>
          </cell>
          <cell r="BH442">
            <v>6.6406566502463065</v>
          </cell>
          <cell r="BI442">
            <v>7.0086683546798021</v>
          </cell>
          <cell r="BJ442">
            <v>6.0216000000000003</v>
          </cell>
          <cell r="BK442">
            <v>8.3427310344827585</v>
          </cell>
          <cell r="BL442">
            <v>26.346982404475785</v>
          </cell>
          <cell r="BM442">
            <v>21.285849801938177</v>
          </cell>
          <cell r="BN442">
            <v>28.504663819907986</v>
          </cell>
        </row>
        <row r="443">
          <cell r="AI443">
            <v>5.98</v>
          </cell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>
            <v>1.5067696721311472</v>
          </cell>
          <cell r="BB443">
            <v>6.734242622950819</v>
          </cell>
          <cell r="BC443">
            <v>2.8094016393442622</v>
          </cell>
          <cell r="BD443">
            <v>1.2580413934426229</v>
          </cell>
          <cell r="BE443">
            <v>1.140141393442623</v>
          </cell>
          <cell r="BF443">
            <v>1.3549573770491801</v>
          </cell>
          <cell r="BG443">
            <v>0.43263150837988829</v>
          </cell>
          <cell r="BH443">
            <v>7.6882078817733994</v>
          </cell>
          <cell r="BI443">
            <v>9.6779578995073887</v>
          </cell>
          <cell r="BJ443">
            <v>4.392325123152709</v>
          </cell>
          <cell r="BK443">
            <v>13.688070935960591</v>
          </cell>
          <cell r="BL443">
            <v>38.500020123048138</v>
          </cell>
          <cell r="BM443">
            <v>7.7484868943198695</v>
          </cell>
          <cell r="BN443">
            <v>33.430831185753767</v>
          </cell>
        </row>
        <row r="444">
          <cell r="AI444">
            <v>5.89</v>
          </cell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>
            <v>1.8827483606557376</v>
          </cell>
          <cell r="BB444">
            <v>20.8634606557377</v>
          </cell>
          <cell r="BC444">
            <v>2.8656258196721311</v>
          </cell>
          <cell r="BD444">
            <v>2.0067307377049177</v>
          </cell>
          <cell r="BE444">
            <v>1.9405733606557376</v>
          </cell>
          <cell r="BF444">
            <v>1.3727471311475408</v>
          </cell>
          <cell r="BG444">
            <v>0.93590547486033526</v>
          </cell>
          <cell r="BH444">
            <v>5.487311083743843</v>
          </cell>
          <cell r="BI444">
            <v>7.6244859586206886</v>
          </cell>
          <cell r="BJ444">
            <v>8.2788965517241362</v>
          </cell>
          <cell r="BK444">
            <v>27.05991133004926</v>
          </cell>
          <cell r="BL444">
            <v>52.811228876735974</v>
          </cell>
          <cell r="BM444">
            <v>33.593702318384373</v>
          </cell>
          <cell r="BN444">
            <v>39.599753490129515</v>
          </cell>
        </row>
        <row r="445">
          <cell r="AI445">
            <v>5.75</v>
          </cell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>
            <v>2.0451172131147537</v>
          </cell>
          <cell r="BB445">
            <v>16.072900819672128</v>
          </cell>
          <cell r="BC445">
            <v>5.1059286885245889</v>
          </cell>
          <cell r="BD445">
            <v>1.7564090163934425</v>
          </cell>
          <cell r="BE445">
            <v>1.5683348360655733</v>
          </cell>
          <cell r="BF445">
            <v>1.9047319672131147</v>
          </cell>
          <cell r="BG445">
            <v>9.1795821574874825</v>
          </cell>
          <cell r="BH445">
            <v>6.878651231527094</v>
          </cell>
          <cell r="BI445">
            <v>8.2420385418719206</v>
          </cell>
          <cell r="BJ445">
            <v>10.334126108374386</v>
          </cell>
          <cell r="BK445">
            <v>14.147973399014777</v>
          </cell>
          <cell r="BL445">
            <v>23.921891393826002</v>
          </cell>
          <cell r="BM445">
            <v>40.905430832537562</v>
          </cell>
          <cell r="BN445">
            <v>35.039771010319662</v>
          </cell>
        </row>
        <row r="446">
          <cell r="AI446">
            <v>5.58</v>
          </cell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>
            <v>4.5499721311475403</v>
          </cell>
          <cell r="BB446">
            <v>23.482740983606554</v>
          </cell>
          <cell r="BC446">
            <v>1.8022168032786883</v>
          </cell>
          <cell r="BD446">
            <v>1.6415262295081963</v>
          </cell>
          <cell r="BE446">
            <v>1.7513668032786882</v>
          </cell>
          <cell r="BF446">
            <v>1.6237991803278686</v>
          </cell>
          <cell r="BG446">
            <v>7.8841388711879832</v>
          </cell>
          <cell r="BH446">
            <v>8.0097495073891629</v>
          </cell>
          <cell r="BI446">
            <v>8.3557945182266007</v>
          </cell>
          <cell r="BJ446">
            <v>15.252604926108374</v>
          </cell>
          <cell r="BK446">
            <v>21.433720197044337</v>
          </cell>
          <cell r="BL446">
            <v>43.692452071365082</v>
          </cell>
          <cell r="BM446">
            <v>53.427392143287932</v>
          </cell>
          <cell r="BN446">
            <v>50.145233455763098</v>
          </cell>
        </row>
        <row r="447">
          <cell r="AI447">
            <v>5.64</v>
          </cell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>
            <v>3.8365266393442616</v>
          </cell>
          <cell r="BB447">
            <v>29.040145081967211</v>
          </cell>
          <cell r="BC447">
            <v>2.3090385245901635</v>
          </cell>
          <cell r="BD447">
            <v>1.366048770491803</v>
          </cell>
          <cell r="BE447">
            <v>1.3089725409836064</v>
          </cell>
          <cell r="BF447">
            <v>1.4130811475409835</v>
          </cell>
          <cell r="BG447">
            <v>8.0471815270935956</v>
          </cell>
          <cell r="BH447">
            <v>6.7371672413793107</v>
          </cell>
          <cell r="BI447">
            <v>7.4618549556650242</v>
          </cell>
          <cell r="BJ447">
            <v>11.477156650246306</v>
          </cell>
          <cell r="BK447">
            <v>65.731256157635471</v>
          </cell>
          <cell r="BL447">
            <v>40.045928790127995</v>
          </cell>
          <cell r="BM447">
            <v>41.052695622455644</v>
          </cell>
          <cell r="BN447">
            <v>45.371313801701874</v>
          </cell>
        </row>
        <row r="483">
          <cell r="AI483">
            <v>5.19</v>
          </cell>
          <cell r="AJ483" t="str">
            <v xml:space="preserve">94/95 </v>
          </cell>
          <cell r="AK483" t="str">
            <v xml:space="preserve">95/96 </v>
          </cell>
          <cell r="AL483" t="str">
            <v xml:space="preserve">96/97 </v>
          </cell>
          <cell r="AM483" t="str">
            <v xml:space="preserve">97/98 </v>
          </cell>
          <cell r="AN483" t="str">
            <v xml:space="preserve">98/99 </v>
          </cell>
          <cell r="AO483" t="str">
            <v xml:space="preserve">99/00 </v>
          </cell>
          <cell r="AP483" t="str">
            <v xml:space="preserve">00/01 </v>
          </cell>
          <cell r="AQ483" t="str">
            <v xml:space="preserve">01/02 </v>
          </cell>
          <cell r="AR483" t="str">
            <v xml:space="preserve">02/03 </v>
          </cell>
          <cell r="AS483" t="str">
            <v xml:space="preserve">03/04 </v>
          </cell>
          <cell r="AT483" t="str">
            <v xml:space="preserve">04/05 </v>
          </cell>
          <cell r="AU483" t="str">
            <v xml:space="preserve">05/06 </v>
          </cell>
          <cell r="AV483" t="str">
            <v xml:space="preserve">06/07 </v>
          </cell>
          <cell r="AW483" t="str">
            <v xml:space="preserve">07/08 </v>
          </cell>
          <cell r="AX483" t="str">
            <v xml:space="preserve">08/09 </v>
          </cell>
          <cell r="AY483" t="str">
            <v xml:space="preserve">09/10 </v>
          </cell>
          <cell r="AZ483" t="str">
            <v xml:space="preserve">10/11 </v>
          </cell>
          <cell r="BA483" t="str">
            <v xml:space="preserve">11/12 </v>
          </cell>
          <cell r="BB483" t="str">
            <v xml:space="preserve">12/13 </v>
          </cell>
          <cell r="BC483" t="str">
            <v xml:space="preserve">13/14 </v>
          </cell>
          <cell r="BD483" t="str">
            <v xml:space="preserve">14/15 </v>
          </cell>
          <cell r="BE483" t="str">
            <v xml:space="preserve">15/16 </v>
          </cell>
          <cell r="BF483" t="str">
            <v xml:space="preserve">16/17 </v>
          </cell>
          <cell r="BG483" t="str">
            <v xml:space="preserve">17/18 </v>
          </cell>
          <cell r="BH483" t="str">
            <v xml:space="preserve">18/19 </v>
          </cell>
          <cell r="BI483" t="str">
            <v>19/20</v>
          </cell>
          <cell r="BJ483" t="str">
            <v>20/21</v>
          </cell>
          <cell r="BK483" t="str">
            <v xml:space="preserve">21/22 </v>
          </cell>
          <cell r="BL483" t="str">
            <v xml:space="preserve">22/23 </v>
          </cell>
          <cell r="BM483" t="str">
            <v xml:space="preserve">23/24 </v>
          </cell>
          <cell r="BN483" t="str">
            <v xml:space="preserve">24/25 </v>
          </cell>
        </row>
        <row r="484">
          <cell r="AI484">
            <v>5.23</v>
          </cell>
          <cell r="AJ484">
            <v>1055.5</v>
          </cell>
          <cell r="AK484">
            <v>1195.9000000000001</v>
          </cell>
          <cell r="AL484">
            <v>1992.9</v>
          </cell>
          <cell r="AM484">
            <v>1525.6</v>
          </cell>
          <cell r="AN484">
            <v>1416.7</v>
          </cell>
          <cell r="AO484">
            <v>1616.3999999999999</v>
          </cell>
          <cell r="AP484">
            <v>2060.7999999999997</v>
          </cell>
          <cell r="AQ484">
            <v>2606.64</v>
          </cell>
          <cell r="AR484">
            <v>2280.1</v>
          </cell>
          <cell r="AS484">
            <v>1411.8</v>
          </cell>
          <cell r="AT484">
            <v>1269.3999999999999</v>
          </cell>
          <cell r="AU484">
            <v>1883.5</v>
          </cell>
          <cell r="AV484">
            <v>3154</v>
          </cell>
          <cell r="AW484">
            <v>3224.9</v>
          </cell>
          <cell r="AX484">
            <v>2388.5</v>
          </cell>
          <cell r="AY484">
            <v>2809.4</v>
          </cell>
          <cell r="AZ484">
            <v>3284.9630000000002</v>
          </cell>
          <cell r="BA484">
            <v>2327.7675913702137</v>
          </cell>
          <cell r="BB484">
            <v>2714.3718844797459</v>
          </cell>
          <cell r="BC484">
            <v>1708.941156499875</v>
          </cell>
          <cell r="BD484">
            <v>1198.6460217016729</v>
          </cell>
          <cell r="BE484">
            <v>1940.3690000000001</v>
          </cell>
          <cell r="BF484">
            <v>1795.3109999999999</v>
          </cell>
          <cell r="BG484">
            <v>1626.223</v>
          </cell>
          <cell r="BH484">
            <v>2047.5509999999999</v>
          </cell>
          <cell r="BI484">
            <v>1820.9580000000001</v>
          </cell>
          <cell r="BJ484">
            <v>1968.011</v>
          </cell>
          <cell r="BK484">
            <v>2386.337</v>
          </cell>
          <cell r="BL484">
            <v>2093.623</v>
          </cell>
          <cell r="BM484">
            <v>1506.6089999999999</v>
          </cell>
          <cell r="BN484">
            <v>1573.835</v>
          </cell>
        </row>
        <row r="485">
          <cell r="AI485">
            <v>5.41</v>
          </cell>
          <cell r="AJ485">
            <v>1026.9000000000001</v>
          </cell>
          <cell r="AK485">
            <v>1132</v>
          </cell>
          <cell r="AL485">
            <v>1898.3999999999999</v>
          </cell>
          <cell r="AM485">
            <v>1525.5</v>
          </cell>
          <cell r="AN485">
            <v>1406.4</v>
          </cell>
          <cell r="AO485">
            <v>1663.6000000000001</v>
          </cell>
          <cell r="AP485">
            <v>2163.4</v>
          </cell>
          <cell r="AQ485">
            <v>2684.5409999999997</v>
          </cell>
          <cell r="AR485">
            <v>2326.0969999999998</v>
          </cell>
          <cell r="AS485">
            <v>1505.2</v>
          </cell>
          <cell r="AT485">
            <v>1191.2</v>
          </cell>
          <cell r="AU485">
            <v>1851.8</v>
          </cell>
          <cell r="AV485">
            <v>3247.8540000000003</v>
          </cell>
          <cell r="AW485">
            <v>3235.2</v>
          </cell>
          <cell r="AX485">
            <v>2519</v>
          </cell>
          <cell r="AY485">
            <v>2990.5</v>
          </cell>
          <cell r="AZ485">
            <v>3349.4740000000002</v>
          </cell>
          <cell r="BA485">
            <v>2287.7774120485892</v>
          </cell>
          <cell r="BB485">
            <v>2940.665863224338</v>
          </cell>
          <cell r="BC485">
            <v>1831.9238677090229</v>
          </cell>
          <cell r="BD485">
            <v>1238.7598539262012</v>
          </cell>
          <cell r="BE485">
            <v>1965.8580000000002</v>
          </cell>
          <cell r="BF485">
            <v>1780.711</v>
          </cell>
          <cell r="BG485">
            <v>1690.5809999999999</v>
          </cell>
          <cell r="BH485">
            <v>1900.2730000000001</v>
          </cell>
          <cell r="BI485">
            <v>1880.3579999999999</v>
          </cell>
          <cell r="BJ485">
            <v>2117.0970000000002</v>
          </cell>
          <cell r="BK485">
            <v>2405.9629999999997</v>
          </cell>
          <cell r="BL485">
            <v>2112.2809999999999</v>
          </cell>
          <cell r="BM485">
            <v>1591.9059999999999</v>
          </cell>
          <cell r="BN485">
            <v>1618.1489999999999</v>
          </cell>
        </row>
        <row r="486">
          <cell r="AI486">
            <v>5.42</v>
          </cell>
          <cell r="AJ486">
            <v>1058.3</v>
          </cell>
          <cell r="AK486">
            <v>1408.8999999999999</v>
          </cell>
          <cell r="AL486">
            <v>2027.1</v>
          </cell>
          <cell r="AM486">
            <v>1679.6</v>
          </cell>
          <cell r="AN486">
            <v>1312.9</v>
          </cell>
          <cell r="AO486">
            <v>1791.1</v>
          </cell>
          <cell r="AP486">
            <v>2271.6</v>
          </cell>
          <cell r="AQ486">
            <v>2723.7860000000001</v>
          </cell>
          <cell r="AR486">
            <v>2398</v>
          </cell>
          <cell r="AS486">
            <v>1579.7</v>
          </cell>
          <cell r="AT486">
            <v>1311.1</v>
          </cell>
          <cell r="AU486">
            <v>2190.5</v>
          </cell>
          <cell r="AV486">
            <v>3268.895</v>
          </cell>
          <cell r="AW486">
            <v>3277.1</v>
          </cell>
          <cell r="AX486">
            <v>2629.6</v>
          </cell>
          <cell r="AY486">
            <v>3150.5</v>
          </cell>
          <cell r="AZ486">
            <v>3531.9409999999998</v>
          </cell>
          <cell r="BA486">
            <v>2380.0117672923511</v>
          </cell>
          <cell r="BB486">
            <v>3193.1976925862596</v>
          </cell>
          <cell r="BC486">
            <v>2064.6370070667335</v>
          </cell>
          <cell r="BD486">
            <v>1311.0290198338892</v>
          </cell>
          <cell r="BE486">
            <v>1972.51</v>
          </cell>
          <cell r="BF486">
            <v>1872.27</v>
          </cell>
          <cell r="BG486">
            <v>1950.674</v>
          </cell>
          <cell r="BH486">
            <v>1945.848</v>
          </cell>
          <cell r="BI486">
            <v>2134.0639999999999</v>
          </cell>
          <cell r="BJ486">
            <v>2110.7860000000001</v>
          </cell>
          <cell r="BK486">
            <v>2465.8910000000001</v>
          </cell>
          <cell r="BL486">
            <v>2306.1469999999999</v>
          </cell>
          <cell r="BM486">
            <v>1823.8340000000001</v>
          </cell>
          <cell r="BN486">
            <v>1690.57</v>
          </cell>
        </row>
        <row r="487">
          <cell r="AI487">
            <v>5.44</v>
          </cell>
          <cell r="AJ487">
            <v>1116.8</v>
          </cell>
          <cell r="AK487">
            <v>1512.6000000000001</v>
          </cell>
          <cell r="AL487">
            <v>2172.3000000000002</v>
          </cell>
          <cell r="AM487">
            <v>1787.9</v>
          </cell>
          <cell r="AN487">
            <v>1505.6</v>
          </cell>
          <cell r="AO487">
            <v>1993.2</v>
          </cell>
          <cell r="AP487">
            <v>2436.7999999999997</v>
          </cell>
          <cell r="AQ487">
            <v>2923.7</v>
          </cell>
          <cell r="AR487">
            <v>2394.7999999999997</v>
          </cell>
          <cell r="AS487">
            <v>1950.8</v>
          </cell>
          <cell r="AT487">
            <v>1560</v>
          </cell>
          <cell r="AU487">
            <v>2470.556</v>
          </cell>
          <cell r="AV487">
            <v>3359.7</v>
          </cell>
          <cell r="AW487">
            <v>3408</v>
          </cell>
          <cell r="AX487">
            <v>2992.3</v>
          </cell>
          <cell r="AY487">
            <v>3221.69</v>
          </cell>
          <cell r="AZ487">
            <v>3415.395</v>
          </cell>
          <cell r="BA487">
            <v>2612.8404445890633</v>
          </cell>
          <cell r="BB487">
            <v>3515.3513224728517</v>
          </cell>
          <cell r="BC487">
            <v>2234.1364419474753</v>
          </cell>
          <cell r="BD487">
            <v>1529.2622913757946</v>
          </cell>
          <cell r="BE487">
            <v>2110.797</v>
          </cell>
          <cell r="BF487">
            <v>2125.6970000000001</v>
          </cell>
          <cell r="BG487">
            <v>2239.7840000000001</v>
          </cell>
          <cell r="BH487">
            <v>2004.7280000000001</v>
          </cell>
          <cell r="BI487">
            <v>2355.8969999999999</v>
          </cell>
          <cell r="BJ487">
            <v>2305.991</v>
          </cell>
          <cell r="BK487">
            <v>2499.924</v>
          </cell>
          <cell r="BL487">
            <v>2356.4009999999998</v>
          </cell>
          <cell r="BM487">
            <v>2028.7650000000001</v>
          </cell>
          <cell r="BN487">
            <v>2090.2280000000001</v>
          </cell>
        </row>
        <row r="488">
          <cell r="AI488">
            <v>5.39</v>
          </cell>
          <cell r="AJ488">
            <v>1128.8</v>
          </cell>
          <cell r="AK488">
            <v>1521.4</v>
          </cell>
          <cell r="AL488">
            <v>2203.1999999999998</v>
          </cell>
          <cell r="AM488">
            <v>1711.1999999999998</v>
          </cell>
          <cell r="AN488">
            <v>1607.6</v>
          </cell>
          <cell r="AO488">
            <v>2058.6999999999998</v>
          </cell>
          <cell r="AP488">
            <v>2522.7000000000003</v>
          </cell>
          <cell r="AQ488">
            <v>2801.7159999999999</v>
          </cell>
          <cell r="AR488">
            <v>2271.4</v>
          </cell>
          <cell r="AS488">
            <v>1998.3000000000002</v>
          </cell>
          <cell r="AT488">
            <v>1646.8</v>
          </cell>
          <cell r="AU488">
            <v>2762.5990000000002</v>
          </cell>
          <cell r="AV488">
            <v>3477.6</v>
          </cell>
          <cell r="AW488">
            <v>3278.3</v>
          </cell>
          <cell r="AX488">
            <v>3124.1</v>
          </cell>
          <cell r="AY488">
            <v>3295.694</v>
          </cell>
          <cell r="AZ488">
            <v>3375.4670000000001</v>
          </cell>
          <cell r="BA488">
            <v>2732.6372815548293</v>
          </cell>
          <cell r="BB488">
            <v>3400.2319893782665</v>
          </cell>
          <cell r="BC488">
            <v>2306.9274872286078</v>
          </cell>
          <cell r="BD488">
            <v>1611.186929098244</v>
          </cell>
          <cell r="BE488">
            <v>2280.1770000000001</v>
          </cell>
          <cell r="BF488">
            <v>2213.317</v>
          </cell>
          <cell r="BG488">
            <v>2425.3819999999996</v>
          </cell>
          <cell r="BH488">
            <v>2149.13</v>
          </cell>
          <cell r="BI488">
            <v>2376.7980000000002</v>
          </cell>
          <cell r="BJ488">
            <v>2305.9880000000003</v>
          </cell>
          <cell r="BK488">
            <v>2566.107</v>
          </cell>
          <cell r="BL488">
            <v>2363.797</v>
          </cell>
          <cell r="BM488">
            <v>2148.2930000000001</v>
          </cell>
          <cell r="BN488">
            <v>2331.1416664104295</v>
          </cell>
        </row>
        <row r="489">
          <cell r="AI489">
            <v>5.47</v>
          </cell>
          <cell r="AJ489">
            <v>1059.5</v>
          </cell>
          <cell r="AK489">
            <v>1653.6</v>
          </cell>
          <cell r="AL489">
            <v>2171.3000000000002</v>
          </cell>
          <cell r="AM489">
            <v>1762.6</v>
          </cell>
          <cell r="AN489">
            <v>1716.2</v>
          </cell>
          <cell r="AO489">
            <v>2076.6</v>
          </cell>
          <cell r="AP489">
            <v>2549.6</v>
          </cell>
          <cell r="AQ489">
            <v>2916.9</v>
          </cell>
          <cell r="AR489">
            <v>2257.6999999999998</v>
          </cell>
          <cell r="AS489">
            <v>1856.5</v>
          </cell>
          <cell r="AT489">
            <v>1812.6999999999998</v>
          </cell>
          <cell r="AU489">
            <v>2752.5320000000002</v>
          </cell>
          <cell r="AV489">
            <v>3558.3</v>
          </cell>
          <cell r="AW489">
            <v>3083.5</v>
          </cell>
          <cell r="AX489">
            <v>3191.6</v>
          </cell>
          <cell r="AY489">
            <v>3317.6469999999999</v>
          </cell>
          <cell r="AZ489">
            <v>3409.7910000000002</v>
          </cell>
          <cell r="BA489">
            <v>2896.7146360427987</v>
          </cell>
          <cell r="BB489">
            <v>3389.0846134266562</v>
          </cell>
          <cell r="BC489">
            <v>2479.1759815064065</v>
          </cell>
          <cell r="BD489">
            <v>1740.0167165532621</v>
          </cell>
          <cell r="BE489">
            <v>2324.9259999999999</v>
          </cell>
          <cell r="BF489">
            <v>2343.8359999999998</v>
          </cell>
          <cell r="BG489">
            <v>2444.482</v>
          </cell>
          <cell r="BH489">
            <v>2232.9290000000001</v>
          </cell>
          <cell r="BI489">
            <v>2326.5940000000001</v>
          </cell>
          <cell r="BJ489">
            <v>2245.2779999999998</v>
          </cell>
          <cell r="BK489">
            <v>2433.7180000000003</v>
          </cell>
          <cell r="BL489">
            <v>2387.5129999999999</v>
          </cell>
          <cell r="BM489">
            <v>2369.12</v>
          </cell>
          <cell r="BN489">
            <v>2428.9275210394899</v>
          </cell>
        </row>
        <row r="490">
          <cell r="AI490">
            <v>5.42</v>
          </cell>
          <cell r="AJ490">
            <v>1089.5999999999999</v>
          </cell>
          <cell r="AK490">
            <v>1747.3999999999999</v>
          </cell>
          <cell r="AL490">
            <v>2163.9</v>
          </cell>
          <cell r="AM490">
            <v>1857.6</v>
          </cell>
          <cell r="AN490">
            <v>1640.6000000000001</v>
          </cell>
          <cell r="AO490">
            <v>2092.9</v>
          </cell>
          <cell r="AP490">
            <v>2542.8620000000001</v>
          </cell>
          <cell r="AQ490">
            <v>2793.5170000000003</v>
          </cell>
          <cell r="AR490">
            <v>2120.6999999999998</v>
          </cell>
          <cell r="AS490">
            <v>1643.8</v>
          </cell>
          <cell r="AT490">
            <v>1797.1</v>
          </cell>
          <cell r="AU490">
            <v>2862.8009999999999</v>
          </cell>
          <cell r="AV490">
            <v>3500</v>
          </cell>
          <cell r="AW490">
            <v>2925.8</v>
          </cell>
          <cell r="AX490">
            <v>3279.4</v>
          </cell>
          <cell r="AY490">
            <v>3414.7929999999997</v>
          </cell>
          <cell r="AZ490">
            <v>3342.0680000000002</v>
          </cell>
          <cell r="BA490">
            <v>2942.1764866720773</v>
          </cell>
          <cell r="BB490">
            <v>3253.9116756716899</v>
          </cell>
          <cell r="BC490">
            <v>2538.3951958385155</v>
          </cell>
          <cell r="BD490">
            <v>1777.6667879752056</v>
          </cell>
          <cell r="BE490">
            <v>2420.018</v>
          </cell>
          <cell r="BF490">
            <v>2239.989</v>
          </cell>
          <cell r="BG490">
            <v>2688.7759999999998</v>
          </cell>
          <cell r="BH490">
            <v>2257.6060000000002</v>
          </cell>
          <cell r="BI490">
            <v>2600.6010000000001</v>
          </cell>
          <cell r="BJ490">
            <v>2177.5879999999997</v>
          </cell>
          <cell r="BK490">
            <v>2424.192</v>
          </cell>
          <cell r="BL490">
            <v>2539.6790000000001</v>
          </cell>
          <cell r="BM490">
            <v>2311.3670000000002</v>
          </cell>
          <cell r="BN490">
            <v>2541.6285581639154</v>
          </cell>
        </row>
        <row r="491">
          <cell r="AI491">
            <v>5.52</v>
          </cell>
          <cell r="AJ491">
            <v>1130.4000000000001</v>
          </cell>
          <cell r="AK491">
            <v>1758.9</v>
          </cell>
          <cell r="AL491">
            <v>2143.3000000000002</v>
          </cell>
          <cell r="AM491">
            <v>1857.1</v>
          </cell>
          <cell r="AN491">
            <v>1767.3</v>
          </cell>
          <cell r="AO491">
            <v>1978.3</v>
          </cell>
          <cell r="AP491">
            <v>2695.6</v>
          </cell>
          <cell r="AQ491">
            <v>2889.3999999999996</v>
          </cell>
          <cell r="AR491">
            <v>2052.6</v>
          </cell>
          <cell r="AS491">
            <v>1648.3999999999999</v>
          </cell>
          <cell r="AT491">
            <v>1888.7</v>
          </cell>
          <cell r="AU491">
            <v>3004.5170000000003</v>
          </cell>
          <cell r="AV491">
            <v>3468.7</v>
          </cell>
          <cell r="AW491">
            <v>2989</v>
          </cell>
          <cell r="AX491">
            <v>3338.8</v>
          </cell>
          <cell r="AY491">
            <v>3521.9170000000004</v>
          </cell>
          <cell r="AZ491">
            <v>3177.3229999999999</v>
          </cell>
          <cell r="BA491">
            <v>2836.2383443071426</v>
          </cell>
          <cell r="BB491">
            <v>3028.3649691696969</v>
          </cell>
          <cell r="BC491">
            <v>2416.4836356221213</v>
          </cell>
          <cell r="BD491">
            <v>2189.3240000000001</v>
          </cell>
          <cell r="BE491">
            <v>2466.1379999999999</v>
          </cell>
          <cell r="BF491">
            <v>2269.2550000000001</v>
          </cell>
          <cell r="BG491">
            <v>2374.0610000000001</v>
          </cell>
          <cell r="BH491">
            <v>2018.867</v>
          </cell>
          <cell r="BI491">
            <v>2445.415</v>
          </cell>
          <cell r="BJ491">
            <v>2146.9879999999998</v>
          </cell>
          <cell r="BK491">
            <v>2384.373</v>
          </cell>
          <cell r="BL491">
            <v>2386.2220000000002</v>
          </cell>
          <cell r="BM491">
            <v>2186.8389999999999</v>
          </cell>
          <cell r="BN491">
            <v>2581.2950783980905</v>
          </cell>
        </row>
        <row r="492">
          <cell r="AI492">
            <v>5.55</v>
          </cell>
          <cell r="AJ492">
            <v>1111.7</v>
          </cell>
          <cell r="AK492">
            <v>1888.5</v>
          </cell>
          <cell r="AL492">
            <v>2137.9</v>
          </cell>
          <cell r="AM492">
            <v>1712.6</v>
          </cell>
          <cell r="AN492">
            <v>1647.3999999999999</v>
          </cell>
          <cell r="AO492">
            <v>2028.3000000000002</v>
          </cell>
          <cell r="AP492">
            <v>2776.4290000000001</v>
          </cell>
          <cell r="AQ492">
            <v>2658.3420000000001</v>
          </cell>
          <cell r="AR492">
            <v>1928.5</v>
          </cell>
          <cell r="AS492">
            <v>1513.7</v>
          </cell>
          <cell r="AT492">
            <v>1838.1000000000001</v>
          </cell>
          <cell r="AU492">
            <v>3050.1829999999995</v>
          </cell>
          <cell r="AV492">
            <v>3549.8</v>
          </cell>
          <cell r="AW492">
            <v>2906</v>
          </cell>
          <cell r="AX492">
            <v>3530.3</v>
          </cell>
          <cell r="AY492">
            <v>3597.482</v>
          </cell>
          <cell r="AZ492">
            <v>3153.0639999999999</v>
          </cell>
          <cell r="BA492">
            <v>2813.7371448155991</v>
          </cell>
          <cell r="BB492">
            <v>2803.3832644538384</v>
          </cell>
          <cell r="BC492">
            <v>2253.5990498781284</v>
          </cell>
          <cell r="BD492">
            <v>2153.2469999999998</v>
          </cell>
          <cell r="BE492">
            <v>2424.134</v>
          </cell>
          <cell r="BF492">
            <v>2142.8779999999997</v>
          </cell>
          <cell r="BG492">
            <v>2304.808</v>
          </cell>
          <cell r="BH492">
            <v>2014.4199999999998</v>
          </cell>
          <cell r="BI492">
            <v>2270.8110000000001</v>
          </cell>
          <cell r="BJ492">
            <v>2100.654</v>
          </cell>
          <cell r="BK492">
            <v>2315.5039999999999</v>
          </cell>
          <cell r="BL492">
            <v>2203.0349999999999</v>
          </cell>
          <cell r="BM492">
            <v>2125.3070000000002</v>
          </cell>
          <cell r="BN492">
            <v>2608.2533616143128</v>
          </cell>
        </row>
        <row r="493">
          <cell r="AI493">
            <v>5.55</v>
          </cell>
          <cell r="AJ493">
            <v>1142</v>
          </cell>
          <cell r="AK493">
            <v>2156.5</v>
          </cell>
          <cell r="AL493">
            <v>1978.1</v>
          </cell>
          <cell r="AM493">
            <v>1779.1000000000001</v>
          </cell>
          <cell r="AN493">
            <v>1671.2</v>
          </cell>
          <cell r="AO493">
            <v>2120.4</v>
          </cell>
          <cell r="AP493">
            <v>2743.9750000000004</v>
          </cell>
          <cell r="AQ493">
            <v>2529.4</v>
          </cell>
          <cell r="AR493">
            <v>1795.6000000000001</v>
          </cell>
          <cell r="AS493">
            <v>1411.6000000000001</v>
          </cell>
          <cell r="AT493">
            <v>1988.9</v>
          </cell>
          <cell r="AU493">
            <v>3244.232</v>
          </cell>
          <cell r="AV493">
            <v>3399.7</v>
          </cell>
          <cell r="AW493">
            <v>2793.2</v>
          </cell>
          <cell r="AX493">
            <v>3448.9</v>
          </cell>
          <cell r="AY493">
            <v>3594.0680000000002</v>
          </cell>
          <cell r="AZ493">
            <v>3128.8510000000001</v>
          </cell>
          <cell r="BA493">
            <v>2912.3764431089126</v>
          </cell>
          <cell r="BB493">
            <v>2545.6263865287369</v>
          </cell>
          <cell r="BC493">
            <v>1973.3681412669509</v>
          </cell>
          <cell r="BD493">
            <v>2146.453</v>
          </cell>
          <cell r="BE493">
            <v>2214.2780000000002</v>
          </cell>
          <cell r="BF493">
            <v>2000.498</v>
          </cell>
          <cell r="BG493">
            <v>2383.6459999999997</v>
          </cell>
          <cell r="BH493">
            <v>2039.501</v>
          </cell>
          <cell r="BI493">
            <v>2123.2240000000002</v>
          </cell>
          <cell r="BJ493">
            <v>2070.1109999999999</v>
          </cell>
          <cell r="BK493">
            <v>2266.7939999999999</v>
          </cell>
          <cell r="BL493">
            <v>2136.2019999999998</v>
          </cell>
          <cell r="BM493">
            <v>2008.5349999999999</v>
          </cell>
          <cell r="BN493">
            <v>2788.7434349554746</v>
          </cell>
        </row>
        <row r="494">
          <cell r="AI494">
            <v>5.45</v>
          </cell>
          <cell r="AJ494">
            <v>1100</v>
          </cell>
          <cell r="AK494">
            <v>2091.4</v>
          </cell>
          <cell r="AL494">
            <v>1699.8999999999999</v>
          </cell>
          <cell r="AM494">
            <v>1453.1</v>
          </cell>
          <cell r="AN494">
            <v>1630.8</v>
          </cell>
          <cell r="AO494">
            <v>2018.1</v>
          </cell>
          <cell r="AP494">
            <v>2675.4</v>
          </cell>
          <cell r="AQ494">
            <v>2521.712</v>
          </cell>
          <cell r="AR494">
            <v>1657.9</v>
          </cell>
          <cell r="AS494">
            <v>1180.2</v>
          </cell>
          <cell r="AT494">
            <v>1727.1</v>
          </cell>
          <cell r="AU494">
            <v>3206.0020000000004</v>
          </cell>
          <cell r="AV494">
            <v>3200.4</v>
          </cell>
          <cell r="AW494">
            <v>2567.4</v>
          </cell>
          <cell r="AX494">
            <v>3134</v>
          </cell>
          <cell r="AY494">
            <v>3337.84</v>
          </cell>
          <cell r="AZ494">
            <v>2847.2210671466123</v>
          </cell>
          <cell r="BA494">
            <v>2669.3714609209192</v>
          </cell>
          <cell r="BB494">
            <v>2053.9532529206117</v>
          </cell>
          <cell r="BC494">
            <v>1493.8089156315323</v>
          </cell>
          <cell r="BD494">
            <v>1999.7220000000002</v>
          </cell>
          <cell r="BE494">
            <v>1985.7429999999999</v>
          </cell>
          <cell r="BF494">
            <v>1810.3409999999999</v>
          </cell>
          <cell r="BG494">
            <v>2214.799</v>
          </cell>
          <cell r="BH494">
            <v>1806.1469999999999</v>
          </cell>
          <cell r="BI494">
            <v>1945.107</v>
          </cell>
          <cell r="BJ494">
            <v>2183.4409999999998</v>
          </cell>
          <cell r="BK494">
            <v>2103.7129999999997</v>
          </cell>
          <cell r="BL494">
            <v>1772.383</v>
          </cell>
          <cell r="BM494">
            <v>1629.431</v>
          </cell>
          <cell r="BN494">
            <v>2012.7414831002761</v>
          </cell>
        </row>
        <row r="495">
          <cell r="AI495">
            <v>5.56</v>
          </cell>
          <cell r="AJ495">
            <v>1136.7</v>
          </cell>
          <cell r="AK495">
            <v>2015.3999999999999</v>
          </cell>
          <cell r="AL495">
            <v>1520.1</v>
          </cell>
          <cell r="AM495">
            <v>1382.4</v>
          </cell>
          <cell r="AN495">
            <v>1519.5</v>
          </cell>
          <cell r="AO495">
            <v>1993.5</v>
          </cell>
          <cell r="AP495">
            <v>2767</v>
          </cell>
          <cell r="AQ495">
            <v>2358.6</v>
          </cell>
          <cell r="AR495">
            <v>1488.7</v>
          </cell>
          <cell r="AS495">
            <v>1075.6000000000001</v>
          </cell>
          <cell r="AT495">
            <v>1699.1</v>
          </cell>
          <cell r="AU495">
            <v>3144.9979999999996</v>
          </cell>
          <cell r="AV495">
            <v>3085.2</v>
          </cell>
          <cell r="AW495">
            <v>2484.6</v>
          </cell>
          <cell r="AX495">
            <v>2860.5</v>
          </cell>
          <cell r="AY495">
            <v>3405.78</v>
          </cell>
          <cell r="AZ495">
            <v>2424.5096194237863</v>
          </cell>
          <cell r="BA495">
            <v>2539.5311429826502</v>
          </cell>
          <cell r="BB495">
            <v>1704.9149668082321</v>
          </cell>
          <cell r="BC495">
            <v>1165.2148728200884</v>
          </cell>
          <cell r="BD495">
            <v>1854.818</v>
          </cell>
          <cell r="BE495">
            <v>1686.8130000000001</v>
          </cell>
          <cell r="BF495">
            <v>1710.954</v>
          </cell>
          <cell r="BG495">
            <v>1995.434</v>
          </cell>
          <cell r="BH495">
            <v>1775.316</v>
          </cell>
          <cell r="BI495">
            <v>1852.675</v>
          </cell>
          <cell r="BJ495">
            <v>2131.2330000000002</v>
          </cell>
          <cell r="BK495">
            <v>1991.1480000000001</v>
          </cell>
          <cell r="BL495">
            <v>1602.2360000000001</v>
          </cell>
          <cell r="BM495">
            <v>1500.8580000000002</v>
          </cell>
          <cell r="BN495">
            <v>1741.4732873407656</v>
          </cell>
        </row>
        <row r="498">
          <cell r="AI498">
            <v>5.69</v>
          </cell>
          <cell r="AJ498" t="str">
            <v xml:space="preserve">94/95 </v>
          </cell>
          <cell r="AK498" t="str">
            <v xml:space="preserve">95/96 </v>
          </cell>
          <cell r="AL498" t="str">
            <v xml:space="preserve">96/97 </v>
          </cell>
          <cell r="AM498" t="str">
            <v xml:space="preserve">97/98 </v>
          </cell>
          <cell r="AN498" t="str">
            <v xml:space="preserve">98/99 </v>
          </cell>
          <cell r="AO498" t="str">
            <v xml:space="preserve">99/00 </v>
          </cell>
          <cell r="AP498" t="str">
            <v xml:space="preserve">00/01 </v>
          </cell>
          <cell r="AQ498" t="str">
            <v xml:space="preserve">01/02 </v>
          </cell>
          <cell r="AR498" t="str">
            <v xml:space="preserve">02/03 </v>
          </cell>
          <cell r="AS498" t="str">
            <v xml:space="preserve">03/04 </v>
          </cell>
          <cell r="AT498" t="str">
            <v xml:space="preserve">04/05 </v>
          </cell>
          <cell r="AU498" t="str">
            <v xml:space="preserve">05/06 </v>
          </cell>
          <cell r="AV498" t="str">
            <v xml:space="preserve">06/07 </v>
          </cell>
          <cell r="AW498" t="str">
            <v xml:space="preserve">07/08 </v>
          </cell>
          <cell r="AX498" t="str">
            <v xml:space="preserve">08/09 </v>
          </cell>
          <cell r="AY498" t="str">
            <v xml:space="preserve">09/10 </v>
          </cell>
          <cell r="AZ498" t="str">
            <v xml:space="preserve">10/11 </v>
          </cell>
          <cell r="BA498" t="str">
            <v xml:space="preserve">11/12 </v>
          </cell>
          <cell r="BB498" t="str">
            <v xml:space="preserve">12/13 </v>
          </cell>
          <cell r="BC498" t="str">
            <v xml:space="preserve">13/14 </v>
          </cell>
          <cell r="BD498" t="str">
            <v xml:space="preserve">14/15 </v>
          </cell>
          <cell r="BE498" t="str">
            <v xml:space="preserve">15/16 </v>
          </cell>
          <cell r="BF498" t="str">
            <v xml:space="preserve">16/17 </v>
          </cell>
          <cell r="BG498" t="str">
            <v xml:space="preserve">17/18 </v>
          </cell>
          <cell r="BH498" t="str">
            <v xml:space="preserve">18/19 </v>
          </cell>
          <cell r="BI498" t="str">
            <v>19/20</v>
          </cell>
          <cell r="BJ498" t="str">
            <v>20/21</v>
          </cell>
          <cell r="BK498" t="str">
            <v xml:space="preserve">21/22 </v>
          </cell>
          <cell r="BL498" t="str">
            <v xml:space="preserve">22/23 </v>
          </cell>
          <cell r="BM498" t="str">
            <v xml:space="preserve">23/24 </v>
          </cell>
          <cell r="BN498" t="str">
            <v xml:space="preserve">24/25 </v>
          </cell>
        </row>
        <row r="499">
          <cell r="AI499">
            <v>5.74</v>
          </cell>
          <cell r="AJ499">
            <v>117.69798022465186</v>
          </cell>
          <cell r="AK499">
            <v>28.588965955561321</v>
          </cell>
          <cell r="AL499">
            <v>43.203685627794592</v>
          </cell>
          <cell r="AM499">
            <v>29.731936222469187</v>
          </cell>
          <cell r="AN499">
            <v>27.924312946444797</v>
          </cell>
          <cell r="AO499">
            <v>31.382716899583283</v>
          </cell>
          <cell r="AP499">
            <v>39.628190033251137</v>
          </cell>
          <cell r="AQ499">
            <v>43.790662995832243</v>
          </cell>
          <cell r="AR499">
            <v>39.846527564558848</v>
          </cell>
          <cell r="AS499">
            <v>25.579058608995073</v>
          </cell>
          <cell r="AT499">
            <v>25.109827260528846</v>
          </cell>
          <cell r="AU499">
            <v>35.444644989447809</v>
          </cell>
          <cell r="AV499">
            <v>53.678485249150754</v>
          </cell>
          <cell r="AW499">
            <v>57.688442150828308</v>
          </cell>
          <cell r="AX499">
            <v>40.744527959794638</v>
          </cell>
          <cell r="AY499">
            <v>46.24339810199502</v>
          </cell>
          <cell r="AZ499">
            <v>53.064535118766806</v>
          </cell>
          <cell r="BA499">
            <v>39.984461687026617</v>
          </cell>
          <cell r="BB499">
            <v>48.964793012620966</v>
          </cell>
          <cell r="BC499">
            <v>27.727185170222551</v>
          </cell>
          <cell r="BD499">
            <v>20.045222241303954</v>
          </cell>
          <cell r="BE499">
            <v>31.316797955266001</v>
          </cell>
          <cell r="BF499">
            <v>28.768678094275472</v>
          </cell>
          <cell r="BG499">
            <v>23.625378130774202</v>
          </cell>
          <cell r="BH499">
            <v>29.978690417988499</v>
          </cell>
          <cell r="BI499">
            <v>26.442909073749451</v>
          </cell>
          <cell r="BJ499">
            <v>27.887987400178247</v>
          </cell>
          <cell r="BK499">
            <v>34.756941967484877</v>
          </cell>
          <cell r="BL499">
            <v>28.649972430637323</v>
          </cell>
          <cell r="BM499">
            <v>18.558599021006067</v>
          </cell>
          <cell r="BN499">
            <v>19.316578638755633</v>
          </cell>
        </row>
        <row r="500">
          <cell r="AI500">
            <v>5.76</v>
          </cell>
          <cell r="AJ500">
            <v>22.480050999093059</v>
          </cell>
          <cell r="AK500">
            <v>23.811524944777894</v>
          </cell>
          <cell r="AL500">
            <v>37.336844423581134</v>
          </cell>
          <cell r="AM500">
            <v>28.86937435875166</v>
          </cell>
          <cell r="AN500">
            <v>26.103282959714399</v>
          </cell>
          <cell r="AO500">
            <v>32.068321319644134</v>
          </cell>
          <cell r="AP500">
            <v>43.450559964357126</v>
          </cell>
          <cell r="AQ500">
            <v>51.805659520167147</v>
          </cell>
          <cell r="AR500">
            <v>43.914239184914244</v>
          </cell>
          <cell r="AS500">
            <v>29.708952987318806</v>
          </cell>
          <cell r="AT500">
            <v>20.213437600761537</v>
          </cell>
          <cell r="AU500">
            <v>31.031196494400685</v>
          </cell>
          <cell r="AV500">
            <v>59.697825052532302</v>
          </cell>
          <cell r="AW500">
            <v>53.976677319404054</v>
          </cell>
          <cell r="AX500">
            <v>50.326174584427761</v>
          </cell>
          <cell r="AY500">
            <v>53.322261336366928</v>
          </cell>
          <cell r="AZ500">
            <v>58.279145546357725</v>
          </cell>
          <cell r="BA500">
            <v>39.917633206451143</v>
          </cell>
          <cell r="BB500">
            <v>52.041316331961561</v>
          </cell>
          <cell r="BC500">
            <v>30.223632420154441</v>
          </cell>
          <cell r="BD500">
            <v>20.238114553764419</v>
          </cell>
          <cell r="BE500">
            <v>31.133282044488059</v>
          </cell>
          <cell r="BF500">
            <v>26.520449568392962</v>
          </cell>
          <cell r="BG500">
            <v>26.213908236365775</v>
          </cell>
          <cell r="BH500">
            <v>25.423264775247365</v>
          </cell>
          <cell r="BI500">
            <v>27.237047334012381</v>
          </cell>
          <cell r="BJ500">
            <v>30.550977802114293</v>
          </cell>
          <cell r="BK500">
            <v>32.080732207669392</v>
          </cell>
          <cell r="BL500">
            <v>28.707509342449807</v>
          </cell>
          <cell r="BM500">
            <v>20.980613917274209</v>
          </cell>
          <cell r="BN500">
            <v>19.319106950939233</v>
          </cell>
        </row>
        <row r="501">
          <cell r="AI501">
            <v>5.77</v>
          </cell>
          <cell r="AJ501">
            <v>23.91369919799649</v>
          </cell>
          <cell r="AK501">
            <v>39.302604158142238</v>
          </cell>
          <cell r="AL501">
            <v>46.673265210724466</v>
          </cell>
          <cell r="AM501">
            <v>33.758850889768297</v>
          </cell>
          <cell r="AN501">
            <v>23.81507192724456</v>
          </cell>
          <cell r="AO501">
            <v>37.541192307380811</v>
          </cell>
          <cell r="AP501">
            <v>47.691782239616572</v>
          </cell>
          <cell r="AQ501">
            <v>50.851266613189132</v>
          </cell>
          <cell r="AR501">
            <v>45.662080015367806</v>
          </cell>
          <cell r="AS501">
            <v>31.937882152351342</v>
          </cell>
          <cell r="AT501">
            <v>25.996024925805191</v>
          </cell>
          <cell r="AU501">
            <v>49.187791420519908</v>
          </cell>
          <cell r="AV501">
            <v>57.865215049519989</v>
          </cell>
          <cell r="AW501">
            <v>55.18734206293793</v>
          </cell>
          <cell r="AX501">
            <v>54.722100289357712</v>
          </cell>
          <cell r="AY501">
            <v>55.858822146380831</v>
          </cell>
          <cell r="AZ501">
            <v>69.861360961171329</v>
          </cell>
          <cell r="BA501">
            <v>44.754752135094492</v>
          </cell>
          <cell r="BB501">
            <v>58.216303280395273</v>
          </cell>
          <cell r="BC501">
            <v>36.511865743036033</v>
          </cell>
          <cell r="BD501">
            <v>21.866198966041367</v>
          </cell>
          <cell r="BE501">
            <v>31.442753100720779</v>
          </cell>
          <cell r="BF501">
            <v>30.450891210399416</v>
          </cell>
          <cell r="BG501">
            <v>33.851087096671606</v>
          </cell>
          <cell r="BH501">
            <v>28.263058268621975</v>
          </cell>
          <cell r="BI501">
            <v>34.954809580014704</v>
          </cell>
          <cell r="BJ501">
            <v>28.887551934828593</v>
          </cell>
          <cell r="BK501">
            <v>33.296658753914144</v>
          </cell>
          <cell r="BL501">
            <v>35.319978872839179</v>
          </cell>
          <cell r="BM501">
            <v>25.784117072567138</v>
          </cell>
          <cell r="BN501">
            <v>20.735832289412425</v>
          </cell>
        </row>
        <row r="502">
          <cell r="AI502">
            <v>5.69</v>
          </cell>
          <cell r="AJ502">
            <v>25.783149578432482</v>
          </cell>
          <cell r="AK502">
            <v>36.897642927693717</v>
          </cell>
          <cell r="AL502">
            <v>50.396297056471333</v>
          </cell>
          <cell r="AM502">
            <v>35.036268004180378</v>
          </cell>
          <cell r="AN502">
            <v>34.866643788603639</v>
          </cell>
          <cell r="AO502">
            <v>44.598596454056526</v>
          </cell>
          <cell r="AP502">
            <v>50.925117519868685</v>
          </cell>
          <cell r="AQ502">
            <v>59.993422133152229</v>
          </cell>
          <cell r="AR502">
            <v>45.83546246831385</v>
          </cell>
          <cell r="AS502">
            <v>48.367876557596226</v>
          </cell>
          <cell r="AT502">
            <v>33.749621354832783</v>
          </cell>
          <cell r="AU502">
            <v>51.463623124995827</v>
          </cell>
          <cell r="AV502">
            <v>62.785031713570525</v>
          </cell>
          <cell r="AW502">
            <v>61.413453740427634</v>
          </cell>
          <cell r="AX502">
            <v>73.530958962779309</v>
          </cell>
          <cell r="AY502">
            <v>55.87963462877169</v>
          </cell>
          <cell r="AZ502">
            <v>57.109874481265621</v>
          </cell>
          <cell r="BA502">
            <v>54.506710721656205</v>
          </cell>
          <cell r="BB502">
            <v>66.751261482457281</v>
          </cell>
          <cell r="BC502">
            <v>39.998258391140418</v>
          </cell>
          <cell r="BD502">
            <v>27.681449278184886</v>
          </cell>
          <cell r="BE502">
            <v>37.529121798357927</v>
          </cell>
          <cell r="BF502">
            <v>37.610268111323869</v>
          </cell>
          <cell r="BG502">
            <v>40.166307906471381</v>
          </cell>
          <cell r="BH502">
            <v>29.767643797703794</v>
          </cell>
          <cell r="BI502">
            <v>37.162531129591976</v>
          </cell>
          <cell r="BJ502">
            <v>33.522340780771074</v>
          </cell>
          <cell r="BK502">
            <v>34.296142030821386</v>
          </cell>
          <cell r="BL502">
            <v>32.796835809331583</v>
          </cell>
          <cell r="BM502">
            <v>29.467215182662088</v>
          </cell>
          <cell r="BN502">
            <v>30.034018175682011</v>
          </cell>
        </row>
        <row r="503">
          <cell r="AI503">
            <v>5.64</v>
          </cell>
          <cell r="AJ503">
            <v>24.716101451394636</v>
          </cell>
          <cell r="AK503">
            <v>35.655571339878122</v>
          </cell>
          <cell r="AL503">
            <v>46.738189422247899</v>
          </cell>
          <cell r="AM503">
            <v>29.232549704280068</v>
          </cell>
          <cell r="AN503">
            <v>33.581310967796455</v>
          </cell>
          <cell r="AO503">
            <v>43.99077103742578</v>
          </cell>
          <cell r="AP503">
            <v>52.123308355711259</v>
          </cell>
          <cell r="AQ503">
            <v>46.989909944176723</v>
          </cell>
          <cell r="AR503">
            <v>39.744312688535175</v>
          </cell>
          <cell r="AS503">
            <v>40.87665336884713</v>
          </cell>
          <cell r="AT503">
            <v>31.169544438700349</v>
          </cell>
          <cell r="AU503">
            <v>59.496295985494285</v>
          </cell>
          <cell r="AV503">
            <v>68.020941728768037</v>
          </cell>
          <cell r="AW503">
            <v>52.113257748323441</v>
          </cell>
          <cell r="AX503">
            <v>61.849176183300322</v>
          </cell>
          <cell r="AY503">
            <v>56.617870014116221</v>
          </cell>
          <cell r="AZ503">
            <v>60.736708294486711</v>
          </cell>
          <cell r="BA503">
            <v>51.9525888107081</v>
          </cell>
          <cell r="BB503">
            <v>52.977257007348435</v>
          </cell>
          <cell r="BC503">
            <v>39.088293018919529</v>
          </cell>
          <cell r="BD503">
            <v>27.34387728847884</v>
          </cell>
          <cell r="BE503">
            <v>39.970456291825464</v>
          </cell>
          <cell r="BF503">
            <v>36.663072862325244</v>
          </cell>
          <cell r="BG503">
            <v>38.909928558694212</v>
          </cell>
          <cell r="BH503">
            <v>33.728206721586098</v>
          </cell>
          <cell r="BI503">
            <v>34.348911756388802</v>
          </cell>
          <cell r="BJ503">
            <v>33.177958574476378</v>
          </cell>
          <cell r="BK503">
            <v>35.579617790414808</v>
          </cell>
          <cell r="BL503">
            <v>31.275442895033752</v>
          </cell>
          <cell r="BM503">
            <v>30.160809312057591</v>
          </cell>
          <cell r="BN503">
            <v>31.340277029135674</v>
          </cell>
        </row>
        <row r="504">
          <cell r="AI504">
            <v>5.74</v>
          </cell>
          <cell r="AJ504">
            <v>22.038057333187275</v>
          </cell>
          <cell r="AK504">
            <v>43.804930854818515</v>
          </cell>
          <cell r="AL504">
            <v>46.525480784075711</v>
          </cell>
          <cell r="AM504">
            <v>33.998096123689116</v>
          </cell>
          <cell r="AN504">
            <v>35.805292638467641</v>
          </cell>
          <cell r="AO504">
            <v>43.746732972609621</v>
          </cell>
          <cell r="AP504">
            <v>49.879573140771619</v>
          </cell>
          <cell r="AQ504">
            <v>58.322304925399813</v>
          </cell>
          <cell r="AR504">
            <v>42.40636650923318</v>
          </cell>
          <cell r="AS504">
            <v>35.820585794450608</v>
          </cell>
          <cell r="AT504">
            <v>36.914349701595434</v>
          </cell>
          <cell r="AU504">
            <v>48.462440315628207</v>
          </cell>
          <cell r="AV504">
            <v>65.36418562712737</v>
          </cell>
          <cell r="AW504">
            <v>47.135670326339493</v>
          </cell>
          <cell r="AX504">
            <v>62.669521126380737</v>
          </cell>
          <cell r="AY504">
            <v>60.143278924424266</v>
          </cell>
          <cell r="AZ504">
            <v>65.95949240882085</v>
          </cell>
          <cell r="BA504">
            <v>58.309058392940216</v>
          </cell>
          <cell r="BB504">
            <v>60.387403233532595</v>
          </cell>
          <cell r="BC504">
            <v>44.997280898532999</v>
          </cell>
          <cell r="BD504">
            <v>30.21095565424195</v>
          </cell>
          <cell r="BE504">
            <v>37.604917511286686</v>
          </cell>
          <cell r="BF504">
            <v>41.23833069646048</v>
          </cell>
          <cell r="BG504">
            <v>36.410938204004047</v>
          </cell>
          <cell r="BH504">
            <v>33.914199486535537</v>
          </cell>
          <cell r="BI504">
            <v>31.702404989168599</v>
          </cell>
          <cell r="BJ504">
            <v>30.20627199714372</v>
          </cell>
          <cell r="BK504">
            <v>31.020369182239087</v>
          </cell>
          <cell r="BL504">
            <v>31.503776126862931</v>
          </cell>
          <cell r="BM504">
            <v>32.866548327637219</v>
          </cell>
          <cell r="BN504">
            <v>32.201987658789164</v>
          </cell>
        </row>
        <row r="505">
          <cell r="AI505">
            <v>5.67</v>
          </cell>
          <cell r="AJ505">
            <v>25.051403688989037</v>
          </cell>
          <cell r="AK505">
            <v>44.484174050451116</v>
          </cell>
          <cell r="AL505">
            <v>51.309006426244437</v>
          </cell>
          <cell r="AM505">
            <v>38.874821926008806</v>
          </cell>
          <cell r="AN505">
            <v>32.087903648064923</v>
          </cell>
          <cell r="AO505">
            <v>46.2423056980887</v>
          </cell>
          <cell r="AP505">
            <v>50.884399939212244</v>
          </cell>
          <cell r="AQ505">
            <v>49.970835451149135</v>
          </cell>
          <cell r="AR505">
            <v>40.030822520409501</v>
          </cell>
          <cell r="AS505">
            <v>33.342573297008272</v>
          </cell>
          <cell r="AT505">
            <v>33.751815893939266</v>
          </cell>
          <cell r="AU505">
            <v>58.095460224460616</v>
          </cell>
          <cell r="AV505">
            <v>62.254812846140005</v>
          </cell>
          <cell r="AW505">
            <v>46.871714543755928</v>
          </cell>
          <cell r="AX505">
            <v>64.778497363557079</v>
          </cell>
          <cell r="AY505">
            <v>71.677910754948357</v>
          </cell>
          <cell r="AZ505">
            <v>63.207319099088089</v>
          </cell>
          <cell r="BA505">
            <v>56.78803088190584</v>
          </cell>
          <cell r="BB505">
            <v>59.132727793364587</v>
          </cell>
          <cell r="BC505">
            <v>48.273593791618275</v>
          </cell>
          <cell r="BD505">
            <v>30.151645306776619</v>
          </cell>
          <cell r="BE505">
            <v>40.926135387698658</v>
          </cell>
          <cell r="BF505">
            <v>35.861514631518858</v>
          </cell>
          <cell r="BG505">
            <v>46.110589559075095</v>
          </cell>
          <cell r="BH505">
            <v>35.107219660825464</v>
          </cell>
          <cell r="BI505">
            <v>42.172576395270063</v>
          </cell>
          <cell r="BJ505">
            <v>31.406250584336366</v>
          </cell>
          <cell r="BK505">
            <v>33.419468468947734</v>
          </cell>
          <cell r="BL505">
            <v>35.958201423088923</v>
          </cell>
          <cell r="BM505">
            <v>31.360322735169831</v>
          </cell>
          <cell r="BN505">
            <v>34.301539574376704</v>
          </cell>
        </row>
        <row r="506">
          <cell r="AI506">
            <v>5.68</v>
          </cell>
          <cell r="AJ506">
            <v>28.36013617188426</v>
          </cell>
          <cell r="AK506">
            <v>45.518278868481566</v>
          </cell>
          <cell r="AL506">
            <v>53.408280524005086</v>
          </cell>
          <cell r="AM506">
            <v>40.475728469944627</v>
          </cell>
          <cell r="AN506">
            <v>41.060237381181125</v>
          </cell>
          <cell r="AO506">
            <v>40.402059974458794</v>
          </cell>
          <cell r="AP506">
            <v>62.577852915882012</v>
          </cell>
          <cell r="AQ506">
            <v>60.362173999162088</v>
          </cell>
          <cell r="AR506">
            <v>40.870565995263732</v>
          </cell>
          <cell r="AS506">
            <v>36.488295402287903</v>
          </cell>
          <cell r="AT506">
            <v>38.259860524103267</v>
          </cell>
          <cell r="AU506">
            <v>59.28660968353973</v>
          </cell>
          <cell r="AV506">
            <v>60.947751728931685</v>
          </cell>
          <cell r="AW506">
            <v>54.55513182357771</v>
          </cell>
          <cell r="AX506">
            <v>63.624312268029044</v>
          </cell>
          <cell r="AY506">
            <v>78.820946800145819</v>
          </cell>
          <cell r="AZ506">
            <v>59.042174251071309</v>
          </cell>
          <cell r="BA506">
            <v>49.351228342468907</v>
          </cell>
          <cell r="BB506">
            <v>53.256192629388337</v>
          </cell>
          <cell r="BC506">
            <v>43.523279574861043</v>
          </cell>
          <cell r="BD506">
            <v>50.063554723690345</v>
          </cell>
          <cell r="BE506">
            <v>41.030092243619912</v>
          </cell>
          <cell r="BF506">
            <v>38.19939512346059</v>
          </cell>
          <cell r="BG506">
            <v>31.785997101711043</v>
          </cell>
          <cell r="BH506">
            <v>28.587773257271305</v>
          </cell>
          <cell r="BI506">
            <v>33.886026186267216</v>
          </cell>
          <cell r="BJ506">
            <v>31.843451970934296</v>
          </cell>
          <cell r="BK506">
            <v>33.240463757182518</v>
          </cell>
          <cell r="BL506">
            <v>30.366726116286028</v>
          </cell>
          <cell r="BM506">
            <v>27.285903720224066</v>
          </cell>
          <cell r="BN506">
            <v>34.471629400879195</v>
          </cell>
        </row>
        <row r="507">
          <cell r="AI507">
            <v>5.74</v>
          </cell>
          <cell r="AJ507">
            <v>27.711194475707167</v>
          </cell>
          <cell r="AK507">
            <v>51.421012210485941</v>
          </cell>
          <cell r="AL507">
            <v>53.141034654882105</v>
          </cell>
          <cell r="AM507">
            <v>34.54634145979972</v>
          </cell>
          <cell r="AN507">
            <v>32.679476432801799</v>
          </cell>
          <cell r="AO507">
            <v>46.207179884571566</v>
          </cell>
          <cell r="AP507">
            <v>60.680853517039139</v>
          </cell>
          <cell r="AQ507">
            <v>45.809355455901951</v>
          </cell>
          <cell r="AR507">
            <v>38.060419018881156</v>
          </cell>
          <cell r="AS507">
            <v>30.466956552054516</v>
          </cell>
          <cell r="AT507">
            <v>35.60522545904076</v>
          </cell>
          <cell r="AU507">
            <v>58.458413046677499</v>
          </cell>
          <cell r="AV507">
            <v>65.654403124436413</v>
          </cell>
          <cell r="AW507">
            <v>50.726754391745146</v>
          </cell>
          <cell r="AX507">
            <v>74.722419632336738</v>
          </cell>
          <cell r="AY507">
            <v>78.653406959098263</v>
          </cell>
          <cell r="AZ507">
            <v>64.153663660253102</v>
          </cell>
          <cell r="BA507">
            <v>51.434410747697449</v>
          </cell>
          <cell r="BB507">
            <v>49.075044040466814</v>
          </cell>
          <cell r="BC507">
            <v>41.381849319332204</v>
          </cell>
          <cell r="BD507">
            <v>35.998307688484374</v>
          </cell>
          <cell r="BE507">
            <v>39.405158756226022</v>
          </cell>
          <cell r="BF507">
            <v>34.08112006091006</v>
          </cell>
          <cell r="BG507">
            <v>33.927710585334822</v>
          </cell>
          <cell r="BH507">
            <v>32.652986982215111</v>
          </cell>
          <cell r="BI507">
            <v>30.479215411026658</v>
          </cell>
          <cell r="BJ507">
            <v>31.810048330006545</v>
          </cell>
          <cell r="BK507">
            <v>32.131988070872609</v>
          </cell>
          <cell r="BL507">
            <v>30.011505878663279</v>
          </cell>
          <cell r="BM507">
            <v>27.171901504578553</v>
          </cell>
          <cell r="BN507">
            <v>35.481746134949695</v>
          </cell>
        </row>
        <row r="508">
          <cell r="AI508">
            <v>5.7</v>
          </cell>
          <cell r="AJ508">
            <v>30.083244107283729</v>
          </cell>
          <cell r="AK508">
            <v>66.812640352277185</v>
          </cell>
          <cell r="AL508">
            <v>45.695589267817972</v>
          </cell>
          <cell r="AM508">
            <v>40.883488172725343</v>
          </cell>
          <cell r="AN508">
            <v>36.095441604687409</v>
          </cell>
          <cell r="AO508">
            <v>46.935949748891055</v>
          </cell>
          <cell r="AP508">
            <v>54.431775680591116</v>
          </cell>
          <cell r="AQ508">
            <v>49.198184284420186</v>
          </cell>
          <cell r="AR508">
            <v>34.37823486908615</v>
          </cell>
          <cell r="AS508">
            <v>31.098545268355299</v>
          </cell>
          <cell r="AT508">
            <v>42.931998413445605</v>
          </cell>
          <cell r="AU508">
            <v>65.042871559704182</v>
          </cell>
          <cell r="AV508">
            <v>56.47532502697797</v>
          </cell>
          <cell r="AW508">
            <v>49.923676204503003</v>
          </cell>
          <cell r="AX508">
            <v>68.598728317926913</v>
          </cell>
          <cell r="AY508">
            <v>76.839954702003311</v>
          </cell>
          <cell r="AZ508">
            <v>62.992812627092817</v>
          </cell>
          <cell r="BA508">
            <v>57.483618003258414</v>
          </cell>
          <cell r="BB508">
            <v>45.816467432917001</v>
          </cell>
          <cell r="BC508">
            <v>34.452033131898723</v>
          </cell>
          <cell r="BD508">
            <v>37.817143939184355</v>
          </cell>
          <cell r="BE508">
            <v>34.046251344119703</v>
          </cell>
          <cell r="BF508">
            <v>31.535261125276531</v>
          </cell>
          <cell r="BG508">
            <v>36.997719675417891</v>
          </cell>
          <cell r="BH508">
            <v>30.084290192356104</v>
          </cell>
          <cell r="BI508">
            <v>28.642270214970203</v>
          </cell>
          <cell r="BJ508">
            <v>30.505349305593871</v>
          </cell>
          <cell r="BK508">
            <v>31.319439662512238</v>
          </cell>
          <cell r="BL508">
            <v>29.10701199983621</v>
          </cell>
          <cell r="BM508">
            <v>25.215509865681934</v>
          </cell>
          <cell r="BN508">
            <v>39.614467875320564</v>
          </cell>
        </row>
        <row r="509">
          <cell r="AI509">
            <v>5.73</v>
          </cell>
          <cell r="AJ509">
            <v>26.800568693400638</v>
          </cell>
          <cell r="AK509">
            <v>52.228575849589859</v>
          </cell>
          <cell r="AL509">
            <v>37.037952330394745</v>
          </cell>
          <cell r="AM509">
            <v>27.891054674745273</v>
          </cell>
          <cell r="AN509">
            <v>33.711304223816725</v>
          </cell>
          <cell r="AO509">
            <v>41.785933996329362</v>
          </cell>
          <cell r="AP509">
            <v>52.503269173943757</v>
          </cell>
          <cell r="AQ509">
            <v>52.607436928634598</v>
          </cell>
          <cell r="AR509">
            <v>32.498327347476724</v>
          </cell>
          <cell r="AS509">
            <v>24.134615530148487</v>
          </cell>
          <cell r="AT509">
            <v>30.612416417124912</v>
          </cell>
          <cell r="AU509">
            <v>58.455109386996497</v>
          </cell>
          <cell r="AV509">
            <v>53.086055945062149</v>
          </cell>
          <cell r="AW509">
            <v>45.673909381424245</v>
          </cell>
          <cell r="AX509">
            <v>57.416080348648087</v>
          </cell>
          <cell r="AY509">
            <v>61.486525972895116</v>
          </cell>
          <cell r="AZ509">
            <v>50.616319137040556</v>
          </cell>
          <cell r="BA509">
            <v>46.494544098966799</v>
          </cell>
          <cell r="BB509">
            <v>33.845987385287252</v>
          </cell>
          <cell r="BC509">
            <v>24.99528321621283</v>
          </cell>
          <cell r="BD509">
            <v>34.2175462020273</v>
          </cell>
          <cell r="BE509">
            <v>32.463189518009074</v>
          </cell>
          <cell r="BF509">
            <v>28.461979766372455</v>
          </cell>
          <cell r="BG509">
            <v>32.119984182387867</v>
          </cell>
          <cell r="BH509">
            <v>24.172719933950894</v>
          </cell>
          <cell r="BI509">
            <v>27.237047334012381</v>
          </cell>
          <cell r="BJ509">
            <v>34.135294095790506</v>
          </cell>
          <cell r="BK509">
            <v>28.604325828235751</v>
          </cell>
          <cell r="BL509">
            <v>22.662153606692474</v>
          </cell>
          <cell r="BM509">
            <v>21.121571603883098</v>
          </cell>
          <cell r="BN509">
            <v>25.52967705998525</v>
          </cell>
        </row>
        <row r="510">
          <cell r="AI510">
            <v>5.8</v>
          </cell>
          <cell r="AJ510">
            <v>29.057688737480934</v>
          </cell>
          <cell r="AK510">
            <v>49.394372300681887</v>
          </cell>
          <cell r="AL510">
            <v>32.229760292271543</v>
          </cell>
          <cell r="AM510">
            <v>27.886331145373529</v>
          </cell>
          <cell r="AN510">
            <v>27.69852617448436</v>
          </cell>
          <cell r="AO510">
            <v>39.967533760772405</v>
          </cell>
          <cell r="AP510">
            <v>60.849916612253502</v>
          </cell>
          <cell r="AQ510">
            <v>44.782575365424172</v>
          </cell>
          <cell r="AR510">
            <v>27.603138635572286</v>
          </cell>
          <cell r="AS510">
            <v>21.53867345579642</v>
          </cell>
          <cell r="AT510">
            <v>32.57222197196549</v>
          </cell>
          <cell r="AU510">
            <v>53.994434208579946</v>
          </cell>
          <cell r="AV510">
            <v>51.55192714133694</v>
          </cell>
          <cell r="AW510">
            <v>48.606573285514074</v>
          </cell>
          <cell r="AX510">
            <v>54.266171851347131</v>
          </cell>
          <cell r="AY510">
            <v>72.399775454896869</v>
          </cell>
          <cell r="AZ510">
            <v>40.907493739322923</v>
          </cell>
          <cell r="BA510">
            <v>47.528012431132325</v>
          </cell>
          <cell r="BB510">
            <v>30.007451955707758</v>
          </cell>
          <cell r="BC510">
            <v>22.335793619402409</v>
          </cell>
          <cell r="BD510">
            <v>32.927946709252176</v>
          </cell>
          <cell r="BE510">
            <v>26.139514460101729</v>
          </cell>
          <cell r="BF510">
            <v>28.21435573438994</v>
          </cell>
          <cell r="BG510">
            <v>27.508831727625893</v>
          </cell>
          <cell r="BH510">
            <v>27.218406842492197</v>
          </cell>
          <cell r="BI510">
            <v>26.709859785342726</v>
          </cell>
          <cell r="BJ510">
            <v>31.567403548011811</v>
          </cell>
          <cell r="BK510">
            <v>28.253136507798057</v>
          </cell>
          <cell r="BL510">
            <v>21.155105814118468</v>
          </cell>
          <cell r="BM510">
            <v>19.031919188272688</v>
          </cell>
          <cell r="BN510">
            <v>20.558083884119213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G40" t="str">
            <v>22/23</v>
          </cell>
          <cell r="H40" t="str">
            <v>23/24</v>
          </cell>
          <cell r="K40" t="str">
            <v>24/25</v>
          </cell>
        </row>
        <row r="41">
          <cell r="H41" t="str">
            <v>USDA</v>
          </cell>
          <cell r="I41" t="str">
            <v>Change from January</v>
          </cell>
          <cell r="J41" t="str">
            <v>Fastmarkets</v>
          </cell>
          <cell r="K41" t="str">
            <v>USDA</v>
          </cell>
          <cell r="L41" t="str">
            <v>Change from January</v>
          </cell>
          <cell r="M41" t="str">
            <v>Fastmarkets</v>
          </cell>
        </row>
        <row r="43">
          <cell r="B43" t="str">
            <v>Beginning Stocks (October 1)</v>
          </cell>
          <cell r="G43">
            <v>169.55</v>
          </cell>
          <cell r="H43">
            <v>158.73263999999998</v>
          </cell>
          <cell r="I43"/>
          <cell r="J43">
            <v>163.07599999999999</v>
          </cell>
          <cell r="K43">
            <v>121.25409999999999</v>
          </cell>
          <cell r="L43">
            <v>0</v>
          </cell>
          <cell r="M43">
            <v>121.084</v>
          </cell>
        </row>
        <row r="44">
          <cell r="B44" t="str">
            <v>Production</v>
          </cell>
          <cell r="G44">
            <v>1792.4069999999997</v>
          </cell>
          <cell r="H44">
            <v>1922.4286399999999</v>
          </cell>
          <cell r="I44"/>
          <cell r="J44">
            <v>1916.02</v>
          </cell>
          <cell r="K44">
            <v>1948.8840799999998</v>
          </cell>
          <cell r="L44">
            <v>-24.250819999999976</v>
          </cell>
          <cell r="M44">
            <v>2191.8356086001595</v>
          </cell>
        </row>
        <row r="45">
          <cell r="B45" t="str">
            <v>Imports</v>
          </cell>
          <cell r="G45">
            <v>6044.5730748059996</v>
          </cell>
          <cell r="H45">
            <v>7250.995179999999</v>
          </cell>
          <cell r="I45"/>
          <cell r="J45">
            <v>7128.0472529999997</v>
          </cell>
          <cell r="K45">
            <v>8068.9091999999991</v>
          </cell>
          <cell r="L45">
            <v>0</v>
          </cell>
          <cell r="M45">
            <v>7115</v>
          </cell>
        </row>
        <row r="46">
          <cell r="B46" t="str">
            <v xml:space="preserve">    Total Supply</v>
          </cell>
          <cell r="G46">
            <v>8006.530074805999</v>
          </cell>
          <cell r="H46">
            <v>9332.1564599999983</v>
          </cell>
          <cell r="I46"/>
          <cell r="J46">
            <v>9207.1432530000002</v>
          </cell>
          <cell r="K46">
            <v>10139.04738</v>
          </cell>
          <cell r="L46">
            <v>-24.250819999999294</v>
          </cell>
          <cell r="M46">
            <v>9427.9196086001593</v>
          </cell>
        </row>
        <row r="47">
          <cell r="B47" t="str">
            <v>Domestic Use</v>
          </cell>
          <cell r="G47">
            <v>7628.4835882079988</v>
          </cell>
          <cell r="H47">
            <v>9067.6020599999974</v>
          </cell>
          <cell r="I47"/>
          <cell r="J47">
            <v>8925.9288250317986</v>
          </cell>
          <cell r="K47">
            <v>9887.7206999999999</v>
          </cell>
          <cell r="L47">
            <v>0</v>
          </cell>
          <cell r="M47">
            <v>8900.3662922804233</v>
          </cell>
        </row>
        <row r="48">
          <cell r="B48" t="str">
            <v xml:space="preserve">    Biomass-Based Diesel Usage</v>
          </cell>
          <cell r="G48">
            <v>2905.0777448701879</v>
          </cell>
          <cell r="H48">
            <v>4336.4875399999992</v>
          </cell>
          <cell r="I48"/>
          <cell r="J48">
            <v>4311.2265679496122</v>
          </cell>
          <cell r="K48">
            <v>5000.0781599999991</v>
          </cell>
          <cell r="L48">
            <v>0</v>
          </cell>
          <cell r="M48">
            <v>4800.3662922804233</v>
          </cell>
        </row>
        <row r="49">
          <cell r="B49" t="str">
            <v xml:space="preserve">    Non-Biodiesel Usage</v>
          </cell>
          <cell r="G49">
            <v>4723.4058433378104</v>
          </cell>
          <cell r="H49">
            <v>4731.1145199999992</v>
          </cell>
          <cell r="I49"/>
          <cell r="J49">
            <v>4614.7022570821864</v>
          </cell>
          <cell r="K49">
            <v>4876.6194399999995</v>
          </cell>
          <cell r="L49">
            <v>-11.023100000000341</v>
          </cell>
          <cell r="M49">
            <v>4100</v>
          </cell>
        </row>
        <row r="50">
          <cell r="B50" t="str">
            <v>Exports</v>
          </cell>
          <cell r="G50">
            <v>214.97048659799998</v>
          </cell>
          <cell r="H50">
            <v>143.30029999999999</v>
          </cell>
          <cell r="I50"/>
          <cell r="J50">
            <v>160.13042796819997</v>
          </cell>
          <cell r="K50">
            <v>138.89105999999998</v>
          </cell>
          <cell r="L50">
            <v>-15.432340000000011</v>
          </cell>
          <cell r="M50">
            <v>114</v>
          </cell>
        </row>
        <row r="51">
          <cell r="B51" t="str">
            <v xml:space="preserve">    Total Use</v>
          </cell>
          <cell r="G51">
            <v>7843.454074805999</v>
          </cell>
          <cell r="H51">
            <v>9210.9023599999982</v>
          </cell>
          <cell r="I51"/>
          <cell r="J51">
            <v>9086.0592529999994</v>
          </cell>
          <cell r="K51">
            <v>10139.04738</v>
          </cell>
          <cell r="L51">
            <v>-24.250819999999294</v>
          </cell>
          <cell r="M51">
            <v>9014.3662922804233</v>
          </cell>
        </row>
        <row r="52">
          <cell r="B52" t="str">
            <v>Ending Stocks (September 30)</v>
          </cell>
          <cell r="G52">
            <v>163.07599999999999</v>
          </cell>
          <cell r="H52">
            <v>121.25409999999999</v>
          </cell>
          <cell r="I52"/>
          <cell r="J52">
            <v>121.084</v>
          </cell>
          <cell r="K52">
            <v>123.45871999999999</v>
          </cell>
          <cell r="L52">
            <v>2.2046199999999914</v>
          </cell>
          <cell r="M52">
            <v>413.55331631973604</v>
          </cell>
        </row>
        <row r="53">
          <cell r="B53" t="str">
            <v xml:space="preserve">USDA Midwest, The Jacobsen Los Angeles        (RBD, ₵/lb) </v>
          </cell>
          <cell r="G53">
            <v>79</v>
          </cell>
          <cell r="H53">
            <v>73.14</v>
          </cell>
          <cell r="I53"/>
          <cell r="J53">
            <v>59</v>
          </cell>
          <cell r="K53"/>
          <cell r="L53"/>
          <cell r="M53">
            <v>58</v>
          </cell>
        </row>
      </sheetData>
      <sheetData sheetId="22">
        <row r="448">
          <cell r="BO448">
            <v>53.876175319263432</v>
          </cell>
          <cell r="CK448">
            <v>9.5</v>
          </cell>
        </row>
        <row r="449">
          <cell r="BO449">
            <v>55.250594428696303</v>
          </cell>
          <cell r="CK449">
            <v>10.75</v>
          </cell>
        </row>
        <row r="450">
          <cell r="BO450">
            <v>55.205570090396343</v>
          </cell>
          <cell r="CK450">
            <v>9.25</v>
          </cell>
        </row>
        <row r="451">
          <cell r="BO451">
            <v>55.540295806561147</v>
          </cell>
          <cell r="CK451">
            <v>10.25</v>
          </cell>
        </row>
        <row r="452">
          <cell r="BO452">
            <v>54.665131007160085</v>
          </cell>
          <cell r="CK452">
            <v>12.25</v>
          </cell>
        </row>
        <row r="453">
          <cell r="BO453">
            <v>54.592660487272731</v>
          </cell>
          <cell r="CK453">
            <v>13.5</v>
          </cell>
        </row>
        <row r="454">
          <cell r="BN454">
            <v>57.829900447903142</v>
          </cell>
          <cell r="CK454">
            <v>14.75</v>
          </cell>
        </row>
        <row r="455">
          <cell r="BN455">
            <v>57.479706844274396</v>
          </cell>
          <cell r="CK455">
            <v>16</v>
          </cell>
        </row>
        <row r="456">
          <cell r="BN456">
            <v>58.021444074428331</v>
          </cell>
          <cell r="CK456">
            <v>14.75</v>
          </cell>
        </row>
        <row r="457">
          <cell r="BN457">
            <v>58.40513083486654</v>
          </cell>
          <cell r="CK457">
            <v>11.75</v>
          </cell>
        </row>
        <row r="458">
          <cell r="BN458">
            <v>56.404825323192064</v>
          </cell>
          <cell r="CK458">
            <v>11.75</v>
          </cell>
        </row>
        <row r="459">
          <cell r="BN459">
            <v>54.949331125881649</v>
          </cell>
          <cell r="CK459">
            <v>10.25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98">
          <cell r="AC198">
            <v>30.931818181818183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13">
          <cell r="AF213">
            <v>58.904761904761905</v>
          </cell>
        </row>
      </sheetData>
      <sheetData sheetId="43"/>
      <sheetData sheetId="44"/>
      <sheetData sheetId="45"/>
      <sheetData sheetId="46"/>
      <sheetData sheetId="47">
        <row r="182">
          <cell r="AH182">
            <v>33.5</v>
          </cell>
        </row>
      </sheetData>
      <sheetData sheetId="48">
        <row r="182">
          <cell r="AH182">
            <v>46</v>
          </cell>
        </row>
      </sheetData>
      <sheetData sheetId="49">
        <row r="216">
          <cell r="AF216">
            <v>55.909090909090907</v>
          </cell>
        </row>
      </sheetData>
      <sheetData sheetId="50"/>
      <sheetData sheetId="51"/>
      <sheetData sheetId="52"/>
      <sheetData sheetId="53"/>
      <sheetData sheetId="54">
        <row r="321">
          <cell r="AF321">
            <v>49.329500000000003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QCKDDXO2TDJGJB5UMPTBOBKD7">
      <xxl21:absoluteUrl r:id="rId2"/>
    </xxl21:alternateUrls>
    <sheetNames>
      <sheetName val="World Rapeseed"/>
      <sheetName val="Chart2"/>
      <sheetName val="Chart3"/>
      <sheetName val="Chart4"/>
      <sheetName val="Chart5"/>
      <sheetName val="Chart6"/>
      <sheetName val="Canada Rapeseed USDA Comp"/>
      <sheetName val="Chart7"/>
      <sheetName val="Chart8"/>
      <sheetName val="Chart9"/>
      <sheetName val="Chart10"/>
      <sheetName val="Chart11"/>
      <sheetName val="Chart12"/>
      <sheetName val="Chart13"/>
      <sheetName val="Canada Canola Crush chart"/>
      <sheetName val="Canada Rapeseed"/>
      <sheetName val="Canada Canola Oil CY"/>
      <sheetName val="Australia Rapeseed"/>
      <sheetName val="China Rapeseed"/>
      <sheetName val="Chart14"/>
      <sheetName val="Chart15"/>
      <sheetName val="EU Rapeseed"/>
      <sheetName val="Ukraine Rapeseed"/>
      <sheetName val="Russia Rapeseed"/>
      <sheetName val="Japan Rapeseed"/>
      <sheetName val="India Rapeseed"/>
      <sheetName val="Mexico Rapeseed"/>
      <sheetName val="Chart1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4"/>
      <sheetName val="Chart25"/>
      <sheetName val="Chart26"/>
      <sheetName val="Chart27"/>
      <sheetName val="Chart28"/>
      <sheetName val="wldrapbal"/>
      <sheetName val="Canada Seed Top Dest"/>
      <sheetName val="Canada Top Canola Oil Dest"/>
      <sheetName val="Canada Oil Exports by Region"/>
      <sheetName val="Canada Canola Planted Area"/>
      <sheetName val="Canada Canola Crush"/>
      <sheetName val="Canada Crush v Exports"/>
      <sheetName val="Canada Canola Yields v Prod"/>
      <sheetName val="Canada Monthly Canola Crush"/>
      <sheetName val="Canada Canola Seed Carryout"/>
      <sheetName val="Canadian Oil Yield Chart"/>
      <sheetName val="EU-China Rapeoil Use"/>
      <sheetName val="EU Planted Are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H4" t="str">
            <v>23/24</v>
          </cell>
        </row>
        <row r="5">
          <cell r="J5" t="str">
            <v>Fastmarkets</v>
          </cell>
        </row>
        <row r="7">
          <cell r="G7">
            <v>8600</v>
          </cell>
          <cell r="H7">
            <v>8857</v>
          </cell>
          <cell r="I7">
            <v>0</v>
          </cell>
          <cell r="J7">
            <v>8854.7000000000007</v>
          </cell>
          <cell r="K7">
            <v>8850</v>
          </cell>
          <cell r="L7">
            <v>0</v>
          </cell>
          <cell r="M7">
            <v>8826.5321369651956</v>
          </cell>
        </row>
        <row r="8">
          <cell r="G8">
            <v>1325</v>
          </cell>
          <cell r="H8">
            <v>1858</v>
          </cell>
          <cell r="I8">
            <v>0</v>
          </cell>
          <cell r="J8">
            <v>1326</v>
          </cell>
          <cell r="K8">
            <v>2748</v>
          </cell>
          <cell r="L8">
            <v>0</v>
          </cell>
          <cell r="M8">
            <v>2000</v>
          </cell>
        </row>
        <row r="9">
          <cell r="G9">
            <v>18694.768</v>
          </cell>
          <cell r="H9">
            <v>19192</v>
          </cell>
          <cell r="I9">
            <v>0</v>
          </cell>
          <cell r="J9">
            <v>18328.233</v>
          </cell>
          <cell r="K9">
            <v>18800</v>
          </cell>
          <cell r="L9">
            <v>0</v>
          </cell>
          <cell r="M9">
            <v>20900</v>
          </cell>
        </row>
        <row r="10">
          <cell r="G10">
            <v>151.357</v>
          </cell>
          <cell r="H10">
            <v>276</v>
          </cell>
          <cell r="I10">
            <v>0</v>
          </cell>
          <cell r="J10">
            <v>275</v>
          </cell>
          <cell r="K10">
            <v>100</v>
          </cell>
          <cell r="L10">
            <v>0</v>
          </cell>
          <cell r="M10">
            <v>150</v>
          </cell>
        </row>
        <row r="11">
          <cell r="G11">
            <v>20171.125</v>
          </cell>
          <cell r="H11">
            <v>21326</v>
          </cell>
          <cell r="I11">
            <v>0</v>
          </cell>
          <cell r="J11">
            <v>19929.233</v>
          </cell>
          <cell r="K11">
            <v>21648</v>
          </cell>
          <cell r="L11">
            <v>0</v>
          </cell>
          <cell r="M11">
            <v>23050</v>
          </cell>
        </row>
        <row r="12">
          <cell r="G12">
            <v>9961.4290000000001</v>
          </cell>
          <cell r="H12">
            <v>11033</v>
          </cell>
          <cell r="I12">
            <v>0</v>
          </cell>
          <cell r="J12">
            <v>11075</v>
          </cell>
          <cell r="K12">
            <v>12000</v>
          </cell>
          <cell r="L12">
            <v>0</v>
          </cell>
          <cell r="M12">
            <v>12750</v>
          </cell>
        </row>
        <row r="13">
          <cell r="G13">
            <v>7950.6179999999995</v>
          </cell>
          <cell r="H13">
            <v>6747</v>
          </cell>
          <cell r="I13">
            <v>0</v>
          </cell>
          <cell r="J13">
            <v>6000</v>
          </cell>
          <cell r="K13">
            <v>7250</v>
          </cell>
          <cell r="L13">
            <v>0</v>
          </cell>
          <cell r="M13">
            <v>6750</v>
          </cell>
        </row>
        <row r="14">
          <cell r="G14">
            <v>64</v>
          </cell>
          <cell r="H14">
            <v>64</v>
          </cell>
          <cell r="I14">
            <v>0</v>
          </cell>
          <cell r="J14">
            <v>64</v>
          </cell>
          <cell r="K14">
            <v>65</v>
          </cell>
          <cell r="L14">
            <v>0</v>
          </cell>
          <cell r="M14">
            <v>64</v>
          </cell>
        </row>
        <row r="15">
          <cell r="G15">
            <v>869.07800000000134</v>
          </cell>
          <cell r="H15">
            <v>798</v>
          </cell>
          <cell r="I15">
            <v>0</v>
          </cell>
          <cell r="J15">
            <v>790.23300000000017</v>
          </cell>
          <cell r="K15">
            <v>692</v>
          </cell>
          <cell r="L15">
            <v>0</v>
          </cell>
          <cell r="M15">
            <v>986</v>
          </cell>
        </row>
        <row r="16">
          <cell r="G16">
            <v>18845.125</v>
          </cell>
          <cell r="H16">
            <v>18642</v>
          </cell>
          <cell r="I16">
            <v>0</v>
          </cell>
          <cell r="J16">
            <v>17929.233</v>
          </cell>
          <cell r="K16">
            <v>20007</v>
          </cell>
          <cell r="L16">
            <v>0</v>
          </cell>
          <cell r="M16">
            <v>20550</v>
          </cell>
        </row>
        <row r="17">
          <cell r="G17">
            <v>1326</v>
          </cell>
          <cell r="H17">
            <v>2684</v>
          </cell>
          <cell r="I17">
            <v>0</v>
          </cell>
          <cell r="J17">
            <v>2000</v>
          </cell>
          <cell r="K17">
            <v>1641</v>
          </cell>
          <cell r="L17">
            <v>0</v>
          </cell>
          <cell r="M17">
            <v>2500</v>
          </cell>
        </row>
        <row r="18">
          <cell r="G18">
            <v>7.0363024920237993E-2</v>
          </cell>
          <cell r="H18">
            <v>0.14397596824375067</v>
          </cell>
          <cell r="I18">
            <v>0</v>
          </cell>
          <cell r="J18">
            <v>0.1115496686333431</v>
          </cell>
          <cell r="K18">
            <v>8.2021292547608343E-2</v>
          </cell>
          <cell r="L18">
            <v>0</v>
          </cell>
          <cell r="M18">
            <v>0.12165450121654502</v>
          </cell>
        </row>
        <row r="37">
          <cell r="G37">
            <v>73.680000000000007</v>
          </cell>
          <cell r="H37">
            <v>629</v>
          </cell>
          <cell r="I37">
            <v>0</v>
          </cell>
          <cell r="J37">
            <v>84.98</v>
          </cell>
          <cell r="K37">
            <v>685</v>
          </cell>
          <cell r="L37">
            <v>0</v>
          </cell>
          <cell r="M37">
            <v>75</v>
          </cell>
        </row>
        <row r="38">
          <cell r="G38">
            <v>4173.6880000000001</v>
          </cell>
          <cell r="H38">
            <v>4706</v>
          </cell>
          <cell r="I38">
            <v>0</v>
          </cell>
          <cell r="J38">
            <v>4692.4959467498929</v>
          </cell>
          <cell r="K38">
            <v>5092</v>
          </cell>
          <cell r="L38">
            <v>0</v>
          </cell>
          <cell r="M38">
            <v>5659.4224423916858</v>
          </cell>
        </row>
        <row r="39">
          <cell r="G39">
            <v>24.124000000000002</v>
          </cell>
          <cell r="H39">
            <v>19</v>
          </cell>
          <cell r="I39">
            <v>0</v>
          </cell>
          <cell r="J39">
            <v>15</v>
          </cell>
          <cell r="K39">
            <v>20</v>
          </cell>
          <cell r="L39">
            <v>0</v>
          </cell>
          <cell r="M39">
            <v>25</v>
          </cell>
        </row>
        <row r="40">
          <cell r="G40">
            <v>4271.4920000000002</v>
          </cell>
          <cell r="H40">
            <v>5354</v>
          </cell>
          <cell r="I40">
            <v>0</v>
          </cell>
          <cell r="J40">
            <v>4792.4759467498925</v>
          </cell>
          <cell r="K40">
            <v>5797</v>
          </cell>
          <cell r="L40">
            <v>0</v>
          </cell>
          <cell r="M40">
            <v>5759.4224423916858</v>
          </cell>
        </row>
        <row r="41">
          <cell r="G41">
            <v>1254.8990000000008</v>
          </cell>
          <cell r="H41">
            <v>1250</v>
          </cell>
          <cell r="I41">
            <v>0</v>
          </cell>
          <cell r="J41">
            <v>1432.4759467498925</v>
          </cell>
          <cell r="K41">
            <v>1230</v>
          </cell>
          <cell r="L41">
            <v>0</v>
          </cell>
          <cell r="M41">
            <v>1809.4224423916858</v>
          </cell>
        </row>
        <row r="42">
          <cell r="G42">
            <v>2931.6129999999998</v>
          </cell>
          <cell r="H42">
            <v>3419</v>
          </cell>
          <cell r="I42">
            <v>0</v>
          </cell>
          <cell r="J42">
            <v>3285</v>
          </cell>
          <cell r="K42">
            <v>4100</v>
          </cell>
          <cell r="L42">
            <v>0</v>
          </cell>
          <cell r="M42">
            <v>3875</v>
          </cell>
        </row>
        <row r="43">
          <cell r="G43">
            <v>4186.5120000000006</v>
          </cell>
          <cell r="H43">
            <v>4669</v>
          </cell>
          <cell r="I43">
            <v>0</v>
          </cell>
          <cell r="J43">
            <v>4717.4759467498925</v>
          </cell>
          <cell r="K43">
            <v>5330</v>
          </cell>
          <cell r="L43">
            <v>0</v>
          </cell>
          <cell r="M43">
            <v>5684.4224423916858</v>
          </cell>
        </row>
        <row r="44">
          <cell r="G44">
            <v>84.979999999999563</v>
          </cell>
          <cell r="H44">
            <v>685</v>
          </cell>
          <cell r="I44">
            <v>0</v>
          </cell>
          <cell r="J44">
            <v>75</v>
          </cell>
          <cell r="K44">
            <v>467</v>
          </cell>
          <cell r="L44">
            <v>0</v>
          </cell>
          <cell r="M44">
            <v>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ure Planted Area"/>
      <sheetName val="Oil Yield"/>
      <sheetName val="Malaysia PO Extraction Rates"/>
      <sheetName val="Malaysian Palm USDA Comp"/>
      <sheetName val="SE Asia Palm Complex"/>
      <sheetName val="Malaysian BD Exports"/>
      <sheetName val="Malaysian PO Imports"/>
      <sheetName val="Indo PO Exports to Malaysia"/>
      <sheetName val="Malaysian Export Chart"/>
      <sheetName val="Malaysian Stocks Chart"/>
      <sheetName val="Malaysian Production Chart"/>
      <sheetName val="Malaysia Domestic Usage Chart"/>
      <sheetName val="Chart2"/>
      <sheetName val="Malaysia Palm Complex"/>
      <sheetName val="Malaysian Cargo Surveys"/>
      <sheetName val="Indonesia Domestic Use chart"/>
      <sheetName val="Indonesia Palm Complex"/>
      <sheetName val="Philippines Copra Complex"/>
      <sheetName val="Indonesia Copra Complex"/>
      <sheetName val="Indonesia Monthly Dom Use"/>
      <sheetName val="SE Asia Monthly Production"/>
      <sheetName val="Indonesia Monthly Production"/>
      <sheetName val="SE Asia Monthly Exports"/>
      <sheetName val="Indonesia Monthly Exports"/>
      <sheetName val="Indonesia Exports by Region"/>
      <sheetName val="SE Asian PO Exports by Country"/>
      <sheetName val="Indonesia Mth Exp to W Hemi"/>
      <sheetName val="Malaysia Monthly Production"/>
      <sheetName val="Malaysia Monthly Exports"/>
      <sheetName val="Malaysia Monthly Stocks"/>
      <sheetName val="Malaysia PO Monthly Bal"/>
      <sheetName val="Malaysia PKO Monthly Bal"/>
      <sheetName val="MPOB Report Breakdown"/>
      <sheetName val="Chart3"/>
      <sheetName val="SBO-PO spread"/>
      <sheetName val="Chart1"/>
    </sheetNames>
    <sheetDataSet>
      <sheetData sheetId="0" refreshError="1"/>
      <sheetData sheetId="1" refreshError="1"/>
      <sheetData sheetId="2" refreshError="1"/>
      <sheetData sheetId="3">
        <row r="3">
          <cell r="G3" t="str">
            <v>23/24</v>
          </cell>
        </row>
        <row r="4">
          <cell r="G4" t="str">
            <v>Fastmarkets</v>
          </cell>
        </row>
        <row r="6">
          <cell r="G6">
            <v>2318</v>
          </cell>
          <cell r="H6">
            <v>2312</v>
          </cell>
          <cell r="I6">
            <v>0</v>
          </cell>
          <cell r="J6">
            <v>2314</v>
          </cell>
          <cell r="K6">
            <v>2014</v>
          </cell>
          <cell r="L6">
            <v>0</v>
          </cell>
          <cell r="M6"/>
        </row>
        <row r="7">
          <cell r="G7">
            <v>18387</v>
          </cell>
          <cell r="H7">
            <v>19710</v>
          </cell>
          <cell r="I7">
            <v>0</v>
          </cell>
          <cell r="J7">
            <v>19000</v>
          </cell>
          <cell r="K7">
            <v>19200</v>
          </cell>
          <cell r="L7">
            <v>-100</v>
          </cell>
          <cell r="M7"/>
        </row>
        <row r="8">
          <cell r="G8">
            <v>935</v>
          </cell>
          <cell r="H8">
            <v>189</v>
          </cell>
          <cell r="I8">
            <v>0</v>
          </cell>
          <cell r="J8">
            <v>1400</v>
          </cell>
          <cell r="K8">
            <v>250</v>
          </cell>
          <cell r="L8">
            <v>0</v>
          </cell>
          <cell r="M8"/>
        </row>
        <row r="9">
          <cell r="G9">
            <v>21640</v>
          </cell>
          <cell r="H9">
            <v>22211</v>
          </cell>
          <cell r="I9">
            <v>0</v>
          </cell>
          <cell r="J9">
            <v>22714</v>
          </cell>
          <cell r="K9">
            <v>21464</v>
          </cell>
          <cell r="L9">
            <v>-100</v>
          </cell>
          <cell r="M9"/>
        </row>
        <row r="10">
          <cell r="G10">
            <v>3971</v>
          </cell>
          <cell r="H10">
            <v>3667</v>
          </cell>
          <cell r="I10">
            <v>0</v>
          </cell>
          <cell r="J10">
            <v>3970</v>
          </cell>
          <cell r="K10">
            <v>3715</v>
          </cell>
          <cell r="L10">
            <v>-255</v>
          </cell>
          <cell r="M10"/>
        </row>
        <row r="11">
          <cell r="G11">
            <v>3000</v>
          </cell>
          <cell r="H11">
            <v>2802</v>
          </cell>
          <cell r="I11">
            <v>0</v>
          </cell>
          <cell r="J11">
            <v>3000</v>
          </cell>
          <cell r="K11">
            <v>2750</v>
          </cell>
          <cell r="L11">
            <v>-250</v>
          </cell>
          <cell r="M11"/>
        </row>
        <row r="12">
          <cell r="G12">
            <v>15355</v>
          </cell>
          <cell r="H12">
            <v>16530</v>
          </cell>
          <cell r="I12">
            <v>0</v>
          </cell>
          <cell r="J12">
            <v>16400</v>
          </cell>
          <cell r="K12">
            <v>15800</v>
          </cell>
          <cell r="L12">
            <v>-100</v>
          </cell>
          <cell r="M12"/>
        </row>
        <row r="13">
          <cell r="G13">
            <v>19326</v>
          </cell>
          <cell r="H13">
            <v>20197</v>
          </cell>
          <cell r="I13">
            <v>0</v>
          </cell>
          <cell r="J13">
            <v>20370</v>
          </cell>
          <cell r="K13">
            <v>19515</v>
          </cell>
          <cell r="L13">
            <v>0</v>
          </cell>
          <cell r="M13"/>
        </row>
        <row r="14">
          <cell r="G14">
            <v>2314</v>
          </cell>
          <cell r="H14">
            <v>2014</v>
          </cell>
          <cell r="I14">
            <v>0</v>
          </cell>
          <cell r="J14">
            <v>2344</v>
          </cell>
          <cell r="K14">
            <v>1949</v>
          </cell>
          <cell r="L14">
            <v>-295</v>
          </cell>
          <cell r="M14"/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2">
          <cell r="BK182" t="str">
            <v xml:space="preserve">21/22  </v>
          </cell>
        </row>
      </sheetData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90">
          <cell r="C90">
            <v>1460.663</v>
          </cell>
          <cell r="D90">
            <v>1506.2660000000001</v>
          </cell>
          <cell r="E90">
            <v>1291.2070000000001</v>
          </cell>
          <cell r="F90">
            <v>1222.067</v>
          </cell>
          <cell r="G90">
            <v>1114.5930000000001</v>
          </cell>
          <cell r="H90">
            <v>1235.261</v>
          </cell>
          <cell r="I90">
            <v>1349.739</v>
          </cell>
          <cell r="J90">
            <v>1411.3140000000001</v>
          </cell>
          <cell r="K90">
            <v>1585.039</v>
          </cell>
          <cell r="L90">
            <v>1735.8910000000001</v>
          </cell>
          <cell r="M90">
            <v>1693.11</v>
          </cell>
          <cell r="N90">
            <v>1546.1959999999999</v>
          </cell>
        </row>
        <row r="91">
          <cell r="C91">
            <v>1843.6020000000001</v>
          </cell>
          <cell r="D91">
            <v>1665.5909999999999</v>
          </cell>
          <cell r="E91">
            <v>1590.8630000000001</v>
          </cell>
          <cell r="F91">
            <v>1391.3589999999999</v>
          </cell>
          <cell r="G91">
            <v>1223.511</v>
          </cell>
          <cell r="H91">
            <v>1329.5360000000001</v>
          </cell>
          <cell r="I91">
            <v>1333.8140000000001</v>
          </cell>
          <cell r="J91">
            <v>1412.413</v>
          </cell>
          <cell r="K91">
            <v>1547.2049999999999</v>
          </cell>
          <cell r="L91">
            <v>1291.5809999999999</v>
          </cell>
          <cell r="M91">
            <v>1443.309</v>
          </cell>
          <cell r="N91">
            <v>1513.8440000000001</v>
          </cell>
        </row>
        <row r="92">
          <cell r="C92">
            <v>1777.175</v>
          </cell>
          <cell r="D92">
            <v>1661.548</v>
          </cell>
          <cell r="E92">
            <v>1650.192</v>
          </cell>
          <cell r="F92">
            <v>1635.84</v>
          </cell>
          <cell r="G92">
            <v>1398.7270000000001</v>
          </cell>
          <cell r="H92">
            <v>1536.8130000000001</v>
          </cell>
          <cell r="I92">
            <v>1455.7550000000001</v>
          </cell>
          <cell r="J92">
            <v>1407.8689999999999</v>
          </cell>
          <cell r="K92">
            <v>1410.9359999999999</v>
          </cell>
          <cell r="L92">
            <v>1453.4469999999999</v>
          </cell>
          <cell r="M92">
            <v>1526.145</v>
          </cell>
          <cell r="N92">
            <v>1609.2059999999999</v>
          </cell>
        </row>
        <row r="93">
          <cell r="C93">
            <v>1664.319</v>
          </cell>
          <cell r="D93">
            <v>1528</v>
          </cell>
          <cell r="E93">
            <v>1519.7650000000001</v>
          </cell>
          <cell r="F93">
            <v>1367.962</v>
          </cell>
          <cell r="G93">
            <v>1351.441</v>
          </cell>
          <cell r="H93">
            <v>1245.7660000000001</v>
          </cell>
          <cell r="I93">
            <v>1268.6479999999999</v>
          </cell>
          <cell r="J93">
            <v>1406.9580000000001</v>
          </cell>
          <cell r="K93">
            <v>1481.779</v>
          </cell>
          <cell r="L93">
            <v>1446.06</v>
          </cell>
          <cell r="M93">
            <v>1437.546</v>
          </cell>
          <cell r="N93">
            <v>1628.1959999999999</v>
          </cell>
        </row>
        <row r="94">
          <cell r="C94">
            <v>1611.4590000000001</v>
          </cell>
          <cell r="D94">
            <v>1513.1030000000001</v>
          </cell>
          <cell r="E94">
            <v>1519.6220000000001</v>
          </cell>
          <cell r="F94">
            <v>1191.7760000000001</v>
          </cell>
          <cell r="G94">
            <v>972.64599999999996</v>
          </cell>
          <cell r="H94">
            <v>1182.2090000000001</v>
          </cell>
          <cell r="I94">
            <v>1177.8219999999999</v>
          </cell>
          <cell r="J94">
            <v>1625.5920000000001</v>
          </cell>
          <cell r="K94">
            <v>1697.1690000000001</v>
          </cell>
          <cell r="L94">
            <v>1609.902</v>
          </cell>
          <cell r="M94">
            <v>1608.232</v>
          </cell>
          <cell r="N94">
            <v>1680.6489999999999</v>
          </cell>
        </row>
        <row r="95">
          <cell r="C95">
            <v>1711.8910000000001</v>
          </cell>
          <cell r="D95">
            <v>1499.5170000000001</v>
          </cell>
          <cell r="E95">
            <v>1484.211</v>
          </cell>
          <cell r="F95">
            <v>1279.1869999999999</v>
          </cell>
          <cell r="G95">
            <v>1088.864</v>
          </cell>
          <cell r="H95">
            <v>1335.934</v>
          </cell>
          <cell r="I95">
            <v>1172.915</v>
          </cell>
          <cell r="J95">
            <v>1282.453</v>
          </cell>
          <cell r="K95">
            <v>1141.8230000000001</v>
          </cell>
          <cell r="L95">
            <v>1384.72</v>
          </cell>
          <cell r="M95">
            <v>1823.6120000000001</v>
          </cell>
          <cell r="N95">
            <v>1451.144</v>
          </cell>
        </row>
        <row r="96">
          <cell r="C96">
            <v>1431.1289999999999</v>
          </cell>
          <cell r="D96">
            <v>1370.4110000000001</v>
          </cell>
          <cell r="E96">
            <v>1267.962</v>
          </cell>
          <cell r="F96">
            <v>1287.8</v>
          </cell>
          <cell r="G96">
            <v>1107.768</v>
          </cell>
          <cell r="H96">
            <v>1265.8</v>
          </cell>
          <cell r="I96">
            <v>1284.1199999999999</v>
          </cell>
          <cell r="J96">
            <v>1506.145</v>
          </cell>
          <cell r="K96">
            <v>1379.8879999999999</v>
          </cell>
          <cell r="L96">
            <v>1399.107</v>
          </cell>
          <cell r="M96">
            <v>1488.211</v>
          </cell>
          <cell r="N96">
            <v>1519.2840000000001</v>
          </cell>
        </row>
        <row r="97">
          <cell r="C97">
            <v>1538.05</v>
          </cell>
          <cell r="D97">
            <v>1356.3779999999999</v>
          </cell>
          <cell r="E97">
            <v>1427.425</v>
          </cell>
          <cell r="F97">
            <v>1472.2190000000001</v>
          </cell>
          <cell r="G97">
            <v>1243.2149999999999</v>
          </cell>
          <cell r="H97">
            <v>1565.7460000000001</v>
          </cell>
          <cell r="I97">
            <v>1530.1389999999999</v>
          </cell>
          <cell r="J97">
            <v>1291.5170000000001</v>
          </cell>
          <cell r="K97">
            <v>1129.5150000000001</v>
          </cell>
          <cell r="L97">
            <v>1196.653</v>
          </cell>
          <cell r="M97">
            <v>1099.7760000000001</v>
          </cell>
          <cell r="N97">
            <v>1619.317</v>
          </cell>
        </row>
        <row r="98">
          <cell r="C98">
            <v>1578.2629999999999</v>
          </cell>
          <cell r="D98">
            <v>1375.4059999999999</v>
          </cell>
          <cell r="E98">
            <v>1383.307</v>
          </cell>
          <cell r="F98">
            <v>1680.8910000000001</v>
          </cell>
          <cell r="G98">
            <v>1324.615</v>
          </cell>
          <cell r="H98">
            <v>1620.752</v>
          </cell>
          <cell r="I98">
            <v>1654.499</v>
          </cell>
          <cell r="J98">
            <v>1715.7190000000001</v>
          </cell>
          <cell r="K98">
            <v>1397.14</v>
          </cell>
          <cell r="L98">
            <v>1486.4849999999999</v>
          </cell>
          <cell r="M98">
            <v>1736.3</v>
          </cell>
          <cell r="N98">
            <v>1409.0889999999999</v>
          </cell>
        </row>
        <row r="99">
          <cell r="C99">
            <v>1641.9369999999999</v>
          </cell>
          <cell r="D99">
            <v>1405.6379999999999</v>
          </cell>
          <cell r="E99">
            <v>1389.049</v>
          </cell>
          <cell r="F99">
            <v>1213.539</v>
          </cell>
          <cell r="G99">
            <v>1082.4169999999999</v>
          </cell>
          <cell r="H99">
            <v>1184.702</v>
          </cell>
          <cell r="I99">
            <v>1236.4780000000001</v>
          </cell>
          <cell r="J99">
            <v>1369.3510000000001</v>
          </cell>
          <cell r="K99">
            <v>1706.597</v>
          </cell>
          <cell r="L99">
            <v>1783.2840000000001</v>
          </cell>
          <cell r="M99">
            <v>1578.0340000000001</v>
          </cell>
          <cell r="N99">
            <v>1612.155</v>
          </cell>
        </row>
        <row r="100">
          <cell r="C100">
            <v>1674.3040000000001</v>
          </cell>
          <cell r="D100">
            <v>1303.271</v>
          </cell>
          <cell r="E100">
            <v>1642.835</v>
          </cell>
          <cell r="F100">
            <v>947.99400000000003</v>
          </cell>
          <cell r="G100">
            <v>900.87099999999998</v>
          </cell>
          <cell r="H100">
            <v>1190.9749999999999</v>
          </cell>
          <cell r="I100">
            <v>1347.5519999999999</v>
          </cell>
          <cell r="J100">
            <v>1268.662</v>
          </cell>
          <cell r="K100">
            <v>1419.0039999999999</v>
          </cell>
          <cell r="L100">
            <v>1408.3209999999999</v>
          </cell>
          <cell r="M100">
            <v>1167.425</v>
          </cell>
          <cell r="N100">
            <v>1611.8</v>
          </cell>
        </row>
        <row r="101">
          <cell r="C101">
            <v>1420.5740000000001</v>
          </cell>
          <cell r="D101">
            <v>1467.518</v>
          </cell>
          <cell r="E101">
            <v>1423.8209999999999</v>
          </cell>
          <cell r="F101">
            <v>1155.826</v>
          </cell>
          <cell r="G101">
            <v>1111.826</v>
          </cell>
          <cell r="H101">
            <v>1281.461</v>
          </cell>
          <cell r="I101">
            <v>1068.2380000000001</v>
          </cell>
          <cell r="J101">
            <v>1369.7139999999999</v>
          </cell>
          <cell r="K101">
            <v>1193.9169999999999</v>
          </cell>
          <cell r="L101">
            <v>1325.3420000000001</v>
          </cell>
          <cell r="M101">
            <v>1299.93</v>
          </cell>
          <cell r="N101">
            <v>1426.1959999999999</v>
          </cell>
        </row>
        <row r="102">
          <cell r="C102">
            <v>1505.769</v>
          </cell>
          <cell r="D102">
            <v>1521.329</v>
          </cell>
          <cell r="E102">
            <v>1473.846</v>
          </cell>
          <cell r="F102">
            <v>1136.027</v>
          </cell>
          <cell r="G102">
            <v>1126.127</v>
          </cell>
          <cell r="H102">
            <v>1487.836</v>
          </cell>
          <cell r="I102">
            <v>1087.5409999999999</v>
          </cell>
          <cell r="J102">
            <v>1079.2349999999999</v>
          </cell>
          <cell r="K102">
            <v>1171.739</v>
          </cell>
          <cell r="L102">
            <v>1354.336</v>
          </cell>
          <cell r="M102">
            <v>1221.848</v>
          </cell>
          <cell r="N102">
            <v>1211.2940000000001</v>
          </cell>
        </row>
        <row r="103">
          <cell r="C103">
            <v>1480.6859999999999</v>
          </cell>
          <cell r="D103">
            <v>1396.721</v>
          </cell>
          <cell r="E103">
            <v>1362.145</v>
          </cell>
          <cell r="F103">
            <v>1349.52</v>
          </cell>
          <cell r="G103">
            <v>1024.5260000000001</v>
          </cell>
          <cell r="H103">
            <v>1327.1120000000001</v>
          </cell>
          <cell r="I103">
            <v>1234.5239999999999</v>
          </cell>
          <cell r="J103">
            <v>1382.4290000000001</v>
          </cell>
          <cell r="K103">
            <v>1207.414</v>
          </cell>
          <cell r="L103">
            <v>1689.71</v>
          </cell>
          <cell r="M103">
            <v>1525.115</v>
          </cell>
          <cell r="N103">
            <v>1559.846</v>
          </cell>
        </row>
        <row r="104">
          <cell r="C104">
            <v>1732.4480000000001</v>
          </cell>
          <cell r="D104">
            <v>1487.212</v>
          </cell>
          <cell r="E104">
            <v>1341.9359999999999</v>
          </cell>
          <cell r="F104">
            <v>1168.3240000000001</v>
          </cell>
          <cell r="G104">
            <v>1110.9224042151004</v>
          </cell>
          <cell r="H104">
            <v>1355.2816002039385</v>
          </cell>
          <cell r="I104">
            <v>1280.8807182609592</v>
          </cell>
          <cell r="J104">
            <v>1362.6842694127622</v>
          </cell>
          <cell r="K104">
            <v>1379.8545357881785</v>
          </cell>
          <cell r="L104">
            <v>1473.8769481603799</v>
          </cell>
          <cell r="M104">
            <v>1402.9188933231251</v>
          </cell>
          <cell r="N104">
            <v>1403.660630635557</v>
          </cell>
        </row>
        <row r="158">
          <cell r="C158">
            <v>1796.0360000000001</v>
          </cell>
          <cell r="D158">
            <v>1637.164</v>
          </cell>
          <cell r="E158">
            <v>1616.2370000000001</v>
          </cell>
          <cell r="F158">
            <v>1418.4559999999999</v>
          </cell>
          <cell r="G158">
            <v>1481.1690000000001</v>
          </cell>
          <cell r="H158">
            <v>1614.1849999999999</v>
          </cell>
          <cell r="I158">
            <v>1670.7919999999999</v>
          </cell>
          <cell r="J158">
            <v>1922.655</v>
          </cell>
          <cell r="K158">
            <v>2054.7080000000001</v>
          </cell>
          <cell r="L158">
            <v>2008.704</v>
          </cell>
          <cell r="M158">
            <v>1899.8130000000001</v>
          </cell>
          <cell r="N158">
            <v>2163.2919999999999</v>
          </cell>
        </row>
        <row r="159">
          <cell r="C159">
            <v>2131.6689999999999</v>
          </cell>
          <cell r="D159">
            <v>2096.8829999999998</v>
          </cell>
          <cell r="E159">
            <v>2057.2959999999998</v>
          </cell>
          <cell r="F159">
            <v>2020.8810000000001</v>
          </cell>
          <cell r="G159">
            <v>2061.6979999999999</v>
          </cell>
          <cell r="H159">
            <v>1956.8810000000001</v>
          </cell>
          <cell r="I159">
            <v>1850.731</v>
          </cell>
          <cell r="J159">
            <v>1785.7139999999999</v>
          </cell>
          <cell r="K159">
            <v>1699.145</v>
          </cell>
          <cell r="L159">
            <v>1999.0930000000001</v>
          </cell>
          <cell r="M159">
            <v>2112.797</v>
          </cell>
          <cell r="N159">
            <v>2480.9899999999998</v>
          </cell>
        </row>
        <row r="160">
          <cell r="C160">
            <v>2505.1729999999998</v>
          </cell>
          <cell r="D160">
            <v>2565.7449999999999</v>
          </cell>
          <cell r="E160">
            <v>2627.4189999999999</v>
          </cell>
          <cell r="F160">
            <v>2563.3449999999998</v>
          </cell>
          <cell r="G160">
            <v>2425.8490000000002</v>
          </cell>
          <cell r="H160">
            <v>2160.81</v>
          </cell>
          <cell r="I160">
            <v>1913.5309999999999</v>
          </cell>
          <cell r="J160">
            <v>1816.3409999999999</v>
          </cell>
          <cell r="K160">
            <v>1647.604</v>
          </cell>
          <cell r="L160">
            <v>1674.258</v>
          </cell>
          <cell r="M160">
            <v>1668.1320000000001</v>
          </cell>
          <cell r="N160">
            <v>1783.7729999999999</v>
          </cell>
        </row>
        <row r="161">
          <cell r="C161">
            <v>1845.9359999999999</v>
          </cell>
          <cell r="D161">
            <v>1978.6849999999999</v>
          </cell>
          <cell r="E161">
            <v>1987.1110000000001</v>
          </cell>
          <cell r="F161">
            <v>1935.2149999999999</v>
          </cell>
          <cell r="G161">
            <v>1656.931</v>
          </cell>
          <cell r="H161">
            <v>1688.0930000000001</v>
          </cell>
          <cell r="I161">
            <v>1766.19</v>
          </cell>
          <cell r="J161">
            <v>1841.3409999999999</v>
          </cell>
          <cell r="K161">
            <v>1656.7560000000001</v>
          </cell>
          <cell r="L161">
            <v>1684.7560000000001</v>
          </cell>
          <cell r="M161">
            <v>2053.1990000000001</v>
          </cell>
          <cell r="N161">
            <v>2090.0729999999999</v>
          </cell>
        </row>
        <row r="162">
          <cell r="C162">
            <v>2165.6120000000001</v>
          </cell>
          <cell r="D162">
            <v>2276.1770000000001</v>
          </cell>
          <cell r="E162">
            <v>2015.789</v>
          </cell>
          <cell r="F162">
            <v>1761.895</v>
          </cell>
          <cell r="G162">
            <v>1733.326</v>
          </cell>
          <cell r="H162">
            <v>1858.6320000000001</v>
          </cell>
          <cell r="I162">
            <v>2181.9740000000002</v>
          </cell>
          <cell r="J162">
            <v>2239.4479999999999</v>
          </cell>
          <cell r="K162">
            <v>2141.8719999999998</v>
          </cell>
          <cell r="L162">
            <v>2257.886</v>
          </cell>
          <cell r="M162">
            <v>2491.9279999999999</v>
          </cell>
          <cell r="N162">
            <v>2641.2890000000002</v>
          </cell>
        </row>
        <row r="163">
          <cell r="C163">
            <v>2835.31</v>
          </cell>
          <cell r="D163">
            <v>2908.95</v>
          </cell>
          <cell r="E163">
            <v>2633.94</v>
          </cell>
          <cell r="F163">
            <v>2308.7779999999998</v>
          </cell>
          <cell r="G163">
            <v>2170.3409999999999</v>
          </cell>
          <cell r="H163">
            <v>1885.6310000000001</v>
          </cell>
          <cell r="I163">
            <v>1804.4949999999999</v>
          </cell>
          <cell r="J163">
            <v>1649.8589999999999</v>
          </cell>
          <cell r="K163">
            <v>1774.625</v>
          </cell>
          <cell r="L163">
            <v>1770.367</v>
          </cell>
          <cell r="M163">
            <v>1464.0809999999999</v>
          </cell>
          <cell r="N163">
            <v>1546.758</v>
          </cell>
        </row>
        <row r="164">
          <cell r="C164">
            <v>1574.471</v>
          </cell>
          <cell r="D164">
            <v>1663.7280000000001</v>
          </cell>
          <cell r="E164">
            <v>1666.673</v>
          </cell>
          <cell r="F164">
            <v>1541.088</v>
          </cell>
          <cell r="G164">
            <v>1459.3610000000001</v>
          </cell>
          <cell r="H164">
            <v>1553.2190000000001</v>
          </cell>
          <cell r="I164">
            <v>1600.126</v>
          </cell>
          <cell r="J164">
            <v>1557.354</v>
          </cell>
          <cell r="K164">
            <v>1527.0709999999999</v>
          </cell>
          <cell r="L164">
            <v>1784.8019999999999</v>
          </cell>
          <cell r="M164">
            <v>1941.7170000000001</v>
          </cell>
          <cell r="N164">
            <v>2015.922</v>
          </cell>
        </row>
        <row r="165">
          <cell r="C165">
            <v>2203.3409999999999</v>
          </cell>
          <cell r="D165">
            <v>2553.7730000000001</v>
          </cell>
          <cell r="E165">
            <v>2732.0929999999998</v>
          </cell>
          <cell r="F165">
            <v>2548.7040000000002</v>
          </cell>
          <cell r="G165">
            <v>2476.4450000000002</v>
          </cell>
          <cell r="H165">
            <v>2321.759</v>
          </cell>
          <cell r="I165">
            <v>2179.7399999999998</v>
          </cell>
          <cell r="J165">
            <v>2168.8820000000001</v>
          </cell>
          <cell r="K165">
            <v>2187.0349999999999</v>
          </cell>
          <cell r="L165">
            <v>2231.5419999999999</v>
          </cell>
          <cell r="M165">
            <v>2504.915</v>
          </cell>
          <cell r="N165">
            <v>2529.4470000000001</v>
          </cell>
        </row>
        <row r="166">
          <cell r="C166">
            <v>2722.4780000000001</v>
          </cell>
          <cell r="D166">
            <v>3007.0859999999998</v>
          </cell>
          <cell r="E166">
            <v>3216.4760000000001</v>
          </cell>
          <cell r="F166">
            <v>3002.8710000000001</v>
          </cell>
          <cell r="G166">
            <v>3056.9290000000001</v>
          </cell>
          <cell r="H166">
            <v>2920.4090000000001</v>
          </cell>
          <cell r="I166">
            <v>2726.94</v>
          </cell>
          <cell r="J166">
            <v>2444.4870000000001</v>
          </cell>
          <cell r="K166">
            <v>2410.8690000000001</v>
          </cell>
          <cell r="L166">
            <v>2378.297</v>
          </cell>
          <cell r="M166">
            <v>2240.5230000000001</v>
          </cell>
          <cell r="N166">
            <v>2448.4479999999999</v>
          </cell>
        </row>
        <row r="167">
          <cell r="C167">
            <v>2352.2199999999998</v>
          </cell>
          <cell r="D167">
            <v>2255.0349999999999</v>
          </cell>
          <cell r="E167">
            <v>2010.527</v>
          </cell>
          <cell r="F167">
            <v>1755.4169999999999</v>
          </cell>
          <cell r="G167">
            <v>1700.261</v>
          </cell>
          <cell r="H167">
            <v>1729.5920000000001</v>
          </cell>
          <cell r="I167">
            <v>2044.498</v>
          </cell>
          <cell r="J167">
            <v>2029.579</v>
          </cell>
          <cell r="K167">
            <v>1898.3720000000001</v>
          </cell>
          <cell r="L167">
            <v>1699.365</v>
          </cell>
          <cell r="M167">
            <v>1703.0029999999999</v>
          </cell>
          <cell r="N167">
            <v>1722.087</v>
          </cell>
        </row>
        <row r="168">
          <cell r="C168">
            <v>1573.665</v>
          </cell>
          <cell r="D168">
            <v>1564.5050000000001</v>
          </cell>
          <cell r="E168">
            <v>1265.6980000000001</v>
          </cell>
          <cell r="F168">
            <v>1324.6389999999999</v>
          </cell>
          <cell r="G168">
            <v>1306.0219999999999</v>
          </cell>
          <cell r="H168">
            <v>1443.9159999999999</v>
          </cell>
          <cell r="I168">
            <v>1545.905</v>
          </cell>
          <cell r="J168">
            <v>1569.4110000000001</v>
          </cell>
          <cell r="K168">
            <v>1614.2190000000001</v>
          </cell>
          <cell r="L168">
            <v>1496.46</v>
          </cell>
          <cell r="M168">
            <v>1874.7460000000001</v>
          </cell>
          <cell r="N168">
            <v>1756.404</v>
          </cell>
        </row>
        <row r="169">
          <cell r="C169">
            <v>1834.568</v>
          </cell>
          <cell r="D169">
            <v>1817.0609999999999</v>
          </cell>
          <cell r="E169">
            <v>1614.5940000000001</v>
          </cell>
          <cell r="F169">
            <v>1552.4770000000001</v>
          </cell>
          <cell r="G169">
            <v>1519.412</v>
          </cell>
          <cell r="H169">
            <v>1474.338</v>
          </cell>
          <cell r="I169">
            <v>1643.9739999999999</v>
          </cell>
          <cell r="J169">
            <v>1523.308</v>
          </cell>
          <cell r="K169">
            <v>1645.836</v>
          </cell>
          <cell r="L169">
            <v>1774.308</v>
          </cell>
          <cell r="M169">
            <v>2094.6779999999999</v>
          </cell>
          <cell r="N169">
            <v>2318.2020000000002</v>
          </cell>
        </row>
        <row r="170">
          <cell r="C170">
            <v>2411.1129999999998</v>
          </cell>
          <cell r="D170">
            <v>2288.471</v>
          </cell>
          <cell r="E170">
            <v>2196.5740000000001</v>
          </cell>
          <cell r="F170">
            <v>2268.1979999999999</v>
          </cell>
          <cell r="G170">
            <v>2119.8539999999998</v>
          </cell>
          <cell r="H170">
            <v>1674.0219999999999</v>
          </cell>
          <cell r="I170">
            <v>1497.877</v>
          </cell>
          <cell r="J170">
            <v>1690.204</v>
          </cell>
          <cell r="K170">
            <v>1718.771</v>
          </cell>
          <cell r="L170">
            <v>1733.9</v>
          </cell>
          <cell r="M170">
            <v>2110.98</v>
          </cell>
          <cell r="N170">
            <v>2312.3290000000002</v>
          </cell>
        </row>
        <row r="171">
          <cell r="C171">
            <v>2447.038</v>
          </cell>
          <cell r="D171">
            <v>2420.3980000000001</v>
          </cell>
          <cell r="E171">
            <v>2290.7930000000001</v>
          </cell>
          <cell r="F171">
            <v>2019.7809999999999</v>
          </cell>
          <cell r="G171">
            <v>1920.1130000000001</v>
          </cell>
          <cell r="H171">
            <v>1714.973</v>
          </cell>
          <cell r="I171">
            <v>1744.4590000000001</v>
          </cell>
          <cell r="J171">
            <v>1831.239</v>
          </cell>
          <cell r="K171">
            <v>1733.2190000000001</v>
          </cell>
          <cell r="L171">
            <v>1754.384</v>
          </cell>
          <cell r="M171">
            <v>1883.2139999999999</v>
          </cell>
          <cell r="N171">
            <v>2011.768</v>
          </cell>
        </row>
        <row r="172">
          <cell r="C172">
            <v>1884.597</v>
          </cell>
          <cell r="D172">
            <v>1836.1669999999999</v>
          </cell>
          <cell r="E172">
            <v>1708.7560000000001</v>
          </cell>
          <cell r="F172">
            <v>1579.7629999999999</v>
          </cell>
          <cell r="G172">
            <v>1290.7559502659208</v>
          </cell>
          <cell r="H172">
            <v>1212.0416017359537</v>
          </cell>
          <cell r="I172">
            <v>1087.9087211431975</v>
          </cell>
          <cell r="J172">
            <v>1010.8206192134841</v>
          </cell>
          <cell r="K172">
            <v>867.21071039334686</v>
          </cell>
          <cell r="L172">
            <v>868.34009281607996</v>
          </cell>
          <cell r="M172">
            <v>1066.9324550399003</v>
          </cell>
          <cell r="N172">
            <v>1592.6291749823899</v>
          </cell>
        </row>
        <row r="178">
          <cell r="C178">
            <v>52.78987096774194</v>
          </cell>
          <cell r="D178">
            <v>48.634033333333335</v>
          </cell>
          <cell r="E178">
            <v>39.766193548387093</v>
          </cell>
          <cell r="F178">
            <v>34.126354838709673</v>
          </cell>
          <cell r="G178">
            <v>39.082428571428572</v>
          </cell>
          <cell r="H178">
            <v>45.689354838709676</v>
          </cell>
          <cell r="I178">
            <v>50.998366666666669</v>
          </cell>
          <cell r="J178">
            <v>56.186967741935483</v>
          </cell>
          <cell r="K178">
            <v>58.437899999999999</v>
          </cell>
          <cell r="L178">
            <v>56.489935483870973</v>
          </cell>
          <cell r="M178">
            <v>53.778903225806452</v>
          </cell>
          <cell r="N178">
            <v>62.30233333333333</v>
          </cell>
        </row>
        <row r="179">
          <cell r="C179">
            <v>61.566580645161295</v>
          </cell>
          <cell r="D179">
            <v>54.256633333333333</v>
          </cell>
          <cell r="E179">
            <v>48.205612903225806</v>
          </cell>
          <cell r="F179">
            <v>41.557870967741941</v>
          </cell>
          <cell r="G179">
            <v>40.977793103448278</v>
          </cell>
          <cell r="H179">
            <v>39.072806451612905</v>
          </cell>
          <cell r="I179">
            <v>42.420733333333338</v>
          </cell>
          <cell r="J179">
            <v>44.636612903225803</v>
          </cell>
          <cell r="K179">
            <v>49.021599999999999</v>
          </cell>
          <cell r="L179">
            <v>54.577935483870966</v>
          </cell>
          <cell r="M179">
            <v>53.685451612903229</v>
          </cell>
          <cell r="N179">
            <v>66.807933333333338</v>
          </cell>
        </row>
        <row r="180">
          <cell r="C180">
            <v>62.53</v>
          </cell>
          <cell r="D180">
            <v>63.037733333333335</v>
          </cell>
          <cell r="E180">
            <v>57.424290322580646</v>
          </cell>
          <cell r="F180">
            <v>51.693322580645159</v>
          </cell>
          <cell r="G180">
            <v>46.31514285714286</v>
          </cell>
          <cell r="H180">
            <v>42.7451935483871</v>
          </cell>
          <cell r="I180">
            <v>45.55146666666667</v>
          </cell>
          <cell r="J180">
            <v>44.655806451612904</v>
          </cell>
          <cell r="K180">
            <v>47.227533333333334</v>
          </cell>
          <cell r="L180">
            <v>54.027483870967743</v>
          </cell>
          <cell r="M180">
            <v>55.976903225806453</v>
          </cell>
          <cell r="N180">
            <v>63.739166666666662</v>
          </cell>
        </row>
        <row r="181">
          <cell r="C181">
            <v>63.621870967741934</v>
          </cell>
          <cell r="D181">
            <v>62.036133333333332</v>
          </cell>
          <cell r="E181">
            <v>53.827999999999996</v>
          </cell>
          <cell r="F181">
            <v>48.67677419354839</v>
          </cell>
          <cell r="G181">
            <v>45.564714285714281</v>
          </cell>
          <cell r="H181">
            <v>48.294903225806451</v>
          </cell>
          <cell r="I181">
            <v>51.859233333333336</v>
          </cell>
          <cell r="J181">
            <v>53.45022580645162</v>
          </cell>
          <cell r="K181">
            <v>52.322800000000001</v>
          </cell>
          <cell r="L181">
            <v>53.731000000000002</v>
          </cell>
          <cell r="M181">
            <v>65.540451612903226</v>
          </cell>
          <cell r="N181">
            <v>63.228700000000003</v>
          </cell>
        </row>
        <row r="182">
          <cell r="C182">
            <v>61.063258064516127</v>
          </cell>
          <cell r="D182">
            <v>58.352233333333331</v>
          </cell>
          <cell r="E182">
            <v>44.02787096774194</v>
          </cell>
          <cell r="F182">
            <v>37.441516129032252</v>
          </cell>
          <cell r="G182">
            <v>40.058142857142855</v>
          </cell>
          <cell r="H182">
            <v>48.230677419354841</v>
          </cell>
          <cell r="I182">
            <v>56.447499999999998</v>
          </cell>
          <cell r="J182">
            <v>58.404193548387099</v>
          </cell>
          <cell r="K182">
            <v>58.788899999999998</v>
          </cell>
          <cell r="L182">
            <v>58.568838709677422</v>
          </cell>
          <cell r="M182">
            <v>66.161290322580641</v>
          </cell>
          <cell r="N182">
            <v>65.30213333333333</v>
          </cell>
        </row>
        <row r="183">
          <cell r="C183">
            <v>65.724709677419355</v>
          </cell>
          <cell r="D183">
            <v>55.13153333333333</v>
          </cell>
          <cell r="E183">
            <v>45.141387096774196</v>
          </cell>
          <cell r="F183">
            <v>36.443451612903225</v>
          </cell>
          <cell r="G183">
            <v>35.962206896551727</v>
          </cell>
          <cell r="H183">
            <v>39.338161290322581</v>
          </cell>
          <cell r="I183">
            <v>43.376366666666662</v>
          </cell>
          <cell r="J183">
            <v>44.018548387096779</v>
          </cell>
          <cell r="K183">
            <v>51.0871</v>
          </cell>
          <cell r="L183">
            <v>51.140032258064515</v>
          </cell>
          <cell r="M183">
            <v>54.897838709677423</v>
          </cell>
          <cell r="N183">
            <v>57.169499999999999</v>
          </cell>
        </row>
        <row r="184">
          <cell r="C184">
            <v>54.124935483870971</v>
          </cell>
          <cell r="D184">
            <v>52.497933333333336</v>
          </cell>
          <cell r="E184">
            <v>47.539258064516133</v>
          </cell>
          <cell r="F184">
            <v>41.188677419354839</v>
          </cell>
          <cell r="G184">
            <v>44.94782142857143</v>
          </cell>
          <cell r="H184">
            <v>47.226483870967741</v>
          </cell>
          <cell r="I184">
            <v>51.600866666666668</v>
          </cell>
          <cell r="J184">
            <v>53.370774193548385</v>
          </cell>
          <cell r="K184">
            <v>50.475166666666674</v>
          </cell>
          <cell r="L184">
            <v>58.92993548387097</v>
          </cell>
          <cell r="M184">
            <v>58.404870967741935</v>
          </cell>
          <cell r="N184">
            <v>59.330599999999997</v>
          </cell>
        </row>
        <row r="185">
          <cell r="C185">
            <v>64.801225806451612</v>
          </cell>
          <cell r="D185">
            <v>64.761566666666667</v>
          </cell>
          <cell r="E185">
            <v>59.166612903225804</v>
          </cell>
          <cell r="F185">
            <v>51.182354838709678</v>
          </cell>
          <cell r="G185">
            <v>47.957321428571433</v>
          </cell>
          <cell r="H185">
            <v>50.772806451612908</v>
          </cell>
          <cell r="I185">
            <v>51.94436666666666</v>
          </cell>
          <cell r="J185">
            <v>49.206612903225803</v>
          </cell>
          <cell r="K185">
            <v>44.423466666666663</v>
          </cell>
          <cell r="L185">
            <v>48.490967741935485</v>
          </cell>
          <cell r="M185">
            <v>52.277580645161294</v>
          </cell>
          <cell r="N185">
            <v>61.786733333333338</v>
          </cell>
        </row>
        <row r="186">
          <cell r="C186">
            <v>63.385612903225805</v>
          </cell>
          <cell r="D186">
            <v>61.507399999999997</v>
          </cell>
          <cell r="E186">
            <v>58.323806451612903</v>
          </cell>
          <cell r="F186">
            <v>56.047129032258063</v>
          </cell>
          <cell r="G186">
            <v>55.161357142857142</v>
          </cell>
          <cell r="H186">
            <v>53.93735483870968</v>
          </cell>
          <cell r="I186">
            <v>54.97893333333333</v>
          </cell>
          <cell r="J186">
            <v>53.918290322580646</v>
          </cell>
          <cell r="K186">
            <v>50.365233333333336</v>
          </cell>
          <cell r="L186">
            <v>56.153516129032262</v>
          </cell>
          <cell r="M186">
            <v>58.759612903225808</v>
          </cell>
          <cell r="N186">
            <v>61.414433333333335</v>
          </cell>
        </row>
        <row r="187">
          <cell r="C187">
            <v>57.930354838709675</v>
          </cell>
          <cell r="D187">
            <v>51.268433333333334</v>
          </cell>
          <cell r="E187">
            <v>43.029161290322584</v>
          </cell>
          <cell r="F187">
            <v>37.791419354838716</v>
          </cell>
          <cell r="G187">
            <v>44.431551724137933</v>
          </cell>
          <cell r="H187">
            <v>45.074903225806445</v>
          </cell>
          <cell r="I187">
            <v>55.092366666666663</v>
          </cell>
          <cell r="J187">
            <v>53.268935483870969</v>
          </cell>
          <cell r="K187">
            <v>62.858066666666666</v>
          </cell>
          <cell r="L187">
            <v>58.303129032258063</v>
          </cell>
          <cell r="M187">
            <v>60.106741935483868</v>
          </cell>
          <cell r="N187">
            <v>62.308533333333337</v>
          </cell>
        </row>
        <row r="188">
          <cell r="C188">
            <v>55.630935483870964</v>
          </cell>
          <cell r="D188">
            <v>49.718366666666661</v>
          </cell>
          <cell r="E188">
            <v>43.020612903225803</v>
          </cell>
          <cell r="F188">
            <v>36.337322580645164</v>
          </cell>
          <cell r="G188">
            <v>39.579857142857144</v>
          </cell>
          <cell r="H188">
            <v>45.918806451612902</v>
          </cell>
          <cell r="I188">
            <v>50.937366666666669</v>
          </cell>
          <cell r="J188">
            <v>50.694354838709678</v>
          </cell>
          <cell r="K188">
            <v>53.539566666666666</v>
          </cell>
          <cell r="L188">
            <v>49.133645161290325</v>
          </cell>
          <cell r="M188">
            <v>55.172774193548385</v>
          </cell>
          <cell r="N188">
            <v>56.791333333333334</v>
          </cell>
        </row>
        <row r="189">
          <cell r="C189">
            <v>55.672161290322578</v>
          </cell>
          <cell r="D189">
            <v>54.497733333333336</v>
          </cell>
          <cell r="E189">
            <v>46.765129032258066</v>
          </cell>
          <cell r="F189">
            <v>40.438096774193546</v>
          </cell>
          <cell r="G189">
            <v>40.623642857142855</v>
          </cell>
          <cell r="H189">
            <v>45.523322580645157</v>
          </cell>
          <cell r="I189">
            <v>48.735100000000003</v>
          </cell>
          <cell r="J189">
            <v>47.129967741935481</v>
          </cell>
          <cell r="K189">
            <v>51.503700000000002</v>
          </cell>
          <cell r="L189">
            <v>50.760096774193549</v>
          </cell>
          <cell r="M189">
            <v>55.670548387096773</v>
          </cell>
          <cell r="N189">
            <v>59.014699999999998</v>
          </cell>
        </row>
        <row r="190">
          <cell r="C190">
            <v>58.503096774193551</v>
          </cell>
          <cell r="D190">
            <v>56.024700000000003</v>
          </cell>
          <cell r="E190">
            <v>52.220419354838711</v>
          </cell>
          <cell r="F190">
            <v>44.529354838709679</v>
          </cell>
          <cell r="G190">
            <v>44.77046428571429</v>
          </cell>
          <cell r="H190">
            <v>41.559806451612907</v>
          </cell>
          <cell r="I190">
            <v>39.818633333333331</v>
          </cell>
          <cell r="J190">
            <v>48.955935483870967</v>
          </cell>
          <cell r="K190">
            <v>48.256566666666664</v>
          </cell>
          <cell r="L190">
            <v>51.933129032258059</v>
          </cell>
          <cell r="M190">
            <v>56.563612903225803</v>
          </cell>
          <cell r="N190">
            <v>60.981133333333332</v>
          </cell>
        </row>
        <row r="191">
          <cell r="C191">
            <v>62.491096774193544</v>
          </cell>
          <cell r="D191">
            <v>59.628999999999998</v>
          </cell>
          <cell r="E191">
            <v>50.025677419354842</v>
          </cell>
          <cell r="F191">
            <v>45.237258064516126</v>
          </cell>
          <cell r="G191">
            <v>43.433517241379306</v>
          </cell>
          <cell r="H191">
            <v>44.918419354838711</v>
          </cell>
          <cell r="I191">
            <v>50.066499999999998</v>
          </cell>
          <cell r="J191">
            <v>54.983709677419348</v>
          </cell>
          <cell r="K191">
            <v>53.842766666666662</v>
          </cell>
          <cell r="L191">
            <v>59.38706451612903</v>
          </cell>
          <cell r="M191">
            <v>61.092225806451609</v>
          </cell>
          <cell r="N191">
            <v>60.731099999999998</v>
          </cell>
        </row>
        <row r="192">
          <cell r="C192">
            <v>57.978967741935485</v>
          </cell>
          <cell r="D192">
            <v>54.043133333333337</v>
          </cell>
          <cell r="E192">
            <v>47.965870967741935</v>
          </cell>
          <cell r="F192">
            <v>39.905741935483867</v>
          </cell>
          <cell r="G192">
            <v>43.830881438783635</v>
          </cell>
          <cell r="H192">
            <v>43.475276843003542</v>
          </cell>
          <cell r="I192">
            <v>46.013398195568676</v>
          </cell>
          <cell r="J192">
            <v>48.58156791452403</v>
          </cell>
          <cell r="K192">
            <v>50.168713307585072</v>
          </cell>
          <cell r="L192">
            <v>51.026082214833608</v>
          </cell>
          <cell r="M192">
            <v>56.586502611343988</v>
          </cell>
          <cell r="N192">
            <v>68.49525525081954</v>
          </cell>
        </row>
        <row r="211">
          <cell r="C211">
            <v>1544.654</v>
          </cell>
          <cell r="D211">
            <v>1418.8953999999999</v>
          </cell>
          <cell r="E211">
            <v>1458.3391999999999</v>
          </cell>
          <cell r="F211">
            <v>1160.5812000000001</v>
          </cell>
          <cell r="G211">
            <v>1049.1533999999999</v>
          </cell>
          <cell r="H211">
            <v>1294.4172000000001</v>
          </cell>
          <cell r="I211">
            <v>1194.8666000000001</v>
          </cell>
          <cell r="J211">
            <v>1293.8781999999999</v>
          </cell>
          <cell r="K211">
            <v>1339.7341999999999</v>
          </cell>
          <cell r="L211">
            <v>1512.1986000000002</v>
          </cell>
          <cell r="M211">
            <v>1358.4703999999999</v>
          </cell>
          <cell r="N211">
            <v>1484.2581999999998</v>
          </cell>
        </row>
      </sheetData>
      <sheetData sheetId="31"/>
      <sheetData sheetId="32"/>
      <sheetData sheetId="33" refreshError="1"/>
      <sheetData sheetId="34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6RLVLRSLLYHRBKBJ27EDBCKKTT">
      <xxl21:absoluteUrl r:id="rId2"/>
    </xxl21:alternateUrls>
    <sheetNames>
      <sheetName val="Chart6"/>
      <sheetName val="Chart7"/>
      <sheetName val="Chart8"/>
      <sheetName val="Chart11"/>
      <sheetName val="Chart12"/>
      <sheetName val="Chart13"/>
      <sheetName val="Chart14"/>
      <sheetName val="Delta to 5-Yr Cap U v HOBO"/>
      <sheetName val="US EIA"/>
      <sheetName val="Chart15"/>
      <sheetName val="SBO Fuel Value"/>
      <sheetName val="Chart16"/>
      <sheetName val="Chart17"/>
      <sheetName val="US LCFS"/>
      <sheetName val="Days of Sales Chart"/>
      <sheetName val="Sheet1"/>
      <sheetName val="Balance Sheet"/>
      <sheetName val="EPA Requirements"/>
      <sheetName val="Brazil"/>
      <sheetName val="Chart18"/>
      <sheetName val="Chart19"/>
      <sheetName val="Malaysia"/>
      <sheetName val="Thailand"/>
      <sheetName val="Philippines"/>
      <sheetName val="Peru"/>
      <sheetName val="European Union"/>
      <sheetName val="EU Plant List"/>
      <sheetName val="Australia"/>
      <sheetName val="Colombia"/>
      <sheetName val="Chart27"/>
      <sheetName val="Canada Biofuel Bal Sheets"/>
      <sheetName val="Chart33"/>
      <sheetName val="Canada"/>
      <sheetName val="Chart34"/>
      <sheetName val="Canada Biodiesel Plants"/>
      <sheetName val="Indonesia"/>
      <sheetName val="China"/>
      <sheetName val="Chart5"/>
      <sheetName val="Argentina"/>
      <sheetName val="India"/>
      <sheetName val="Brazil - GAIN"/>
      <sheetName val="Chart5 (2)"/>
      <sheetName val="Japan"/>
      <sheetName val="Chart35"/>
      <sheetName val="Sheet2"/>
      <sheetName val="Chart36"/>
      <sheetName val="World"/>
      <sheetName val="US Biodiesel Imports"/>
      <sheetName val="Chart37"/>
      <sheetName val="US Biodiesel Exports"/>
      <sheetName val="wldbiodiesel"/>
      <sheetName val="Chart1"/>
      <sheetName val="Chart2"/>
      <sheetName val="Chart3"/>
      <sheetName val="Chart4"/>
      <sheetName val="Chart9"/>
      <sheetName val="Chart10"/>
      <sheetName val="Chart20"/>
      <sheetName val="Chart21"/>
      <sheetName val="Chart22"/>
      <sheetName val="Chart23"/>
      <sheetName val="Chart24"/>
      <sheetName val="Chart25"/>
      <sheetName val="Chart26"/>
      <sheetName val="Chart28"/>
      <sheetName val="Chart29"/>
      <sheetName val="Chart30"/>
      <sheetName val="Chart31"/>
      <sheetName val="Chart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>
            <v>36069</v>
          </cell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0.14146912089564323</v>
          </cell>
        </row>
        <row r="85">
          <cell r="B85">
            <v>0.14146912089564323</v>
          </cell>
        </row>
        <row r="86">
          <cell r="B86">
            <v>0.14146912089564323</v>
          </cell>
        </row>
        <row r="87">
          <cell r="B87">
            <v>0.33790205455243555</v>
          </cell>
        </row>
        <row r="88">
          <cell r="B88">
            <v>0.33790205455243555</v>
          </cell>
        </row>
        <row r="89">
          <cell r="B89">
            <v>0.33790205455243555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2.8646121142310802E-3</v>
          </cell>
        </row>
        <row r="94">
          <cell r="B94">
            <v>2.8646121142310802E-3</v>
          </cell>
        </row>
        <row r="95">
          <cell r="B95">
            <v>2.8646121142310802E-3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0.5</v>
          </cell>
        </row>
        <row r="100">
          <cell r="B100">
            <v>1</v>
          </cell>
        </row>
        <row r="101">
          <cell r="B101">
            <v>1</v>
          </cell>
        </row>
        <row r="102">
          <cell r="B102">
            <v>2</v>
          </cell>
        </row>
        <row r="103">
          <cell r="B103">
            <v>2</v>
          </cell>
        </row>
        <row r="104">
          <cell r="B104">
            <v>2</v>
          </cell>
        </row>
        <row r="105">
          <cell r="B105">
            <v>3</v>
          </cell>
        </row>
        <row r="106">
          <cell r="B106">
            <v>4.4000000000000004</v>
          </cell>
        </row>
        <row r="107">
          <cell r="B107">
            <v>4.4000000000000004</v>
          </cell>
        </row>
        <row r="108">
          <cell r="B108">
            <v>6.7</v>
          </cell>
        </row>
        <row r="109">
          <cell r="B109">
            <v>25</v>
          </cell>
        </row>
        <row r="110">
          <cell r="B110">
            <v>40</v>
          </cell>
        </row>
        <row r="111">
          <cell r="B111">
            <v>51.8</v>
          </cell>
        </row>
        <row r="112">
          <cell r="B112">
            <v>40</v>
          </cell>
        </row>
        <row r="113">
          <cell r="B113">
            <v>44.2</v>
          </cell>
        </row>
        <row r="114">
          <cell r="B114">
            <v>66.2</v>
          </cell>
        </row>
        <row r="115">
          <cell r="B115">
            <v>60</v>
          </cell>
        </row>
        <row r="116">
          <cell r="B116">
            <v>66.3</v>
          </cell>
        </row>
        <row r="117">
          <cell r="B117">
            <v>60</v>
          </cell>
        </row>
        <row r="118">
          <cell r="B118">
            <v>50.3</v>
          </cell>
        </row>
        <row r="119">
          <cell r="B119">
            <v>50</v>
          </cell>
        </row>
        <row r="120">
          <cell r="B120">
            <v>60</v>
          </cell>
        </row>
        <row r="121">
          <cell r="B121">
            <v>64.2</v>
          </cell>
        </row>
        <row r="122">
          <cell r="B122">
            <v>90.4</v>
          </cell>
        </row>
        <row r="123">
          <cell r="B123">
            <v>94.2</v>
          </cell>
        </row>
        <row r="124">
          <cell r="B124">
            <v>118.9</v>
          </cell>
        </row>
        <row r="125">
          <cell r="B125">
            <v>24.1</v>
          </cell>
        </row>
        <row r="126">
          <cell r="B126">
            <v>44</v>
          </cell>
        </row>
        <row r="127">
          <cell r="B127">
            <v>15</v>
          </cell>
        </row>
        <row r="128">
          <cell r="B128">
            <v>0</v>
          </cell>
        </row>
        <row r="129">
          <cell r="B129">
            <v>0</v>
          </cell>
        </row>
        <row r="130">
          <cell r="B130">
            <v>2</v>
          </cell>
        </row>
        <row r="131">
          <cell r="B131">
            <v>2</v>
          </cell>
        </row>
        <row r="132">
          <cell r="B132">
            <v>0</v>
          </cell>
        </row>
        <row r="133">
          <cell r="B133">
            <v>0</v>
          </cell>
        </row>
        <row r="134">
          <cell r="B134">
            <v>8</v>
          </cell>
        </row>
        <row r="135">
          <cell r="B135">
            <v>65</v>
          </cell>
        </row>
        <row r="136">
          <cell r="B136">
            <v>99</v>
          </cell>
        </row>
        <row r="137">
          <cell r="B137">
            <v>85</v>
          </cell>
        </row>
        <row r="138">
          <cell r="B138">
            <v>33</v>
          </cell>
        </row>
        <row r="139">
          <cell r="B139">
            <v>30</v>
          </cell>
        </row>
        <row r="140">
          <cell r="B140">
            <v>22</v>
          </cell>
        </row>
        <row r="141">
          <cell r="B141">
            <v>30</v>
          </cell>
        </row>
        <row r="142">
          <cell r="B142">
            <v>36</v>
          </cell>
        </row>
        <row r="143">
          <cell r="B143">
            <v>28</v>
          </cell>
        </row>
        <row r="144">
          <cell r="B144">
            <v>17</v>
          </cell>
        </row>
        <row r="145">
          <cell r="B145">
            <v>19</v>
          </cell>
        </row>
        <row r="146">
          <cell r="B146">
            <v>11</v>
          </cell>
        </row>
        <row r="147">
          <cell r="B147">
            <v>10</v>
          </cell>
        </row>
        <row r="148">
          <cell r="B148">
            <v>4</v>
          </cell>
        </row>
        <row r="149">
          <cell r="B149">
            <v>8</v>
          </cell>
        </row>
        <row r="150">
          <cell r="B150">
            <v>8</v>
          </cell>
        </row>
        <row r="151">
          <cell r="B151">
            <v>26</v>
          </cell>
        </row>
        <row r="152">
          <cell r="B152">
            <v>68</v>
          </cell>
        </row>
        <row r="153">
          <cell r="B153">
            <v>88</v>
          </cell>
        </row>
        <row r="154">
          <cell r="B154">
            <v>113</v>
          </cell>
        </row>
        <row r="155">
          <cell r="B155">
            <v>75</v>
          </cell>
        </row>
        <row r="156">
          <cell r="B156">
            <v>77</v>
          </cell>
        </row>
        <row r="157">
          <cell r="B157">
            <v>84</v>
          </cell>
        </row>
        <row r="158">
          <cell r="B158">
            <v>84</v>
          </cell>
        </row>
        <row r="159">
          <cell r="B159">
            <v>69</v>
          </cell>
        </row>
        <row r="160">
          <cell r="B160">
            <v>84</v>
          </cell>
        </row>
        <row r="161">
          <cell r="B161">
            <v>71</v>
          </cell>
        </row>
        <row r="162">
          <cell r="B162">
            <v>73</v>
          </cell>
        </row>
        <row r="163">
          <cell r="B163">
            <v>90</v>
          </cell>
        </row>
        <row r="164">
          <cell r="B164">
            <v>117</v>
          </cell>
        </row>
        <row r="165">
          <cell r="B165">
            <v>112</v>
          </cell>
        </row>
        <row r="166">
          <cell r="B166">
            <v>85</v>
          </cell>
        </row>
        <row r="167">
          <cell r="B167">
            <v>103</v>
          </cell>
        </row>
        <row r="168">
          <cell r="B168">
            <v>66</v>
          </cell>
        </row>
        <row r="169">
          <cell r="B169">
            <v>48</v>
          </cell>
        </row>
        <row r="170">
          <cell r="B170">
            <v>46</v>
          </cell>
        </row>
        <row r="171">
          <cell r="B171">
            <v>16</v>
          </cell>
        </row>
        <row r="172">
          <cell r="B172">
            <v>18</v>
          </cell>
        </row>
        <row r="173">
          <cell r="B173">
            <v>16</v>
          </cell>
        </row>
        <row r="174">
          <cell r="B174">
            <v>16</v>
          </cell>
        </row>
        <row r="175">
          <cell r="B175">
            <v>38</v>
          </cell>
        </row>
        <row r="176">
          <cell r="B176">
            <v>39</v>
          </cell>
        </row>
        <row r="177">
          <cell r="B177">
            <v>47</v>
          </cell>
        </row>
        <row r="178">
          <cell r="B178">
            <v>33</v>
          </cell>
        </row>
        <row r="179">
          <cell r="B179">
            <v>28</v>
          </cell>
        </row>
        <row r="180">
          <cell r="B180">
            <v>55</v>
          </cell>
        </row>
        <row r="181">
          <cell r="B181">
            <v>79</v>
          </cell>
        </row>
        <row r="182">
          <cell r="B182">
            <v>44</v>
          </cell>
        </row>
        <row r="183">
          <cell r="B183">
            <v>82</v>
          </cell>
        </row>
        <row r="184">
          <cell r="B184">
            <v>80</v>
          </cell>
        </row>
        <row r="185">
          <cell r="B185">
            <v>105</v>
          </cell>
        </row>
        <row r="186">
          <cell r="B186">
            <v>36</v>
          </cell>
        </row>
        <row r="187">
          <cell r="B187">
            <v>27</v>
          </cell>
        </row>
        <row r="188">
          <cell r="B188">
            <v>32</v>
          </cell>
        </row>
        <row r="189">
          <cell r="B189">
            <v>58</v>
          </cell>
        </row>
        <row r="190">
          <cell r="B190">
            <v>68</v>
          </cell>
        </row>
        <row r="191">
          <cell r="B191">
            <v>90.85</v>
          </cell>
        </row>
        <row r="192">
          <cell r="B192">
            <v>134.62</v>
          </cell>
        </row>
        <row r="193">
          <cell r="B193">
            <v>136.19999999999999</v>
          </cell>
        </row>
        <row r="194">
          <cell r="B194">
            <v>126.05</v>
          </cell>
        </row>
        <row r="195">
          <cell r="B195">
            <v>132.9</v>
          </cell>
        </row>
        <row r="196">
          <cell r="B196">
            <v>121.03</v>
          </cell>
        </row>
        <row r="197">
          <cell r="B197">
            <v>84.59</v>
          </cell>
        </row>
        <row r="198">
          <cell r="B198">
            <v>65</v>
          </cell>
        </row>
        <row r="199">
          <cell r="B199">
            <v>30</v>
          </cell>
        </row>
        <row r="200">
          <cell r="B200">
            <v>80</v>
          </cell>
        </row>
        <row r="201">
          <cell r="B201">
            <v>94</v>
          </cell>
        </row>
        <row r="202">
          <cell r="B202">
            <v>55</v>
          </cell>
        </row>
        <row r="203">
          <cell r="B203">
            <v>56</v>
          </cell>
        </row>
        <row r="204">
          <cell r="B204">
            <v>76</v>
          </cell>
        </row>
        <row r="205">
          <cell r="B205">
            <v>73</v>
          </cell>
        </row>
        <row r="206">
          <cell r="B206">
            <v>68</v>
          </cell>
        </row>
        <row r="207">
          <cell r="B207">
            <v>60</v>
          </cell>
        </row>
        <row r="208">
          <cell r="B208">
            <v>40</v>
          </cell>
        </row>
        <row r="209">
          <cell r="B209">
            <v>48</v>
          </cell>
        </row>
        <row r="210">
          <cell r="B210">
            <v>60.83</v>
          </cell>
        </row>
        <row r="211">
          <cell r="B211">
            <v>47.28</v>
          </cell>
        </row>
        <row r="212">
          <cell r="B212">
            <v>68.19</v>
          </cell>
        </row>
        <row r="213">
          <cell r="B213">
            <v>91.57</v>
          </cell>
        </row>
        <row r="214">
          <cell r="B214">
            <v>122.35</v>
          </cell>
        </row>
        <row r="215">
          <cell r="B215">
            <v>129.16</v>
          </cell>
        </row>
        <row r="216">
          <cell r="B216">
            <v>114.53</v>
          </cell>
        </row>
        <row r="217">
          <cell r="B217">
            <v>109.06</v>
          </cell>
        </row>
        <row r="218">
          <cell r="B218">
            <v>116.88</v>
          </cell>
        </row>
        <row r="219">
          <cell r="B219">
            <v>116.95</v>
          </cell>
        </row>
        <row r="220">
          <cell r="B220">
            <v>98.44</v>
          </cell>
        </row>
        <row r="221">
          <cell r="B221">
            <v>55.23</v>
          </cell>
        </row>
        <row r="222">
          <cell r="B222">
            <v>37.909999999999997</v>
          </cell>
        </row>
        <row r="223">
          <cell r="B223">
            <v>69</v>
          </cell>
        </row>
        <row r="224">
          <cell r="B224">
            <v>129.93</v>
          </cell>
        </row>
        <row r="225">
          <cell r="B225">
            <v>119.74</v>
          </cell>
        </row>
        <row r="226">
          <cell r="B226">
            <v>130.58000000000001</v>
          </cell>
        </row>
        <row r="227">
          <cell r="B227">
            <v>152.97</v>
          </cell>
        </row>
        <row r="228">
          <cell r="B228">
            <v>157.13</v>
          </cell>
        </row>
        <row r="229">
          <cell r="B229">
            <v>142.85</v>
          </cell>
        </row>
        <row r="230">
          <cell r="B230">
            <v>83.64</v>
          </cell>
        </row>
        <row r="231">
          <cell r="B231">
            <v>159.29</v>
          </cell>
        </row>
        <row r="232">
          <cell r="B232">
            <v>140.78</v>
          </cell>
        </row>
        <row r="233">
          <cell r="B233">
            <v>127.85</v>
          </cell>
        </row>
        <row r="234">
          <cell r="B234">
            <v>128.03</v>
          </cell>
        </row>
        <row r="235">
          <cell r="B235">
            <v>102.36</v>
          </cell>
        </row>
        <row r="236">
          <cell r="B236">
            <v>100.98</v>
          </cell>
        </row>
        <row r="237">
          <cell r="B237">
            <v>116.42</v>
          </cell>
        </row>
        <row r="238">
          <cell r="B238">
            <v>101.31005859375</v>
          </cell>
        </row>
        <row r="239">
          <cell r="B239">
            <v>108.282958984375</v>
          </cell>
        </row>
        <row r="240">
          <cell r="B240">
            <v>101.530029296875</v>
          </cell>
        </row>
        <row r="241">
          <cell r="B241">
            <v>107.96</v>
          </cell>
        </row>
        <row r="242">
          <cell r="B242">
            <v>96.17</v>
          </cell>
        </row>
        <row r="243">
          <cell r="B243">
            <v>100.71</v>
          </cell>
        </row>
        <row r="244">
          <cell r="B244">
            <v>75.10009765625</v>
          </cell>
        </row>
        <row r="245">
          <cell r="B245">
            <v>85.650146484375</v>
          </cell>
        </row>
        <row r="246">
          <cell r="B246">
            <v>95.188333333333389</v>
          </cell>
        </row>
        <row r="247">
          <cell r="B247">
            <v>53.819999999999936</v>
          </cell>
        </row>
        <row r="248">
          <cell r="B248">
            <v>83.11</v>
          </cell>
        </row>
        <row r="249">
          <cell r="B249">
            <v>120.72</v>
          </cell>
        </row>
        <row r="250">
          <cell r="B250">
            <v>102.51964195412279</v>
          </cell>
        </row>
        <row r="251">
          <cell r="B251">
            <v>109.85892381575638</v>
          </cell>
        </row>
        <row r="252">
          <cell r="B252">
            <v>118.13</v>
          </cell>
        </row>
        <row r="253">
          <cell r="B253">
            <v>108.21</v>
          </cell>
        </row>
        <row r="254">
          <cell r="B254">
            <v>124.46</v>
          </cell>
        </row>
        <row r="255">
          <cell r="B255">
            <v>114.98</v>
          </cell>
        </row>
        <row r="256">
          <cell r="B256">
            <v>100.08</v>
          </cell>
        </row>
        <row r="257">
          <cell r="B257">
            <v>99.18</v>
          </cell>
        </row>
        <row r="258">
          <cell r="B258">
            <v>109</v>
          </cell>
        </row>
        <row r="259">
          <cell r="B259">
            <v>93.39</v>
          </cell>
        </row>
        <row r="260">
          <cell r="B260">
            <v>131.41</v>
          </cell>
        </row>
        <row r="261">
          <cell r="B261">
            <v>138.44999999999999</v>
          </cell>
        </row>
        <row r="262">
          <cell r="B262">
            <v>129.75</v>
          </cell>
        </row>
        <row r="263">
          <cell r="B263">
            <v>110.15</v>
          </cell>
        </row>
        <row r="264">
          <cell r="B264">
            <v>86.754540830143696</v>
          </cell>
        </row>
        <row r="265">
          <cell r="B265">
            <v>101.86899900356093</v>
          </cell>
        </row>
        <row r="266">
          <cell r="B266">
            <v>73.455392023463219</v>
          </cell>
        </row>
        <row r="267">
          <cell r="B267">
            <v>80.385273001550331</v>
          </cell>
        </row>
        <row r="268">
          <cell r="B268">
            <v>87.207244968589521</v>
          </cell>
        </row>
        <row r="269">
          <cell r="B269">
            <v>75.634753488699971</v>
          </cell>
        </row>
        <row r="270">
          <cell r="B270">
            <v>227.95051681497193</v>
          </cell>
        </row>
        <row r="271">
          <cell r="B271">
            <v>85.328000000000003</v>
          </cell>
        </row>
        <row r="272">
          <cell r="B272">
            <v>122.631</v>
          </cell>
        </row>
        <row r="273">
          <cell r="B273">
            <v>216.88422028148534</v>
          </cell>
        </row>
        <row r="274">
          <cell r="B274">
            <v>174.67826625670898</v>
          </cell>
        </row>
        <row r="275">
          <cell r="B275">
            <v>271.87014493241782</v>
          </cell>
        </row>
        <row r="276">
          <cell r="B276">
            <v>122.929</v>
          </cell>
        </row>
        <row r="277">
          <cell r="B277">
            <v>141.64099999999999</v>
          </cell>
        </row>
        <row r="278">
          <cell r="B278">
            <v>105.514</v>
          </cell>
        </row>
        <row r="279">
          <cell r="B279">
            <v>115.738</v>
          </cell>
        </row>
        <row r="280">
          <cell r="B280">
            <v>132.672888</v>
          </cell>
        </row>
        <row r="281">
          <cell r="B281">
            <v>126.211</v>
          </cell>
        </row>
        <row r="282">
          <cell r="B282">
            <v>63.920999999999999</v>
          </cell>
        </row>
        <row r="283">
          <cell r="B283">
            <v>59.081998216759644</v>
          </cell>
        </row>
        <row r="284">
          <cell r="B284">
            <v>68.572284573221395</v>
          </cell>
        </row>
        <row r="285">
          <cell r="B285">
            <v>101.556</v>
          </cell>
        </row>
        <row r="286">
          <cell r="B286">
            <v>121.788</v>
          </cell>
        </row>
        <row r="287">
          <cell r="B287">
            <v>125.13800000000001</v>
          </cell>
        </row>
        <row r="288">
          <cell r="B288">
            <v>132.958</v>
          </cell>
        </row>
        <row r="289">
          <cell r="B289">
            <v>133.40799999999999</v>
          </cell>
        </row>
        <row r="290">
          <cell r="B290">
            <v>131.62100000000001</v>
          </cell>
        </row>
        <row r="291">
          <cell r="B291">
            <v>167.27600000000001</v>
          </cell>
        </row>
        <row r="292">
          <cell r="B292">
            <v>113.45</v>
          </cell>
        </row>
        <row r="293">
          <cell r="B293">
            <v>119.591805422766</v>
          </cell>
        </row>
        <row r="294">
          <cell r="B294">
            <v>95.943749308474011</v>
          </cell>
        </row>
        <row r="295">
          <cell r="B295">
            <v>66.343073137521245</v>
          </cell>
        </row>
        <row r="296">
          <cell r="B296">
            <v>190.37899999999999</v>
          </cell>
        </row>
        <row r="297">
          <cell r="B297">
            <v>155.17699999999999</v>
          </cell>
        </row>
        <row r="298">
          <cell r="B298">
            <v>171.66900000000001</v>
          </cell>
        </row>
        <row r="299">
          <cell r="B299">
            <v>195.203</v>
          </cell>
        </row>
        <row r="300">
          <cell r="B300">
            <v>164.44</v>
          </cell>
        </row>
        <row r="301">
          <cell r="B301">
            <v>174.27099999999999</v>
          </cell>
        </row>
        <row r="302">
          <cell r="B302">
            <v>161.12799999999999</v>
          </cell>
        </row>
        <row r="303">
          <cell r="B303">
            <v>165.429</v>
          </cell>
        </row>
        <row r="304">
          <cell r="B304">
            <v>137.553</v>
          </cell>
        </row>
        <row r="305">
          <cell r="B305">
            <v>150.333786</v>
          </cell>
        </row>
        <row r="306">
          <cell r="B306">
            <v>152.648</v>
          </cell>
        </row>
        <row r="307">
          <cell r="B307">
            <v>129.77799999999999</v>
          </cell>
        </row>
        <row r="308">
          <cell r="B308">
            <v>144.564888</v>
          </cell>
        </row>
        <row r="309">
          <cell r="B309">
            <v>175.02799999999999</v>
          </cell>
        </row>
        <row r="310">
          <cell r="B310">
            <v>157.65700000000001</v>
          </cell>
        </row>
        <row r="311">
          <cell r="B311">
            <v>162.12700000000001</v>
          </cell>
        </row>
        <row r="312">
          <cell r="B312">
            <v>139.11799999999999</v>
          </cell>
        </row>
        <row r="313">
          <cell r="B313">
            <v>168.06899999999999</v>
          </cell>
        </row>
        <row r="314">
          <cell r="B314">
            <v>127.221</v>
          </cell>
        </row>
        <row r="315">
          <cell r="B315">
            <v>138.16900000000001</v>
          </cell>
        </row>
        <row r="316">
          <cell r="B316">
            <v>133.52581860145111</v>
          </cell>
        </row>
        <row r="317">
          <cell r="B317">
            <v>127.72090783186732</v>
          </cell>
        </row>
        <row r="318">
          <cell r="B318">
            <v>116.35731221507388</v>
          </cell>
        </row>
        <row r="319">
          <cell r="B319">
            <v>92.954847082520459</v>
          </cell>
        </row>
        <row r="320">
          <cell r="B320">
            <v>139.69615775896165</v>
          </cell>
        </row>
        <row r="321">
          <cell r="B321">
            <v>178.26132361747801</v>
          </cell>
        </row>
        <row r="322">
          <cell r="B322">
            <v>165.37340912870323</v>
          </cell>
        </row>
        <row r="323">
          <cell r="B323">
            <v>195.16619522645374</v>
          </cell>
        </row>
        <row r="324">
          <cell r="B324">
            <v>137.09786407173041</v>
          </cell>
        </row>
        <row r="325">
          <cell r="B325">
            <v>162.85516448808028</v>
          </cell>
        </row>
        <row r="326">
          <cell r="B326">
            <v>133.5154128090453</v>
          </cell>
        </row>
      </sheetData>
      <sheetData sheetId="9" refreshError="1"/>
      <sheetData sheetId="10"/>
      <sheetData sheetId="11" refreshError="1"/>
      <sheetData sheetId="12" refreshError="1"/>
      <sheetData sheetId="13">
        <row r="2">
          <cell r="C2">
            <v>10940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  <sheetData sheetId="36"/>
      <sheetData sheetId="37" refreshError="1"/>
      <sheetData sheetId="38"/>
      <sheetData sheetId="39"/>
      <sheetData sheetId="40"/>
      <sheetData sheetId="41" refreshError="1"/>
      <sheetData sheetId="42"/>
      <sheetData sheetId="43" refreshError="1"/>
      <sheetData sheetId="44"/>
      <sheetData sheetId="45" refreshError="1"/>
      <sheetData sheetId="46"/>
      <sheetData sheetId="47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D0EA-B6C2-4ED2-B7A6-B6556429FD5F}">
  <dimension ref="A1:I11"/>
  <sheetViews>
    <sheetView tabSelected="1" zoomScale="130" zoomScaleNormal="130" workbookViewId="0">
      <selection activeCell="G6" sqref="G6"/>
    </sheetView>
  </sheetViews>
  <sheetFormatPr defaultRowHeight="11.25"/>
  <cols>
    <col min="1" max="16384" width="9.140625" style="1"/>
  </cols>
  <sheetData>
    <row r="1" spans="1:9" ht="33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>
        <f>[1]Forecasts!A31</f>
        <v>45778</v>
      </c>
      <c r="B2" s="5">
        <f>[1]Forecasts!B31</f>
        <v>42.5</v>
      </c>
      <c r="C2" s="5">
        <f>[1]Forecasts!C31</f>
        <v>39.75</v>
      </c>
      <c r="D2" s="5">
        <f>[1]Forecasts!D31</f>
        <v>46</v>
      </c>
      <c r="E2" s="5">
        <f>[1]Forecasts!E31</f>
        <v>42.875</v>
      </c>
      <c r="F2" s="5">
        <f>[1]Forecasts!F31</f>
        <v>42.71</v>
      </c>
    </row>
    <row r="3" spans="1:9">
      <c r="A3" s="4">
        <f>[1]Forecasts!A32</f>
        <v>45839</v>
      </c>
      <c r="B3" s="5">
        <f>[1]Forecasts!B32</f>
        <v>44.5</v>
      </c>
      <c r="C3" s="5">
        <f>[1]Forecasts!C32</f>
        <v>41.5</v>
      </c>
      <c r="D3" s="5">
        <f>[1]Forecasts!D32</f>
        <v>47.75</v>
      </c>
      <c r="E3" s="5">
        <f>[1]Forecasts!E32</f>
        <v>44.625</v>
      </c>
      <c r="F3" s="5">
        <f>[1]Forecasts!F32</f>
        <v>43.2</v>
      </c>
      <c r="G3" s="6"/>
      <c r="H3" s="6"/>
      <c r="I3" s="7"/>
    </row>
    <row r="4" spans="1:9">
      <c r="A4" s="4">
        <f>[1]Forecasts!A33</f>
        <v>45870</v>
      </c>
      <c r="B4" s="5">
        <f>[1]Forecasts!B33</f>
        <v>44.75</v>
      </c>
      <c r="C4" s="5">
        <f>[1]Forecasts!C33</f>
        <v>42.75</v>
      </c>
      <c r="D4" s="5">
        <f>[1]Forecasts!D33</f>
        <v>47.25</v>
      </c>
      <c r="E4" s="5">
        <f>[1]Forecasts!E33</f>
        <v>45</v>
      </c>
      <c r="F4" s="5">
        <f>[1]Forecasts!F33</f>
        <v>43.26</v>
      </c>
      <c r="G4" s="6">
        <f>F4-F3</f>
        <v>5.9999999999995168E-2</v>
      </c>
      <c r="H4" s="6">
        <f>[1]Forecasts!H33</f>
        <v>0.32134768958333332</v>
      </c>
      <c r="I4" s="7">
        <f t="shared" ref="I4:I10" si="0">G4/H4</f>
        <v>0.18671364987186473</v>
      </c>
    </row>
    <row r="5" spans="1:9">
      <c r="A5" s="4">
        <f>[1]Forecasts!A34</f>
        <v>45901</v>
      </c>
      <c r="B5" s="5">
        <f>[1]Forecasts!B34</f>
        <v>43.75</v>
      </c>
      <c r="C5" s="5">
        <f>[1]Forecasts!C34</f>
        <v>41.75</v>
      </c>
      <c r="D5" s="5">
        <f>[1]Forecasts!D34</f>
        <v>45.5</v>
      </c>
      <c r="E5" s="5">
        <f>[1]Forecasts!E34</f>
        <v>43.625</v>
      </c>
      <c r="F5" s="5">
        <f>[1]Forecasts!F34</f>
        <v>43.2</v>
      </c>
      <c r="G5" s="6">
        <f>F5-F4</f>
        <v>-5.9999999999995168E-2</v>
      </c>
      <c r="H5" s="6">
        <f>[1]Forecasts!H34</f>
        <v>0.31624494791666669</v>
      </c>
      <c r="I5" s="7">
        <f t="shared" si="0"/>
        <v>-0.18972635103029598</v>
      </c>
    </row>
    <row r="6" spans="1:9">
      <c r="A6" s="4">
        <f>[1]Forecasts!A35</f>
        <v>45931</v>
      </c>
      <c r="B6" s="5">
        <f>[1]Forecasts!B35</f>
        <v>41</v>
      </c>
      <c r="C6" s="5">
        <f>[1]Forecasts!C35</f>
        <v>39.25</v>
      </c>
      <c r="D6" s="5">
        <f>[1]Forecasts!D35</f>
        <v>43</v>
      </c>
      <c r="E6" s="5">
        <f>[1]Forecasts!E35</f>
        <v>41.125</v>
      </c>
      <c r="F6" s="5">
        <f>[1]Forecasts!F35</f>
        <v>43.07</v>
      </c>
      <c r="G6" s="6">
        <f>F6-F5</f>
        <v>-0.13000000000000256</v>
      </c>
      <c r="H6" s="6">
        <f>[1]Forecasts!H35</f>
        <v>0.29921240833333329</v>
      </c>
      <c r="I6" s="7">
        <f t="shared" si="0"/>
        <v>-0.43447396023489082</v>
      </c>
    </row>
    <row r="7" spans="1:9">
      <c r="A7" s="4">
        <f>[1]Forecasts!A36</f>
        <v>45992</v>
      </c>
      <c r="B7" s="5">
        <f>[1]Forecasts!B36</f>
        <v>41.75</v>
      </c>
      <c r="C7" s="5">
        <f>[1]Forecasts!C36</f>
        <v>39.25</v>
      </c>
      <c r="D7" s="5">
        <f>[1]Forecasts!D36</f>
        <v>44.25</v>
      </c>
      <c r="E7" s="5">
        <f>[1]Forecasts!E36</f>
        <v>41.75</v>
      </c>
      <c r="F7" s="5">
        <f>[1]Forecasts!F36</f>
        <v>43.2</v>
      </c>
      <c r="G7" s="6">
        <f>F7-F6</f>
        <v>0.13000000000000256</v>
      </c>
      <c r="H7" s="6">
        <f>[1]Forecasts!H36</f>
        <v>0.39603946458333333</v>
      </c>
      <c r="I7" s="7">
        <f t="shared" si="0"/>
        <v>0.32825011552011224</v>
      </c>
    </row>
    <row r="8" spans="1:9">
      <c r="A8" s="4">
        <f>[1]Forecasts!A37</f>
        <v>46023</v>
      </c>
      <c r="B8" s="5">
        <f>[1]Forecasts!B37</f>
        <v>43</v>
      </c>
      <c r="C8" s="5">
        <f>[1]Forecasts!C37</f>
        <v>41</v>
      </c>
      <c r="D8" s="5">
        <f>[1]Forecasts!D37</f>
        <v>44.75</v>
      </c>
      <c r="E8" s="5">
        <f>[1]Forecasts!E37</f>
        <v>42.875</v>
      </c>
      <c r="F8" s="5">
        <f>[1]Forecasts!F37</f>
        <v>43.34</v>
      </c>
      <c r="G8" s="6">
        <f t="shared" ref="G8:G10" si="1">F8-F7</f>
        <v>0.14000000000000057</v>
      </c>
      <c r="H8" s="6">
        <f>[1]Forecasts!H37</f>
        <v>0.31241789166666667</v>
      </c>
      <c r="I8" s="7">
        <f t="shared" si="0"/>
        <v>0.44811774144284011</v>
      </c>
    </row>
    <row r="9" spans="1:9">
      <c r="A9" s="4">
        <f>[1]Forecasts!A38</f>
        <v>46082</v>
      </c>
      <c r="B9" s="5">
        <f>[1]Forecasts!B38</f>
        <v>41.5</v>
      </c>
      <c r="C9" s="5">
        <f>[1]Forecasts!C38</f>
        <v>39.25</v>
      </c>
      <c r="D9" s="5">
        <f>[1]Forecasts!D38</f>
        <v>44.25</v>
      </c>
      <c r="E9" s="5">
        <f>[1]Forecasts!E38</f>
        <v>41.75</v>
      </c>
      <c r="F9" s="5">
        <f>[1]Forecasts!F38</f>
        <v>43.5</v>
      </c>
      <c r="G9" s="6">
        <f t="shared" si="1"/>
        <v>0.15999999999999659</v>
      </c>
      <c r="H9" s="6">
        <f>[1]Forecasts!H38</f>
        <v>0.38876377916666666</v>
      </c>
      <c r="I9" s="7">
        <f t="shared" si="0"/>
        <v>0.41156097500380329</v>
      </c>
    </row>
    <row r="10" spans="1:9">
      <c r="A10" s="4">
        <f>[1]Forecasts!A39</f>
        <v>46143</v>
      </c>
      <c r="B10" s="5">
        <f>[1]Forecasts!B39</f>
        <v>42.25</v>
      </c>
      <c r="C10" s="5">
        <f>[1]Forecasts!C39</f>
        <v>39.25</v>
      </c>
      <c r="D10" s="5">
        <f>[1]Forecasts!D39</f>
        <v>46</v>
      </c>
      <c r="E10" s="5">
        <f>[1]Forecasts!E39</f>
        <v>42.625</v>
      </c>
      <c r="F10" s="5">
        <f>[1]Forecasts!F39</f>
        <v>43.7</v>
      </c>
      <c r="G10" s="6">
        <f t="shared" si="1"/>
        <v>0.20000000000000284</v>
      </c>
      <c r="H10" s="6">
        <f>[1]Forecasts!H39</f>
        <v>0.39859083541666662</v>
      </c>
      <c r="I10" s="7">
        <f t="shared" si="0"/>
        <v>0.50176768312029296</v>
      </c>
    </row>
    <row r="11" spans="1:9">
      <c r="A11" s="4"/>
      <c r="B11" s="5"/>
      <c r="C11" s="5"/>
      <c r="D11" s="5"/>
      <c r="E11" s="5"/>
      <c r="F11" s="5"/>
      <c r="G11" s="6"/>
      <c r="H11" s="6"/>
      <c r="I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9FD0-0F24-4B54-AD65-E9163D8C11A9}">
  <dimension ref="A1:G16"/>
  <sheetViews>
    <sheetView zoomScale="130" zoomScaleNormal="130" workbookViewId="0">
      <selection activeCell="G6" sqref="G6"/>
    </sheetView>
  </sheetViews>
  <sheetFormatPr defaultColWidth="9.140625" defaultRowHeight="11.25"/>
  <cols>
    <col min="1" max="16384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4">
        <v>45748</v>
      </c>
      <c r="B2" s="8">
        <f>'[2]Canola Complex'!$BN454</f>
        <v>57.829900447903142</v>
      </c>
      <c r="C2" s="8">
        <f t="shared" ref="C2:C13" si="0">B2-(G2/2)</f>
        <v>50.454900447903142</v>
      </c>
      <c r="D2" s="8">
        <f t="shared" ref="D2:D13" si="1">B2+(G2/2)</f>
        <v>65.204900447903142</v>
      </c>
      <c r="F2" s="8">
        <f t="shared" ref="F2:F13" si="2">D2-C2</f>
        <v>14.75</v>
      </c>
      <c r="G2" s="8">
        <f>'[2]Canola Complex'!$CK454</f>
        <v>14.75</v>
      </c>
    </row>
    <row r="3" spans="1:7">
      <c r="A3" s="4">
        <v>45778</v>
      </c>
      <c r="B3" s="8">
        <f>'[2]Canola Complex'!$BN455</f>
        <v>57.479706844274396</v>
      </c>
      <c r="C3" s="8">
        <f t="shared" si="0"/>
        <v>49.479706844274396</v>
      </c>
      <c r="D3" s="8">
        <f t="shared" si="1"/>
        <v>65.479706844274403</v>
      </c>
      <c r="F3" s="8">
        <f t="shared" si="2"/>
        <v>16.000000000000007</v>
      </c>
      <c r="G3" s="8">
        <f>'[2]Canola Complex'!$CK455</f>
        <v>16</v>
      </c>
    </row>
    <row r="4" spans="1:7">
      <c r="A4" s="4">
        <v>45809</v>
      </c>
      <c r="B4" s="8">
        <f>'[2]Canola Complex'!$BN456</f>
        <v>58.021444074428331</v>
      </c>
      <c r="C4" s="8">
        <f t="shared" si="0"/>
        <v>50.646444074428331</v>
      </c>
      <c r="D4" s="8">
        <f t="shared" si="1"/>
        <v>65.396444074428331</v>
      </c>
      <c r="F4" s="8">
        <f t="shared" si="2"/>
        <v>14.75</v>
      </c>
      <c r="G4" s="8">
        <f>'[2]Canola Complex'!$CK456</f>
        <v>14.75</v>
      </c>
    </row>
    <row r="5" spans="1:7">
      <c r="A5" s="4">
        <v>45839</v>
      </c>
      <c r="B5" s="8">
        <f>'[2]Canola Complex'!$BN457</f>
        <v>58.40513083486654</v>
      </c>
      <c r="C5" s="8">
        <f t="shared" si="0"/>
        <v>52.53013083486654</v>
      </c>
      <c r="D5" s="8">
        <f t="shared" si="1"/>
        <v>64.28013083486654</v>
      </c>
      <c r="F5" s="8">
        <f t="shared" si="2"/>
        <v>11.75</v>
      </c>
      <c r="G5" s="8">
        <f>'[2]Canola Complex'!$CK457</f>
        <v>11.75</v>
      </c>
    </row>
    <row r="6" spans="1:7">
      <c r="A6" s="4">
        <v>45870</v>
      </c>
      <c r="B6" s="8">
        <f>'[2]Canola Complex'!$BN458</f>
        <v>56.404825323192064</v>
      </c>
      <c r="C6" s="8">
        <f t="shared" si="0"/>
        <v>50.529825323192064</v>
      </c>
      <c r="D6" s="8">
        <f t="shared" si="1"/>
        <v>62.279825323192064</v>
      </c>
      <c r="F6" s="8">
        <f t="shared" si="2"/>
        <v>11.75</v>
      </c>
      <c r="G6" s="8">
        <f>'[2]Canola Complex'!$CK458</f>
        <v>11.75</v>
      </c>
    </row>
    <row r="7" spans="1:7">
      <c r="A7" s="4">
        <v>45901</v>
      </c>
      <c r="B7" s="8">
        <f>'[2]Canola Complex'!$BN459</f>
        <v>54.949331125881649</v>
      </c>
      <c r="C7" s="8">
        <f t="shared" si="0"/>
        <v>49.824331125881649</v>
      </c>
      <c r="D7" s="8">
        <f t="shared" si="1"/>
        <v>60.074331125881649</v>
      </c>
      <c r="F7" s="8">
        <f t="shared" si="2"/>
        <v>10.25</v>
      </c>
      <c r="G7" s="8">
        <f>'[2]Canola Complex'!$CK459</f>
        <v>10.25</v>
      </c>
    </row>
    <row r="8" spans="1:7">
      <c r="A8" s="4">
        <v>45931</v>
      </c>
      <c r="B8" s="8">
        <f>'[2]Canola Complex'!$BO448</f>
        <v>53.876175319263432</v>
      </c>
      <c r="C8" s="8">
        <f t="shared" si="0"/>
        <v>49.126175319263432</v>
      </c>
      <c r="D8" s="8">
        <f t="shared" si="1"/>
        <v>58.626175319263432</v>
      </c>
      <c r="F8" s="8">
        <f t="shared" si="2"/>
        <v>9.5</v>
      </c>
      <c r="G8" s="8">
        <f>'[2]Canola Complex'!$CK448</f>
        <v>9.5</v>
      </c>
    </row>
    <row r="9" spans="1:7">
      <c r="A9" s="4">
        <v>45962</v>
      </c>
      <c r="B9" s="8">
        <f>'[2]Canola Complex'!$BO449</f>
        <v>55.250594428696303</v>
      </c>
      <c r="C9" s="8">
        <f t="shared" si="0"/>
        <v>49.875594428696303</v>
      </c>
      <c r="D9" s="8">
        <f t="shared" si="1"/>
        <v>60.625594428696303</v>
      </c>
      <c r="F9" s="8">
        <f t="shared" si="2"/>
        <v>10.75</v>
      </c>
      <c r="G9" s="8">
        <f>'[2]Canola Complex'!$CK449</f>
        <v>10.75</v>
      </c>
    </row>
    <row r="10" spans="1:7">
      <c r="A10" s="4">
        <v>45992</v>
      </c>
      <c r="B10" s="8">
        <f>'[2]Canola Complex'!$BO450</f>
        <v>55.205570090396343</v>
      </c>
      <c r="C10" s="8">
        <f t="shared" si="0"/>
        <v>50.580570090396343</v>
      </c>
      <c r="D10" s="8">
        <f t="shared" si="1"/>
        <v>59.830570090396343</v>
      </c>
      <c r="F10" s="8">
        <f t="shared" si="2"/>
        <v>9.25</v>
      </c>
      <c r="G10" s="8">
        <f>'[2]Canola Complex'!$CK450</f>
        <v>9.25</v>
      </c>
    </row>
    <row r="11" spans="1:7">
      <c r="A11" s="4">
        <v>46023</v>
      </c>
      <c r="B11" s="8">
        <f>'[2]Canola Complex'!$BO451</f>
        <v>55.540295806561147</v>
      </c>
      <c r="C11" s="8">
        <f t="shared" si="0"/>
        <v>50.415295806561147</v>
      </c>
      <c r="D11" s="8">
        <f t="shared" si="1"/>
        <v>60.665295806561147</v>
      </c>
      <c r="F11" s="8">
        <f t="shared" si="2"/>
        <v>10.25</v>
      </c>
      <c r="G11" s="8">
        <f>'[2]Canola Complex'!$CK451</f>
        <v>10.25</v>
      </c>
    </row>
    <row r="12" spans="1:7">
      <c r="A12" s="4">
        <v>46054</v>
      </c>
      <c r="B12" s="8">
        <f>'[2]Canola Complex'!$BO452</f>
        <v>54.665131007160085</v>
      </c>
      <c r="C12" s="8">
        <f t="shared" si="0"/>
        <v>48.540131007160085</v>
      </c>
      <c r="D12" s="8">
        <f t="shared" si="1"/>
        <v>60.790131007160085</v>
      </c>
      <c r="F12" s="8">
        <f t="shared" si="2"/>
        <v>12.25</v>
      </c>
      <c r="G12" s="8">
        <f>'[2]Canola Complex'!$CK452</f>
        <v>12.25</v>
      </c>
    </row>
    <row r="13" spans="1:7">
      <c r="A13" s="4">
        <v>46082</v>
      </c>
      <c r="B13" s="8">
        <f>'[2]Canola Complex'!$BO453</f>
        <v>54.592660487272731</v>
      </c>
      <c r="C13" s="8">
        <f t="shared" si="0"/>
        <v>47.842660487272731</v>
      </c>
      <c r="D13" s="8">
        <f t="shared" si="1"/>
        <v>61.342660487272731</v>
      </c>
      <c r="F13" s="8">
        <f t="shared" si="2"/>
        <v>13.5</v>
      </c>
      <c r="G13" s="8">
        <f>'[2]Canola Complex'!$CK453</f>
        <v>13.5</v>
      </c>
    </row>
    <row r="16" spans="1:7">
      <c r="B16" s="8"/>
      <c r="C16" s="8"/>
      <c r="D16" s="8"/>
      <c r="F16" s="8"/>
      <c r="G1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6AD9-17FF-405A-B0B8-5702B349863A}">
  <dimension ref="A1:G12"/>
  <sheetViews>
    <sheetView zoomScale="130" zoomScaleNormal="130" workbookViewId="0">
      <selection activeCell="G6" sqref="G6"/>
    </sheetView>
  </sheetViews>
  <sheetFormatPr defaultRowHeight="11.25"/>
  <cols>
    <col min="1" max="16384" width="9.140625" style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f>[1]Forecasts!A44</f>
        <v>45748</v>
      </c>
      <c r="B2" s="9">
        <f>[1]Forecasts!B44</f>
        <v>4750</v>
      </c>
      <c r="C2" s="9">
        <f>[1]Forecasts!C44</f>
        <v>4400</v>
      </c>
      <c r="D2" s="9">
        <f>[1]Forecasts!D44</f>
        <v>5100</v>
      </c>
      <c r="E2" s="9">
        <f>[1]Forecasts!E44</f>
        <v>4750</v>
      </c>
      <c r="F2" s="9">
        <f>[1]Forecasts!F44</f>
        <v>4669</v>
      </c>
      <c r="G2" s="9"/>
    </row>
    <row r="3" spans="1:7">
      <c r="A3" s="4">
        <f>[1]Forecasts!A46</f>
        <v>45809</v>
      </c>
      <c r="B3" s="9">
        <f>[1]Forecasts!B45</f>
        <v>4650</v>
      </c>
      <c r="C3" s="9">
        <f>[1]Forecasts!C45</f>
        <v>4300</v>
      </c>
      <c r="D3" s="9">
        <f>[1]Forecasts!D45</f>
        <v>5000</v>
      </c>
      <c r="E3" s="9">
        <f>[1]Forecasts!E45</f>
        <v>4650</v>
      </c>
      <c r="F3" s="9">
        <f>[1]Forecasts!F45</f>
        <v>4529</v>
      </c>
      <c r="G3" s="9">
        <f>[1]Forecasts!G45</f>
        <v>-140</v>
      </c>
    </row>
    <row r="4" spans="1:7">
      <c r="A4" s="4">
        <f>[1]Forecasts!A47</f>
        <v>45839</v>
      </c>
      <c r="B4" s="9">
        <f>[1]Forecasts!B47</f>
        <v>5000</v>
      </c>
      <c r="C4" s="9">
        <f>[1]Forecasts!C47</f>
        <v>4750</v>
      </c>
      <c r="D4" s="9">
        <f>[1]Forecasts!D47</f>
        <v>5250</v>
      </c>
      <c r="E4" s="9">
        <f>[1]Forecasts!E47</f>
        <v>5000</v>
      </c>
      <c r="F4" s="9">
        <f>[1]Forecasts!F47</f>
        <v>4299</v>
      </c>
      <c r="G4" s="9">
        <f>[1]Forecasts!G47</f>
        <v>-114</v>
      </c>
    </row>
    <row r="5" spans="1:7">
      <c r="A5" s="4">
        <f>[1]Forecasts!A48</f>
        <v>45870</v>
      </c>
      <c r="B5" s="9">
        <f>[1]Forecasts!B48</f>
        <v>5100</v>
      </c>
      <c r="C5" s="9">
        <f>[1]Forecasts!C48</f>
        <v>4875</v>
      </c>
      <c r="D5" s="9">
        <f>[1]Forecasts!D48</f>
        <v>5325</v>
      </c>
      <c r="E5" s="9">
        <f>[1]Forecasts!E48</f>
        <v>5100</v>
      </c>
      <c r="F5" s="9">
        <f>[1]Forecasts!F48</f>
        <v>4215</v>
      </c>
      <c r="G5" s="9">
        <f>[1]Forecasts!G48</f>
        <v>-84</v>
      </c>
    </row>
    <row r="6" spans="1:7">
      <c r="A6" s="4">
        <f>[1]Forecasts!A49</f>
        <v>45901</v>
      </c>
      <c r="B6" s="9">
        <f>[1]Forecasts!B49</f>
        <v>5200</v>
      </c>
      <c r="C6" s="9">
        <f>[1]Forecasts!C49</f>
        <v>4975</v>
      </c>
      <c r="D6" s="9">
        <f>[1]Forecasts!D49</f>
        <v>5425</v>
      </c>
      <c r="E6" s="9">
        <f>[1]Forecasts!E49</f>
        <v>5200</v>
      </c>
      <c r="F6" s="9">
        <f>[1]Forecasts!F49</f>
        <v>4163</v>
      </c>
      <c r="G6" s="9">
        <f>[1]Forecasts!G49</f>
        <v>-52</v>
      </c>
    </row>
    <row r="7" spans="1:7">
      <c r="A7" s="4">
        <f>[1]Forecasts!A50</f>
        <v>45931</v>
      </c>
      <c r="B7" s="9">
        <f>[1]Forecasts!B50</f>
        <v>5100</v>
      </c>
      <c r="C7" s="9">
        <f>[1]Forecasts!C50</f>
        <v>4825</v>
      </c>
      <c r="D7" s="9">
        <f>[1]Forecasts!D50</f>
        <v>5375</v>
      </c>
      <c r="E7" s="9">
        <f>[1]Forecasts!E50</f>
        <v>5100</v>
      </c>
      <c r="F7" s="9">
        <f>[1]Forecasts!F50</f>
        <v>4147</v>
      </c>
      <c r="G7" s="9">
        <f>[1]Forecasts!G50</f>
        <v>-16</v>
      </c>
    </row>
    <row r="8" spans="1:7">
      <c r="A8" s="4">
        <f>[1]Forecasts!A51</f>
        <v>45962</v>
      </c>
      <c r="B8" s="9">
        <f>[1]Forecasts!B51</f>
        <v>4900</v>
      </c>
      <c r="C8" s="9">
        <f>[1]Forecasts!C51</f>
        <v>4625</v>
      </c>
      <c r="D8" s="9">
        <f>[1]Forecasts!D51</f>
        <v>5175</v>
      </c>
      <c r="E8" s="9">
        <f>[1]Forecasts!E51</f>
        <v>4900</v>
      </c>
      <c r="F8" s="9">
        <f>[1]Forecasts!F51</f>
        <v>4150</v>
      </c>
      <c r="G8" s="9">
        <f>[1]Forecasts!G51</f>
        <v>3</v>
      </c>
    </row>
    <row r="9" spans="1:7">
      <c r="A9" s="4">
        <f>[1]Forecasts!A52</f>
        <v>45992</v>
      </c>
      <c r="B9" s="9">
        <f>[1]Forecasts!B52</f>
        <v>4800</v>
      </c>
      <c r="C9" s="9">
        <f>[1]Forecasts!C52</f>
        <v>4575</v>
      </c>
      <c r="D9" s="9">
        <f>[1]Forecasts!D52</f>
        <v>5025</v>
      </c>
      <c r="E9" s="9">
        <f>[1]Forecasts!E52</f>
        <v>4800</v>
      </c>
      <c r="F9" s="9">
        <f>[1]Forecasts!F52</f>
        <v>4160</v>
      </c>
      <c r="G9" s="9">
        <f>[1]Forecasts!G52</f>
        <v>10</v>
      </c>
    </row>
    <row r="10" spans="1:7">
      <c r="A10" s="4">
        <f>[1]Forecasts!A53</f>
        <v>46023</v>
      </c>
      <c r="B10" s="9">
        <f>[1]Forecasts!B53</f>
        <v>5200</v>
      </c>
      <c r="C10" s="9">
        <f>[1]Forecasts!C53</f>
        <v>4925</v>
      </c>
      <c r="D10" s="9">
        <f>[1]Forecasts!D53</f>
        <v>5475</v>
      </c>
      <c r="E10" s="9">
        <f>[1]Forecasts!E53</f>
        <v>5200</v>
      </c>
      <c r="F10" s="9">
        <f>[1]Forecasts!F53</f>
        <v>4166</v>
      </c>
      <c r="G10" s="9">
        <f>[1]Forecasts!G53</f>
        <v>6</v>
      </c>
    </row>
    <row r="11" spans="1:7">
      <c r="A11" s="4">
        <f>[1]Forecasts!A54</f>
        <v>46054</v>
      </c>
      <c r="B11" s="9">
        <f>[1]Forecasts!B54</f>
        <v>5100</v>
      </c>
      <c r="C11" s="9">
        <f>[1]Forecasts!C54</f>
        <v>4825</v>
      </c>
      <c r="D11" s="9">
        <f>[1]Forecasts!D54</f>
        <v>5375</v>
      </c>
      <c r="E11" s="9">
        <f>[1]Forecasts!E54</f>
        <v>5100</v>
      </c>
      <c r="F11" s="9">
        <f>[1]Forecasts!F54</f>
        <v>4169</v>
      </c>
      <c r="G11" s="9">
        <f>[1]Forecasts!G54</f>
        <v>3</v>
      </c>
    </row>
    <row r="12" spans="1:7">
      <c r="A12" s="4">
        <f>[1]Forecasts!A55</f>
        <v>46082</v>
      </c>
      <c r="B12" s="9">
        <f>[1]Forecasts!B55</f>
        <v>4900</v>
      </c>
      <c r="C12" s="9">
        <f>[1]Forecasts!C55</f>
        <v>4550</v>
      </c>
      <c r="D12" s="9">
        <f>[1]Forecasts!D55</f>
        <v>5250</v>
      </c>
      <c r="E12" s="9">
        <f>[1]Forecasts!E55</f>
        <v>4900</v>
      </c>
      <c r="F12" s="9">
        <f>[1]Forecasts!F55</f>
        <v>4167</v>
      </c>
      <c r="G12" s="9">
        <f>[1]Forecasts!G55</f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D53C-989C-45EC-93BA-33219B471C96}">
  <dimension ref="A1:Q25"/>
  <sheetViews>
    <sheetView workbookViewId="0">
      <selection activeCell="G6" sqref="G6"/>
    </sheetView>
  </sheetViews>
  <sheetFormatPr defaultColWidth="9.140625" defaultRowHeight="12.75"/>
  <cols>
    <col min="1" max="1" width="22.140625" style="10" bestFit="1" customWidth="1"/>
    <col min="2" max="2" width="7.140625" style="10" bestFit="1" customWidth="1"/>
    <col min="3" max="3" width="9.5703125" style="10" bestFit="1" customWidth="1"/>
    <col min="4" max="4" width="13.5703125" style="10" bestFit="1" customWidth="1"/>
    <col min="5" max="5" width="13.42578125" style="10" bestFit="1" customWidth="1"/>
    <col min="6" max="6" width="9.5703125" style="10" bestFit="1" customWidth="1"/>
    <col min="7" max="7" width="13.5703125" style="10" bestFit="1" customWidth="1"/>
    <col min="8" max="8" width="13.42578125" style="10" bestFit="1" customWidth="1"/>
    <col min="9" max="17" width="12.85546875" style="10" customWidth="1"/>
    <col min="18" max="16384" width="9.140625" style="10"/>
  </cols>
  <sheetData>
    <row r="1" spans="1:17">
      <c r="B1" s="11" t="str">
        <f>'[2]USDA Comp'!$J$37</f>
        <v>22/23</v>
      </c>
      <c r="C1" s="11" t="str">
        <f>_xlfn.CONCAT('[2]USDA Comp'!$K$37," ",'[2]USDA Comp'!$K$38)</f>
        <v>23/24 USDA</v>
      </c>
      <c r="D1" s="10" t="str">
        <f>'[2]USDA Comp'!$L$38</f>
        <v>Change from January</v>
      </c>
      <c r="E1" s="10" t="str">
        <f>_xlfn.CONCAT('[2]USDA Comp'!$K$37," ",'[2]USDA Comp'!$M$38)</f>
        <v>23/24 Fastmarkets</v>
      </c>
      <c r="F1" s="10" t="str">
        <f>_xlfn.CONCAT('[2]USDA Comp'!$N$37," ",'[2]USDA Comp'!$N$38)</f>
        <v>24/25 USDA</v>
      </c>
      <c r="G1" s="10" t="str">
        <f>'[2]USDA Comp'!$O$38</f>
        <v>Change from January</v>
      </c>
      <c r="H1" s="10" t="str">
        <f>_xlfn.CONCAT('[2]USDA Comp'!$N$37," ",'[2]USDA Comp'!$P$38)</f>
        <v>24/25 Fastmarkets</v>
      </c>
    </row>
    <row r="2" spans="1:17">
      <c r="A2" s="12" t="str">
        <f>'[2]USDA Comp'!B40</f>
        <v>Beginning Stocks (October 1)</v>
      </c>
      <c r="B2" s="13">
        <f>'[2]USDA Comp'!$J40</f>
        <v>1991.1480000000001</v>
      </c>
      <c r="C2" s="13">
        <f>'[2]USDA Comp'!$K40</f>
        <v>1607</v>
      </c>
      <c r="D2" s="13">
        <f>'[2]USDA Comp'!$L40</f>
        <v>0</v>
      </c>
      <c r="E2" s="13">
        <f>'[2]USDA Comp'!$M40</f>
        <v>1602.2360000000001</v>
      </c>
      <c r="F2" s="13">
        <f>'[2]USDA Comp'!$N40</f>
        <v>1501</v>
      </c>
      <c r="G2" s="13">
        <f>'[2]USDA Comp'!$O40</f>
        <v>0</v>
      </c>
      <c r="H2" s="13">
        <f>'[2]USDA Comp'!$P40</f>
        <v>1500.8580000000002</v>
      </c>
      <c r="I2" s="11"/>
      <c r="J2" s="11"/>
      <c r="K2" s="11"/>
      <c r="L2" s="11"/>
      <c r="M2" s="11"/>
      <c r="N2" s="11"/>
      <c r="O2" s="11"/>
      <c r="P2" s="14"/>
      <c r="Q2" s="15"/>
    </row>
    <row r="3" spans="1:17">
      <c r="A3" s="12" t="str">
        <f>'[2]USDA Comp'!B41</f>
        <v>Production</v>
      </c>
      <c r="B3" s="13">
        <f>'[2]USDA Comp'!$J41</f>
        <v>26241.309000000001</v>
      </c>
      <c r="C3" s="13">
        <f>'[2]USDA Comp'!$K41</f>
        <v>27129.5</v>
      </c>
      <c r="D3" s="13">
        <f>'[2]USDA Comp'!$L41</f>
        <v>0</v>
      </c>
      <c r="E3" s="13">
        <f>'[2]USDA Comp'!$M41</f>
        <v>27108.617825749523</v>
      </c>
      <c r="F3" s="13">
        <f>'[2]USDA Comp'!$N41</f>
        <v>28680</v>
      </c>
      <c r="G3" s="13">
        <f>'[2]USDA Comp'!$O41</f>
        <v>0</v>
      </c>
      <c r="H3" s="13">
        <f>'[2]USDA Comp'!$P41</f>
        <v>27752.088879999996</v>
      </c>
      <c r="I3" s="11"/>
      <c r="J3" s="11"/>
      <c r="K3" s="11"/>
      <c r="L3" s="11"/>
      <c r="M3" s="11"/>
      <c r="N3" s="11"/>
      <c r="O3" s="11"/>
      <c r="P3" s="14"/>
      <c r="Q3" s="15"/>
    </row>
    <row r="4" spans="1:17">
      <c r="A4" s="12" t="str">
        <f>'[2]USDA Comp'!B42</f>
        <v>Imports</v>
      </c>
      <c r="B4" s="13">
        <f>'[2]USDA Comp'!$J42</f>
        <v>374.64688900000004</v>
      </c>
      <c r="C4" s="13">
        <f>'[2]USDA Comp'!$K42</f>
        <v>620.6</v>
      </c>
      <c r="D4" s="13">
        <f>'[2]USDA Comp'!$L42</f>
        <v>0</v>
      </c>
      <c r="E4" s="13">
        <f>'[2]USDA Comp'!$M42</f>
        <v>621.31669844889984</v>
      </c>
      <c r="F4" s="13">
        <f>'[2]USDA Comp'!$N42</f>
        <v>550</v>
      </c>
      <c r="G4" s="13">
        <f>'[2]USDA Comp'!$O42</f>
        <v>0</v>
      </c>
      <c r="H4" s="13">
        <f>'[2]USDA Comp'!$P42</f>
        <v>550</v>
      </c>
      <c r="I4" s="11"/>
      <c r="J4" s="11"/>
      <c r="K4" s="11"/>
      <c r="L4" s="11"/>
      <c r="M4" s="11"/>
      <c r="N4" s="11"/>
      <c r="O4" s="11"/>
      <c r="P4" s="14"/>
      <c r="Q4" s="15"/>
    </row>
    <row r="5" spans="1:17">
      <c r="A5" s="12" t="str">
        <f>'[2]USDA Comp'!B43</f>
        <v xml:space="preserve">    Total Supply</v>
      </c>
      <c r="B5" s="13">
        <f>'[2]USDA Comp'!$J43</f>
        <v>28607.103889000002</v>
      </c>
      <c r="C5" s="13">
        <f>'[2]USDA Comp'!$K43</f>
        <v>29357.1</v>
      </c>
      <c r="D5" s="13">
        <f>'[2]USDA Comp'!$L43</f>
        <v>0</v>
      </c>
      <c r="E5" s="13">
        <f>'[2]USDA Comp'!$M43</f>
        <v>29332.170524198424</v>
      </c>
      <c r="F5" s="13">
        <f>'[2]USDA Comp'!$N43</f>
        <v>30731</v>
      </c>
      <c r="G5" s="13">
        <f>'[2]USDA Comp'!$O43</f>
        <v>0</v>
      </c>
      <c r="H5" s="13">
        <f>'[2]USDA Comp'!$P43</f>
        <v>29802.946879999996</v>
      </c>
      <c r="I5" s="11"/>
      <c r="J5" s="11"/>
      <c r="K5" s="11"/>
      <c r="L5" s="11"/>
      <c r="M5" s="11"/>
      <c r="N5" s="11"/>
      <c r="O5" s="11"/>
      <c r="P5" s="14"/>
      <c r="Q5" s="15"/>
    </row>
    <row r="6" spans="1:17">
      <c r="A6" s="12" t="str">
        <f>'[2]USDA Comp'!B44</f>
        <v>Domestic Use</v>
      </c>
      <c r="B6" s="13">
        <f>'[2]USDA Comp'!$J44</f>
        <v>26628.559782</v>
      </c>
      <c r="C6" s="13">
        <f>'[2]USDA Comp'!$K44</f>
        <v>27239.1</v>
      </c>
      <c r="D6" s="13">
        <f>'[2]USDA Comp'!$L44</f>
        <v>0</v>
      </c>
      <c r="E6" s="13">
        <f>'[2]USDA Comp'!$M44</f>
        <v>27217.218906198425</v>
      </c>
      <c r="F6" s="13">
        <f>'[2]USDA Comp'!$N44</f>
        <v>27600</v>
      </c>
      <c r="G6" s="13">
        <f>'[2]USDA Comp'!$O44</f>
        <v>0</v>
      </c>
      <c r="H6" s="13">
        <f>'[2]USDA Comp'!$P44</f>
        <v>26061.473592659229</v>
      </c>
      <c r="I6" s="11"/>
      <c r="J6" s="11"/>
      <c r="K6" s="11"/>
      <c r="L6" s="11"/>
      <c r="M6" s="11"/>
      <c r="N6" s="11"/>
      <c r="O6" s="11"/>
      <c r="P6" s="14"/>
      <c r="Q6" s="15"/>
    </row>
    <row r="7" spans="1:17">
      <c r="A7" s="12" t="str">
        <f>'[2]USDA Comp'!B45</f>
        <v xml:space="preserve">    Biofuel</v>
      </c>
      <c r="B7" s="13">
        <f>'[2]USDA Comp'!$J45</f>
        <v>12490.714</v>
      </c>
      <c r="C7" s="13">
        <f>'[2]USDA Comp'!$K45</f>
        <v>12988.6</v>
      </c>
      <c r="D7" s="13">
        <f>'[2]USDA Comp'!$L45</f>
        <v>0</v>
      </c>
      <c r="E7" s="13">
        <f>'[2]USDA Comp'!$M45</f>
        <v>12985.676616766599</v>
      </c>
      <c r="F7" s="13">
        <f>'[2]USDA Comp'!$N45</f>
        <v>13600</v>
      </c>
      <c r="G7" s="13">
        <f>'[2]USDA Comp'!$O45</f>
        <v>0</v>
      </c>
      <c r="H7" s="13">
        <f>'[2]USDA Comp'!$P45</f>
        <v>12211.473592659233</v>
      </c>
      <c r="I7" s="11"/>
      <c r="J7" s="11"/>
      <c r="K7" s="11"/>
      <c r="L7" s="11"/>
      <c r="M7" s="11"/>
      <c r="N7" s="11"/>
      <c r="O7" s="11"/>
      <c r="P7" s="14"/>
      <c r="Q7" s="15"/>
    </row>
    <row r="8" spans="1:17">
      <c r="A8" s="12" t="str">
        <f>'[2]USDA Comp'!B46</f>
        <v xml:space="preserve">    Food, Feed and other Industrial</v>
      </c>
      <c r="B8" s="13">
        <f>'[2]USDA Comp'!$J46</f>
        <v>14137.845782</v>
      </c>
      <c r="C8" s="13">
        <f>'[2]USDA Comp'!$K46</f>
        <v>14250.499999999998</v>
      </c>
      <c r="D8" s="13">
        <f>'[2]USDA Comp'!$L46</f>
        <v>0</v>
      </c>
      <c r="E8" s="13">
        <f>'[2]USDA Comp'!$M46</f>
        <v>14231.542289431825</v>
      </c>
      <c r="F8" s="13">
        <f>'[2]USDA Comp'!$N46</f>
        <v>14000</v>
      </c>
      <c r="G8" s="13">
        <f>'[2]USDA Comp'!$O46</f>
        <v>0</v>
      </c>
      <c r="H8" s="13">
        <f>'[2]USDA Comp'!$P46</f>
        <v>13849.999999999996</v>
      </c>
      <c r="I8" s="11"/>
      <c r="J8" s="11"/>
      <c r="K8" s="11"/>
      <c r="L8" s="11"/>
      <c r="M8" s="11"/>
      <c r="N8" s="11"/>
      <c r="O8" s="11"/>
      <c r="P8" s="14"/>
      <c r="Q8" s="15"/>
    </row>
    <row r="9" spans="1:17">
      <c r="A9" s="12" t="str">
        <f>'[2]USDA Comp'!B47</f>
        <v>Exports</v>
      </c>
      <c r="B9" s="13">
        <f>'[2]USDA Comp'!$J47</f>
        <v>376.80810700000001</v>
      </c>
      <c r="C9" s="13">
        <f>'[2]USDA Comp'!$K47</f>
        <v>617</v>
      </c>
      <c r="D9" s="13">
        <f>'[2]USDA Comp'!$L47</f>
        <v>0</v>
      </c>
      <c r="E9" s="13">
        <f>'[2]USDA Comp'!$M47</f>
        <v>614.09361800000011</v>
      </c>
      <c r="F9" s="13">
        <f>'[2]USDA Comp'!$N47</f>
        <v>1600</v>
      </c>
      <c r="G9" s="13">
        <f>'[2]USDA Comp'!$O47</f>
        <v>0</v>
      </c>
      <c r="H9" s="13">
        <f>'[2]USDA Comp'!$P47</f>
        <v>2000</v>
      </c>
      <c r="I9" s="11"/>
      <c r="J9" s="11"/>
      <c r="K9" s="11"/>
      <c r="L9" s="11"/>
      <c r="M9" s="11"/>
      <c r="N9" s="11"/>
      <c r="O9" s="11"/>
      <c r="P9" s="14"/>
      <c r="Q9" s="15"/>
    </row>
    <row r="10" spans="1:17">
      <c r="A10" s="12" t="str">
        <f>'[2]USDA Comp'!B48</f>
        <v xml:space="preserve">    Total Use</v>
      </c>
      <c r="B10" s="13">
        <f>'[2]USDA Comp'!$J48</f>
        <v>27005.367889000001</v>
      </c>
      <c r="C10" s="13">
        <f>'[2]USDA Comp'!$K48</f>
        <v>27856.1</v>
      </c>
      <c r="D10" s="13">
        <f>'[2]USDA Comp'!$L48</f>
        <v>0</v>
      </c>
      <c r="E10" s="13">
        <f>'[2]USDA Comp'!$M48</f>
        <v>27831.312524198423</v>
      </c>
      <c r="F10" s="13">
        <f>'[2]USDA Comp'!$N48</f>
        <v>29200</v>
      </c>
      <c r="G10" s="13">
        <f>'[2]USDA Comp'!$O48</f>
        <v>0</v>
      </c>
      <c r="H10" s="13">
        <f>'[2]USDA Comp'!$P48</f>
        <v>28061.473592659229</v>
      </c>
      <c r="I10" s="11"/>
      <c r="J10" s="11"/>
      <c r="K10" s="11"/>
      <c r="L10" s="11"/>
      <c r="M10" s="11"/>
      <c r="N10" s="11"/>
      <c r="O10" s="11"/>
      <c r="P10" s="14"/>
      <c r="Q10" s="15"/>
    </row>
    <row r="11" spans="1:17">
      <c r="A11" s="12" t="str">
        <f>'[2]USDA Comp'!B49</f>
        <v>Ending Stocks (September 30)</v>
      </c>
      <c r="B11" s="13">
        <f>'[2]USDA Comp'!$J49</f>
        <v>1601.7360000000008</v>
      </c>
      <c r="C11" s="13">
        <f>'[2]USDA Comp'!$K49</f>
        <v>1501</v>
      </c>
      <c r="D11" s="13">
        <f>'[2]USDA Comp'!$L49</f>
        <v>0</v>
      </c>
      <c r="E11" s="13">
        <f>'[2]USDA Comp'!$M49</f>
        <v>1500.8580000000002</v>
      </c>
      <c r="F11" s="13">
        <f>'[2]USDA Comp'!$N49</f>
        <v>1531</v>
      </c>
      <c r="G11" s="13">
        <f>'[2]USDA Comp'!$O49</f>
        <v>0</v>
      </c>
      <c r="H11" s="13">
        <f>'[2]USDA Comp'!$P49</f>
        <v>1741.4732873407665</v>
      </c>
    </row>
    <row r="12" spans="1:17">
      <c r="A12" s="12" t="str">
        <f>'[2]USDA Comp'!B50</f>
        <v>Decatur (crude, ₵/lb)</v>
      </c>
      <c r="B12" s="13">
        <f>'[2]USDA Comp'!$J50</f>
        <v>65.259416666666667</v>
      </c>
      <c r="C12" s="13">
        <f>'[2]USDA Comp'!$K50</f>
        <v>47.28</v>
      </c>
      <c r="D12" s="13">
        <f>'[2]USDA Comp'!$L50</f>
        <v>0</v>
      </c>
      <c r="E12" s="13">
        <f>'[2]USDA Comp'!$M50</f>
        <v>46.9</v>
      </c>
      <c r="F12" s="13">
        <f>'[2]USDA Comp'!$N50</f>
        <v>43</v>
      </c>
      <c r="G12" s="13">
        <f>'[2]USDA Comp'!$O50</f>
        <v>0</v>
      </c>
      <c r="H12" s="13">
        <f>'[2]USDA Comp'!$P50</f>
        <v>44.2</v>
      </c>
    </row>
    <row r="15" spans="1:17">
      <c r="C15" s="13"/>
      <c r="D15" s="13"/>
      <c r="E15" s="13"/>
      <c r="F15" s="13"/>
      <c r="G15" s="13"/>
      <c r="H15" s="13"/>
    </row>
    <row r="16" spans="1:17">
      <c r="C16" s="13"/>
      <c r="D16" s="13"/>
      <c r="E16" s="13"/>
      <c r="F16" s="13"/>
      <c r="G16" s="13"/>
      <c r="H16" s="13"/>
    </row>
    <row r="17" spans="3:8">
      <c r="C17" s="13"/>
      <c r="D17" s="13"/>
      <c r="E17" s="13"/>
      <c r="F17" s="13"/>
      <c r="G17" s="13"/>
      <c r="H17" s="13"/>
    </row>
    <row r="18" spans="3:8">
      <c r="C18" s="13"/>
      <c r="D18" s="13"/>
      <c r="E18" s="13"/>
      <c r="F18" s="13"/>
      <c r="G18" s="13"/>
      <c r="H18" s="13"/>
    </row>
    <row r="19" spans="3:8">
      <c r="C19" s="13"/>
      <c r="D19" s="13"/>
      <c r="E19" s="13"/>
      <c r="F19" s="13"/>
      <c r="G19" s="13"/>
      <c r="H19" s="13"/>
    </row>
    <row r="20" spans="3:8">
      <c r="C20" s="13"/>
      <c r="D20" s="13"/>
      <c r="E20" s="13"/>
      <c r="F20" s="13"/>
      <c r="G20" s="13"/>
      <c r="H20" s="13"/>
    </row>
    <row r="21" spans="3:8">
      <c r="C21" s="13"/>
      <c r="D21" s="13"/>
      <c r="E21" s="13"/>
      <c r="F21" s="13"/>
      <c r="G21" s="13"/>
      <c r="H21" s="13"/>
    </row>
    <row r="22" spans="3:8">
      <c r="C22" s="13"/>
      <c r="D22" s="13"/>
      <c r="E22" s="13"/>
      <c r="F22" s="13"/>
      <c r="G22" s="13"/>
      <c r="H22" s="13"/>
    </row>
    <row r="23" spans="3:8">
      <c r="C23" s="13"/>
      <c r="D23" s="13"/>
      <c r="E23" s="13"/>
      <c r="F23" s="13"/>
      <c r="G23" s="13"/>
      <c r="H23" s="13"/>
    </row>
    <row r="24" spans="3:8">
      <c r="C24" s="13"/>
      <c r="D24" s="13"/>
      <c r="E24" s="13"/>
      <c r="F24" s="13"/>
      <c r="G24" s="13"/>
      <c r="H24" s="13"/>
    </row>
    <row r="25" spans="3:8">
      <c r="C25" s="13"/>
      <c r="D25" s="13"/>
      <c r="E25" s="13"/>
      <c r="F25" s="13"/>
      <c r="G25" s="13"/>
      <c r="H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8B92-AB44-4C7F-A618-A7B922CA8B03}">
  <dimension ref="A1:H12"/>
  <sheetViews>
    <sheetView workbookViewId="0">
      <selection activeCell="G6" sqref="G6"/>
    </sheetView>
  </sheetViews>
  <sheetFormatPr defaultRowHeight="15"/>
  <cols>
    <col min="1" max="1" width="21.28515625" customWidth="1"/>
    <col min="2" max="2" width="6.28515625" bestFit="1" customWidth="1"/>
    <col min="3" max="3" width="9.5703125" bestFit="1" customWidth="1"/>
    <col min="4" max="4" width="13.5703125" bestFit="1" customWidth="1"/>
    <col min="5" max="5" width="13.42578125" bestFit="1" customWidth="1"/>
    <col min="6" max="6" width="9.5703125" bestFit="1" customWidth="1"/>
    <col min="7" max="7" width="13.5703125" bestFit="1" customWidth="1"/>
    <col min="8" max="8" width="13.42578125" bestFit="1" customWidth="1"/>
  </cols>
  <sheetData>
    <row r="1" spans="1:8">
      <c r="A1" s="10"/>
      <c r="B1" s="11" t="str">
        <f>'[2]Canola USDA Comp'!$G$40</f>
        <v>22/23</v>
      </c>
      <c r="C1" s="11" t="str">
        <f>_xlfn.CONCAT('[2]Canola USDA Comp'!$H$40," ",'[2]Canola USDA Comp'!$H$41)</f>
        <v>23/24 USDA</v>
      </c>
      <c r="D1" s="10" t="str">
        <f>'[2]Canola USDA Comp'!$I$41</f>
        <v>Change from January</v>
      </c>
      <c r="E1" s="10" t="str">
        <f>_xlfn.CONCAT('[2]Canola USDA Comp'!$H$40," ",'[2]Canola USDA Comp'!$J$41)</f>
        <v>23/24 Fastmarkets</v>
      </c>
      <c r="F1" s="11" t="str">
        <f>_xlfn.CONCAT('[2]Canola USDA Comp'!$K$40," ",'[2]Canola USDA Comp'!$K$41)</f>
        <v>24/25 USDA</v>
      </c>
      <c r="G1" s="10" t="str">
        <f>'[2]Canola USDA Comp'!$L$41</f>
        <v>Change from January</v>
      </c>
      <c r="H1" s="10" t="str">
        <f>_xlfn.CONCAT('[2]Canola USDA Comp'!$K$40," ",'[2]Canola USDA Comp'!$M$41)</f>
        <v>24/25 Fastmarkets</v>
      </c>
    </row>
    <row r="2" spans="1:8">
      <c r="A2" s="12" t="str">
        <f>'[2]Canola USDA Comp'!B43</f>
        <v>Beginning Stocks (October 1)</v>
      </c>
      <c r="B2" s="13">
        <f>'[2]Canola USDA Comp'!G43</f>
        <v>169.55</v>
      </c>
      <c r="C2" s="13">
        <f>'[2]Canola USDA Comp'!H43</f>
        <v>158.73263999999998</v>
      </c>
      <c r="D2" s="13">
        <f>'[2]Canola USDA Comp'!I43</f>
        <v>0</v>
      </c>
      <c r="E2" s="13">
        <f>'[2]Canola USDA Comp'!J43</f>
        <v>163.07599999999999</v>
      </c>
      <c r="F2" s="13">
        <f>'[2]Canola USDA Comp'!K43</f>
        <v>121.25409999999999</v>
      </c>
      <c r="G2" s="13">
        <f>'[2]Canola USDA Comp'!L43</f>
        <v>0</v>
      </c>
      <c r="H2" s="13">
        <f>'[2]Canola USDA Comp'!M43</f>
        <v>121.084</v>
      </c>
    </row>
    <row r="3" spans="1:8">
      <c r="A3" s="12" t="str">
        <f>'[2]Canola USDA Comp'!B44</f>
        <v>Production</v>
      </c>
      <c r="B3" s="13">
        <f>'[2]Canola USDA Comp'!G44</f>
        <v>1792.4069999999997</v>
      </c>
      <c r="C3" s="13">
        <f>'[2]Canola USDA Comp'!H44</f>
        <v>1922.4286399999999</v>
      </c>
      <c r="D3" s="13">
        <f>'[2]Canola USDA Comp'!I44</f>
        <v>0</v>
      </c>
      <c r="E3" s="13">
        <f>'[2]Canola USDA Comp'!J44</f>
        <v>1916.02</v>
      </c>
      <c r="F3" s="13">
        <f>'[2]Canola USDA Comp'!K44</f>
        <v>1948.8840799999998</v>
      </c>
      <c r="G3" s="13">
        <f>'[2]Canola USDA Comp'!L44</f>
        <v>-24.250819999999976</v>
      </c>
      <c r="H3" s="13">
        <f>'[2]Canola USDA Comp'!M44</f>
        <v>2191.8356086001595</v>
      </c>
    </row>
    <row r="4" spans="1:8">
      <c r="A4" s="12" t="str">
        <f>'[2]Canola USDA Comp'!B45</f>
        <v>Imports</v>
      </c>
      <c r="B4" s="13">
        <f>'[2]Canola USDA Comp'!G45</f>
        <v>6044.5730748059996</v>
      </c>
      <c r="C4" s="13">
        <f>'[2]Canola USDA Comp'!H45</f>
        <v>7250.995179999999</v>
      </c>
      <c r="D4" s="13">
        <f>'[2]Canola USDA Comp'!I45</f>
        <v>0</v>
      </c>
      <c r="E4" s="13">
        <f>'[2]Canola USDA Comp'!J45</f>
        <v>7128.0472529999997</v>
      </c>
      <c r="F4" s="13">
        <f>'[2]Canola USDA Comp'!K45</f>
        <v>8068.9091999999991</v>
      </c>
      <c r="G4" s="13">
        <f>'[2]Canola USDA Comp'!L45</f>
        <v>0</v>
      </c>
      <c r="H4" s="13">
        <f>'[2]Canola USDA Comp'!M45</f>
        <v>7115</v>
      </c>
    </row>
    <row r="5" spans="1:8">
      <c r="A5" s="12" t="str">
        <f>'[2]Canola USDA Comp'!B46</f>
        <v xml:space="preserve">    Total Supply</v>
      </c>
      <c r="B5" s="13">
        <f>'[2]Canola USDA Comp'!G46</f>
        <v>8006.530074805999</v>
      </c>
      <c r="C5" s="13">
        <f>'[2]Canola USDA Comp'!H46</f>
        <v>9332.1564599999983</v>
      </c>
      <c r="D5" s="13">
        <f>'[2]Canola USDA Comp'!I46</f>
        <v>0</v>
      </c>
      <c r="E5" s="13">
        <f>'[2]Canola USDA Comp'!J46</f>
        <v>9207.1432530000002</v>
      </c>
      <c r="F5" s="13">
        <f>'[2]Canola USDA Comp'!K46</f>
        <v>10139.04738</v>
      </c>
      <c r="G5" s="13">
        <f>'[2]Canola USDA Comp'!L46</f>
        <v>-24.250819999999294</v>
      </c>
      <c r="H5" s="13">
        <f>'[2]Canola USDA Comp'!M46</f>
        <v>9427.9196086001593</v>
      </c>
    </row>
    <row r="6" spans="1:8">
      <c r="A6" s="12" t="str">
        <f>'[2]Canola USDA Comp'!B47</f>
        <v>Domestic Use</v>
      </c>
      <c r="B6" s="13">
        <f>'[2]Canola USDA Comp'!G47</f>
        <v>7628.4835882079988</v>
      </c>
      <c r="C6" s="13">
        <f>'[2]Canola USDA Comp'!H47</f>
        <v>9067.6020599999974</v>
      </c>
      <c r="D6" s="13">
        <f>'[2]Canola USDA Comp'!I47</f>
        <v>0</v>
      </c>
      <c r="E6" s="13">
        <f>'[2]Canola USDA Comp'!J47</f>
        <v>8925.9288250317986</v>
      </c>
      <c r="F6" s="13">
        <f>'[2]Canola USDA Comp'!K47</f>
        <v>9887.7206999999999</v>
      </c>
      <c r="G6" s="13">
        <f>'[2]Canola USDA Comp'!L47</f>
        <v>0</v>
      </c>
      <c r="H6" s="13">
        <f>'[2]Canola USDA Comp'!M47</f>
        <v>8900.3662922804233</v>
      </c>
    </row>
    <row r="7" spans="1:8">
      <c r="A7" s="12" t="str">
        <f>'[2]Canola USDA Comp'!B48</f>
        <v xml:space="preserve">    Biomass-Based Diesel Usage</v>
      </c>
      <c r="B7" s="13">
        <f>'[2]Canola USDA Comp'!G48</f>
        <v>2905.0777448701879</v>
      </c>
      <c r="C7" s="13">
        <f>'[2]Canola USDA Comp'!H48</f>
        <v>4336.4875399999992</v>
      </c>
      <c r="D7" s="13">
        <f>'[2]Canola USDA Comp'!I48</f>
        <v>0</v>
      </c>
      <c r="E7" s="13">
        <f>'[2]Canola USDA Comp'!J48</f>
        <v>4311.2265679496122</v>
      </c>
      <c r="F7" s="13">
        <f>'[2]Canola USDA Comp'!K48</f>
        <v>5000.0781599999991</v>
      </c>
      <c r="G7" s="13">
        <f>'[2]Canola USDA Comp'!L48</f>
        <v>0</v>
      </c>
      <c r="H7" s="13">
        <f>'[2]Canola USDA Comp'!M48</f>
        <v>4800.3662922804233</v>
      </c>
    </row>
    <row r="8" spans="1:8">
      <c r="A8" s="12" t="str">
        <f>'[2]Canola USDA Comp'!B49</f>
        <v xml:space="preserve">    Non-Biodiesel Usage</v>
      </c>
      <c r="B8" s="13">
        <f>'[2]Canola USDA Comp'!G49</f>
        <v>4723.4058433378104</v>
      </c>
      <c r="C8" s="13">
        <f>'[2]Canola USDA Comp'!H49</f>
        <v>4731.1145199999992</v>
      </c>
      <c r="D8" s="13">
        <f>'[2]Canola USDA Comp'!I49</f>
        <v>0</v>
      </c>
      <c r="E8" s="13">
        <f>'[2]Canola USDA Comp'!J49</f>
        <v>4614.7022570821864</v>
      </c>
      <c r="F8" s="13">
        <f>'[2]Canola USDA Comp'!K49</f>
        <v>4876.6194399999995</v>
      </c>
      <c r="G8" s="13">
        <f>'[2]Canola USDA Comp'!L49</f>
        <v>-11.023100000000341</v>
      </c>
      <c r="H8" s="13">
        <f>'[2]Canola USDA Comp'!M49</f>
        <v>4100</v>
      </c>
    </row>
    <row r="9" spans="1:8">
      <c r="A9" s="12" t="str">
        <f>'[2]Canola USDA Comp'!B50</f>
        <v>Exports</v>
      </c>
      <c r="B9" s="13">
        <f>'[2]Canola USDA Comp'!G50</f>
        <v>214.97048659799998</v>
      </c>
      <c r="C9" s="13">
        <f>'[2]Canola USDA Comp'!H50</f>
        <v>143.30029999999999</v>
      </c>
      <c r="D9" s="13">
        <f>'[2]Canola USDA Comp'!I50</f>
        <v>0</v>
      </c>
      <c r="E9" s="13">
        <f>'[2]Canola USDA Comp'!J50</f>
        <v>160.13042796819997</v>
      </c>
      <c r="F9" s="13">
        <f>'[2]Canola USDA Comp'!K50</f>
        <v>138.89105999999998</v>
      </c>
      <c r="G9" s="13">
        <f>'[2]Canola USDA Comp'!L50</f>
        <v>-15.432340000000011</v>
      </c>
      <c r="H9" s="13">
        <f>'[2]Canola USDA Comp'!M50</f>
        <v>114</v>
      </c>
    </row>
    <row r="10" spans="1:8">
      <c r="A10" s="12" t="str">
        <f>'[2]Canola USDA Comp'!B51</f>
        <v xml:space="preserve">    Total Use</v>
      </c>
      <c r="B10" s="13">
        <f>'[2]Canola USDA Comp'!G51</f>
        <v>7843.454074805999</v>
      </c>
      <c r="C10" s="13">
        <f>'[2]Canola USDA Comp'!H51</f>
        <v>9210.9023599999982</v>
      </c>
      <c r="D10" s="13">
        <f>'[2]Canola USDA Comp'!I51</f>
        <v>0</v>
      </c>
      <c r="E10" s="13">
        <f>'[2]Canola USDA Comp'!J51</f>
        <v>9086.0592529999994</v>
      </c>
      <c r="F10" s="13">
        <f>'[2]Canola USDA Comp'!K51</f>
        <v>10139.04738</v>
      </c>
      <c r="G10" s="13">
        <f>'[2]Canola USDA Comp'!L51</f>
        <v>-24.250819999999294</v>
      </c>
      <c r="H10" s="13">
        <f>'[2]Canola USDA Comp'!M51</f>
        <v>9014.3662922804233</v>
      </c>
    </row>
    <row r="11" spans="1:8">
      <c r="A11" s="12" t="str">
        <f>'[2]Canola USDA Comp'!B52</f>
        <v>Ending Stocks (September 30)</v>
      </c>
      <c r="B11" s="13">
        <f>'[2]Canola USDA Comp'!G52</f>
        <v>163.07599999999999</v>
      </c>
      <c r="C11" s="13">
        <f>'[2]Canola USDA Comp'!H52</f>
        <v>121.25409999999999</v>
      </c>
      <c r="D11" s="13">
        <f>'[2]Canola USDA Comp'!I52</f>
        <v>0</v>
      </c>
      <c r="E11" s="13">
        <f>'[2]Canola USDA Comp'!J52</f>
        <v>121.084</v>
      </c>
      <c r="F11" s="13">
        <f>'[2]Canola USDA Comp'!K52</f>
        <v>123.45871999999999</v>
      </c>
      <c r="G11" s="13">
        <f>'[2]Canola USDA Comp'!L52</f>
        <v>2.2046199999999914</v>
      </c>
      <c r="H11" s="13">
        <f>'[2]Canola USDA Comp'!M52</f>
        <v>413.55331631973604</v>
      </c>
    </row>
    <row r="12" spans="1:8">
      <c r="A12" s="12" t="str">
        <f>'[2]Canola USDA Comp'!B53</f>
        <v xml:space="preserve">USDA Midwest, The Jacobsen Los Angeles        (RBD, ₵/lb) </v>
      </c>
      <c r="B12" s="13">
        <f>'[2]Canola USDA Comp'!G53</f>
        <v>79</v>
      </c>
      <c r="C12" s="13">
        <f>'[2]Canola USDA Comp'!H53</f>
        <v>73.14</v>
      </c>
      <c r="D12" s="13">
        <f>'[2]Canola USDA Comp'!I53</f>
        <v>0</v>
      </c>
      <c r="E12" s="13">
        <f>'[2]Canola USDA Comp'!J53</f>
        <v>59</v>
      </c>
      <c r="F12" s="13">
        <f>'[2]Canola USDA Comp'!K53</f>
        <v>0</v>
      </c>
      <c r="G12" s="13">
        <f>'[2]Canola USDA Comp'!L53</f>
        <v>0</v>
      </c>
      <c r="H12" s="13">
        <f>'[2]Canola USDA Comp'!M53</f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65DA-3443-4FB1-A5FC-731C15EA6AE8}">
  <dimension ref="A1:H13"/>
  <sheetViews>
    <sheetView workbookViewId="0">
      <selection activeCell="G6" sqref="G6"/>
    </sheetView>
  </sheetViews>
  <sheetFormatPr defaultRowHeight="15"/>
  <cols>
    <col min="1" max="1" width="14.7109375" bestFit="1" customWidth="1"/>
    <col min="2" max="2" width="6.28515625" bestFit="1" customWidth="1"/>
    <col min="3" max="3" width="13.42578125" bestFit="1" customWidth="1"/>
    <col min="4" max="4" width="9.5703125" bestFit="1" customWidth="1"/>
    <col min="5" max="5" width="17.7109375" bestFit="1" customWidth="1"/>
    <col min="6" max="6" width="13.42578125" bestFit="1" customWidth="1"/>
    <col min="7" max="7" width="9.5703125" bestFit="1" customWidth="1"/>
    <col min="8" max="8" width="28.28515625" bestFit="1" customWidth="1"/>
  </cols>
  <sheetData>
    <row r="1" spans="1:8">
      <c r="B1" s="11" t="str">
        <f>'CO Comp Table'!B1</f>
        <v>22/23</v>
      </c>
      <c r="C1" s="11" t="str">
        <f>'CO Comp Table'!C1</f>
        <v>23/24 USDA</v>
      </c>
      <c r="D1" s="11" t="str">
        <f>'CO Comp Table'!D1</f>
        <v>Change from January</v>
      </c>
      <c r="E1" s="11" t="str">
        <f>_xlfn.CONCAT('[3]Canada Rapeseed USDA Comp'!$H$4," ",'[3]Canada Rapeseed USDA Comp'!$J$5)</f>
        <v>23/24 Fastmarkets</v>
      </c>
      <c r="F1" s="11" t="str">
        <f>'CO Comp Table'!F1</f>
        <v>24/25 USDA</v>
      </c>
      <c r="G1" s="11" t="str">
        <f>'CO Comp Table'!G1</f>
        <v>Change from January</v>
      </c>
      <c r="H1" s="11" t="str">
        <f>'CO Comp Table'!H1</f>
        <v>24/25 Fastmarkets</v>
      </c>
    </row>
    <row r="2" spans="1:8">
      <c r="A2" s="11" t="s">
        <v>9</v>
      </c>
      <c r="B2" s="11">
        <f>'[3]Canada Rapeseed USDA Comp'!$G7</f>
        <v>8600</v>
      </c>
      <c r="C2" s="11">
        <f>'[3]Canada Rapeseed USDA Comp'!H7</f>
        <v>8857</v>
      </c>
      <c r="D2" s="11">
        <f>'[3]Canada Rapeseed USDA Comp'!I7</f>
        <v>0</v>
      </c>
      <c r="E2" s="11">
        <f>'[3]Canada Rapeseed USDA Comp'!J7</f>
        <v>8854.7000000000007</v>
      </c>
      <c r="F2" s="11">
        <f>'[3]Canada Rapeseed USDA Comp'!K7</f>
        <v>8850</v>
      </c>
      <c r="G2" s="11">
        <f>'[3]Canada Rapeseed USDA Comp'!L7</f>
        <v>0</v>
      </c>
      <c r="H2" s="11">
        <f>'[3]Canada Rapeseed USDA Comp'!M7</f>
        <v>8826.5321369651956</v>
      </c>
    </row>
    <row r="3" spans="1:8">
      <c r="A3" s="11" t="s">
        <v>10</v>
      </c>
      <c r="B3" s="11">
        <f>'[3]Canada Rapeseed USDA Comp'!$G8</f>
        <v>1325</v>
      </c>
      <c r="C3" s="11">
        <f>'[3]Canada Rapeseed USDA Comp'!H8</f>
        <v>1858</v>
      </c>
      <c r="D3" s="11">
        <f>'[3]Canada Rapeseed USDA Comp'!I8</f>
        <v>0</v>
      </c>
      <c r="E3" s="11">
        <f>'[3]Canada Rapeseed USDA Comp'!J8</f>
        <v>1326</v>
      </c>
      <c r="F3" s="11">
        <f>'[3]Canada Rapeseed USDA Comp'!K8</f>
        <v>2748</v>
      </c>
      <c r="G3" s="11">
        <f>'[3]Canada Rapeseed USDA Comp'!L8</f>
        <v>0</v>
      </c>
      <c r="H3" s="11">
        <f>'[3]Canada Rapeseed USDA Comp'!M8</f>
        <v>2000</v>
      </c>
    </row>
    <row r="4" spans="1:8">
      <c r="A4" s="11" t="s">
        <v>11</v>
      </c>
      <c r="B4" s="11">
        <f>'[3]Canada Rapeseed USDA Comp'!$G9</f>
        <v>18694.768</v>
      </c>
      <c r="C4" s="11">
        <f>'[3]Canada Rapeseed USDA Comp'!H9</f>
        <v>19192</v>
      </c>
      <c r="D4" s="11">
        <f>'[3]Canada Rapeseed USDA Comp'!I9</f>
        <v>0</v>
      </c>
      <c r="E4" s="11">
        <f>'[3]Canada Rapeseed USDA Comp'!J9</f>
        <v>18328.233</v>
      </c>
      <c r="F4" s="11">
        <f>'[3]Canada Rapeseed USDA Comp'!K9</f>
        <v>18800</v>
      </c>
      <c r="G4" s="11">
        <f>'[3]Canada Rapeseed USDA Comp'!L9</f>
        <v>0</v>
      </c>
      <c r="H4" s="11">
        <f>'[3]Canada Rapeseed USDA Comp'!M9</f>
        <v>20900</v>
      </c>
    </row>
    <row r="5" spans="1:8">
      <c r="A5" s="11" t="s">
        <v>12</v>
      </c>
      <c r="B5" s="11">
        <f>'[3]Canada Rapeseed USDA Comp'!$G10</f>
        <v>151.357</v>
      </c>
      <c r="C5" s="11">
        <f>'[3]Canada Rapeseed USDA Comp'!H10</f>
        <v>276</v>
      </c>
      <c r="D5" s="11">
        <f>'[3]Canada Rapeseed USDA Comp'!I10</f>
        <v>0</v>
      </c>
      <c r="E5" s="11">
        <f>'[3]Canada Rapeseed USDA Comp'!J10</f>
        <v>275</v>
      </c>
      <c r="F5" s="11">
        <f>'[3]Canada Rapeseed USDA Comp'!K10</f>
        <v>100</v>
      </c>
      <c r="G5" s="11">
        <f>'[3]Canada Rapeseed USDA Comp'!L10</f>
        <v>0</v>
      </c>
      <c r="H5" s="11">
        <f>'[3]Canada Rapeseed USDA Comp'!M10</f>
        <v>150</v>
      </c>
    </row>
    <row r="6" spans="1:8">
      <c r="A6" s="11" t="s">
        <v>13</v>
      </c>
      <c r="B6" s="11">
        <f>'[3]Canada Rapeseed USDA Comp'!$G11</f>
        <v>20171.125</v>
      </c>
      <c r="C6" s="11">
        <f>'[3]Canada Rapeseed USDA Comp'!H11</f>
        <v>21326</v>
      </c>
      <c r="D6" s="11">
        <f>'[3]Canada Rapeseed USDA Comp'!I11</f>
        <v>0</v>
      </c>
      <c r="E6" s="11">
        <f>'[3]Canada Rapeseed USDA Comp'!J11</f>
        <v>19929.233</v>
      </c>
      <c r="F6" s="11">
        <f>'[3]Canada Rapeseed USDA Comp'!K11</f>
        <v>21648</v>
      </c>
      <c r="G6" s="11">
        <f>'[3]Canada Rapeseed USDA Comp'!L11</f>
        <v>0</v>
      </c>
      <c r="H6" s="11">
        <f>'[3]Canada Rapeseed USDA Comp'!M11</f>
        <v>23050</v>
      </c>
    </row>
    <row r="7" spans="1:8">
      <c r="A7" s="11" t="s">
        <v>14</v>
      </c>
      <c r="B7" s="11">
        <f>'[3]Canada Rapeseed USDA Comp'!$G12</f>
        <v>9961.4290000000001</v>
      </c>
      <c r="C7" s="11">
        <f>'[3]Canada Rapeseed USDA Comp'!H12</f>
        <v>11033</v>
      </c>
      <c r="D7" s="11">
        <f>'[3]Canada Rapeseed USDA Comp'!I12</f>
        <v>0</v>
      </c>
      <c r="E7" s="11">
        <f>'[3]Canada Rapeseed USDA Comp'!J12</f>
        <v>11075</v>
      </c>
      <c r="F7" s="11">
        <f>'[3]Canada Rapeseed USDA Comp'!K12</f>
        <v>12000</v>
      </c>
      <c r="G7" s="11">
        <f>'[3]Canada Rapeseed USDA Comp'!L12</f>
        <v>0</v>
      </c>
      <c r="H7" s="11">
        <f>'[3]Canada Rapeseed USDA Comp'!M12</f>
        <v>12750</v>
      </c>
    </row>
    <row r="8" spans="1:8">
      <c r="A8" s="11" t="s">
        <v>15</v>
      </c>
      <c r="B8" s="11">
        <f>'[3]Canada Rapeseed USDA Comp'!$G13</f>
        <v>7950.6179999999995</v>
      </c>
      <c r="C8" s="11">
        <f>'[3]Canada Rapeseed USDA Comp'!H13</f>
        <v>6747</v>
      </c>
      <c r="D8" s="11">
        <f>'[3]Canada Rapeseed USDA Comp'!I13</f>
        <v>0</v>
      </c>
      <c r="E8" s="11">
        <f>'[3]Canada Rapeseed USDA Comp'!J13</f>
        <v>6000</v>
      </c>
      <c r="F8" s="11">
        <f>'[3]Canada Rapeseed USDA Comp'!K13</f>
        <v>7250</v>
      </c>
      <c r="G8" s="11">
        <f>'[3]Canada Rapeseed USDA Comp'!L13</f>
        <v>0</v>
      </c>
      <c r="H8" s="11">
        <f>'[3]Canada Rapeseed USDA Comp'!M13</f>
        <v>6750</v>
      </c>
    </row>
    <row r="9" spans="1:8">
      <c r="A9" s="11" t="s">
        <v>16</v>
      </c>
      <c r="B9" s="11">
        <f>'[3]Canada Rapeseed USDA Comp'!$G14</f>
        <v>64</v>
      </c>
      <c r="C9" s="11">
        <f>'[3]Canada Rapeseed USDA Comp'!H14</f>
        <v>64</v>
      </c>
      <c r="D9" s="11">
        <f>'[3]Canada Rapeseed USDA Comp'!I14</f>
        <v>0</v>
      </c>
      <c r="E9" s="11">
        <f>'[3]Canada Rapeseed USDA Comp'!J14</f>
        <v>64</v>
      </c>
      <c r="F9" s="11">
        <f>'[3]Canada Rapeseed USDA Comp'!K14</f>
        <v>65</v>
      </c>
      <c r="G9" s="11">
        <f>'[3]Canada Rapeseed USDA Comp'!L14</f>
        <v>0</v>
      </c>
      <c r="H9" s="11">
        <f>'[3]Canada Rapeseed USDA Comp'!M14</f>
        <v>64</v>
      </c>
    </row>
    <row r="10" spans="1:8">
      <c r="A10" s="11" t="s">
        <v>17</v>
      </c>
      <c r="B10" s="11">
        <f>'[3]Canada Rapeseed USDA Comp'!$G15</f>
        <v>869.07800000000134</v>
      </c>
      <c r="C10" s="11">
        <f>'[3]Canada Rapeseed USDA Comp'!H15</f>
        <v>798</v>
      </c>
      <c r="D10" s="11">
        <f>'[3]Canada Rapeseed USDA Comp'!I15</f>
        <v>0</v>
      </c>
      <c r="E10" s="11">
        <f>'[3]Canada Rapeseed USDA Comp'!J15</f>
        <v>790.23300000000017</v>
      </c>
      <c r="F10" s="11">
        <f>'[3]Canada Rapeseed USDA Comp'!K15</f>
        <v>692</v>
      </c>
      <c r="G10" s="11">
        <f>'[3]Canada Rapeseed USDA Comp'!L15</f>
        <v>0</v>
      </c>
      <c r="H10" s="11">
        <f>'[3]Canada Rapeseed USDA Comp'!M15</f>
        <v>986</v>
      </c>
    </row>
    <row r="11" spans="1:8">
      <c r="A11" s="11" t="s">
        <v>18</v>
      </c>
      <c r="B11" s="11">
        <f>'[3]Canada Rapeseed USDA Comp'!$G16</f>
        <v>18845.125</v>
      </c>
      <c r="C11" s="11">
        <f>'[3]Canada Rapeseed USDA Comp'!H16</f>
        <v>18642</v>
      </c>
      <c r="D11" s="11">
        <f>'[3]Canada Rapeseed USDA Comp'!I16</f>
        <v>0</v>
      </c>
      <c r="E11" s="11">
        <f>'[3]Canada Rapeseed USDA Comp'!J16</f>
        <v>17929.233</v>
      </c>
      <c r="F11" s="11">
        <f>'[3]Canada Rapeseed USDA Comp'!K16</f>
        <v>20007</v>
      </c>
      <c r="G11" s="11">
        <f>'[3]Canada Rapeseed USDA Comp'!L16</f>
        <v>0</v>
      </c>
      <c r="H11" s="11">
        <f>'[3]Canada Rapeseed USDA Comp'!M16</f>
        <v>20550</v>
      </c>
    </row>
    <row r="12" spans="1:8">
      <c r="A12" s="11" t="s">
        <v>19</v>
      </c>
      <c r="B12" s="11">
        <f>'[3]Canada Rapeseed USDA Comp'!$G17</f>
        <v>1326</v>
      </c>
      <c r="C12" s="11">
        <f>'[3]Canada Rapeseed USDA Comp'!H17</f>
        <v>2684</v>
      </c>
      <c r="D12" s="11">
        <f>'[3]Canada Rapeseed USDA Comp'!I17</f>
        <v>0</v>
      </c>
      <c r="E12" s="11">
        <f>'[3]Canada Rapeseed USDA Comp'!J17</f>
        <v>2000</v>
      </c>
      <c r="F12" s="11">
        <f>'[3]Canada Rapeseed USDA Comp'!K17</f>
        <v>1641</v>
      </c>
      <c r="G12" s="11">
        <f>'[3]Canada Rapeseed USDA Comp'!L17</f>
        <v>0</v>
      </c>
      <c r="H12" s="11">
        <f>'[3]Canada Rapeseed USDA Comp'!M17</f>
        <v>2500</v>
      </c>
    </row>
    <row r="13" spans="1:8">
      <c r="A13" s="11" t="s">
        <v>20</v>
      </c>
      <c r="B13" s="16">
        <f>'[3]Canada Rapeseed USDA Comp'!$G18</f>
        <v>7.0363024920237993E-2</v>
      </c>
      <c r="C13" s="16">
        <f>'[3]Canada Rapeseed USDA Comp'!H18</f>
        <v>0.14397596824375067</v>
      </c>
      <c r="D13" s="16">
        <f>'[3]Canada Rapeseed USDA Comp'!I18</f>
        <v>0</v>
      </c>
      <c r="E13" s="16">
        <f>'[3]Canada Rapeseed USDA Comp'!J18</f>
        <v>0.1115496686333431</v>
      </c>
      <c r="F13" s="16">
        <f>'[3]Canada Rapeseed USDA Comp'!K18</f>
        <v>8.2021292547608343E-2</v>
      </c>
      <c r="G13" s="16">
        <f>'[3]Canada Rapeseed USDA Comp'!L18</f>
        <v>0</v>
      </c>
      <c r="H13" s="16">
        <f>'[3]Canada Rapeseed USDA Comp'!M18</f>
        <v>0.12165450121654502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5B10-7660-4D35-960D-BBCCEC48A7AD}">
  <dimension ref="A1:H9"/>
  <sheetViews>
    <sheetView workbookViewId="0">
      <selection activeCell="G6" sqref="G6"/>
    </sheetView>
  </sheetViews>
  <sheetFormatPr defaultRowHeight="15"/>
  <cols>
    <col min="1" max="1" width="13.7109375" bestFit="1" customWidth="1"/>
    <col min="2" max="2" width="5.42578125" bestFit="1" customWidth="1"/>
    <col min="3" max="3" width="9.5703125" bestFit="1" customWidth="1"/>
    <col min="4" max="4" width="26.140625" customWidth="1"/>
    <col min="5" max="5" width="17.7109375" bestFit="1" customWidth="1"/>
    <col min="6" max="6" width="13.42578125" bestFit="1" customWidth="1"/>
    <col min="7" max="7" width="17.85546875" bestFit="1" customWidth="1"/>
    <col min="8" max="8" width="15.42578125" bestFit="1" customWidth="1"/>
  </cols>
  <sheetData>
    <row r="1" spans="1:8">
      <c r="B1" s="11" t="str">
        <f>'Canada Canola Comp Table'!B1</f>
        <v>22/23</v>
      </c>
      <c r="C1" s="11" t="str">
        <f>'Canada Canola Comp Table'!C1</f>
        <v>23/24 USDA</v>
      </c>
      <c r="D1" s="11" t="str">
        <f>'Canada Canola Comp Table'!D1</f>
        <v>Change from January</v>
      </c>
      <c r="E1" s="11" t="str">
        <f>'Canada Canola Comp Table'!E1</f>
        <v>23/24 Fastmarkets</v>
      </c>
      <c r="F1" s="11" t="str">
        <f>'Canada Canola Comp Table'!F1</f>
        <v>24/25 USDA</v>
      </c>
      <c r="G1" s="11" t="str">
        <f>'Canada Canola Comp Table'!G1</f>
        <v>Change from January</v>
      </c>
      <c r="H1" s="11" t="str">
        <f>'Canada Canola Comp Table'!H1</f>
        <v>24/25 Fastmarkets</v>
      </c>
    </row>
    <row r="2" spans="1:8">
      <c r="A2" s="11" t="s">
        <v>21</v>
      </c>
      <c r="B2" s="11">
        <f>'[3]Canada Rapeseed USDA Comp'!G37</f>
        <v>73.680000000000007</v>
      </c>
      <c r="C2" s="11">
        <f>'[3]Canada Rapeseed USDA Comp'!H37</f>
        <v>629</v>
      </c>
      <c r="D2" s="11">
        <f>'[3]Canada Rapeseed USDA Comp'!I37</f>
        <v>0</v>
      </c>
      <c r="E2" s="11">
        <f>'[3]Canada Rapeseed USDA Comp'!J37</f>
        <v>84.98</v>
      </c>
      <c r="F2" s="11">
        <f>'[3]Canada Rapeseed USDA Comp'!K37</f>
        <v>685</v>
      </c>
      <c r="G2" s="11">
        <f>'[3]Canada Rapeseed USDA Comp'!L37</f>
        <v>0</v>
      </c>
      <c r="H2" s="11">
        <f>'[3]Canada Rapeseed USDA Comp'!M37</f>
        <v>75</v>
      </c>
    </row>
    <row r="3" spans="1:8">
      <c r="A3" s="11" t="s">
        <v>11</v>
      </c>
      <c r="B3" s="11">
        <f>'[3]Canada Rapeseed USDA Comp'!G38</f>
        <v>4173.6880000000001</v>
      </c>
      <c r="C3" s="11">
        <f>'[3]Canada Rapeseed USDA Comp'!H38</f>
        <v>4706</v>
      </c>
      <c r="D3" s="11">
        <f>'[3]Canada Rapeseed USDA Comp'!I38</f>
        <v>0</v>
      </c>
      <c r="E3" s="11">
        <f>'[3]Canada Rapeseed USDA Comp'!J38</f>
        <v>4692.4959467498929</v>
      </c>
      <c r="F3" s="11">
        <f>'[3]Canada Rapeseed USDA Comp'!K38</f>
        <v>5092</v>
      </c>
      <c r="G3" s="11">
        <f>'[3]Canada Rapeseed USDA Comp'!L38</f>
        <v>0</v>
      </c>
      <c r="H3" s="11">
        <f>'[3]Canada Rapeseed USDA Comp'!M38</f>
        <v>5659.4224423916858</v>
      </c>
    </row>
    <row r="4" spans="1:8">
      <c r="A4" s="11" t="s">
        <v>12</v>
      </c>
      <c r="B4" s="11">
        <f>'[3]Canada Rapeseed USDA Comp'!G39</f>
        <v>24.124000000000002</v>
      </c>
      <c r="C4" s="11">
        <f>'[3]Canada Rapeseed USDA Comp'!H39</f>
        <v>19</v>
      </c>
      <c r="D4" s="11">
        <f>'[3]Canada Rapeseed USDA Comp'!I39</f>
        <v>0</v>
      </c>
      <c r="E4" s="11">
        <f>'[3]Canada Rapeseed USDA Comp'!J39</f>
        <v>15</v>
      </c>
      <c r="F4" s="11">
        <f>'[3]Canada Rapeseed USDA Comp'!K39</f>
        <v>20</v>
      </c>
      <c r="G4" s="11">
        <f>'[3]Canada Rapeseed USDA Comp'!L39</f>
        <v>0</v>
      </c>
      <c r="H4" s="11">
        <f>'[3]Canada Rapeseed USDA Comp'!M39</f>
        <v>25</v>
      </c>
    </row>
    <row r="5" spans="1:8">
      <c r="A5" s="11" t="s">
        <v>13</v>
      </c>
      <c r="B5" s="11">
        <f>'[3]Canada Rapeseed USDA Comp'!G40</f>
        <v>4271.4920000000002</v>
      </c>
      <c r="C5" s="11">
        <f>'[3]Canada Rapeseed USDA Comp'!H40</f>
        <v>5354</v>
      </c>
      <c r="D5" s="11">
        <f>'[3]Canada Rapeseed USDA Comp'!I40</f>
        <v>0</v>
      </c>
      <c r="E5" s="11">
        <f>'[3]Canada Rapeseed USDA Comp'!J40</f>
        <v>4792.4759467498925</v>
      </c>
      <c r="F5" s="11">
        <f>'[3]Canada Rapeseed USDA Comp'!K40</f>
        <v>5797</v>
      </c>
      <c r="G5" s="11">
        <f>'[3]Canada Rapeseed USDA Comp'!L40</f>
        <v>0</v>
      </c>
      <c r="H5" s="11">
        <f>'[3]Canada Rapeseed USDA Comp'!M40</f>
        <v>5759.4224423916858</v>
      </c>
    </row>
    <row r="6" spans="1:8">
      <c r="A6" s="11" t="s">
        <v>22</v>
      </c>
      <c r="B6" s="11">
        <f>'[3]Canada Rapeseed USDA Comp'!G41</f>
        <v>1254.8990000000008</v>
      </c>
      <c r="C6" s="11">
        <f>'[3]Canada Rapeseed USDA Comp'!H41</f>
        <v>1250</v>
      </c>
      <c r="D6" s="11">
        <f>'[3]Canada Rapeseed USDA Comp'!I41</f>
        <v>0</v>
      </c>
      <c r="E6" s="11">
        <f>'[3]Canada Rapeseed USDA Comp'!J41</f>
        <v>1432.4759467498925</v>
      </c>
      <c r="F6" s="11">
        <f>'[3]Canada Rapeseed USDA Comp'!K41</f>
        <v>1230</v>
      </c>
      <c r="G6" s="11">
        <f>'[3]Canada Rapeseed USDA Comp'!L41</f>
        <v>0</v>
      </c>
      <c r="H6" s="11">
        <f>'[3]Canada Rapeseed USDA Comp'!M41</f>
        <v>1809.4224423916858</v>
      </c>
    </row>
    <row r="7" spans="1:8">
      <c r="A7" s="11" t="s">
        <v>15</v>
      </c>
      <c r="B7" s="11">
        <f>'[3]Canada Rapeseed USDA Comp'!G42</f>
        <v>2931.6129999999998</v>
      </c>
      <c r="C7" s="11">
        <f>'[3]Canada Rapeseed USDA Comp'!H42</f>
        <v>3419</v>
      </c>
      <c r="D7" s="11">
        <f>'[3]Canada Rapeseed USDA Comp'!I42</f>
        <v>0</v>
      </c>
      <c r="E7" s="11">
        <f>'[3]Canada Rapeseed USDA Comp'!J42</f>
        <v>3285</v>
      </c>
      <c r="F7" s="11">
        <f>'[3]Canada Rapeseed USDA Comp'!K42</f>
        <v>4100</v>
      </c>
      <c r="G7" s="11">
        <f>'[3]Canada Rapeseed USDA Comp'!L42</f>
        <v>0</v>
      </c>
      <c r="H7" s="11">
        <f>'[3]Canada Rapeseed USDA Comp'!M42</f>
        <v>3875</v>
      </c>
    </row>
    <row r="8" spans="1:8">
      <c r="A8" s="11" t="s">
        <v>18</v>
      </c>
      <c r="B8" s="11">
        <f>'[3]Canada Rapeseed USDA Comp'!G43</f>
        <v>4186.5120000000006</v>
      </c>
      <c r="C8" s="11">
        <f>'[3]Canada Rapeseed USDA Comp'!H43</f>
        <v>4669</v>
      </c>
      <c r="D8" s="11">
        <f>'[3]Canada Rapeseed USDA Comp'!I43</f>
        <v>0</v>
      </c>
      <c r="E8" s="11">
        <f>'[3]Canada Rapeseed USDA Comp'!J43</f>
        <v>4717.4759467498925</v>
      </c>
      <c r="F8" s="11">
        <f>'[3]Canada Rapeseed USDA Comp'!K43</f>
        <v>5330</v>
      </c>
      <c r="G8" s="11">
        <f>'[3]Canada Rapeseed USDA Comp'!L43</f>
        <v>0</v>
      </c>
      <c r="H8" s="11">
        <f>'[3]Canada Rapeseed USDA Comp'!M43</f>
        <v>5684.4224423916858</v>
      </c>
    </row>
    <row r="9" spans="1:8">
      <c r="A9" s="11" t="s">
        <v>23</v>
      </c>
      <c r="B9" s="11">
        <f>'[3]Canada Rapeseed USDA Comp'!G44</f>
        <v>84.979999999999563</v>
      </c>
      <c r="C9" s="11">
        <f>'[3]Canada Rapeseed USDA Comp'!H44</f>
        <v>685</v>
      </c>
      <c r="D9" s="11">
        <f>'[3]Canada Rapeseed USDA Comp'!I44</f>
        <v>0</v>
      </c>
      <c r="E9" s="11">
        <f>'[3]Canada Rapeseed USDA Comp'!J44</f>
        <v>75</v>
      </c>
      <c r="F9" s="11">
        <f>'[3]Canada Rapeseed USDA Comp'!K44</f>
        <v>467</v>
      </c>
      <c r="G9" s="11">
        <f>'[3]Canada Rapeseed USDA Comp'!L44</f>
        <v>0</v>
      </c>
      <c r="H9" s="11">
        <f>'[3]Canada Rapeseed USDA Comp'!M44</f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2DB7-F1A0-46F6-B88D-4DCD36547337}">
  <dimension ref="A1:H10"/>
  <sheetViews>
    <sheetView workbookViewId="0">
      <selection activeCell="G6" sqref="G6"/>
    </sheetView>
  </sheetViews>
  <sheetFormatPr defaultRowHeight="15"/>
  <cols>
    <col min="2" max="2" width="10.140625" bestFit="1" customWidth="1"/>
    <col min="3" max="3" width="13.42578125" bestFit="1" customWidth="1"/>
    <col min="4" max="4" width="9.5703125" bestFit="1" customWidth="1"/>
    <col min="5" max="5" width="17.7109375" bestFit="1" customWidth="1"/>
    <col min="6" max="6" width="13.42578125" bestFit="1" customWidth="1"/>
    <col min="7" max="7" width="9.5703125" bestFit="1" customWidth="1"/>
    <col min="8" max="8" width="28.28515625" bestFit="1" customWidth="1"/>
  </cols>
  <sheetData>
    <row r="1" spans="1:8" ht="39">
      <c r="B1" s="11" t="str">
        <f>_xlfn.CONCAT('[4]Malaysian Palm USDA Comp'!$G$4," ",'[4]Malaysian Palm USDA Comp'!$G$3)</f>
        <v>Fastmarkets 23/24</v>
      </c>
      <c r="C1" s="11" t="str">
        <f>'Canada CO Comp Table'!C1</f>
        <v>23/24 USDA</v>
      </c>
      <c r="D1" s="17" t="str">
        <f>'Canada CO Comp Table'!D1</f>
        <v>Change from January</v>
      </c>
      <c r="E1" s="11" t="str">
        <f>'Canada CO Comp Table'!E1</f>
        <v>23/24 Fastmarkets</v>
      </c>
      <c r="F1" s="11" t="str">
        <f>'Canada CO Comp Table'!F1</f>
        <v>24/25 USDA</v>
      </c>
      <c r="G1" s="17" t="str">
        <f>'Canada CO Comp Table'!G1</f>
        <v>Change from January</v>
      </c>
      <c r="H1" s="11" t="str">
        <f>'Canada CO Comp Table'!H1</f>
        <v>24/25 Fastmarkets</v>
      </c>
    </row>
    <row r="2" spans="1:8">
      <c r="A2" s="11" t="s">
        <v>24</v>
      </c>
      <c r="B2" s="11">
        <f>'[4]Malaysian Palm USDA Comp'!G6</f>
        <v>2318</v>
      </c>
      <c r="C2" s="11">
        <f>'[4]Malaysian Palm USDA Comp'!H6</f>
        <v>2312</v>
      </c>
      <c r="D2" s="11">
        <f>'[4]Malaysian Palm USDA Comp'!I6</f>
        <v>0</v>
      </c>
      <c r="E2" s="11">
        <f>'[4]Malaysian Palm USDA Comp'!J6</f>
        <v>2314</v>
      </c>
      <c r="F2" s="11">
        <f>'[4]Malaysian Palm USDA Comp'!K6</f>
        <v>2014</v>
      </c>
      <c r="G2" s="11">
        <f>'[4]Malaysian Palm USDA Comp'!L6</f>
        <v>0</v>
      </c>
      <c r="H2" s="11">
        <f>'[4]Malaysian Palm USDA Comp'!M6</f>
        <v>0</v>
      </c>
    </row>
    <row r="3" spans="1:8">
      <c r="A3" s="11" t="s">
        <v>11</v>
      </c>
      <c r="B3" s="11">
        <f>'[4]Malaysian Palm USDA Comp'!G7</f>
        <v>18387</v>
      </c>
      <c r="C3" s="11">
        <f>'[4]Malaysian Palm USDA Comp'!H7</f>
        <v>19710</v>
      </c>
      <c r="D3" s="11">
        <f>'[4]Malaysian Palm USDA Comp'!I7</f>
        <v>0</v>
      </c>
      <c r="E3" s="11">
        <f>'[4]Malaysian Palm USDA Comp'!J7</f>
        <v>19000</v>
      </c>
      <c r="F3" s="11">
        <f>'[4]Malaysian Palm USDA Comp'!K7</f>
        <v>19200</v>
      </c>
      <c r="G3" s="11">
        <f>'[4]Malaysian Palm USDA Comp'!L7</f>
        <v>-100</v>
      </c>
      <c r="H3" s="11">
        <f>'[4]Malaysian Palm USDA Comp'!M7</f>
        <v>0</v>
      </c>
    </row>
    <row r="4" spans="1:8">
      <c r="A4" s="11" t="s">
        <v>12</v>
      </c>
      <c r="B4" s="11">
        <f>'[4]Malaysian Palm USDA Comp'!G8</f>
        <v>935</v>
      </c>
      <c r="C4" s="11">
        <f>'[4]Malaysian Palm USDA Comp'!H8</f>
        <v>189</v>
      </c>
      <c r="D4" s="11">
        <f>'[4]Malaysian Palm USDA Comp'!I8</f>
        <v>0</v>
      </c>
      <c r="E4" s="11">
        <f>'[4]Malaysian Palm USDA Comp'!J8</f>
        <v>1400</v>
      </c>
      <c r="F4" s="11">
        <f>'[4]Malaysian Palm USDA Comp'!K8</f>
        <v>250</v>
      </c>
      <c r="G4" s="11">
        <f>'[4]Malaysian Palm USDA Comp'!L8</f>
        <v>0</v>
      </c>
      <c r="H4" s="11">
        <f>'[4]Malaysian Palm USDA Comp'!M8</f>
        <v>0</v>
      </c>
    </row>
    <row r="5" spans="1:8">
      <c r="A5" s="11" t="s">
        <v>13</v>
      </c>
      <c r="B5" s="11">
        <f>'[4]Malaysian Palm USDA Comp'!G9</f>
        <v>21640</v>
      </c>
      <c r="C5" s="11">
        <f>'[4]Malaysian Palm USDA Comp'!H9</f>
        <v>22211</v>
      </c>
      <c r="D5" s="11">
        <f>'[4]Malaysian Palm USDA Comp'!I9</f>
        <v>0</v>
      </c>
      <c r="E5" s="11">
        <f>'[4]Malaysian Palm USDA Comp'!J9</f>
        <v>22714</v>
      </c>
      <c r="F5" s="11">
        <f>'[4]Malaysian Palm USDA Comp'!K9</f>
        <v>21464</v>
      </c>
      <c r="G5" s="11">
        <f>'[4]Malaysian Palm USDA Comp'!L9</f>
        <v>-100</v>
      </c>
      <c r="H5" s="11">
        <f>'[4]Malaysian Palm USDA Comp'!M9</f>
        <v>0</v>
      </c>
    </row>
    <row r="6" spans="1:8">
      <c r="A6" s="11" t="s">
        <v>22</v>
      </c>
      <c r="B6" s="11">
        <f>'[4]Malaysian Palm USDA Comp'!G10</f>
        <v>3971</v>
      </c>
      <c r="C6" s="11">
        <f>'[4]Malaysian Palm USDA Comp'!H10</f>
        <v>3667</v>
      </c>
      <c r="D6" s="11">
        <f>'[4]Malaysian Palm USDA Comp'!I10</f>
        <v>0</v>
      </c>
      <c r="E6" s="11">
        <f>'[4]Malaysian Palm USDA Comp'!J10</f>
        <v>3970</v>
      </c>
      <c r="F6" s="11">
        <f>'[4]Malaysian Palm USDA Comp'!K10</f>
        <v>3715</v>
      </c>
      <c r="G6" s="11">
        <f>'[4]Malaysian Palm USDA Comp'!L10</f>
        <v>-255</v>
      </c>
      <c r="H6" s="11">
        <f>'[4]Malaysian Palm USDA Comp'!M10</f>
        <v>0</v>
      </c>
    </row>
    <row r="7" spans="1:8">
      <c r="A7" s="11" t="s">
        <v>25</v>
      </c>
      <c r="B7" s="11">
        <f>'[4]Malaysian Palm USDA Comp'!G11</f>
        <v>3000</v>
      </c>
      <c r="C7" s="11">
        <f>'[4]Malaysian Palm USDA Comp'!H11</f>
        <v>2802</v>
      </c>
      <c r="D7" s="11">
        <f>'[4]Malaysian Palm USDA Comp'!I11</f>
        <v>0</v>
      </c>
      <c r="E7" s="11">
        <f>'[4]Malaysian Palm USDA Comp'!J11</f>
        <v>3000</v>
      </c>
      <c r="F7" s="11">
        <f>'[4]Malaysian Palm USDA Comp'!K11</f>
        <v>2750</v>
      </c>
      <c r="G7" s="11">
        <f>'[4]Malaysian Palm USDA Comp'!L11</f>
        <v>-250</v>
      </c>
      <c r="H7" s="11">
        <f>'[4]Malaysian Palm USDA Comp'!M11</f>
        <v>0</v>
      </c>
    </row>
    <row r="8" spans="1:8">
      <c r="A8" s="11" t="s">
        <v>15</v>
      </c>
      <c r="B8" s="11">
        <f>'[4]Malaysian Palm USDA Comp'!G12</f>
        <v>15355</v>
      </c>
      <c r="C8" s="11">
        <f>'[4]Malaysian Palm USDA Comp'!H12</f>
        <v>16530</v>
      </c>
      <c r="D8" s="11">
        <f>'[4]Malaysian Palm USDA Comp'!I12</f>
        <v>0</v>
      </c>
      <c r="E8" s="11">
        <f>'[4]Malaysian Palm USDA Comp'!J12</f>
        <v>16400</v>
      </c>
      <c r="F8" s="11">
        <f>'[4]Malaysian Palm USDA Comp'!K12</f>
        <v>15800</v>
      </c>
      <c r="G8" s="11">
        <f>'[4]Malaysian Palm USDA Comp'!L12</f>
        <v>-100</v>
      </c>
      <c r="H8" s="11">
        <f>'[4]Malaysian Palm USDA Comp'!M12</f>
        <v>0</v>
      </c>
    </row>
    <row r="9" spans="1:8">
      <c r="A9" s="11" t="s">
        <v>18</v>
      </c>
      <c r="B9" s="11">
        <f>'[4]Malaysian Palm USDA Comp'!G13</f>
        <v>19326</v>
      </c>
      <c r="C9" s="11">
        <f>'[4]Malaysian Palm USDA Comp'!H13</f>
        <v>20197</v>
      </c>
      <c r="D9" s="11">
        <f>'[4]Malaysian Palm USDA Comp'!I13</f>
        <v>0</v>
      </c>
      <c r="E9" s="11">
        <f>'[4]Malaysian Palm USDA Comp'!J13</f>
        <v>20370</v>
      </c>
      <c r="F9" s="11">
        <f>'[4]Malaysian Palm USDA Comp'!K13</f>
        <v>19515</v>
      </c>
      <c r="G9" s="11">
        <f>'[4]Malaysian Palm USDA Comp'!L13</f>
        <v>0</v>
      </c>
      <c r="H9" s="11">
        <f>'[4]Malaysian Palm USDA Comp'!M13</f>
        <v>0</v>
      </c>
    </row>
    <row r="10" spans="1:8">
      <c r="A10" s="11" t="s">
        <v>26</v>
      </c>
      <c r="B10" s="11">
        <f>'[4]Malaysian Palm USDA Comp'!G14</f>
        <v>2314</v>
      </c>
      <c r="C10" s="11">
        <f>'[4]Malaysian Palm USDA Comp'!H14</f>
        <v>2014</v>
      </c>
      <c r="D10" s="11">
        <f>'[4]Malaysian Palm USDA Comp'!I14</f>
        <v>0</v>
      </c>
      <c r="E10" s="11">
        <f>'[4]Malaysian Palm USDA Comp'!J14</f>
        <v>2344</v>
      </c>
      <c r="F10" s="11">
        <f>'[4]Malaysian Palm USDA Comp'!K14</f>
        <v>1949</v>
      </c>
      <c r="G10" s="11">
        <f>'[4]Malaysian Palm USDA Comp'!L14</f>
        <v>-295</v>
      </c>
      <c r="H10" s="11">
        <f>'[4]Malaysian Palm USDA Comp'!M14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B562-E458-4193-AF51-AA26EF6A64B8}">
  <dimension ref="A1:AG337"/>
  <sheetViews>
    <sheetView zoomScale="85" zoomScaleNormal="85" workbookViewId="0">
      <pane xSplit="1" ySplit="1" topLeftCell="P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7109375" style="10" bestFit="1" customWidth="1"/>
    <col min="2" max="4" width="9.140625" style="10"/>
    <col min="5" max="5" width="9.140625" style="20"/>
    <col min="6" max="16384" width="9.140625" style="10"/>
  </cols>
  <sheetData>
    <row r="1" spans="1:33">
      <c r="A1" s="10" t="s">
        <v>27</v>
      </c>
      <c r="B1" s="18">
        <f>'[2]Soy Complex'!AI387</f>
        <v>4.9000000000000004</v>
      </c>
      <c r="C1" s="18" t="str">
        <f>'[2]Soy Complex'!AJ387</f>
        <v xml:space="preserve">94/95 </v>
      </c>
      <c r="D1" s="18" t="str">
        <f>'[2]Soy Complex'!AK387</f>
        <v xml:space="preserve">95/96 </v>
      </c>
      <c r="E1" s="18" t="str">
        <f>'[2]Soy Complex'!AL387</f>
        <v xml:space="preserve">96/97 </v>
      </c>
      <c r="F1" s="18" t="str">
        <f>'[2]Soy Complex'!AM387</f>
        <v xml:space="preserve">97/98 </v>
      </c>
      <c r="G1" s="18" t="str">
        <f>'[2]Soy Complex'!AN387</f>
        <v xml:space="preserve">98/99 </v>
      </c>
      <c r="H1" s="18" t="str">
        <f>'[2]Soy Complex'!AO387</f>
        <v xml:space="preserve">99/00 </v>
      </c>
      <c r="I1" s="18" t="str">
        <f>'[2]Soy Complex'!AP387</f>
        <v xml:space="preserve">00/01 </v>
      </c>
      <c r="J1" s="18" t="str">
        <f>'[2]Soy Complex'!AQ387</f>
        <v xml:space="preserve">01/02 </v>
      </c>
      <c r="K1" s="18" t="str">
        <f>'[2]Soy Complex'!AR387</f>
        <v xml:space="preserve">02/03 </v>
      </c>
      <c r="L1" s="18" t="str">
        <f>'[2]Soy Complex'!AS387</f>
        <v xml:space="preserve">03/04 </v>
      </c>
      <c r="M1" s="18" t="str">
        <f>'[2]Soy Complex'!AT387</f>
        <v xml:space="preserve">04/05 </v>
      </c>
      <c r="N1" s="18" t="str">
        <f>'[2]Soy Complex'!AU387</f>
        <v xml:space="preserve">05/06 </v>
      </c>
      <c r="O1" s="18" t="str">
        <f>'[2]Soy Complex'!AV387</f>
        <v xml:space="preserve">06/07 </v>
      </c>
      <c r="P1" s="18" t="str">
        <f>'[2]Soy Complex'!AW387</f>
        <v xml:space="preserve">07/08 </v>
      </c>
      <c r="Q1" s="18" t="str">
        <f>'[2]Soy Complex'!AX387</f>
        <v xml:space="preserve">08/09 </v>
      </c>
      <c r="R1" s="18" t="str">
        <f>'[2]Soy Complex'!AY387</f>
        <v xml:space="preserve">09/10 </v>
      </c>
      <c r="S1" s="18" t="str">
        <f>'[2]Soy Complex'!AZ387</f>
        <v xml:space="preserve">10/11 </v>
      </c>
      <c r="T1" s="18" t="str">
        <f>'[2]Soy Complex'!BA387</f>
        <v xml:space="preserve">11/12 </v>
      </c>
      <c r="U1" s="18" t="str">
        <f>'[2]Soy Complex'!BB387</f>
        <v xml:space="preserve">12/13 </v>
      </c>
      <c r="V1" s="18" t="str">
        <f>'[2]Soy Complex'!BC387</f>
        <v xml:space="preserve">13/14 </v>
      </c>
      <c r="W1" s="18" t="str">
        <f>'[2]Soy Complex'!BD387</f>
        <v xml:space="preserve">14/15 </v>
      </c>
      <c r="X1" s="18" t="str">
        <f>'[2]Soy Complex'!BE387</f>
        <v xml:space="preserve">15/16 </v>
      </c>
      <c r="Y1" s="18" t="str">
        <f>'[2]Soy Complex'!BF387</f>
        <v xml:space="preserve">16/17 </v>
      </c>
      <c r="Z1" s="18" t="str">
        <f>'[2]Soy Complex'!BG387</f>
        <v xml:space="preserve">17/18 </v>
      </c>
      <c r="AA1" s="18" t="str">
        <f>'[2]Soy Complex'!BH387</f>
        <v xml:space="preserve">18/19 </v>
      </c>
      <c r="AB1" s="18" t="str">
        <f>'[2]Soy Complex'!BI387</f>
        <v>19/20</v>
      </c>
      <c r="AC1" s="18" t="str">
        <f>'[2]Soy Complex'!BJ387</f>
        <v>20/21</v>
      </c>
      <c r="AD1" s="18" t="str">
        <f>'[2]Soy Complex'!BK387</f>
        <v xml:space="preserve">21/22 </v>
      </c>
      <c r="AE1" s="18" t="str">
        <f>'[2]Soy Complex'!BL387</f>
        <v xml:space="preserve">22/23 </v>
      </c>
      <c r="AF1" s="18" t="str">
        <f>'[2]Soy Complex'!BM387</f>
        <v xml:space="preserve">23/24 </v>
      </c>
      <c r="AG1" s="18" t="str">
        <f>'[2]Soy Complex'!BN387</f>
        <v xml:space="preserve">24/25 </v>
      </c>
    </row>
    <row r="2" spans="1:33">
      <c r="A2" s="19" t="s">
        <v>28</v>
      </c>
      <c r="B2" s="20">
        <f>'[2]Soy Complex'!AI388+'[2]Soy Complex'!AI404+'[2]Soy Complex'!AI420</f>
        <v>15.81</v>
      </c>
      <c r="C2" s="20">
        <f>'[2]Soy Complex'!AJ388+'[2]Soy Complex'!AJ404+'[2]Soy Complex'!AJ420</f>
        <v>0</v>
      </c>
      <c r="D2" s="20">
        <f>'[2]Soy Complex'!AK388+'[2]Soy Complex'!AK404+'[2]Soy Complex'!AK420</f>
        <v>0</v>
      </c>
      <c r="E2" s="20">
        <f>'[2]Soy Complex'!AL388+'[2]Soy Complex'!AL404+'[2]Soy Complex'!AL420</f>
        <v>0</v>
      </c>
      <c r="F2" s="20">
        <f>'[2]Soy Complex'!AM388+'[2]Soy Complex'!AM404+'[2]Soy Complex'!AM420</f>
        <v>0</v>
      </c>
      <c r="G2" s="20">
        <f>'[2]Soy Complex'!AN388+'[2]Soy Complex'!AN404+'[2]Soy Complex'!AN420</f>
        <v>0.29690385699600136</v>
      </c>
      <c r="H2" s="20">
        <f>'[2]Soy Complex'!AO388+'[2]Soy Complex'!AO404+'[2]Soy Complex'!AO420</f>
        <v>1.1876154279840054</v>
      </c>
      <c r="I2" s="20">
        <f>'[2]Soy Complex'!AP388+'[2]Soy Complex'!AP404+'[2]Soy Complex'!AP420</f>
        <v>0.21189101421224818</v>
      </c>
      <c r="J2" s="20">
        <f>'[2]Soy Complex'!AQ388+'[2]Soy Complex'!AQ404+'[2]Soy Complex'!AQ420</f>
        <v>9.4106619223233192</v>
      </c>
      <c r="K2" s="20">
        <f>'[2]Soy Complex'!AR388+'[2]Soy Complex'!AR404+'[2]Soy Complex'!AR420</f>
        <v>11.254835574283801</v>
      </c>
      <c r="L2" s="20">
        <f>'[2]Soy Complex'!AS388+'[2]Soy Complex'!AS404+'[2]Soy Complex'!AS420</f>
        <v>6.5359429801235924</v>
      </c>
      <c r="M2" s="20">
        <f>'[2]Soy Complex'!AT388+'[2]Soy Complex'!AT404+'[2]Soy Complex'!AT420</f>
        <v>52.662474878619939</v>
      </c>
      <c r="N2" s="20">
        <f>'[2]Soy Complex'!AU388+'[2]Soy Complex'!AU404+'[2]Soy Complex'!AU420</f>
        <v>176.85559894203178</v>
      </c>
      <c r="O2" s="20">
        <f>'[2]Soy Complex'!AV388+'[2]Soy Complex'!AV404+'[2]Soy Complex'!AV420</f>
        <v>332.2</v>
      </c>
      <c r="P2" s="20">
        <f>'[2]Soy Complex'!AW388+'[2]Soy Complex'!AW404+'[2]Soy Complex'!AW420</f>
        <v>493.6</v>
      </c>
      <c r="Q2" s="20">
        <f>'[2]Soy Complex'!AX388+'[2]Soy Complex'!AX404+'[2]Soy Complex'!AX420</f>
        <v>590.6</v>
      </c>
      <c r="R2" s="20">
        <f>'[2]Soy Complex'!AY388+'[2]Soy Complex'!AY404+'[2]Soy Complex'!AY420</f>
        <v>488</v>
      </c>
      <c r="S2" s="20">
        <f>'[2]Soy Complex'!AZ388+'[2]Soy Complex'!AZ404+'[2]Soy Complex'!AZ420</f>
        <v>210</v>
      </c>
      <c r="T2" s="20">
        <f>'[2]Soy Complex'!BA388+'[2]Soy Complex'!BA404+'[2]Soy Complex'!BA420</f>
        <v>1058.2415155737704</v>
      </c>
      <c r="U2" s="20">
        <f>'[2]Soy Complex'!BB388+'[2]Soy Complex'!BB404+'[2]Soy Complex'!BB420</f>
        <v>618.1290819672131</v>
      </c>
      <c r="V2" s="20">
        <f>'[2]Soy Complex'!BC388+'[2]Soy Complex'!BC404+'[2]Soy Complex'!BC420</f>
        <v>1131.0607713114755</v>
      </c>
      <c r="W2" s="20">
        <f>'[2]Soy Complex'!BD388+'[2]Soy Complex'!BD404+'[2]Soy Complex'!BD420</f>
        <v>920.72774426229512</v>
      </c>
      <c r="X2" s="20">
        <f>'[2]Soy Complex'!BE388+'[2]Soy Complex'!BE404+'[2]Soy Complex'!BE420</f>
        <v>817.38934918032783</v>
      </c>
      <c r="Y2" s="20">
        <f>'[2]Soy Complex'!BF388+'[2]Soy Complex'!BF404+'[2]Soy Complex'!BF420</f>
        <v>1118.4358361551806</v>
      </c>
      <c r="Z2" s="20">
        <f>'[2]Soy Complex'!BG388+'[2]Soy Complex'!BG404+'[2]Soy Complex'!BG420</f>
        <v>1236.4650854089257</v>
      </c>
      <c r="AA2" s="20">
        <f>'[2]Soy Complex'!BH388+'[2]Soy Complex'!BH404+'[2]Soy Complex'!BH420</f>
        <v>1558.6861840740501</v>
      </c>
      <c r="AB2" s="20">
        <f>'[2]Soy Complex'!BI388+'[2]Soy Complex'!BI404+'[2]Soy Complex'!BI420</f>
        <v>1387.3751038038349</v>
      </c>
      <c r="AC2" s="20">
        <f>'[2]Soy Complex'!BJ388+'[2]Soy Complex'!BJ404+'[2]Soy Complex'!BJ420</f>
        <v>1561.3908543348671</v>
      </c>
      <c r="AD2" s="20">
        <f>'[2]Soy Complex'!BK388+'[2]Soy Complex'!BK404+'[2]Soy Complex'!BK420</f>
        <v>1659.7567222269367</v>
      </c>
      <c r="AE2" s="20">
        <f>'[2]Soy Complex'!BL388+'[2]Soy Complex'!BL404+'[2]Soy Complex'!BL420</f>
        <v>1781.4361144167192</v>
      </c>
      <c r="AF2" s="18">
        <f>'[2]Soy Complex'!BM388+'[2]Soy Complex'!BM404+'[2]Soy Complex'!BM420</f>
        <v>2082.4824491242439</v>
      </c>
      <c r="AG2" s="18">
        <f>'[2]Soy Complex'!BN388+'[2]Soy Complex'!BN404+'[2]Soy Complex'!BN420</f>
        <v>2411.4616286825335</v>
      </c>
    </row>
    <row r="3" spans="1:33">
      <c r="A3" s="19" t="s">
        <v>29</v>
      </c>
      <c r="B3" s="20">
        <f>'[2]Soy Complex'!AI389+'[2]Soy Complex'!AI405+'[2]Soy Complex'!AI421</f>
        <v>15.81</v>
      </c>
      <c r="C3" s="20">
        <f>'[2]Soy Complex'!AJ389+'[2]Soy Complex'!AJ405+'[2]Soy Complex'!AJ421</f>
        <v>0</v>
      </c>
      <c r="D3" s="20">
        <f>'[2]Soy Complex'!AK389+'[2]Soy Complex'!AK405+'[2]Soy Complex'!AK421</f>
        <v>0</v>
      </c>
      <c r="E3" s="20">
        <f>'[2]Soy Complex'!AL389+'[2]Soy Complex'!AL405+'[2]Soy Complex'!AL421</f>
        <v>0</v>
      </c>
      <c r="F3" s="20">
        <f>'[2]Soy Complex'!AM389+'[2]Soy Complex'!AM405+'[2]Soy Complex'!AM421</f>
        <v>0</v>
      </c>
      <c r="G3" s="20">
        <f>'[2]Soy Complex'!AN389+'[2]Soy Complex'!AN405+'[2]Soy Complex'!AN421</f>
        <v>0.29690385699600136</v>
      </c>
      <c r="H3" s="20">
        <f>'[2]Soy Complex'!AO389+'[2]Soy Complex'!AO405+'[2]Soy Complex'!AO421</f>
        <v>1.1876154279840054</v>
      </c>
      <c r="I3" s="20">
        <f>'[2]Soy Complex'!AP389+'[2]Soy Complex'!AP405+'[2]Soy Complex'!AP421</f>
        <v>0.21189101421224818</v>
      </c>
      <c r="J3" s="20">
        <f>'[2]Soy Complex'!AQ389+'[2]Soy Complex'!AQ405+'[2]Soy Complex'!AQ421</f>
        <v>9.4106619223233192</v>
      </c>
      <c r="K3" s="20">
        <f>'[2]Soy Complex'!AR389+'[2]Soy Complex'!AR405+'[2]Soy Complex'!AR421</f>
        <v>11.254835574283801</v>
      </c>
      <c r="L3" s="20">
        <f>'[2]Soy Complex'!AS389+'[2]Soy Complex'!AS405+'[2]Soy Complex'!AS421</f>
        <v>6.5359429801235924</v>
      </c>
      <c r="M3" s="20">
        <f>'[2]Soy Complex'!AT389+'[2]Soy Complex'!AT405+'[2]Soy Complex'!AT421</f>
        <v>52.662474878619939</v>
      </c>
      <c r="N3" s="20">
        <f>'[2]Soy Complex'!AU389+'[2]Soy Complex'!AU405+'[2]Soy Complex'!AU421</f>
        <v>176.85559894203178</v>
      </c>
      <c r="O3" s="20">
        <f>'[2]Soy Complex'!AV389+'[2]Soy Complex'!AV405+'[2]Soy Complex'!AV421</f>
        <v>315.2</v>
      </c>
      <c r="P3" s="20">
        <f>'[2]Soy Complex'!AW389+'[2]Soy Complex'!AW405+'[2]Soy Complex'!AW421</f>
        <v>438.2</v>
      </c>
      <c r="Q3" s="20">
        <f>'[2]Soy Complex'!AX389+'[2]Soy Complex'!AX405+'[2]Soy Complex'!AX421</f>
        <v>504.8</v>
      </c>
      <c r="R3" s="20">
        <f>'[2]Soy Complex'!AY389+'[2]Soy Complex'!AY405+'[2]Soy Complex'!AY421</f>
        <v>474</v>
      </c>
      <c r="S3" s="20">
        <f>'[2]Soy Complex'!AZ389+'[2]Soy Complex'!AZ405+'[2]Soy Complex'!AZ421</f>
        <v>146</v>
      </c>
      <c r="T3" s="20">
        <f>'[2]Soy Complex'!BA389+'[2]Soy Complex'!BA405+'[2]Soy Complex'!BA421</f>
        <v>1081.6564299180327</v>
      </c>
      <c r="U3" s="20">
        <f>'[2]Soy Complex'!BB389+'[2]Soy Complex'!BB405+'[2]Soy Complex'!BB421</f>
        <v>499.02707459016392</v>
      </c>
      <c r="V3" s="20">
        <f>'[2]Soy Complex'!BC389+'[2]Soy Complex'!BC405+'[2]Soy Complex'!BC421</f>
        <v>1086.3049606557377</v>
      </c>
      <c r="W3" s="20">
        <f>'[2]Soy Complex'!BD389+'[2]Soy Complex'!BD405+'[2]Soy Complex'!BD421</f>
        <v>896.15584180327869</v>
      </c>
      <c r="X3" s="20">
        <f>'[2]Soy Complex'!BE389+'[2]Soy Complex'!BE405+'[2]Soy Complex'!BE421</f>
        <v>929.14828934426237</v>
      </c>
      <c r="Y3" s="20">
        <f>'[2]Soy Complex'!BF389+'[2]Soy Complex'!BF405+'[2]Soy Complex'!BF421</f>
        <v>1279.6437965402947</v>
      </c>
      <c r="Z3" s="20">
        <f>'[2]Soy Complex'!BG389+'[2]Soy Complex'!BG405+'[2]Soy Complex'!BG421</f>
        <v>1256.2399411355959</v>
      </c>
      <c r="AA3" s="20">
        <f>'[2]Soy Complex'!BH389+'[2]Soy Complex'!BH405+'[2]Soy Complex'!BH421</f>
        <v>1560.8298109142222</v>
      </c>
      <c r="AB3" s="20">
        <f>'[2]Soy Complex'!BI389+'[2]Soy Complex'!BI405+'[2]Soy Complex'!BI421</f>
        <v>1285.2249107502114</v>
      </c>
      <c r="AC3" s="20">
        <f>'[2]Soy Complex'!BJ389+'[2]Soy Complex'!BJ405+'[2]Soy Complex'!BJ421</f>
        <v>1596.7840410527328</v>
      </c>
      <c r="AD3" s="20">
        <f>'[2]Soy Complex'!BK389+'[2]Soy Complex'!BK405+'[2]Soy Complex'!BK421</f>
        <v>1637.9127448788738</v>
      </c>
      <c r="AE3" s="20">
        <f>'[2]Soy Complex'!BL389+'[2]Soy Complex'!BL405+'[2]Soy Complex'!BL421</f>
        <v>1845.0604031735952</v>
      </c>
      <c r="AF3" s="18">
        <f>'[2]Soy Complex'!BM389+'[2]Soy Complex'!BM405+'[2]Soy Complex'!BM421</f>
        <v>2100.4255851864859</v>
      </c>
      <c r="AG3" s="18">
        <f>'[2]Soy Complex'!BN389+'[2]Soy Complex'!BN405+'[2]Soy Complex'!BN421</f>
        <v>2332.6747762209716</v>
      </c>
    </row>
    <row r="4" spans="1:33">
      <c r="A4" s="19" t="s">
        <v>30</v>
      </c>
      <c r="B4" s="20">
        <f>'[2]Soy Complex'!AI390+'[2]Soy Complex'!AI406+'[2]Soy Complex'!AI422</f>
        <v>15.86</v>
      </c>
      <c r="C4" s="20">
        <f>'[2]Soy Complex'!AJ390+'[2]Soy Complex'!AJ406+'[2]Soy Complex'!AJ422</f>
        <v>0</v>
      </c>
      <c r="D4" s="20">
        <f>'[2]Soy Complex'!AK390+'[2]Soy Complex'!AK406+'[2]Soy Complex'!AK422</f>
        <v>0</v>
      </c>
      <c r="E4" s="20">
        <f>'[2]Soy Complex'!AL390+'[2]Soy Complex'!AL406+'[2]Soy Complex'!AL422</f>
        <v>0</v>
      </c>
      <c r="F4" s="20">
        <f>'[2]Soy Complex'!AM390+'[2]Soy Complex'!AM406+'[2]Soy Complex'!AM422</f>
        <v>0</v>
      </c>
      <c r="G4" s="20">
        <f>'[2]Soy Complex'!AN390+'[2]Soy Complex'!AN406+'[2]Soy Complex'!AN422</f>
        <v>0.29690385699600136</v>
      </c>
      <c r="H4" s="20">
        <f>'[2]Soy Complex'!AO390+'[2]Soy Complex'!AO406+'[2]Soy Complex'!AO422</f>
        <v>1.1876154279840054</v>
      </c>
      <c r="I4" s="20">
        <f>'[2]Soy Complex'!AP390+'[2]Soy Complex'!AP406+'[2]Soy Complex'!AP422</f>
        <v>0.21189101421224818</v>
      </c>
      <c r="J4" s="20">
        <f>'[2]Soy Complex'!AQ390+'[2]Soy Complex'!AQ406+'[2]Soy Complex'!AQ422</f>
        <v>9.4106619223233192</v>
      </c>
      <c r="K4" s="20">
        <f>'[2]Soy Complex'!AR390+'[2]Soy Complex'!AR406+'[2]Soy Complex'!AR422</f>
        <v>11.254835574283801</v>
      </c>
      <c r="L4" s="20">
        <f>'[2]Soy Complex'!AS390+'[2]Soy Complex'!AS406+'[2]Soy Complex'!AS422</f>
        <v>6.5359429801235924</v>
      </c>
      <c r="M4" s="20">
        <f>'[2]Soy Complex'!AT390+'[2]Soy Complex'!AT406+'[2]Soy Complex'!AT422</f>
        <v>52.662474878619939</v>
      </c>
      <c r="N4" s="20">
        <f>'[2]Soy Complex'!AU390+'[2]Soy Complex'!AU406+'[2]Soy Complex'!AU422</f>
        <v>176.85559894203178</v>
      </c>
      <c r="O4" s="20">
        <f>'[2]Soy Complex'!AV390+'[2]Soy Complex'!AV406+'[2]Soy Complex'!AV422</f>
        <v>357.4</v>
      </c>
      <c r="P4" s="20">
        <f>'[2]Soy Complex'!AW390+'[2]Soy Complex'!AW406+'[2]Soy Complex'!AW422</f>
        <v>438.6</v>
      </c>
      <c r="Q4" s="20">
        <f>'[2]Soy Complex'!AX390+'[2]Soy Complex'!AX406+'[2]Soy Complex'!AX422</f>
        <v>414</v>
      </c>
      <c r="R4" s="20">
        <f>'[2]Soy Complex'!AY390+'[2]Soy Complex'!AY406+'[2]Soy Complex'!AY422</f>
        <v>482</v>
      </c>
      <c r="S4" s="20">
        <f>'[2]Soy Complex'!AZ390+'[2]Soy Complex'!AZ406+'[2]Soy Complex'!AZ422</f>
        <v>126</v>
      </c>
      <c r="T4" s="20">
        <f>'[2]Soy Complex'!BA390+'[2]Soy Complex'!BA406+'[2]Soy Complex'!BA422</f>
        <v>1187.4817827868851</v>
      </c>
      <c r="U4" s="20">
        <f>'[2]Soy Complex'!BB390+'[2]Soy Complex'!BB406+'[2]Soy Complex'!BB422</f>
        <v>554.03496024590163</v>
      </c>
      <c r="V4" s="20">
        <f>'[2]Soy Complex'!BC390+'[2]Soy Complex'!BC406+'[2]Soy Complex'!BC422</f>
        <v>1120.0980475409838</v>
      </c>
      <c r="W4" s="20">
        <f>'[2]Soy Complex'!BD390+'[2]Soy Complex'!BD406+'[2]Soy Complex'!BD422</f>
        <v>1065.5362877049179</v>
      </c>
      <c r="X4" s="20">
        <f>'[2]Soy Complex'!BE390+'[2]Soy Complex'!BE406+'[2]Soy Complex'!BE422</f>
        <v>873.10229713114757</v>
      </c>
      <c r="Y4" s="20">
        <f>'[2]Soy Complex'!BF390+'[2]Soy Complex'!BF406+'[2]Soy Complex'!BF422</f>
        <v>1308.2073032205469</v>
      </c>
      <c r="Z4" s="20">
        <f>'[2]Soy Complex'!BG390+'[2]Soy Complex'!BG406+'[2]Soy Complex'!BG422</f>
        <v>1270.3262110041351</v>
      </c>
      <c r="AA4" s="20">
        <f>'[2]Soy Complex'!BH390+'[2]Soy Complex'!BH406+'[2]Soy Complex'!BH422</f>
        <v>1718.4756454943147</v>
      </c>
      <c r="AB4" s="20">
        <f>'[2]Soy Complex'!BI390+'[2]Soy Complex'!BI406+'[2]Soy Complex'!BI422</f>
        <v>1394.281646823862</v>
      </c>
      <c r="AC4" s="20">
        <f>'[2]Soy Complex'!BJ390+'[2]Soy Complex'!BJ406+'[2]Soy Complex'!BJ422</f>
        <v>1764.0119161200191</v>
      </c>
      <c r="AD4" s="20">
        <f>'[2]Soy Complex'!BK390+'[2]Soy Complex'!BK406+'[2]Soy Complex'!BK422</f>
        <v>1863.5902979540585</v>
      </c>
      <c r="AE4" s="18">
        <f>'[2]Soy Complex'!BL390+'[2]Soy Complex'!BL406+'[2]Soy Complex'!BL422</f>
        <v>1722.7875138314178</v>
      </c>
      <c r="AF4" s="18">
        <f>'[2]Soy Complex'!BM390+'[2]Soy Complex'!BM406+'[2]Soy Complex'!BM422</f>
        <v>2263.0420712554896</v>
      </c>
      <c r="AG4" s="18">
        <f>'[2]Soy Complex'!BN390+'[2]Soy Complex'!BN406+'[2]Soy Complex'!BN422</f>
        <v>2148.2813645961751</v>
      </c>
    </row>
    <row r="5" spans="1:33">
      <c r="A5" s="19" t="s">
        <v>31</v>
      </c>
      <c r="B5" s="20">
        <f>'[2]Soy Complex'!AI391+'[2]Soy Complex'!AI407+'[2]Soy Complex'!AI423</f>
        <v>16.060000000000002</v>
      </c>
      <c r="C5" s="20">
        <f>'[2]Soy Complex'!AJ391+'[2]Soy Complex'!AJ407+'[2]Soy Complex'!AJ423</f>
        <v>0</v>
      </c>
      <c r="D5" s="20">
        <f>'[2]Soy Complex'!AK391+'[2]Soy Complex'!AK407+'[2]Soy Complex'!AK423</f>
        <v>0</v>
      </c>
      <c r="E5" s="20">
        <f>'[2]Soy Complex'!AL391+'[2]Soy Complex'!AL407+'[2]Soy Complex'!AL423</f>
        <v>0</v>
      </c>
      <c r="F5" s="20">
        <f>'[2]Soy Complex'!AM391+'[2]Soy Complex'!AM407+'[2]Soy Complex'!AM423</f>
        <v>0</v>
      </c>
      <c r="G5" s="20">
        <f>'[2]Soy Complex'!AN391+'[2]Soy Complex'!AN407+'[2]Soy Complex'!AN423</f>
        <v>0.31496961681454577</v>
      </c>
      <c r="H5" s="20">
        <f>'[2]Soy Complex'!AO391+'[2]Soy Complex'!AO407+'[2]Soy Complex'!AO423</f>
        <v>1.2598784672581831</v>
      </c>
      <c r="I5" s="20">
        <f>'[2]Soy Complex'!AP391+'[2]Soy Complex'!AP407+'[2]Soy Complex'!AP423</f>
        <v>7.2464737595644833</v>
      </c>
      <c r="J5" s="20">
        <f>'[2]Soy Complex'!AQ391+'[2]Soy Complex'!AQ407+'[2]Soy Complex'!AQ423</f>
        <v>12.736729219468723</v>
      </c>
      <c r="K5" s="20">
        <f>'[2]Soy Complex'!AR391+'[2]Soy Complex'!AR407+'[2]Soy Complex'!AR423</f>
        <v>10.341121038632519</v>
      </c>
      <c r="L5" s="20">
        <f>'[2]Soy Complex'!AS391+'[2]Soy Complex'!AS407+'[2]Soy Complex'!AS423</f>
        <v>25.874258220132457</v>
      </c>
      <c r="M5" s="20">
        <f>'[2]Soy Complex'!AT391+'[2]Soy Complex'!AT407+'[2]Soy Complex'!AT423</f>
        <v>35.897908683988113</v>
      </c>
      <c r="N5" s="20">
        <f>'[2]Soy Complex'!AU391+'[2]Soy Complex'!AU407+'[2]Soy Complex'!AU423</f>
        <v>188.8</v>
      </c>
      <c r="O5" s="20">
        <f>'[2]Soy Complex'!AV391+'[2]Soy Complex'!AV407+'[2]Soy Complex'!AV423</f>
        <v>384.2</v>
      </c>
      <c r="P5" s="20">
        <f>'[2]Soy Complex'!AW391+'[2]Soy Complex'!AW407+'[2]Soy Complex'!AW423</f>
        <v>578</v>
      </c>
      <c r="Q5" s="20">
        <f>'[2]Soy Complex'!AX391+'[2]Soy Complex'!AX407+'[2]Soy Complex'!AX423</f>
        <v>304</v>
      </c>
      <c r="R5" s="20">
        <f>'[2]Soy Complex'!AY391+'[2]Soy Complex'!AY407+'[2]Soy Complex'!AY423</f>
        <v>180</v>
      </c>
      <c r="S5" s="20">
        <f>'[2]Soy Complex'!AZ391+'[2]Soy Complex'!AZ407+'[2]Soy Complex'!AZ423</f>
        <v>300</v>
      </c>
      <c r="T5" s="20">
        <f>'[2]Soy Complex'!BA391+'[2]Soy Complex'!BA407+'[2]Soy Complex'!BA423</f>
        <v>613.89122827868846</v>
      </c>
      <c r="U5" s="20">
        <f>'[2]Soy Complex'!BB391+'[2]Soy Complex'!BB407+'[2]Soy Complex'!BB423</f>
        <v>627.48934508196726</v>
      </c>
      <c r="V5" s="20">
        <f>'[2]Soy Complex'!BC391+'[2]Soy Complex'!BC407+'[2]Soy Complex'!BC423</f>
        <v>482.86406639344261</v>
      </c>
      <c r="W5" s="20">
        <f>'[2]Soy Complex'!BD391+'[2]Soy Complex'!BD407+'[2]Soy Complex'!BD423</f>
        <v>612.61247950819666</v>
      </c>
      <c r="X5" s="20">
        <f>'[2]Soy Complex'!BE391+'[2]Soy Complex'!BE407+'[2]Soy Complex'!BE423</f>
        <v>785.40795040983608</v>
      </c>
      <c r="Y5" s="20">
        <f>'[2]Soy Complex'!BF391+'[2]Soy Complex'!BF407+'[2]Soy Complex'!BF423</f>
        <v>840.05947758746117</v>
      </c>
      <c r="Z5" s="20">
        <f>'[2]Soy Complex'!BG391+'[2]Soy Complex'!BG407+'[2]Soy Complex'!BG423</f>
        <v>982.20631420816721</v>
      </c>
      <c r="AA5" s="20">
        <f>'[2]Soy Complex'!BH391+'[2]Soy Complex'!BH407+'[2]Soy Complex'!BH423</f>
        <v>1416.7981324107077</v>
      </c>
      <c r="AB5" s="20">
        <f>'[2]Soy Complex'!BI391+'[2]Soy Complex'!BI407+'[2]Soy Complex'!BI423</f>
        <v>1237.2474365898752</v>
      </c>
      <c r="AC5" s="20">
        <f>'[2]Soy Complex'!BJ391+'[2]Soy Complex'!BJ407+'[2]Soy Complex'!BJ423</f>
        <v>1324.6790417252109</v>
      </c>
      <c r="AD5" s="20">
        <f>'[2]Soy Complex'!BK391+'[2]Soy Complex'!BK407+'[2]Soy Complex'!BK423</f>
        <v>1575.6322352514931</v>
      </c>
      <c r="AE5" s="18">
        <f>'[2]Soy Complex'!BL391+'[2]Soy Complex'!BL407+'[2]Soy Complex'!BL423</f>
        <v>1861.8171854559507</v>
      </c>
      <c r="AF5" s="18">
        <f>'[2]Soy Complex'!BM391+'[2]Soy Complex'!BM407+'[2]Soy Complex'!BM423</f>
        <v>1889.6045224289865</v>
      </c>
      <c r="AG5" s="18">
        <f>'[2]Soy Complex'!BN391+'[2]Soy Complex'!BN407+'[2]Soy Complex'!BN423</f>
        <v>1235.9396783576731</v>
      </c>
    </row>
    <row r="6" spans="1:33">
      <c r="A6" s="19" t="s">
        <v>32</v>
      </c>
      <c r="B6" s="20">
        <f>'[2]Soy Complex'!AI392+'[2]Soy Complex'!AI408+'[2]Soy Complex'!AI424</f>
        <v>16.03</v>
      </c>
      <c r="C6" s="20">
        <f>'[2]Soy Complex'!AJ392+'[2]Soy Complex'!AJ408+'[2]Soy Complex'!AJ424</f>
        <v>0</v>
      </c>
      <c r="D6" s="20">
        <f>'[2]Soy Complex'!AK392+'[2]Soy Complex'!AK408+'[2]Soy Complex'!AK424</f>
        <v>0</v>
      </c>
      <c r="E6" s="20">
        <f>'[2]Soy Complex'!AL392+'[2]Soy Complex'!AL408+'[2]Soy Complex'!AL424</f>
        <v>0</v>
      </c>
      <c r="F6" s="20">
        <f>'[2]Soy Complex'!AM392+'[2]Soy Complex'!AM408+'[2]Soy Complex'!AM424</f>
        <v>0</v>
      </c>
      <c r="G6" s="20">
        <f>'[2]Soy Complex'!AN392+'[2]Soy Complex'!AN408+'[2]Soy Complex'!AN424</f>
        <v>0.31496961681454577</v>
      </c>
      <c r="H6" s="20">
        <f>'[2]Soy Complex'!AO392+'[2]Soy Complex'!AO408+'[2]Soy Complex'!AO424</f>
        <v>1.2598784672581831</v>
      </c>
      <c r="I6" s="20">
        <f>'[2]Soy Complex'!AP392+'[2]Soy Complex'!AP408+'[2]Soy Complex'!AP424</f>
        <v>7.2464737595644833</v>
      </c>
      <c r="J6" s="20">
        <f>'[2]Soy Complex'!AQ392+'[2]Soy Complex'!AQ408+'[2]Soy Complex'!AQ424</f>
        <v>12.736729219468723</v>
      </c>
      <c r="K6" s="20">
        <f>'[2]Soy Complex'!AR392+'[2]Soy Complex'!AR408+'[2]Soy Complex'!AR424</f>
        <v>10.341121038632519</v>
      </c>
      <c r="L6" s="20">
        <f>'[2]Soy Complex'!AS392+'[2]Soy Complex'!AS408+'[2]Soy Complex'!AS424</f>
        <v>25.874258220132457</v>
      </c>
      <c r="M6" s="20">
        <f>'[2]Soy Complex'!AT392+'[2]Soy Complex'!AT408+'[2]Soy Complex'!AT424</f>
        <v>35.897908683988113</v>
      </c>
      <c r="N6" s="20">
        <f>'[2]Soy Complex'!AU392+'[2]Soy Complex'!AU408+'[2]Soy Complex'!AU424</f>
        <v>163.19999999999999</v>
      </c>
      <c r="O6" s="20">
        <f>'[2]Soy Complex'!AV392+'[2]Soy Complex'!AV408+'[2]Soy Complex'!AV424</f>
        <v>316.8</v>
      </c>
      <c r="P6" s="20">
        <f>'[2]Soy Complex'!AW392+'[2]Soy Complex'!AW408+'[2]Soy Complex'!AW424</f>
        <v>495</v>
      </c>
      <c r="Q6" s="20">
        <f>'[2]Soy Complex'!AX392+'[2]Soy Complex'!AX408+'[2]Soy Complex'!AX424</f>
        <v>292</v>
      </c>
      <c r="R6" s="20">
        <f>'[2]Soy Complex'!AY392+'[2]Soy Complex'!AY408+'[2]Soy Complex'!AY424</f>
        <v>204</v>
      </c>
      <c r="S6" s="20">
        <f>'[2]Soy Complex'!AZ392+'[2]Soy Complex'!AZ408+'[2]Soy Complex'!AZ424</f>
        <v>300</v>
      </c>
      <c r="T6" s="20">
        <f>'[2]Soy Complex'!BA392+'[2]Soy Complex'!BA408+'[2]Soy Complex'!BA424</f>
        <v>648.3548889344263</v>
      </c>
      <c r="U6" s="20">
        <f>'[2]Soy Complex'!BB392+'[2]Soy Complex'!BB408+'[2]Soy Complex'!BB424</f>
        <v>576.15085245901639</v>
      </c>
      <c r="V6" s="20">
        <f>'[2]Soy Complex'!BC392+'[2]Soy Complex'!BC408+'[2]Soy Complex'!BC424</f>
        <v>555.93020860655736</v>
      </c>
      <c r="W6" s="20">
        <f>'[2]Soy Complex'!BD392+'[2]Soy Complex'!BD408+'[2]Soy Complex'!BD424</f>
        <v>623.44109918032791</v>
      </c>
      <c r="X6" s="20">
        <f>'[2]Soy Complex'!BE392+'[2]Soy Complex'!BE408+'[2]Soy Complex'!BE424</f>
        <v>833.1153028688525</v>
      </c>
      <c r="Y6" s="20">
        <f>'[2]Soy Complex'!BF392+'[2]Soy Complex'!BF408+'[2]Soy Complex'!BF424</f>
        <v>806.08958913999322</v>
      </c>
      <c r="Z6" s="20">
        <f>'[2]Soy Complex'!BG392+'[2]Soy Complex'!BG408+'[2]Soy Complex'!BG424</f>
        <v>1082.2554522533844</v>
      </c>
      <c r="AA6" s="20">
        <f>'[2]Soy Complex'!BH392+'[2]Soy Complex'!BH408+'[2]Soy Complex'!BH424</f>
        <v>1310.0544879626343</v>
      </c>
      <c r="AB6" s="20">
        <f>'[2]Soy Complex'!BI392+'[2]Soy Complex'!BI408+'[2]Soy Complex'!BI424</f>
        <v>1326.6277195711082</v>
      </c>
      <c r="AC6" s="20">
        <f>'[2]Soy Complex'!BJ392+'[2]Soy Complex'!BJ408+'[2]Soy Complex'!BJ424</f>
        <v>1098.5441762416758</v>
      </c>
      <c r="AD6" s="20">
        <f>'[2]Soy Complex'!BK392+'[2]Soy Complex'!BK408+'[2]Soy Complex'!BK424</f>
        <v>1504.0644063697166</v>
      </c>
      <c r="AE6" s="18">
        <f>'[2]Soy Complex'!BL392+'[2]Soy Complex'!BL408+'[2]Soy Complex'!BL424</f>
        <v>1805.6781545916251</v>
      </c>
      <c r="AF6" s="18">
        <f>'[2]Soy Complex'!BM392+'[2]Soy Complex'!BM408+'[2]Soy Complex'!BM424</f>
        <v>1751.9987251824768</v>
      </c>
      <c r="AG6" s="18">
        <f>'[2]Soy Complex'!BN392+'[2]Soy Complex'!BN408+'[2]Soy Complex'!BN424</f>
        <v>1408.1508015150216</v>
      </c>
    </row>
    <row r="7" spans="1:33">
      <c r="A7" s="19" t="s">
        <v>33</v>
      </c>
      <c r="B7" s="20">
        <f>'[2]Soy Complex'!AI393+'[2]Soy Complex'!AI409+'[2]Soy Complex'!AI425</f>
        <v>16.2</v>
      </c>
      <c r="C7" s="20">
        <f>'[2]Soy Complex'!AJ393+'[2]Soy Complex'!AJ409+'[2]Soy Complex'!AJ425</f>
        <v>0</v>
      </c>
      <c r="D7" s="20">
        <f>'[2]Soy Complex'!AK393+'[2]Soy Complex'!AK409+'[2]Soy Complex'!AK425</f>
        <v>0</v>
      </c>
      <c r="E7" s="20">
        <f>'[2]Soy Complex'!AL393+'[2]Soy Complex'!AL409+'[2]Soy Complex'!AL425</f>
        <v>0</v>
      </c>
      <c r="F7" s="20">
        <f>'[2]Soy Complex'!AM393+'[2]Soy Complex'!AM409+'[2]Soy Complex'!AM425</f>
        <v>0</v>
      </c>
      <c r="G7" s="20">
        <f>'[2]Soy Complex'!AN393+'[2]Soy Complex'!AN409+'[2]Soy Complex'!AN425</f>
        <v>0.31496961681454577</v>
      </c>
      <c r="H7" s="20">
        <f>'[2]Soy Complex'!AO393+'[2]Soy Complex'!AO409+'[2]Soy Complex'!AO425</f>
        <v>1.2598784672581831</v>
      </c>
      <c r="I7" s="20">
        <f>'[2]Soy Complex'!AP393+'[2]Soy Complex'!AP409+'[2]Soy Complex'!AP425</f>
        <v>7.2464737595644833</v>
      </c>
      <c r="J7" s="20">
        <f>'[2]Soy Complex'!AQ393+'[2]Soy Complex'!AQ409+'[2]Soy Complex'!AQ425</f>
        <v>12.736729219468723</v>
      </c>
      <c r="K7" s="20">
        <f>'[2]Soy Complex'!AR393+'[2]Soy Complex'!AR409+'[2]Soy Complex'!AR425</f>
        <v>10.341121038632519</v>
      </c>
      <c r="L7" s="20">
        <f>'[2]Soy Complex'!AS393+'[2]Soy Complex'!AS409+'[2]Soy Complex'!AS425</f>
        <v>25.874258220132457</v>
      </c>
      <c r="M7" s="20">
        <f>'[2]Soy Complex'!AT393+'[2]Soy Complex'!AT409+'[2]Soy Complex'!AT425</f>
        <v>35.897908683988113</v>
      </c>
      <c r="N7" s="20">
        <f>'[2]Soy Complex'!AU393+'[2]Soy Complex'!AU409+'[2]Soy Complex'!AU425</f>
        <v>222.6</v>
      </c>
      <c r="O7" s="20">
        <f>'[2]Soy Complex'!AV393+'[2]Soy Complex'!AV409+'[2]Soy Complex'!AV425</f>
        <v>444.8</v>
      </c>
      <c r="P7" s="20">
        <f>'[2]Soy Complex'!AW393+'[2]Soy Complex'!AW409+'[2]Soy Complex'!AW425</f>
        <v>519</v>
      </c>
      <c r="Q7" s="20">
        <f>'[2]Soy Complex'!AX393+'[2]Soy Complex'!AX409+'[2]Soy Complex'!AX425</f>
        <v>204</v>
      </c>
      <c r="R7" s="20">
        <f>'[2]Soy Complex'!AY393+'[2]Soy Complex'!AY409+'[2]Soy Complex'!AY425</f>
        <v>224</v>
      </c>
      <c r="S7" s="20">
        <f>'[2]Soy Complex'!AZ393+'[2]Soy Complex'!AZ409+'[2]Soy Complex'!AZ425</f>
        <v>380</v>
      </c>
      <c r="T7" s="20">
        <f>'[2]Soy Complex'!BA393+'[2]Soy Complex'!BA409+'[2]Soy Complex'!BA425</f>
        <v>778.39648606557375</v>
      </c>
      <c r="U7" s="20">
        <f>'[2]Soy Complex'!BB393+'[2]Soy Complex'!BB409+'[2]Soy Complex'!BB425</f>
        <v>888.56155491803281</v>
      </c>
      <c r="V7" s="20">
        <f>'[2]Soy Complex'!BC393+'[2]Soy Complex'!BC409+'[2]Soy Complex'!BC425</f>
        <v>760.72403442622954</v>
      </c>
      <c r="W7" s="20">
        <f>'[2]Soy Complex'!BD393+'[2]Soy Complex'!BD409+'[2]Soy Complex'!BD425</f>
        <v>764.58728975409838</v>
      </c>
      <c r="X7" s="20">
        <f>'[2]Soy Complex'!BE393+'[2]Soy Complex'!BE409+'[2]Soy Complex'!BE425</f>
        <v>930.63356844262296</v>
      </c>
      <c r="Y7" s="20">
        <f>'[2]Soy Complex'!BF393+'[2]Soy Complex'!BF409+'[2]Soy Complex'!BF425</f>
        <v>790.08182884895746</v>
      </c>
      <c r="Z7" s="20">
        <f>'[2]Soy Complex'!BG393+'[2]Soy Complex'!BG409+'[2]Soy Complex'!BG425</f>
        <v>1353.2858317714458</v>
      </c>
      <c r="AA7" s="20">
        <f>'[2]Soy Complex'!BH393+'[2]Soy Complex'!BH409+'[2]Soy Complex'!BH425</f>
        <v>1401.7997410256237</v>
      </c>
      <c r="AB7" s="20">
        <f>'[2]Soy Complex'!BI393+'[2]Soy Complex'!BI409+'[2]Soy Complex'!BI425</f>
        <v>1528.4118603651762</v>
      </c>
      <c r="AC7" s="20">
        <f>'[2]Soy Complex'!BJ393+'[2]Soy Complex'!BJ409+'[2]Soy Complex'!BJ425</f>
        <v>1493.1117586270238</v>
      </c>
      <c r="AD7" s="20">
        <f>'[2]Soy Complex'!BK393+'[2]Soy Complex'!BK409+'[2]Soy Complex'!BK425</f>
        <v>1826.2936005934462</v>
      </c>
      <c r="AE7" s="18">
        <f>'[2]Soy Complex'!BL393+'[2]Soy Complex'!BL409+'[2]Soy Complex'!BL425</f>
        <v>1850.9517612459733</v>
      </c>
      <c r="AF7" s="18">
        <f>'[2]Soy Complex'!BM393+'[2]Soy Complex'!BM409+'[2]Soy Complex'!BM425</f>
        <v>2017.3768594235517</v>
      </c>
      <c r="AG7" s="18">
        <f>'[2]Soy Complex'!BN393+'[2]Soy Complex'!BN409+'[2]Soy Complex'!BN425</f>
        <v>1811.6319513279659</v>
      </c>
    </row>
    <row r="8" spans="1:33">
      <c r="A8" s="19" t="s">
        <v>34</v>
      </c>
      <c r="B8" s="20">
        <f>'[2]Soy Complex'!AI394+'[2]Soy Complex'!AI410+'[2]Soy Complex'!AI426</f>
        <v>16.25</v>
      </c>
      <c r="C8" s="20">
        <f>'[2]Soy Complex'!AJ394+'[2]Soy Complex'!AJ410+'[2]Soy Complex'!AJ426</f>
        <v>0</v>
      </c>
      <c r="D8" s="20">
        <f>'[2]Soy Complex'!AK394+'[2]Soy Complex'!AK410+'[2]Soy Complex'!AK426</f>
        <v>0</v>
      </c>
      <c r="E8" s="20">
        <f>'[2]Soy Complex'!AL394+'[2]Soy Complex'!AL410+'[2]Soy Complex'!AL426</f>
        <v>0</v>
      </c>
      <c r="F8" s="20">
        <f>'[2]Soy Complex'!AM394+'[2]Soy Complex'!AM410+'[2]Soy Complex'!AM426</f>
        <v>0</v>
      </c>
      <c r="G8" s="20">
        <f>'[2]Soy Complex'!AN394+'[2]Soy Complex'!AN410+'[2]Soy Complex'!AN426</f>
        <v>0.6914404357926357</v>
      </c>
      <c r="H8" s="20">
        <f>'[2]Soy Complex'!AO394+'[2]Soy Complex'!AO410+'[2]Soy Complex'!AO426</f>
        <v>2.7657617431705428</v>
      </c>
      <c r="I8" s="20">
        <f>'[2]Soy Complex'!AP394+'[2]Soy Complex'!AP410+'[2]Soy Complex'!AP426</f>
        <v>13.333494157190868</v>
      </c>
      <c r="J8" s="20">
        <f>'[2]Soy Complex'!AQ394+'[2]Soy Complex'!AQ410+'[2]Soy Complex'!AQ426</f>
        <v>15.029152913278303</v>
      </c>
      <c r="K8" s="20">
        <f>'[2]Soy Complex'!AR394+'[2]Soy Complex'!AR410+'[2]Soy Complex'!AR426</f>
        <v>26.078367811410093</v>
      </c>
      <c r="L8" s="20">
        <f>'[2]Soy Complex'!AS394+'[2]Soy Complex'!AS410+'[2]Soy Complex'!AS426</f>
        <v>29.727116397531731</v>
      </c>
      <c r="M8" s="20">
        <f>'[2]Soy Complex'!AT394+'[2]Soy Complex'!AT410+'[2]Soy Complex'!AT426</f>
        <v>82.276476720570486</v>
      </c>
      <c r="N8" s="20">
        <f>'[2]Soy Complex'!AU394+'[2]Soy Complex'!AU410+'[2]Soy Complex'!AU426</f>
        <v>233.4</v>
      </c>
      <c r="O8" s="20">
        <f>'[2]Soy Complex'!AV394+'[2]Soy Complex'!AV410+'[2]Soy Complex'!AV426</f>
        <v>429.8</v>
      </c>
      <c r="P8" s="20">
        <f>'[2]Soy Complex'!AW394+'[2]Soy Complex'!AW410+'[2]Soy Complex'!AW426</f>
        <v>533</v>
      </c>
      <c r="Q8" s="20">
        <f>'[2]Soy Complex'!AX394+'[2]Soy Complex'!AX410+'[2]Soy Complex'!AX426</f>
        <v>204</v>
      </c>
      <c r="R8" s="20">
        <f>'[2]Soy Complex'!AY394+'[2]Soy Complex'!AY410+'[2]Soy Complex'!AY426</f>
        <v>254</v>
      </c>
      <c r="S8" s="20">
        <f>'[2]Soy Complex'!AZ394+'[2]Soy Complex'!AZ410+'[2]Soy Complex'!AZ426</f>
        <v>472</v>
      </c>
      <c r="T8" s="20">
        <f>'[2]Soy Complex'!BA394+'[2]Soy Complex'!BA410+'[2]Soy Complex'!BA426</f>
        <v>701.36586803278692</v>
      </c>
      <c r="U8" s="20">
        <f>'[2]Soy Complex'!BB394+'[2]Soy Complex'!BB410+'[2]Soy Complex'!BB426</f>
        <v>848.39752622950823</v>
      </c>
      <c r="V8" s="20">
        <f>'[2]Soy Complex'!BC394+'[2]Soy Complex'!BC410+'[2]Soy Complex'!BC426</f>
        <v>723.38942581967217</v>
      </c>
      <c r="W8" s="20">
        <f>'[2]Soy Complex'!BD394+'[2]Soy Complex'!BD410+'[2]Soy Complex'!BD426</f>
        <v>771.25846229508204</v>
      </c>
      <c r="X8" s="20">
        <f>'[2]Soy Complex'!BE394+'[2]Soy Complex'!BE410+'[2]Soy Complex'!BE426</f>
        <v>850.83434091851802</v>
      </c>
      <c r="Y8" s="20">
        <f>'[2]Soy Complex'!BF394+'[2]Soy Complex'!BF410+'[2]Soy Complex'!BF426</f>
        <v>918.93786019236506</v>
      </c>
      <c r="Z8" s="20">
        <f>'[2]Soy Complex'!BG394+'[2]Soy Complex'!BG410+'[2]Soy Complex'!BG426</f>
        <v>1145.0690856789477</v>
      </c>
      <c r="AA8" s="20">
        <f>'[2]Soy Complex'!BH394+'[2]Soy Complex'!BH410+'[2]Soy Complex'!BH426</f>
        <v>1445.0857949751271</v>
      </c>
      <c r="AB8" s="20">
        <f>'[2]Soy Complex'!BI394+'[2]Soy Complex'!BI410+'[2]Soy Complex'!BI426</f>
        <v>1528.3990081195223</v>
      </c>
      <c r="AC8" s="20">
        <f>'[2]Soy Complex'!BJ394+'[2]Soy Complex'!BJ410+'[2]Soy Complex'!BJ426</f>
        <v>1397.5302771367685</v>
      </c>
      <c r="AD8" s="20">
        <f>'[2]Soy Complex'!BK394+'[2]Soy Complex'!BK410+'[2]Soy Complex'!BK426</f>
        <v>1674.241971102869</v>
      </c>
      <c r="AE8" s="18">
        <f>'[2]Soy Complex'!BL394+'[2]Soy Complex'!BL410+'[2]Soy Complex'!BL426</f>
        <v>1824.5841565808651</v>
      </c>
      <c r="AF8" s="18">
        <f>'[2]Soy Complex'!BM394+'[2]Soy Complex'!BM410+'[2]Soy Complex'!BM426</f>
        <v>2110.3564150565207</v>
      </c>
      <c r="AG8" s="18">
        <f>'[2]Soy Complex'!BN394+'[2]Soy Complex'!BN410+'[2]Soy Complex'!BN426</f>
        <v>2017.7381997507389</v>
      </c>
    </row>
    <row r="9" spans="1:33">
      <c r="A9" s="19" t="s">
        <v>35</v>
      </c>
      <c r="B9" s="20">
        <f>'[2]Soy Complex'!AI395+'[2]Soy Complex'!AI411+'[2]Soy Complex'!AI427</f>
        <v>16.47</v>
      </c>
      <c r="C9" s="20">
        <f>'[2]Soy Complex'!AJ395+'[2]Soy Complex'!AJ411+'[2]Soy Complex'!AJ427</f>
        <v>0</v>
      </c>
      <c r="D9" s="20">
        <f>'[2]Soy Complex'!AK395+'[2]Soy Complex'!AK411+'[2]Soy Complex'!AK427</f>
        <v>0</v>
      </c>
      <c r="E9" s="20">
        <f>'[2]Soy Complex'!AL395+'[2]Soy Complex'!AL411+'[2]Soy Complex'!AL427</f>
        <v>0</v>
      </c>
      <c r="F9" s="20">
        <f>'[2]Soy Complex'!AM395+'[2]Soy Complex'!AM411+'[2]Soy Complex'!AM427</f>
        <v>0</v>
      </c>
      <c r="G9" s="20">
        <f>'[2]Soy Complex'!AN395+'[2]Soy Complex'!AN411+'[2]Soy Complex'!AN427</f>
        <v>0.6914404357926357</v>
      </c>
      <c r="H9" s="20">
        <f>'[2]Soy Complex'!AO395+'[2]Soy Complex'!AO411+'[2]Soy Complex'!AO427</f>
        <v>2.7657617431705428</v>
      </c>
      <c r="I9" s="20">
        <f>'[2]Soy Complex'!AP395+'[2]Soy Complex'!AP411+'[2]Soy Complex'!AP427</f>
        <v>13.333494157190868</v>
      </c>
      <c r="J9" s="20">
        <f>'[2]Soy Complex'!AQ395+'[2]Soy Complex'!AQ411+'[2]Soy Complex'!AQ427</f>
        <v>15.029152913278303</v>
      </c>
      <c r="K9" s="20">
        <f>'[2]Soy Complex'!AR395+'[2]Soy Complex'!AR411+'[2]Soy Complex'!AR427</f>
        <v>26.078367811410093</v>
      </c>
      <c r="L9" s="20">
        <f>'[2]Soy Complex'!AS395+'[2]Soy Complex'!AS411+'[2]Soy Complex'!AS427</f>
        <v>29.727116397531731</v>
      </c>
      <c r="M9" s="20">
        <f>'[2]Soy Complex'!AT395+'[2]Soy Complex'!AT411+'[2]Soy Complex'!AT427</f>
        <v>82.276476720570486</v>
      </c>
      <c r="N9" s="20">
        <f>'[2]Soy Complex'!AU395+'[2]Soy Complex'!AU411+'[2]Soy Complex'!AU427</f>
        <v>321.60000000000002</v>
      </c>
      <c r="O9" s="20">
        <f>'[2]Soy Complex'!AV395+'[2]Soy Complex'!AV411+'[2]Soy Complex'!AV427</f>
        <v>538.20000000000005</v>
      </c>
      <c r="P9" s="20">
        <f>'[2]Soy Complex'!AW395+'[2]Soy Complex'!AW411+'[2]Soy Complex'!AW427</f>
        <v>539.6</v>
      </c>
      <c r="Q9" s="20">
        <f>'[2]Soy Complex'!AX395+'[2]Soy Complex'!AX411+'[2]Soy Complex'!AX427</f>
        <v>188</v>
      </c>
      <c r="R9" s="20">
        <f>'[2]Soy Complex'!AY395+'[2]Soy Complex'!AY411+'[2]Soy Complex'!AY427</f>
        <v>196</v>
      </c>
      <c r="S9" s="20">
        <f>'[2]Soy Complex'!AZ395+'[2]Soy Complex'!AZ411+'[2]Soy Complex'!AZ427</f>
        <v>528</v>
      </c>
      <c r="T9" s="20">
        <f>'[2]Soy Complex'!BA395+'[2]Soy Complex'!BA411+'[2]Soy Complex'!BA427</f>
        <v>859.50676967213121</v>
      </c>
      <c r="U9" s="20">
        <f>'[2]Soy Complex'!BB395+'[2]Soy Complex'!BB411+'[2]Soy Complex'!BB427</f>
        <v>838.73424262295089</v>
      </c>
      <c r="V9" s="20">
        <f>'[2]Soy Complex'!BC395+'[2]Soy Complex'!BC411+'[2]Soy Complex'!BC427</f>
        <v>730.80940163934429</v>
      </c>
      <c r="W9" s="20">
        <f>'[2]Soy Complex'!BD395+'[2]Soy Complex'!BD411+'[2]Soy Complex'!BD427</f>
        <v>887.25804139344268</v>
      </c>
      <c r="X9" s="20">
        <f>'[2]Soy Complex'!BE395+'[2]Soy Complex'!BE411+'[2]Soy Complex'!BE427</f>
        <v>1127.4735589847128</v>
      </c>
      <c r="Y9" s="20">
        <f>'[2]Soy Complex'!BF395+'[2]Soy Complex'!BF411+'[2]Soy Complex'!BF427</f>
        <v>1169.4404906976097</v>
      </c>
      <c r="Z9" s="20">
        <f>'[2]Soy Complex'!BG395+'[2]Soy Complex'!BG411+'[2]Soy Complex'!BG427</f>
        <v>1254.3048497995942</v>
      </c>
      <c r="AA9" s="20">
        <f>'[2]Soy Complex'!BH395+'[2]Soy Complex'!BH411+'[2]Soy Complex'!BH427</f>
        <v>1507.1992949153146</v>
      </c>
      <c r="AB9" s="20">
        <f>'[2]Soy Complex'!BI395+'[2]Soy Complex'!BI411+'[2]Soy Complex'!BI427</f>
        <v>1830.8361938784228</v>
      </c>
      <c r="AC9" s="20">
        <f>'[2]Soy Complex'!BJ395+'[2]Soy Complex'!BJ411+'[2]Soy Complex'!BJ427</f>
        <v>1569.5134845883836</v>
      </c>
      <c r="AD9" s="20">
        <f>'[2]Soy Complex'!BK395+'[2]Soy Complex'!BK411+'[2]Soy Complex'!BK427</f>
        <v>1697.0687638001536</v>
      </c>
      <c r="AE9" s="18">
        <f>'[2]Soy Complex'!BL395+'[2]Soy Complex'!BL411+'[2]Soy Complex'!BL427</f>
        <v>2239.0092827912467</v>
      </c>
      <c r="AF9" s="18">
        <f>'[2]Soy Complex'!BM395+'[2]Soy Complex'!BM411+'[2]Soy Complex'!BM427</f>
        <v>2134.6904858262797</v>
      </c>
      <c r="AG9" s="18">
        <f>'[2]Soy Complex'!BN395+'[2]Soy Complex'!BN411+'[2]Soy Complex'!BN427</f>
        <v>2081.4598109410563</v>
      </c>
    </row>
    <row r="10" spans="1:33">
      <c r="A10" s="19" t="s">
        <v>36</v>
      </c>
      <c r="B10" s="20">
        <f>'[2]Soy Complex'!AI396+'[2]Soy Complex'!AI412+'[2]Soy Complex'!AI428</f>
        <v>16.350000000000001</v>
      </c>
      <c r="C10" s="20">
        <f>'[2]Soy Complex'!AJ396+'[2]Soy Complex'!AJ412+'[2]Soy Complex'!AJ428</f>
        <v>0</v>
      </c>
      <c r="D10" s="20">
        <f>'[2]Soy Complex'!AK396+'[2]Soy Complex'!AK412+'[2]Soy Complex'!AK428</f>
        <v>0</v>
      </c>
      <c r="E10" s="20">
        <f>'[2]Soy Complex'!AL396+'[2]Soy Complex'!AL412+'[2]Soy Complex'!AL428</f>
        <v>0</v>
      </c>
      <c r="F10" s="20">
        <f>'[2]Soy Complex'!AM396+'[2]Soy Complex'!AM412+'[2]Soy Complex'!AM428</f>
        <v>0</v>
      </c>
      <c r="G10" s="20">
        <f>'[2]Soy Complex'!AN396+'[2]Soy Complex'!AN412+'[2]Soy Complex'!AN428</f>
        <v>0.6914404357926357</v>
      </c>
      <c r="H10" s="20">
        <f>'[2]Soy Complex'!AO396+'[2]Soy Complex'!AO412+'[2]Soy Complex'!AO428</f>
        <v>2.7657617431705428</v>
      </c>
      <c r="I10" s="20">
        <f>'[2]Soy Complex'!AP396+'[2]Soy Complex'!AP412+'[2]Soy Complex'!AP428</f>
        <v>13.333494157190868</v>
      </c>
      <c r="J10" s="20">
        <f>'[2]Soy Complex'!AQ396+'[2]Soy Complex'!AQ412+'[2]Soy Complex'!AQ428</f>
        <v>15.029152913278303</v>
      </c>
      <c r="K10" s="20">
        <f>'[2]Soy Complex'!AR396+'[2]Soy Complex'!AR412+'[2]Soy Complex'!AR428</f>
        <v>26.078367811410093</v>
      </c>
      <c r="L10" s="20">
        <f>'[2]Soy Complex'!AS396+'[2]Soy Complex'!AS412+'[2]Soy Complex'!AS428</f>
        <v>29.727116397531731</v>
      </c>
      <c r="M10" s="20">
        <f>'[2]Soy Complex'!AT396+'[2]Soy Complex'!AT412+'[2]Soy Complex'!AT428</f>
        <v>82.276476720570486</v>
      </c>
      <c r="N10" s="20">
        <f>'[2]Soy Complex'!AU396+'[2]Soy Complex'!AU412+'[2]Soy Complex'!AU428</f>
        <v>370.6</v>
      </c>
      <c r="O10" s="20">
        <f>'[2]Soy Complex'!AV396+'[2]Soy Complex'!AV412+'[2]Soy Complex'!AV428</f>
        <v>511.8</v>
      </c>
      <c r="P10" s="20">
        <f>'[2]Soy Complex'!AW396+'[2]Soy Complex'!AW412+'[2]Soy Complex'!AW428</f>
        <v>597.6</v>
      </c>
      <c r="Q10" s="20">
        <f>'[2]Soy Complex'!AX396+'[2]Soy Complex'!AX412+'[2]Soy Complex'!AX428</f>
        <v>224</v>
      </c>
      <c r="R10" s="20">
        <f>'[2]Soy Complex'!AY396+'[2]Soy Complex'!AY412+'[2]Soy Complex'!AY428</f>
        <v>178</v>
      </c>
      <c r="S10" s="20">
        <f>'[2]Soy Complex'!AZ396+'[2]Soy Complex'!AZ412+'[2]Soy Complex'!AZ428</f>
        <v>622</v>
      </c>
      <c r="T10" s="20">
        <f>'[2]Soy Complex'!BA396+'[2]Soy Complex'!BA412+'[2]Soy Complex'!BA428</f>
        <v>739.8827483606558</v>
      </c>
      <c r="U10" s="20">
        <f>'[2]Soy Complex'!BB396+'[2]Soy Complex'!BB412+'[2]Soy Complex'!BB428</f>
        <v>992.86346065573775</v>
      </c>
      <c r="V10" s="20">
        <f>'[2]Soy Complex'!BC396+'[2]Soy Complex'!BC412+'[2]Soy Complex'!BC428</f>
        <v>936.08562581967215</v>
      </c>
      <c r="W10" s="20">
        <f>'[2]Soy Complex'!BD396+'[2]Soy Complex'!BD412+'[2]Soy Complex'!BD428</f>
        <v>950.00673073770486</v>
      </c>
      <c r="X10" s="20">
        <f>'[2]Soy Complex'!BE396+'[2]Soy Complex'!BE412+'[2]Soy Complex'!BE428</f>
        <v>1111.9290669187508</v>
      </c>
      <c r="Y10" s="20">
        <f>'[2]Soy Complex'!BF396+'[2]Soy Complex'!BF412+'[2]Soy Complex'!BF428</f>
        <v>1154.8104007050997</v>
      </c>
      <c r="Z10" s="20">
        <f>'[2]Soy Complex'!BG396+'[2]Soy Complex'!BG412+'[2]Soy Complex'!BG428</f>
        <v>1298.9658792020807</v>
      </c>
      <c r="AA10" s="20">
        <f>'[2]Soy Complex'!BH396+'[2]Soy Complex'!BH412+'[2]Soy Complex'!BH428</f>
        <v>1376.937694531598</v>
      </c>
      <c r="AB10" s="20">
        <f>'[2]Soy Complex'!BI396+'[2]Soy Complex'!BI412+'[2]Soy Complex'!BI428</f>
        <v>1763.6986204137002</v>
      </c>
      <c r="AC10" s="20">
        <f>'[2]Soy Complex'!BJ396+'[2]Soy Complex'!BJ412+'[2]Soy Complex'!BJ428</f>
        <v>1354.256267862093</v>
      </c>
      <c r="AD10" s="20">
        <f>'[2]Soy Complex'!BK396+'[2]Soy Complex'!BK412+'[2]Soy Complex'!BK428</f>
        <v>1589.9782687951292</v>
      </c>
      <c r="AE10" s="18">
        <f>'[2]Soy Complex'!BL396+'[2]Soy Complex'!BL412+'[2]Soy Complex'!BL428</f>
        <v>2358.6444714038298</v>
      </c>
      <c r="AF10" s="18">
        <f>'[2]Soy Complex'!BM396+'[2]Soy Complex'!BM412+'[2]Soy Complex'!BM428</f>
        <v>2491.4390813241307</v>
      </c>
      <c r="AG10" s="18">
        <f>'[2]Soy Complex'!BN396+'[2]Soy Complex'!BN412+'[2]Soy Complex'!BN428</f>
        <v>2007.4134111151238</v>
      </c>
    </row>
    <row r="11" spans="1:33">
      <c r="A11" s="19" t="s">
        <v>37</v>
      </c>
      <c r="B11" s="20">
        <f>'[2]Soy Complex'!AI397+'[2]Soy Complex'!AI413+'[2]Soy Complex'!AI429</f>
        <v>16.04</v>
      </c>
      <c r="C11" s="20">
        <f>'[2]Soy Complex'!AJ397+'[2]Soy Complex'!AJ413+'[2]Soy Complex'!AJ429</f>
        <v>0</v>
      </c>
      <c r="D11" s="20">
        <f>'[2]Soy Complex'!AK397+'[2]Soy Complex'!AK413+'[2]Soy Complex'!AK429</f>
        <v>0</v>
      </c>
      <c r="E11" s="20">
        <f>'[2]Soy Complex'!AL397+'[2]Soy Complex'!AL413+'[2]Soy Complex'!AL429</f>
        <v>0</v>
      </c>
      <c r="F11" s="20">
        <f>'[2]Soy Complex'!AM397+'[2]Soy Complex'!AM413+'[2]Soy Complex'!AM429</f>
        <v>0</v>
      </c>
      <c r="G11" s="20">
        <f>'[2]Soy Complex'!AN397+'[2]Soy Complex'!AN413+'[2]Soy Complex'!AN429</f>
        <v>0.80003709386643607</v>
      </c>
      <c r="H11" s="20">
        <f>'[2]Soy Complex'!AO397+'[2]Soy Complex'!AO413+'[2]Soy Complex'!AO429</f>
        <v>3.2001483754657443</v>
      </c>
      <c r="I11" s="20">
        <f>'[2]Soy Complex'!AP397+'[2]Soy Complex'!AP413+'[2]Soy Complex'!AP429</f>
        <v>21.275161138424775</v>
      </c>
      <c r="J11" s="20">
        <f>'[2]Soy Complex'!AQ397+'[2]Soy Complex'!AQ413+'[2]Soy Complex'!AQ429</f>
        <v>25.923986049018225</v>
      </c>
      <c r="K11" s="20">
        <f>'[2]Soy Complex'!AR397+'[2]Soy Complex'!AR413+'[2]Soy Complex'!AR429</f>
        <v>30.425415652989454</v>
      </c>
      <c r="L11" s="20">
        <f>'[2]Soy Complex'!AS397+'[2]Soy Complex'!AS413+'[2]Soy Complex'!AS429</f>
        <v>27.628226936115542</v>
      </c>
      <c r="M11" s="20">
        <f>'[2]Soy Complex'!AT397+'[2]Soy Complex'!AT413+'[2]Soy Complex'!AT429</f>
        <v>154.85655085108797</v>
      </c>
      <c r="N11" s="20">
        <f>'[2]Soy Complex'!AU397+'[2]Soy Complex'!AU413+'[2]Soy Complex'!AU429</f>
        <v>327</v>
      </c>
      <c r="O11" s="20">
        <f>'[2]Soy Complex'!AV397+'[2]Soy Complex'!AV413+'[2]Soy Complex'!AV429</f>
        <v>696.2</v>
      </c>
      <c r="P11" s="20">
        <f>'[2]Soy Complex'!AW397+'[2]Soy Complex'!AW413+'[2]Soy Complex'!AW429</f>
        <v>638.20000000000005</v>
      </c>
      <c r="Q11" s="20">
        <f>'[2]Soy Complex'!AX397+'[2]Soy Complex'!AX413+'[2]Soy Complex'!AX429</f>
        <v>328</v>
      </c>
      <c r="R11" s="20">
        <f>'[2]Soy Complex'!AY397+'[2]Soy Complex'!AY413+'[2]Soy Complex'!AY429</f>
        <v>192</v>
      </c>
      <c r="S11" s="20">
        <f>'[2]Soy Complex'!AZ397+'[2]Soy Complex'!AZ413+'[2]Soy Complex'!AZ429</f>
        <v>734</v>
      </c>
      <c r="T11" s="20">
        <f>'[2]Soy Complex'!BA397+'[2]Soy Complex'!BA413+'[2]Soy Complex'!BA429</f>
        <v>696.04511721311474</v>
      </c>
      <c r="U11" s="20">
        <f>'[2]Soy Complex'!BB397+'[2]Soy Complex'!BB413+'[2]Soy Complex'!BB429</f>
        <v>976.0729008196721</v>
      </c>
      <c r="V11" s="20">
        <f>'[2]Soy Complex'!BC397+'[2]Soy Complex'!BC413+'[2]Soy Complex'!BC429</f>
        <v>874.3659286885246</v>
      </c>
      <c r="W11" s="20">
        <f>'[2]Soy Complex'!BD397+'[2]Soy Complex'!BD413+'[2]Soy Complex'!BD429</f>
        <v>893.75640901639349</v>
      </c>
      <c r="X11" s="20">
        <f>'[2]Soy Complex'!BE397+'[2]Soy Complex'!BE413+'[2]Soy Complex'!BE429</f>
        <v>1133.9325691175645</v>
      </c>
      <c r="Y11" s="20">
        <f>'[2]Soy Complex'!BF397+'[2]Soy Complex'!BF413+'[2]Soy Complex'!BF429</f>
        <v>1275.5956404704832</v>
      </c>
      <c r="Z11" s="20">
        <f>'[2]Soy Complex'!BG397+'[2]Soy Complex'!BG413+'[2]Soy Complex'!BG429</f>
        <v>1396.2592714893087</v>
      </c>
      <c r="AA11" s="20">
        <f>'[2]Soy Complex'!BH397+'[2]Soy Complex'!BH413+'[2]Soy Complex'!BH429</f>
        <v>1635.7069357069065</v>
      </c>
      <c r="AB11" s="20">
        <f>'[2]Soy Complex'!BI397+'[2]Soy Complex'!BI413+'[2]Soy Complex'!BI429</f>
        <v>1793.5640327878093</v>
      </c>
      <c r="AC11" s="20">
        <f>'[2]Soy Complex'!BJ397+'[2]Soy Complex'!BJ413+'[2]Soy Complex'!BJ429</f>
        <v>1607.0291277548204</v>
      </c>
      <c r="AD11" s="20">
        <f>'[2]Soy Complex'!BK397+'[2]Soy Complex'!BK413+'[2]Soy Complex'!BK429</f>
        <v>1895.5130279410926</v>
      </c>
      <c r="AE11" s="18">
        <f>'[2]Soy Complex'!BL397+'[2]Soy Complex'!BL413+'[2]Soy Complex'!BL429</f>
        <v>2517.7443470020239</v>
      </c>
      <c r="AF11" s="18">
        <f>'[2]Soy Complex'!BM397+'[2]Soy Complex'!BM413+'[2]Soy Complex'!BM429</f>
        <v>2228.0394899819657</v>
      </c>
      <c r="AG11" s="18">
        <f>'[2]Soy Complex'!BN397+'[2]Soy Complex'!BN413+'[2]Soy Complex'!BN429</f>
        <v>2049.3983404812384</v>
      </c>
    </row>
    <row r="12" spans="1:33">
      <c r="A12" s="19" t="s">
        <v>38</v>
      </c>
      <c r="B12" s="20">
        <f>'[2]Soy Complex'!AI398+'[2]Soy Complex'!AI414+'[2]Soy Complex'!AI430</f>
        <v>15.99</v>
      </c>
      <c r="C12" s="20">
        <f>'[2]Soy Complex'!AJ398+'[2]Soy Complex'!AJ414+'[2]Soy Complex'!AJ430</f>
        <v>0</v>
      </c>
      <c r="D12" s="20">
        <f>'[2]Soy Complex'!AK398+'[2]Soy Complex'!AK414+'[2]Soy Complex'!AK430</f>
        <v>0</v>
      </c>
      <c r="E12" s="20">
        <f>'[2]Soy Complex'!AL398+'[2]Soy Complex'!AL414+'[2]Soy Complex'!AL430</f>
        <v>0</v>
      </c>
      <c r="F12" s="20">
        <f>'[2]Soy Complex'!AM398+'[2]Soy Complex'!AM414+'[2]Soy Complex'!AM430</f>
        <v>0</v>
      </c>
      <c r="G12" s="20">
        <f>'[2]Soy Complex'!AN398+'[2]Soy Complex'!AN414+'[2]Soy Complex'!AN430</f>
        <v>0.80003709386643607</v>
      </c>
      <c r="H12" s="20">
        <f>'[2]Soy Complex'!AO398+'[2]Soy Complex'!AO414+'[2]Soy Complex'!AO430</f>
        <v>3.2001483754657443</v>
      </c>
      <c r="I12" s="20">
        <f>'[2]Soy Complex'!AP398+'[2]Soy Complex'!AP414+'[2]Soy Complex'!AP430</f>
        <v>21.275161138424775</v>
      </c>
      <c r="J12" s="20">
        <f>'[2]Soy Complex'!AQ398+'[2]Soy Complex'!AQ414+'[2]Soy Complex'!AQ430</f>
        <v>25.923986049018225</v>
      </c>
      <c r="K12" s="20">
        <f>'[2]Soy Complex'!AR398+'[2]Soy Complex'!AR414+'[2]Soy Complex'!AR430</f>
        <v>30.425415652989454</v>
      </c>
      <c r="L12" s="20">
        <f>'[2]Soy Complex'!AS398+'[2]Soy Complex'!AS414+'[2]Soy Complex'!AS430</f>
        <v>27.628226936115542</v>
      </c>
      <c r="M12" s="20">
        <f>'[2]Soy Complex'!AT398+'[2]Soy Complex'!AT414+'[2]Soy Complex'!AT430</f>
        <v>154.85655085108797</v>
      </c>
      <c r="N12" s="20">
        <f>'[2]Soy Complex'!AU398+'[2]Soy Complex'!AU414+'[2]Soy Complex'!AU430</f>
        <v>417</v>
      </c>
      <c r="O12" s="20">
        <f>'[2]Soy Complex'!AV398+'[2]Soy Complex'!AV414+'[2]Soy Complex'!AV430</f>
        <v>623</v>
      </c>
      <c r="P12" s="20">
        <f>'[2]Soy Complex'!AW398+'[2]Soy Complex'!AW414+'[2]Soy Complex'!AW430</f>
        <v>663.8</v>
      </c>
      <c r="Q12" s="20">
        <f>'[2]Soy Complex'!AX398+'[2]Soy Complex'!AX414+'[2]Soy Complex'!AX430</f>
        <v>336</v>
      </c>
      <c r="R12" s="20">
        <f>'[2]Soy Complex'!AY398+'[2]Soy Complex'!AY414+'[2]Soy Complex'!AY430</f>
        <v>168</v>
      </c>
      <c r="S12" s="20">
        <f>'[2]Soy Complex'!AZ398+'[2]Soy Complex'!AZ414+'[2]Soy Complex'!AZ430</f>
        <v>796</v>
      </c>
      <c r="T12" s="20">
        <f>'[2]Soy Complex'!BA398+'[2]Soy Complex'!BA414+'[2]Soy Complex'!BA430</f>
        <v>774.54997213114757</v>
      </c>
      <c r="U12" s="20">
        <f>'[2]Soy Complex'!BB398+'[2]Soy Complex'!BB414+'[2]Soy Complex'!BB430</f>
        <v>1049.4827409836066</v>
      </c>
      <c r="V12" s="20">
        <f>'[2]Soy Complex'!BC398+'[2]Soy Complex'!BC414+'[2]Soy Complex'!BC430</f>
        <v>897.42221680327862</v>
      </c>
      <c r="W12" s="20">
        <f>'[2]Soy Complex'!BD398+'[2]Soy Complex'!BD414+'[2]Soy Complex'!BD430</f>
        <v>928.84152622950819</v>
      </c>
      <c r="X12" s="20">
        <f>'[2]Soy Complex'!BE398+'[2]Soy Complex'!BE414+'[2]Soy Complex'!BE430</f>
        <v>1201.7493310447951</v>
      </c>
      <c r="Y12" s="20">
        <f>'[2]Soy Complex'!BF398+'[2]Soy Complex'!BF414+'[2]Soy Complex'!BF430</f>
        <v>1295.7233875210229</v>
      </c>
      <c r="Z12" s="20">
        <f>'[2]Soy Complex'!BG398+'[2]Soy Complex'!BG414+'[2]Soy Complex'!BG430</f>
        <v>1482.0314054532764</v>
      </c>
      <c r="AA12" s="20">
        <f>'[2]Soy Complex'!BH398+'[2]Soy Complex'!BH414+'[2]Soy Complex'!BH430</f>
        <v>1541.0680253647563</v>
      </c>
      <c r="AB12" s="20">
        <f>'[2]Soy Complex'!BI398+'[2]Soy Complex'!BI414+'[2]Soy Complex'!BI430</f>
        <v>1732.7867761486589</v>
      </c>
      <c r="AC12" s="20">
        <f>'[2]Soy Complex'!BJ398+'[2]Soy Complex'!BJ414+'[2]Soy Complex'!BJ430</f>
        <v>1645.0622568160984</v>
      </c>
      <c r="AD12" s="20">
        <f>'[2]Soy Complex'!BK398+'[2]Soy Complex'!BK414+'[2]Soy Complex'!BK430</f>
        <v>1826.6270852226464</v>
      </c>
      <c r="AE12" s="18">
        <f>'[2]Soy Complex'!BL398+'[2]Soy Complex'!BL414+'[2]Soy Complex'!BL430</f>
        <v>2344.7180519425801</v>
      </c>
      <c r="AF12" s="18">
        <f>'[2]Soy Complex'!BM398+'[2]Soy Complex'!BM414+'[2]Soy Complex'!BM430</f>
        <v>2369.6193232101591</v>
      </c>
      <c r="AG12" s="18">
        <f>'[2]Soy Complex'!BN398+'[2]Soy Complex'!BN414+'[2]Soy Complex'!BN430</f>
        <v>2173.1345939976609</v>
      </c>
    </row>
    <row r="13" spans="1:33">
      <c r="A13" s="19" t="s">
        <v>39</v>
      </c>
      <c r="B13" s="20">
        <f>'[2]Soy Complex'!AI399+'[2]Soy Complex'!AI415+'[2]Soy Complex'!AI431</f>
        <v>16.13</v>
      </c>
      <c r="C13" s="20">
        <f>'[2]Soy Complex'!AJ399+'[2]Soy Complex'!AJ415+'[2]Soy Complex'!AJ431</f>
        <v>0</v>
      </c>
      <c r="D13" s="20">
        <f>'[2]Soy Complex'!AK399+'[2]Soy Complex'!AK415+'[2]Soy Complex'!AK431</f>
        <v>0</v>
      </c>
      <c r="E13" s="20">
        <f>'[2]Soy Complex'!AL399+'[2]Soy Complex'!AL415+'[2]Soy Complex'!AL431</f>
        <v>0</v>
      </c>
      <c r="F13" s="20">
        <f>'[2]Soy Complex'!AM399+'[2]Soy Complex'!AM415+'[2]Soy Complex'!AM431</f>
        <v>0</v>
      </c>
      <c r="G13" s="20">
        <f>'[2]Soy Complex'!AN399+'[2]Soy Complex'!AN415+'[2]Soy Complex'!AN431</f>
        <v>0.80003709386643607</v>
      </c>
      <c r="H13" s="20">
        <f>'[2]Soy Complex'!AO399+'[2]Soy Complex'!AO415+'[2]Soy Complex'!AO431</f>
        <v>3.2001483754657443</v>
      </c>
      <c r="I13" s="20">
        <f>'[2]Soy Complex'!AP399+'[2]Soy Complex'!AP415+'[2]Soy Complex'!AP431</f>
        <v>21.275161138424775</v>
      </c>
      <c r="J13" s="20">
        <f>'[2]Soy Complex'!AQ399+'[2]Soy Complex'!AQ415+'[2]Soy Complex'!AQ431</f>
        <v>25.923986049018225</v>
      </c>
      <c r="K13" s="20">
        <f>'[2]Soy Complex'!AR399+'[2]Soy Complex'!AR415+'[2]Soy Complex'!AR431</f>
        <v>30.425415652989454</v>
      </c>
      <c r="L13" s="20">
        <f>'[2]Soy Complex'!AS399+'[2]Soy Complex'!AS415+'[2]Soy Complex'!AS431</f>
        <v>27.628226936115542</v>
      </c>
      <c r="M13" s="20">
        <f>'[2]Soy Complex'!AT399+'[2]Soy Complex'!AT415+'[2]Soy Complex'!AT431</f>
        <v>154.85655085108797</v>
      </c>
      <c r="N13" s="20">
        <f>'[2]Soy Complex'!AU399+'[2]Soy Complex'!AU415+'[2]Soy Complex'!AU431</f>
        <v>362.4</v>
      </c>
      <c r="O13" s="20">
        <f>'[2]Soy Complex'!AV399+'[2]Soy Complex'!AV415+'[2]Soy Complex'!AV431</f>
        <v>573.20000000000005</v>
      </c>
      <c r="P13" s="20">
        <f>'[2]Soy Complex'!AW399+'[2]Soy Complex'!AW415+'[2]Soy Complex'!AW431</f>
        <v>556.20000000000005</v>
      </c>
      <c r="Q13" s="20">
        <f>'[2]Soy Complex'!AX399+'[2]Soy Complex'!AX415+'[2]Soy Complex'!AX431</f>
        <v>430</v>
      </c>
      <c r="R13" s="20">
        <f>'[2]Soy Complex'!AY399+'[2]Soy Complex'!AY415+'[2]Soy Complex'!AY431</f>
        <v>204</v>
      </c>
      <c r="S13" s="20">
        <f>'[2]Soy Complex'!AZ399+'[2]Soy Complex'!AZ415+'[2]Soy Complex'!AZ431</f>
        <v>860</v>
      </c>
      <c r="T13" s="20">
        <f>'[2]Soy Complex'!BA399+'[2]Soy Complex'!BA415+'[2]Soy Complex'!BA431</f>
        <v>647.83652663934424</v>
      </c>
      <c r="U13" s="20">
        <f>'[2]Soy Complex'!BB399+'[2]Soy Complex'!BB415+'[2]Soy Complex'!BB431</f>
        <v>1033.0401450819672</v>
      </c>
      <c r="V13" s="20">
        <f>'[2]Soy Complex'!BC399+'[2]Soy Complex'!BC415+'[2]Soy Complex'!BC431</f>
        <v>792.72903852459012</v>
      </c>
      <c r="W13" s="20">
        <f>'[2]Soy Complex'!BD399+'[2]Soy Complex'!BD415+'[2]Soy Complex'!BD431</f>
        <v>781.36604877049183</v>
      </c>
      <c r="X13" s="20">
        <f>'[2]Soy Complex'!BE399+'[2]Soy Complex'!BE415+'[2]Soy Complex'!BE431</f>
        <v>1135.5875771180708</v>
      </c>
      <c r="Y13" s="20">
        <f>'[2]Soy Complex'!BF399+'[2]Soy Complex'!BF415+'[2]Soy Complex'!BF431</f>
        <v>1278.4809031522464</v>
      </c>
      <c r="Z13" s="20">
        <f>'[2]Soy Complex'!BG399+'[2]Soy Complex'!BG415+'[2]Soy Complex'!BG431</f>
        <v>1509.3116855515307</v>
      </c>
      <c r="AA13" s="20">
        <f>'[2]Soy Complex'!BH399+'[2]Soy Complex'!BH415+'[2]Soy Complex'!BH431</f>
        <v>1389.4172976403368</v>
      </c>
      <c r="AB13" s="20">
        <f>'[2]Soy Complex'!BI399+'[2]Soy Complex'!BI415+'[2]Soy Complex'!BI431</f>
        <v>1755.5739450581998</v>
      </c>
      <c r="AC13" s="20">
        <f>'[2]Soy Complex'!BJ399+'[2]Soy Complex'!BJ415+'[2]Soy Complex'!BJ431</f>
        <v>1557.5509684268372</v>
      </c>
      <c r="AD13" s="20">
        <f>'[2]Soy Complex'!BK399+'[2]Soy Complex'!BK415+'[2]Soy Complex'!BK431</f>
        <v>1797.8142217126772</v>
      </c>
      <c r="AE13" s="18">
        <f>'[2]Soy Complex'!BL399+'[2]Soy Complex'!BL415+'[2]Soy Complex'!BL431</f>
        <v>2372.9914584742978</v>
      </c>
      <c r="AF13" s="18">
        <f>'[2]Soy Complex'!BM399+'[2]Soy Complex'!BM415+'[2]Soy Complex'!BM431</f>
        <v>2086.5789010029944</v>
      </c>
      <c r="AG13" s="18">
        <f>'[2]Soy Complex'!BN399+'[2]Soy Complex'!BN415+'[2]Soy Complex'!BN431</f>
        <v>2184.0817456485038</v>
      </c>
    </row>
    <row r="14" spans="1:33">
      <c r="A14" s="19"/>
      <c r="B14" s="20"/>
      <c r="C14" s="15"/>
      <c r="D14" s="11"/>
      <c r="F14" s="11"/>
      <c r="G14" s="11"/>
      <c r="H14" s="11"/>
      <c r="J14" s="11"/>
    </row>
    <row r="15" spans="1:33">
      <c r="A15" s="19"/>
      <c r="B15" s="20"/>
      <c r="C15" s="15"/>
      <c r="D15" s="11"/>
      <c r="F15" s="11"/>
      <c r="G15" s="11"/>
      <c r="H15" s="11"/>
      <c r="J15" s="11"/>
    </row>
    <row r="16" spans="1:33">
      <c r="A16" s="19"/>
      <c r="B16" s="20"/>
      <c r="C16" s="15"/>
      <c r="D16" s="11"/>
      <c r="F16" s="11"/>
      <c r="G16" s="11"/>
      <c r="H16" s="11"/>
      <c r="J16" s="11"/>
    </row>
    <row r="17" spans="1:10">
      <c r="A17" s="19"/>
      <c r="B17" s="20"/>
      <c r="C17" s="15"/>
      <c r="D17" s="11"/>
      <c r="F17" s="11"/>
      <c r="G17" s="11"/>
      <c r="H17" s="11"/>
      <c r="J17" s="11"/>
    </row>
    <row r="18" spans="1:10">
      <c r="A18" s="19"/>
      <c r="B18" s="20"/>
      <c r="C18" s="15"/>
      <c r="D18" s="11"/>
      <c r="F18" s="11"/>
      <c r="G18" s="11"/>
      <c r="H18" s="11"/>
      <c r="J18" s="11"/>
    </row>
    <row r="19" spans="1:10">
      <c r="A19" s="19"/>
      <c r="B19" s="20"/>
      <c r="C19" s="15"/>
      <c r="D19" s="11"/>
      <c r="F19" s="11"/>
      <c r="G19" s="11"/>
      <c r="H19" s="11"/>
      <c r="J19" s="11"/>
    </row>
    <row r="20" spans="1:10">
      <c r="A20" s="19"/>
      <c r="B20" s="20"/>
      <c r="C20" s="15"/>
      <c r="D20" s="11"/>
      <c r="F20" s="11"/>
      <c r="G20" s="11"/>
      <c r="H20" s="11"/>
      <c r="J20" s="11"/>
    </row>
    <row r="21" spans="1:10">
      <c r="A21" s="19"/>
      <c r="B21" s="20"/>
      <c r="C21" s="15"/>
      <c r="D21" s="11"/>
      <c r="F21" s="11"/>
      <c r="G21" s="11"/>
      <c r="H21" s="11"/>
      <c r="J21" s="11"/>
    </row>
    <row r="22" spans="1:10">
      <c r="A22" s="19"/>
      <c r="B22" s="20"/>
      <c r="C22" s="15"/>
      <c r="D22" s="11"/>
      <c r="F22" s="11"/>
      <c r="G22" s="11"/>
      <c r="H22" s="11"/>
      <c r="J22" s="11"/>
    </row>
    <row r="23" spans="1:10">
      <c r="A23" s="19"/>
      <c r="B23" s="20"/>
      <c r="C23" s="15"/>
      <c r="D23" s="11"/>
      <c r="F23" s="11"/>
      <c r="G23" s="11"/>
      <c r="H23" s="11"/>
      <c r="J23" s="11"/>
    </row>
    <row r="24" spans="1:10">
      <c r="A24" s="19"/>
      <c r="B24" s="20"/>
      <c r="C24" s="15"/>
      <c r="D24" s="11"/>
      <c r="F24" s="11"/>
      <c r="G24" s="11"/>
      <c r="H24" s="11"/>
      <c r="J24" s="11"/>
    </row>
    <row r="25" spans="1:10">
      <c r="A25" s="19"/>
      <c r="B25" s="20"/>
      <c r="C25" s="15"/>
      <c r="D25" s="11"/>
      <c r="F25" s="11"/>
      <c r="G25" s="11"/>
      <c r="H25" s="11"/>
      <c r="J25" s="11"/>
    </row>
    <row r="26" spans="1:10">
      <c r="A26" s="19"/>
      <c r="B26" s="20"/>
      <c r="C26" s="15"/>
      <c r="D26" s="11"/>
      <c r="F26" s="11"/>
      <c r="G26" s="11"/>
      <c r="H26" s="11"/>
      <c r="J26" s="11"/>
    </row>
    <row r="27" spans="1:10">
      <c r="A27" s="19"/>
      <c r="B27" s="20"/>
      <c r="C27" s="15"/>
      <c r="D27" s="11"/>
      <c r="F27" s="11"/>
      <c r="G27" s="11"/>
      <c r="H27" s="11"/>
      <c r="J27" s="11"/>
    </row>
    <row r="28" spans="1:10">
      <c r="A28" s="19"/>
      <c r="B28" s="20"/>
      <c r="C28" s="15"/>
      <c r="D28" s="11"/>
      <c r="F28" s="11"/>
      <c r="G28" s="11"/>
      <c r="H28" s="11"/>
      <c r="J28" s="11"/>
    </row>
    <row r="29" spans="1:10">
      <c r="A29" s="19"/>
      <c r="B29" s="20"/>
      <c r="C29" s="15"/>
      <c r="D29" s="11"/>
      <c r="F29" s="11"/>
      <c r="G29" s="11"/>
      <c r="H29" s="11"/>
      <c r="J29" s="11"/>
    </row>
    <row r="30" spans="1:10">
      <c r="A30" s="19"/>
      <c r="B30" s="20"/>
      <c r="C30" s="15"/>
      <c r="D30" s="11"/>
      <c r="F30" s="11"/>
      <c r="G30" s="11"/>
      <c r="H30" s="11"/>
      <c r="J30" s="11"/>
    </row>
    <row r="31" spans="1:10">
      <c r="A31" s="19"/>
      <c r="B31" s="20"/>
      <c r="C31" s="15"/>
      <c r="D31" s="11"/>
      <c r="F31" s="11"/>
      <c r="G31" s="11"/>
      <c r="H31" s="11"/>
      <c r="J31" s="11"/>
    </row>
    <row r="32" spans="1:10">
      <c r="A32" s="19"/>
      <c r="B32" s="20"/>
      <c r="C32" s="15"/>
      <c r="D32" s="11"/>
      <c r="F32" s="11"/>
      <c r="G32" s="11"/>
      <c r="H32" s="11"/>
      <c r="J32" s="11"/>
    </row>
    <row r="33" spans="1:10">
      <c r="A33" s="19"/>
      <c r="B33" s="20"/>
      <c r="C33" s="15"/>
      <c r="D33" s="11"/>
      <c r="F33" s="11"/>
      <c r="G33" s="11"/>
      <c r="H33" s="11"/>
      <c r="J33" s="11"/>
    </row>
    <row r="34" spans="1:10">
      <c r="A34" s="19"/>
      <c r="B34" s="20"/>
      <c r="C34" s="15"/>
      <c r="D34" s="11"/>
      <c r="F34" s="11"/>
      <c r="G34" s="11"/>
      <c r="H34" s="11"/>
      <c r="J34" s="11"/>
    </row>
    <row r="35" spans="1:10">
      <c r="A35" s="19"/>
      <c r="B35" s="20"/>
      <c r="C35" s="15"/>
      <c r="D35" s="11"/>
      <c r="F35" s="11"/>
      <c r="G35" s="11"/>
      <c r="H35" s="11"/>
      <c r="J35" s="11"/>
    </row>
    <row r="36" spans="1:10">
      <c r="A36" s="19"/>
      <c r="B36" s="20"/>
      <c r="C36" s="15"/>
      <c r="D36" s="11"/>
      <c r="F36" s="11"/>
      <c r="G36" s="11"/>
      <c r="H36" s="11"/>
      <c r="J36" s="11"/>
    </row>
    <row r="37" spans="1:10">
      <c r="A37" s="19"/>
      <c r="B37" s="20"/>
      <c r="C37" s="15"/>
      <c r="D37" s="11"/>
      <c r="F37" s="11"/>
      <c r="G37" s="11"/>
      <c r="H37" s="11"/>
      <c r="J37" s="11"/>
    </row>
    <row r="38" spans="1:10">
      <c r="A38" s="19"/>
      <c r="B38" s="20"/>
      <c r="C38" s="15"/>
      <c r="D38" s="11"/>
      <c r="F38" s="11"/>
      <c r="G38" s="11"/>
      <c r="H38" s="11"/>
      <c r="J38" s="11"/>
    </row>
    <row r="39" spans="1:10">
      <c r="A39" s="19"/>
      <c r="B39" s="20"/>
      <c r="C39" s="15"/>
      <c r="D39" s="11"/>
      <c r="F39" s="11"/>
      <c r="G39" s="11"/>
      <c r="H39" s="11"/>
      <c r="J39" s="11"/>
    </row>
    <row r="40" spans="1:10">
      <c r="A40" s="19"/>
      <c r="B40" s="20"/>
      <c r="C40" s="15"/>
      <c r="D40" s="11"/>
      <c r="F40" s="11"/>
      <c r="G40" s="11"/>
      <c r="H40" s="11"/>
      <c r="J40" s="11"/>
    </row>
    <row r="41" spans="1:10">
      <c r="A41" s="19"/>
      <c r="B41" s="20"/>
      <c r="C41" s="15"/>
      <c r="D41" s="11"/>
      <c r="F41" s="11"/>
      <c r="G41" s="11"/>
      <c r="H41" s="11"/>
      <c r="J41" s="11"/>
    </row>
    <row r="42" spans="1:10">
      <c r="A42" s="19"/>
      <c r="B42" s="20"/>
      <c r="C42" s="15"/>
      <c r="D42" s="11"/>
      <c r="F42" s="11"/>
      <c r="G42" s="11"/>
      <c r="H42" s="11"/>
      <c r="J42" s="11"/>
    </row>
    <row r="43" spans="1:10">
      <c r="A43" s="19"/>
      <c r="B43" s="20"/>
      <c r="C43" s="15"/>
      <c r="D43" s="11"/>
      <c r="F43" s="11"/>
      <c r="G43" s="11"/>
      <c r="H43" s="11"/>
      <c r="J43" s="11"/>
    </row>
    <row r="44" spans="1:10">
      <c r="A44" s="19"/>
      <c r="B44" s="20"/>
      <c r="C44" s="15"/>
      <c r="D44" s="11"/>
      <c r="F44" s="11"/>
      <c r="G44" s="11"/>
      <c r="H44" s="11"/>
      <c r="J44" s="11"/>
    </row>
    <row r="45" spans="1:10">
      <c r="A45" s="19"/>
      <c r="B45" s="20"/>
      <c r="C45" s="15"/>
      <c r="D45" s="11"/>
      <c r="F45" s="11"/>
      <c r="G45" s="11"/>
      <c r="H45" s="11"/>
      <c r="J45" s="11"/>
    </row>
    <row r="46" spans="1:10">
      <c r="A46" s="19"/>
      <c r="B46" s="20"/>
      <c r="C46" s="15"/>
      <c r="D46" s="11"/>
      <c r="F46" s="11"/>
      <c r="G46" s="11"/>
      <c r="H46" s="11"/>
      <c r="J46" s="11"/>
    </row>
    <row r="47" spans="1:10">
      <c r="A47" s="19"/>
      <c r="B47" s="20"/>
      <c r="C47" s="15"/>
      <c r="D47" s="11"/>
      <c r="F47" s="11"/>
      <c r="G47" s="11"/>
      <c r="H47" s="11"/>
      <c r="J47" s="11"/>
    </row>
    <row r="48" spans="1:10">
      <c r="A48" s="19"/>
      <c r="B48" s="20"/>
      <c r="C48" s="15"/>
      <c r="D48" s="11"/>
      <c r="F48" s="11"/>
      <c r="G48" s="11"/>
      <c r="H48" s="11"/>
      <c r="J48" s="11"/>
    </row>
    <row r="49" spans="1:10">
      <c r="A49" s="19"/>
      <c r="B49" s="20"/>
      <c r="C49" s="15"/>
      <c r="D49" s="11"/>
      <c r="F49" s="11"/>
      <c r="G49" s="11"/>
      <c r="H49" s="11"/>
      <c r="J49" s="11"/>
    </row>
    <row r="50" spans="1:10">
      <c r="A50" s="19"/>
      <c r="B50" s="20"/>
      <c r="C50" s="15"/>
      <c r="D50" s="11"/>
      <c r="F50" s="11"/>
      <c r="G50" s="11"/>
      <c r="H50" s="11"/>
      <c r="J50" s="11"/>
    </row>
    <row r="51" spans="1:10">
      <c r="A51" s="19"/>
      <c r="B51" s="20"/>
      <c r="C51" s="15"/>
      <c r="D51" s="11"/>
      <c r="F51" s="11"/>
      <c r="G51" s="11"/>
      <c r="H51" s="11"/>
      <c r="J51" s="11"/>
    </row>
    <row r="52" spans="1:10">
      <c r="A52" s="19"/>
      <c r="B52" s="20"/>
      <c r="C52" s="15"/>
      <c r="D52" s="11"/>
      <c r="F52" s="11"/>
      <c r="G52" s="11"/>
      <c r="H52" s="11"/>
      <c r="J52" s="11"/>
    </row>
    <row r="53" spans="1:10">
      <c r="A53" s="19"/>
      <c r="B53" s="20"/>
      <c r="C53" s="15"/>
      <c r="D53" s="11"/>
      <c r="F53" s="11"/>
      <c r="G53" s="11"/>
      <c r="H53" s="11"/>
      <c r="J53" s="11"/>
    </row>
    <row r="54" spans="1:10">
      <c r="A54" s="19"/>
      <c r="B54" s="20"/>
      <c r="C54" s="15"/>
      <c r="D54" s="11"/>
      <c r="F54" s="11"/>
      <c r="G54" s="11"/>
      <c r="H54" s="11"/>
      <c r="J54" s="11"/>
    </row>
    <row r="55" spans="1:10">
      <c r="A55" s="19"/>
      <c r="B55" s="20"/>
      <c r="C55" s="15"/>
      <c r="D55" s="11"/>
      <c r="F55" s="11"/>
      <c r="G55" s="11"/>
      <c r="H55" s="11"/>
      <c r="J55" s="11"/>
    </row>
    <row r="56" spans="1:10">
      <c r="A56" s="19"/>
      <c r="B56" s="20"/>
      <c r="C56" s="15"/>
      <c r="D56" s="11"/>
      <c r="F56" s="11"/>
      <c r="G56" s="11"/>
      <c r="H56" s="11"/>
      <c r="J56" s="11"/>
    </row>
    <row r="57" spans="1:10">
      <c r="A57" s="19"/>
      <c r="B57" s="20"/>
      <c r="C57" s="15"/>
      <c r="D57" s="11"/>
      <c r="F57" s="11"/>
      <c r="G57" s="11"/>
      <c r="H57" s="11"/>
      <c r="J57" s="11"/>
    </row>
    <row r="58" spans="1:10">
      <c r="A58" s="19"/>
      <c r="B58" s="20"/>
      <c r="C58" s="15"/>
      <c r="D58" s="11"/>
      <c r="F58" s="11"/>
      <c r="G58" s="11"/>
      <c r="H58" s="11"/>
      <c r="J58" s="11"/>
    </row>
    <row r="59" spans="1:10">
      <c r="A59" s="19"/>
      <c r="B59" s="20"/>
      <c r="C59" s="15"/>
      <c r="D59" s="11"/>
      <c r="F59" s="11"/>
      <c r="G59" s="11"/>
      <c r="H59" s="11"/>
      <c r="J59" s="11"/>
    </row>
    <row r="60" spans="1:10">
      <c r="A60" s="19"/>
      <c r="B60" s="20"/>
      <c r="C60" s="15"/>
      <c r="D60" s="11"/>
      <c r="F60" s="11"/>
      <c r="G60" s="11"/>
      <c r="H60" s="11"/>
      <c r="J60" s="11"/>
    </row>
    <row r="61" spans="1:10">
      <c r="A61" s="19"/>
      <c r="B61" s="20"/>
      <c r="C61" s="15"/>
      <c r="D61" s="11"/>
      <c r="F61" s="11"/>
      <c r="G61" s="11"/>
      <c r="H61" s="11"/>
      <c r="J61" s="11"/>
    </row>
    <row r="62" spans="1:10">
      <c r="A62" s="19"/>
      <c r="B62" s="20"/>
      <c r="C62" s="15"/>
      <c r="D62" s="11"/>
      <c r="F62" s="11"/>
      <c r="G62" s="11"/>
      <c r="H62" s="11"/>
      <c r="I62" s="21"/>
      <c r="J62" s="11"/>
    </row>
    <row r="63" spans="1:10">
      <c r="A63" s="19"/>
      <c r="B63" s="20"/>
      <c r="C63" s="15"/>
      <c r="D63" s="11"/>
      <c r="F63" s="11"/>
      <c r="G63" s="11"/>
      <c r="H63" s="11"/>
      <c r="I63" s="21"/>
      <c r="J63" s="11"/>
    </row>
    <row r="64" spans="1:10">
      <c r="A64" s="19"/>
      <c r="B64" s="20"/>
      <c r="C64" s="15"/>
      <c r="D64" s="11"/>
      <c r="F64" s="11"/>
      <c r="G64" s="11"/>
      <c r="H64" s="11"/>
      <c r="I64" s="21"/>
      <c r="J64" s="11"/>
    </row>
    <row r="65" spans="1:10">
      <c r="A65" s="19"/>
      <c r="B65" s="20"/>
      <c r="C65" s="15"/>
      <c r="D65" s="11"/>
      <c r="F65" s="11"/>
      <c r="G65" s="11"/>
      <c r="H65" s="11"/>
      <c r="I65" s="21"/>
      <c r="J65" s="11"/>
    </row>
    <row r="66" spans="1:10">
      <c r="A66" s="19"/>
      <c r="B66" s="20"/>
      <c r="C66" s="15"/>
      <c r="D66" s="11"/>
      <c r="F66" s="11"/>
      <c r="G66" s="11"/>
      <c r="H66" s="11"/>
      <c r="I66" s="21"/>
      <c r="J66" s="11"/>
    </row>
    <row r="67" spans="1:10">
      <c r="A67" s="19"/>
      <c r="B67" s="20"/>
      <c r="C67" s="15"/>
      <c r="D67" s="11"/>
      <c r="F67" s="11"/>
      <c r="G67" s="11"/>
      <c r="H67" s="11"/>
      <c r="I67" s="21"/>
      <c r="J67" s="11"/>
    </row>
    <row r="68" spans="1:10">
      <c r="A68" s="19"/>
      <c r="B68" s="20"/>
      <c r="C68" s="15"/>
      <c r="D68" s="11"/>
      <c r="F68" s="11"/>
      <c r="G68" s="11"/>
      <c r="H68" s="11"/>
      <c r="I68" s="21"/>
      <c r="J68" s="11"/>
    </row>
    <row r="69" spans="1:10">
      <c r="A69" s="19"/>
      <c r="B69" s="20"/>
      <c r="C69" s="15"/>
      <c r="D69" s="11"/>
      <c r="F69" s="11"/>
      <c r="G69" s="11"/>
      <c r="H69" s="11"/>
      <c r="I69" s="21"/>
      <c r="J69" s="11"/>
    </row>
    <row r="70" spans="1:10">
      <c r="A70" s="19"/>
      <c r="B70" s="20"/>
      <c r="C70" s="15"/>
      <c r="D70" s="11"/>
      <c r="F70" s="11"/>
      <c r="G70" s="11"/>
      <c r="H70" s="11"/>
      <c r="I70" s="21"/>
      <c r="J70" s="11"/>
    </row>
    <row r="71" spans="1:10">
      <c r="A71" s="19"/>
      <c r="B71" s="20"/>
      <c r="C71" s="15"/>
      <c r="D71" s="11"/>
      <c r="F71" s="11"/>
      <c r="G71" s="11"/>
      <c r="H71" s="11"/>
      <c r="I71" s="21"/>
      <c r="J71" s="11"/>
    </row>
    <row r="72" spans="1:10">
      <c r="A72" s="19"/>
      <c r="B72" s="20"/>
      <c r="C72" s="15"/>
      <c r="D72" s="11"/>
      <c r="F72" s="11"/>
      <c r="G72" s="11"/>
      <c r="H72" s="11"/>
      <c r="I72" s="21"/>
      <c r="J72" s="11"/>
    </row>
    <row r="73" spans="1:10">
      <c r="A73" s="19"/>
      <c r="B73" s="20"/>
      <c r="C73" s="15"/>
      <c r="D73" s="11"/>
      <c r="F73" s="11"/>
      <c r="G73" s="11"/>
      <c r="H73" s="11"/>
      <c r="I73" s="21"/>
      <c r="J73" s="11"/>
    </row>
    <row r="74" spans="1:10">
      <c r="A74" s="19"/>
      <c r="B74" s="20"/>
      <c r="C74" s="15"/>
      <c r="D74" s="11"/>
      <c r="F74" s="11"/>
      <c r="G74" s="11"/>
      <c r="H74" s="11"/>
      <c r="I74" s="21"/>
      <c r="J74" s="11"/>
    </row>
    <row r="75" spans="1:10">
      <c r="A75" s="19"/>
      <c r="B75" s="20"/>
      <c r="C75" s="15"/>
      <c r="D75" s="11"/>
      <c r="F75" s="11"/>
      <c r="G75" s="11"/>
      <c r="H75" s="11"/>
      <c r="I75" s="21"/>
      <c r="J75" s="11"/>
    </row>
    <row r="76" spans="1:10">
      <c r="A76" s="19"/>
      <c r="B76" s="20"/>
      <c r="C76" s="15"/>
      <c r="D76" s="11"/>
      <c r="F76" s="11"/>
      <c r="G76" s="11"/>
      <c r="H76" s="11"/>
      <c r="I76" s="21"/>
      <c r="J76" s="11"/>
    </row>
    <row r="77" spans="1:10">
      <c r="A77" s="19"/>
      <c r="B77" s="20"/>
      <c r="C77" s="15"/>
      <c r="D77" s="11"/>
      <c r="F77" s="11"/>
      <c r="G77" s="11"/>
      <c r="H77" s="11"/>
      <c r="I77" s="21"/>
      <c r="J77" s="11"/>
    </row>
    <row r="78" spans="1:10">
      <c r="A78" s="19"/>
      <c r="B78" s="20"/>
      <c r="C78" s="15"/>
      <c r="D78" s="11"/>
      <c r="F78" s="11"/>
      <c r="G78" s="11"/>
      <c r="H78" s="11"/>
      <c r="I78" s="21"/>
      <c r="J78" s="11"/>
    </row>
    <row r="79" spans="1:10">
      <c r="A79" s="19"/>
      <c r="B79" s="20"/>
      <c r="C79" s="15"/>
      <c r="D79" s="11"/>
      <c r="F79" s="11"/>
      <c r="G79" s="11"/>
      <c r="H79" s="11"/>
      <c r="I79" s="21"/>
      <c r="J79" s="11"/>
    </row>
    <row r="80" spans="1:10">
      <c r="A80" s="19"/>
      <c r="B80" s="20"/>
      <c r="C80" s="15"/>
      <c r="D80" s="11"/>
      <c r="F80" s="11"/>
      <c r="G80" s="11"/>
      <c r="H80" s="11"/>
      <c r="I80" s="21"/>
      <c r="J80" s="11"/>
    </row>
    <row r="81" spans="1:10">
      <c r="A81" s="19"/>
      <c r="B81" s="20"/>
      <c r="C81" s="15"/>
      <c r="D81" s="11"/>
      <c r="F81" s="11"/>
      <c r="G81" s="11"/>
      <c r="H81" s="11"/>
      <c r="I81" s="21"/>
      <c r="J81" s="11"/>
    </row>
    <row r="82" spans="1:10">
      <c r="A82" s="19"/>
      <c r="B82" s="20"/>
      <c r="C82" s="15"/>
      <c r="D82" s="11"/>
      <c r="F82" s="11"/>
      <c r="G82" s="11"/>
      <c r="H82" s="11"/>
      <c r="I82" s="21"/>
      <c r="J82" s="11"/>
    </row>
    <row r="83" spans="1:10">
      <c r="A83" s="19"/>
      <c r="B83" s="20"/>
      <c r="C83" s="15"/>
      <c r="D83" s="11"/>
      <c r="F83" s="11"/>
      <c r="G83" s="11"/>
      <c r="H83" s="11"/>
      <c r="I83" s="21"/>
      <c r="J83" s="11"/>
    </row>
    <row r="84" spans="1:10">
      <c r="A84" s="19"/>
      <c r="B84" s="20"/>
      <c r="C84" s="15"/>
      <c r="D84" s="11"/>
      <c r="F84" s="11"/>
      <c r="G84" s="11"/>
      <c r="H84" s="11"/>
      <c r="I84" s="21"/>
      <c r="J84" s="11"/>
    </row>
    <row r="85" spans="1:10">
      <c r="A85" s="19"/>
      <c r="B85" s="20"/>
      <c r="C85" s="15"/>
      <c r="D85" s="11"/>
      <c r="F85" s="11"/>
      <c r="G85" s="11"/>
      <c r="H85" s="11"/>
      <c r="I85" s="21"/>
      <c r="J85" s="11"/>
    </row>
    <row r="86" spans="1:10">
      <c r="A86" s="19"/>
      <c r="B86" s="20"/>
      <c r="C86" s="15"/>
      <c r="D86" s="11"/>
      <c r="F86" s="11"/>
      <c r="G86" s="11"/>
      <c r="H86" s="11"/>
      <c r="I86" s="21"/>
      <c r="J86" s="11"/>
    </row>
    <row r="87" spans="1:10">
      <c r="A87" s="19"/>
      <c r="B87" s="20"/>
      <c r="C87" s="15"/>
      <c r="D87" s="11"/>
      <c r="F87" s="11"/>
      <c r="G87" s="11"/>
      <c r="H87" s="11"/>
      <c r="I87" s="21"/>
      <c r="J87" s="11"/>
    </row>
    <row r="88" spans="1:10">
      <c r="A88" s="19"/>
      <c r="B88" s="20"/>
      <c r="C88" s="15"/>
      <c r="D88" s="11"/>
      <c r="F88" s="11"/>
      <c r="G88" s="11"/>
      <c r="H88" s="11"/>
      <c r="I88" s="21"/>
      <c r="J88" s="11"/>
    </row>
    <row r="89" spans="1:10">
      <c r="A89" s="19"/>
      <c r="B89" s="20"/>
      <c r="C89" s="15"/>
      <c r="D89" s="11"/>
      <c r="F89" s="11"/>
      <c r="G89" s="11"/>
      <c r="H89" s="11"/>
      <c r="I89" s="21"/>
      <c r="J89" s="11"/>
    </row>
    <row r="90" spans="1:10">
      <c r="A90" s="19"/>
      <c r="B90" s="20"/>
      <c r="C90" s="15"/>
      <c r="D90" s="11"/>
      <c r="F90" s="11"/>
      <c r="G90" s="11"/>
      <c r="H90" s="11"/>
      <c r="I90" s="21"/>
      <c r="J90" s="11"/>
    </row>
    <row r="91" spans="1:10">
      <c r="A91" s="19"/>
      <c r="B91" s="20"/>
      <c r="C91" s="15"/>
      <c r="D91" s="11"/>
      <c r="F91" s="11"/>
      <c r="G91" s="11"/>
      <c r="H91" s="11"/>
      <c r="I91" s="21"/>
      <c r="J91" s="11"/>
    </row>
    <row r="92" spans="1:10">
      <c r="A92" s="19"/>
      <c r="B92" s="20"/>
      <c r="C92" s="15"/>
      <c r="D92" s="11"/>
      <c r="F92" s="11"/>
      <c r="G92" s="11"/>
      <c r="H92" s="11"/>
      <c r="I92" s="21"/>
      <c r="J92" s="11"/>
    </row>
    <row r="93" spans="1:10">
      <c r="A93" s="19"/>
      <c r="B93" s="20"/>
      <c r="C93" s="15"/>
      <c r="D93" s="11"/>
      <c r="F93" s="11"/>
      <c r="G93" s="11"/>
      <c r="H93" s="11"/>
      <c r="I93" s="21"/>
      <c r="J93" s="11"/>
    </row>
    <row r="94" spans="1:10">
      <c r="A94" s="19"/>
      <c r="B94" s="20"/>
      <c r="C94" s="15"/>
      <c r="D94" s="11"/>
      <c r="F94" s="11"/>
      <c r="G94" s="11"/>
      <c r="H94" s="11"/>
      <c r="I94" s="21"/>
      <c r="J94" s="11"/>
    </row>
    <row r="95" spans="1:10">
      <c r="A95" s="19"/>
      <c r="B95" s="20"/>
      <c r="C95" s="15"/>
      <c r="D95" s="11"/>
      <c r="F95" s="11"/>
      <c r="G95" s="11"/>
      <c r="H95" s="11"/>
      <c r="I95" s="21"/>
      <c r="J95" s="11"/>
    </row>
    <row r="96" spans="1:10">
      <c r="A96" s="19"/>
      <c r="B96" s="20"/>
      <c r="C96" s="15"/>
      <c r="D96" s="11"/>
      <c r="F96" s="11"/>
      <c r="G96" s="11"/>
      <c r="H96" s="11"/>
      <c r="I96" s="21"/>
      <c r="J96" s="11"/>
    </row>
    <row r="97" spans="1:10">
      <c r="A97" s="19"/>
      <c r="B97" s="20"/>
      <c r="C97" s="15"/>
      <c r="D97" s="11"/>
      <c r="F97" s="11"/>
      <c r="G97" s="11"/>
      <c r="H97" s="11"/>
      <c r="I97" s="21"/>
      <c r="J97" s="11"/>
    </row>
    <row r="98" spans="1:10">
      <c r="A98" s="19"/>
      <c r="B98" s="20"/>
      <c r="C98" s="15"/>
      <c r="D98" s="11"/>
      <c r="F98" s="11"/>
      <c r="G98" s="11"/>
      <c r="H98" s="11"/>
      <c r="I98" s="21"/>
      <c r="J98" s="11"/>
    </row>
    <row r="99" spans="1:10">
      <c r="A99" s="19"/>
      <c r="B99" s="20"/>
      <c r="C99" s="15"/>
      <c r="D99" s="11"/>
      <c r="F99" s="11"/>
      <c r="G99" s="11"/>
      <c r="H99" s="11"/>
      <c r="I99" s="21"/>
      <c r="J99" s="11"/>
    </row>
    <row r="100" spans="1:10">
      <c r="A100" s="19"/>
      <c r="B100" s="20"/>
      <c r="C100" s="15"/>
      <c r="D100" s="11"/>
      <c r="F100" s="11"/>
      <c r="G100" s="11"/>
      <c r="H100" s="11"/>
      <c r="I100" s="21"/>
      <c r="J100" s="11"/>
    </row>
    <row r="101" spans="1:10">
      <c r="A101" s="19"/>
      <c r="B101" s="20"/>
      <c r="C101" s="15"/>
      <c r="D101" s="11"/>
      <c r="F101" s="11"/>
      <c r="G101" s="11"/>
      <c r="H101" s="11"/>
      <c r="I101" s="21"/>
      <c r="J101" s="11"/>
    </row>
    <row r="102" spans="1:10">
      <c r="A102" s="19"/>
      <c r="B102" s="20"/>
      <c r="C102" s="15"/>
      <c r="D102" s="11"/>
      <c r="F102" s="11"/>
      <c r="G102" s="11"/>
      <c r="H102" s="11"/>
      <c r="I102" s="21"/>
      <c r="J102" s="11"/>
    </row>
    <row r="103" spans="1:10">
      <c r="A103" s="19"/>
      <c r="B103" s="20"/>
      <c r="C103" s="15"/>
      <c r="D103" s="11"/>
      <c r="F103" s="11"/>
      <c r="G103" s="11"/>
      <c r="H103" s="11"/>
      <c r="I103" s="21"/>
      <c r="J103" s="11"/>
    </row>
    <row r="104" spans="1:10">
      <c r="A104" s="19"/>
      <c r="B104" s="20"/>
      <c r="C104" s="15"/>
      <c r="D104" s="11"/>
      <c r="F104" s="11"/>
      <c r="G104" s="11"/>
      <c r="H104" s="11"/>
      <c r="I104" s="21"/>
      <c r="J104" s="11"/>
    </row>
    <row r="105" spans="1:10">
      <c r="A105" s="19"/>
      <c r="B105" s="20"/>
      <c r="C105" s="15"/>
      <c r="D105" s="11"/>
      <c r="F105" s="11"/>
      <c r="G105" s="11"/>
      <c r="H105" s="11"/>
      <c r="I105" s="21"/>
      <c r="J105" s="11"/>
    </row>
    <row r="106" spans="1:10">
      <c r="A106" s="19"/>
      <c r="B106" s="20"/>
      <c r="C106" s="15"/>
      <c r="D106" s="11"/>
      <c r="F106" s="11"/>
      <c r="G106" s="11"/>
      <c r="H106" s="11"/>
      <c r="I106" s="21"/>
      <c r="J106" s="11"/>
    </row>
    <row r="107" spans="1:10">
      <c r="A107" s="19"/>
      <c r="B107" s="20"/>
      <c r="C107" s="15"/>
      <c r="D107" s="11"/>
      <c r="F107" s="11"/>
      <c r="G107" s="11"/>
      <c r="H107" s="11"/>
      <c r="I107" s="21"/>
      <c r="J107" s="11"/>
    </row>
    <row r="108" spans="1:10">
      <c r="A108" s="19"/>
      <c r="B108" s="20"/>
      <c r="C108" s="15"/>
      <c r="D108" s="11"/>
      <c r="F108" s="11"/>
      <c r="G108" s="11"/>
      <c r="H108" s="11"/>
      <c r="I108" s="21"/>
      <c r="J108" s="11"/>
    </row>
    <row r="109" spans="1:10">
      <c r="A109" s="19"/>
      <c r="B109" s="20"/>
      <c r="C109" s="15"/>
      <c r="D109" s="11"/>
      <c r="F109" s="11"/>
      <c r="G109" s="11"/>
      <c r="H109" s="11"/>
      <c r="I109" s="21"/>
      <c r="J109" s="11"/>
    </row>
    <row r="110" spans="1:10">
      <c r="A110" s="19"/>
      <c r="B110" s="20"/>
      <c r="C110" s="15"/>
      <c r="D110" s="11"/>
      <c r="F110" s="11"/>
      <c r="G110" s="11"/>
      <c r="H110" s="11"/>
      <c r="I110" s="21"/>
      <c r="J110" s="11"/>
    </row>
    <row r="111" spans="1:10">
      <c r="A111" s="19"/>
      <c r="B111" s="20"/>
      <c r="C111" s="15"/>
      <c r="D111" s="11"/>
      <c r="F111" s="11"/>
      <c r="G111" s="11"/>
      <c r="H111" s="11"/>
      <c r="I111" s="21"/>
      <c r="J111" s="11"/>
    </row>
    <row r="112" spans="1:10">
      <c r="A112" s="19"/>
      <c r="B112" s="20"/>
      <c r="C112" s="15"/>
      <c r="D112" s="11"/>
      <c r="F112" s="11"/>
      <c r="G112" s="11"/>
      <c r="H112" s="11"/>
      <c r="I112" s="21"/>
      <c r="J112" s="11"/>
    </row>
    <row r="113" spans="1:10">
      <c r="A113" s="19"/>
      <c r="B113" s="20"/>
      <c r="C113" s="15"/>
      <c r="D113" s="11"/>
      <c r="F113" s="11"/>
      <c r="G113" s="11"/>
      <c r="H113" s="11"/>
      <c r="I113" s="21"/>
      <c r="J113" s="11"/>
    </row>
    <row r="114" spans="1:10">
      <c r="A114" s="19"/>
      <c r="B114" s="20"/>
      <c r="C114" s="15"/>
      <c r="D114" s="11"/>
      <c r="F114" s="11"/>
      <c r="G114" s="11"/>
      <c r="H114" s="11"/>
      <c r="I114" s="21"/>
      <c r="J114" s="11"/>
    </row>
    <row r="115" spans="1:10">
      <c r="A115" s="19"/>
      <c r="B115" s="20"/>
      <c r="C115" s="15"/>
      <c r="D115" s="11"/>
      <c r="F115" s="11"/>
      <c r="G115" s="11"/>
      <c r="H115" s="11"/>
      <c r="I115" s="21"/>
      <c r="J115" s="11"/>
    </row>
    <row r="116" spans="1:10">
      <c r="A116" s="19"/>
      <c r="B116" s="20"/>
      <c r="C116" s="15"/>
      <c r="D116" s="11"/>
      <c r="F116" s="11"/>
      <c r="G116" s="11"/>
      <c r="H116" s="11"/>
      <c r="I116" s="21"/>
      <c r="J116" s="11"/>
    </row>
    <row r="117" spans="1:10">
      <c r="A117" s="19"/>
      <c r="B117" s="20"/>
      <c r="C117" s="15"/>
      <c r="D117" s="11"/>
      <c r="F117" s="11"/>
      <c r="G117" s="11"/>
      <c r="H117" s="11"/>
      <c r="I117" s="21"/>
      <c r="J117" s="11"/>
    </row>
    <row r="118" spans="1:10">
      <c r="A118" s="19"/>
      <c r="B118" s="20"/>
      <c r="C118" s="15"/>
      <c r="D118" s="11"/>
      <c r="F118" s="11"/>
      <c r="G118" s="11"/>
      <c r="H118" s="11"/>
      <c r="I118" s="21"/>
      <c r="J118" s="11"/>
    </row>
    <row r="119" spans="1:10">
      <c r="A119" s="19"/>
      <c r="B119" s="20"/>
      <c r="C119" s="15"/>
      <c r="D119" s="11"/>
      <c r="F119" s="11"/>
      <c r="G119" s="11"/>
      <c r="H119" s="11"/>
      <c r="I119" s="21"/>
      <c r="J119" s="11"/>
    </row>
    <row r="120" spans="1:10">
      <c r="A120" s="19"/>
      <c r="B120" s="20"/>
      <c r="C120" s="15"/>
      <c r="D120" s="11"/>
      <c r="F120" s="11"/>
      <c r="G120" s="11"/>
      <c r="H120" s="11"/>
      <c r="I120" s="21"/>
      <c r="J120" s="11"/>
    </row>
    <row r="121" spans="1:10">
      <c r="A121" s="19"/>
      <c r="B121" s="20"/>
      <c r="C121" s="15"/>
      <c r="D121" s="11"/>
      <c r="F121" s="11"/>
      <c r="G121" s="11"/>
      <c r="H121" s="11"/>
      <c r="I121" s="21"/>
      <c r="J121" s="11"/>
    </row>
    <row r="122" spans="1:10">
      <c r="A122" s="19"/>
      <c r="B122" s="20"/>
      <c r="C122" s="15"/>
      <c r="D122" s="11"/>
      <c r="F122" s="11"/>
      <c r="G122" s="11"/>
      <c r="H122" s="11"/>
      <c r="I122" s="21"/>
      <c r="J122" s="11"/>
    </row>
    <row r="123" spans="1:10">
      <c r="A123" s="19"/>
      <c r="B123" s="20"/>
      <c r="C123" s="15"/>
      <c r="D123" s="11"/>
      <c r="F123" s="11"/>
      <c r="G123" s="11"/>
      <c r="H123" s="11"/>
      <c r="I123" s="21"/>
      <c r="J123" s="11"/>
    </row>
    <row r="124" spans="1:10">
      <c r="A124" s="19"/>
      <c r="B124" s="20"/>
      <c r="C124" s="15"/>
      <c r="D124" s="11"/>
      <c r="F124" s="11"/>
      <c r="G124" s="11"/>
      <c r="H124" s="11"/>
      <c r="I124" s="21"/>
      <c r="J124" s="11"/>
    </row>
    <row r="125" spans="1:10">
      <c r="A125" s="19"/>
      <c r="B125" s="20"/>
      <c r="C125" s="15"/>
      <c r="D125" s="11"/>
      <c r="F125" s="11"/>
      <c r="G125" s="11"/>
      <c r="H125" s="11"/>
      <c r="I125" s="21"/>
      <c r="J125" s="11"/>
    </row>
    <row r="126" spans="1:10">
      <c r="A126" s="19"/>
      <c r="B126" s="20"/>
      <c r="C126" s="15"/>
      <c r="D126" s="11"/>
      <c r="F126" s="11"/>
      <c r="G126" s="11"/>
      <c r="H126" s="11"/>
      <c r="I126" s="21"/>
      <c r="J126" s="11"/>
    </row>
    <row r="127" spans="1:10">
      <c r="A127" s="19"/>
      <c r="B127" s="20"/>
      <c r="C127" s="15"/>
      <c r="D127" s="11"/>
      <c r="F127" s="11"/>
      <c r="G127" s="11"/>
      <c r="H127" s="11"/>
      <c r="I127" s="21"/>
      <c r="J127" s="11"/>
    </row>
    <row r="128" spans="1:10">
      <c r="A128" s="19"/>
      <c r="B128" s="20"/>
      <c r="C128" s="15"/>
      <c r="D128" s="11"/>
      <c r="F128" s="11"/>
      <c r="G128" s="11"/>
      <c r="H128" s="11"/>
      <c r="I128" s="21"/>
      <c r="J128" s="11"/>
    </row>
    <row r="129" spans="1:10">
      <c r="A129" s="19"/>
      <c r="B129" s="20"/>
      <c r="C129" s="15"/>
      <c r="D129" s="11"/>
      <c r="F129" s="11"/>
      <c r="G129" s="11"/>
      <c r="H129" s="11"/>
      <c r="I129" s="21"/>
      <c r="J129" s="11"/>
    </row>
    <row r="130" spans="1:10">
      <c r="A130" s="19"/>
      <c r="B130" s="20"/>
      <c r="C130" s="15"/>
      <c r="D130" s="11"/>
      <c r="F130" s="11"/>
      <c r="G130" s="11"/>
      <c r="H130" s="11"/>
      <c r="I130" s="21"/>
      <c r="J130" s="11"/>
    </row>
    <row r="131" spans="1:10">
      <c r="A131" s="19"/>
      <c r="B131" s="20"/>
      <c r="C131" s="15"/>
      <c r="D131" s="11"/>
      <c r="F131" s="11"/>
      <c r="G131" s="11"/>
      <c r="H131" s="11"/>
      <c r="I131" s="21"/>
      <c r="J131" s="11"/>
    </row>
    <row r="132" spans="1:10">
      <c r="A132" s="19"/>
      <c r="B132" s="20"/>
      <c r="C132" s="15"/>
      <c r="D132" s="11"/>
      <c r="F132" s="11"/>
      <c r="G132" s="11"/>
      <c r="H132" s="11"/>
      <c r="I132" s="21"/>
      <c r="J132" s="11"/>
    </row>
    <row r="133" spans="1:10">
      <c r="A133" s="19"/>
      <c r="B133" s="20"/>
      <c r="C133" s="15"/>
      <c r="D133" s="11"/>
      <c r="F133" s="11"/>
      <c r="G133" s="11"/>
      <c r="H133" s="11"/>
      <c r="I133" s="21"/>
      <c r="J133" s="11"/>
    </row>
    <row r="134" spans="1:10">
      <c r="A134" s="19"/>
      <c r="B134" s="20"/>
      <c r="C134" s="15"/>
      <c r="D134" s="11"/>
      <c r="F134" s="11"/>
      <c r="G134" s="11"/>
      <c r="H134" s="11"/>
      <c r="I134" s="21"/>
      <c r="J134" s="11"/>
    </row>
    <row r="135" spans="1:10">
      <c r="A135" s="19"/>
      <c r="B135" s="20"/>
      <c r="C135" s="15"/>
      <c r="D135" s="11"/>
      <c r="F135" s="11"/>
      <c r="G135" s="11"/>
      <c r="H135" s="11"/>
      <c r="I135" s="21"/>
      <c r="J135" s="11"/>
    </row>
    <row r="136" spans="1:10">
      <c r="A136" s="19"/>
      <c r="B136" s="20"/>
      <c r="C136" s="15"/>
      <c r="D136" s="11"/>
      <c r="F136" s="11"/>
      <c r="G136" s="11"/>
      <c r="H136" s="11"/>
      <c r="I136" s="21"/>
      <c r="J136" s="11"/>
    </row>
    <row r="137" spans="1:10">
      <c r="A137" s="19"/>
      <c r="B137" s="20"/>
      <c r="C137" s="15"/>
      <c r="D137" s="11"/>
      <c r="F137" s="11"/>
      <c r="G137" s="11"/>
      <c r="H137" s="11"/>
      <c r="I137" s="21"/>
      <c r="J137" s="11"/>
    </row>
    <row r="138" spans="1:10">
      <c r="A138" s="19"/>
      <c r="B138" s="20"/>
      <c r="C138" s="15"/>
      <c r="D138" s="11"/>
      <c r="F138" s="11"/>
      <c r="G138" s="11"/>
      <c r="H138" s="11"/>
      <c r="I138" s="21"/>
      <c r="J138" s="11"/>
    </row>
    <row r="139" spans="1:10">
      <c r="A139" s="19"/>
      <c r="B139" s="20"/>
      <c r="C139" s="15"/>
      <c r="D139" s="11"/>
      <c r="F139" s="11"/>
      <c r="G139" s="11"/>
      <c r="H139" s="11"/>
      <c r="I139" s="21"/>
      <c r="J139" s="11"/>
    </row>
    <row r="140" spans="1:10">
      <c r="A140" s="19"/>
      <c r="B140" s="20"/>
      <c r="C140" s="15"/>
      <c r="D140" s="11"/>
      <c r="F140" s="11"/>
      <c r="G140" s="11"/>
      <c r="H140" s="11"/>
      <c r="I140" s="21"/>
      <c r="J140" s="11"/>
    </row>
    <row r="141" spans="1:10">
      <c r="A141" s="19"/>
      <c r="B141" s="20"/>
      <c r="C141" s="15"/>
      <c r="D141" s="11"/>
      <c r="F141" s="11"/>
      <c r="G141" s="11"/>
      <c r="H141" s="11"/>
      <c r="I141" s="21"/>
      <c r="J141" s="11"/>
    </row>
    <row r="142" spans="1:10">
      <c r="A142" s="19"/>
      <c r="B142" s="20"/>
      <c r="C142" s="15"/>
      <c r="D142" s="11"/>
      <c r="F142" s="11"/>
      <c r="G142" s="11"/>
      <c r="H142" s="11"/>
      <c r="I142" s="21"/>
      <c r="J142" s="11"/>
    </row>
    <row r="143" spans="1:10">
      <c r="A143" s="19"/>
      <c r="B143" s="20"/>
      <c r="C143" s="15"/>
      <c r="D143" s="11"/>
      <c r="F143" s="11"/>
      <c r="G143" s="11"/>
      <c r="H143" s="11"/>
      <c r="I143" s="21"/>
      <c r="J143" s="11"/>
    </row>
    <row r="144" spans="1:10">
      <c r="A144" s="19"/>
      <c r="B144" s="20"/>
      <c r="C144" s="15"/>
      <c r="D144" s="11"/>
      <c r="F144" s="11"/>
      <c r="G144" s="11"/>
      <c r="H144" s="11"/>
      <c r="I144" s="21"/>
      <c r="J144" s="11"/>
    </row>
    <row r="145" spans="1:10">
      <c r="A145" s="19"/>
      <c r="B145" s="20"/>
      <c r="C145" s="15"/>
      <c r="D145" s="11"/>
      <c r="F145" s="11"/>
      <c r="G145" s="11"/>
      <c r="H145" s="11"/>
      <c r="I145" s="21"/>
      <c r="J145" s="11"/>
    </row>
    <row r="146" spans="1:10">
      <c r="A146" s="19"/>
      <c r="B146" s="20"/>
      <c r="C146" s="15"/>
      <c r="D146" s="11"/>
      <c r="F146" s="11"/>
      <c r="G146" s="11"/>
      <c r="H146" s="11"/>
      <c r="I146" s="21"/>
      <c r="J146" s="11"/>
    </row>
    <row r="147" spans="1:10">
      <c r="A147" s="19"/>
      <c r="B147" s="20"/>
      <c r="C147" s="15"/>
      <c r="D147" s="11"/>
      <c r="F147" s="11"/>
      <c r="G147" s="11"/>
      <c r="H147" s="11"/>
      <c r="I147" s="21"/>
      <c r="J147" s="11"/>
    </row>
    <row r="148" spans="1:10">
      <c r="A148" s="19"/>
      <c r="B148" s="20"/>
      <c r="C148" s="15"/>
      <c r="D148" s="11"/>
      <c r="F148" s="11"/>
      <c r="G148" s="11"/>
      <c r="H148" s="11"/>
      <c r="I148" s="21"/>
      <c r="J148" s="11"/>
    </row>
    <row r="149" spans="1:10">
      <c r="A149" s="19"/>
      <c r="B149" s="20"/>
      <c r="C149" s="15"/>
      <c r="D149" s="11"/>
      <c r="F149" s="11"/>
      <c r="G149" s="11"/>
      <c r="H149" s="11"/>
      <c r="I149" s="21"/>
      <c r="J149" s="11"/>
    </row>
    <row r="150" spans="1:10">
      <c r="A150" s="19"/>
      <c r="B150" s="20"/>
      <c r="C150" s="15"/>
      <c r="D150" s="11"/>
      <c r="F150" s="11"/>
      <c r="G150" s="11"/>
      <c r="H150" s="11"/>
      <c r="I150" s="21"/>
      <c r="J150" s="11"/>
    </row>
    <row r="151" spans="1:10">
      <c r="A151" s="19"/>
      <c r="B151" s="20"/>
      <c r="C151" s="15"/>
      <c r="D151" s="11"/>
      <c r="F151" s="11"/>
      <c r="G151" s="11"/>
      <c r="H151" s="11"/>
      <c r="I151" s="21"/>
      <c r="J151" s="11"/>
    </row>
    <row r="152" spans="1:10">
      <c r="A152" s="19"/>
      <c r="B152" s="20"/>
      <c r="C152" s="15"/>
      <c r="D152" s="11"/>
      <c r="F152" s="11"/>
      <c r="G152" s="11"/>
      <c r="H152" s="11"/>
      <c r="I152" s="21"/>
      <c r="J152" s="11"/>
    </row>
    <row r="153" spans="1:10">
      <c r="A153" s="19"/>
      <c r="B153" s="20"/>
      <c r="C153" s="15"/>
      <c r="D153" s="11"/>
      <c r="F153" s="11"/>
      <c r="G153" s="11"/>
      <c r="H153" s="11"/>
      <c r="I153" s="21"/>
      <c r="J153" s="11"/>
    </row>
    <row r="154" spans="1:10">
      <c r="A154" s="19"/>
      <c r="B154" s="20"/>
      <c r="C154" s="15"/>
      <c r="D154" s="11"/>
      <c r="F154" s="11"/>
      <c r="G154" s="11"/>
      <c r="H154" s="11"/>
      <c r="I154" s="21"/>
      <c r="J154" s="11"/>
    </row>
    <row r="155" spans="1:10">
      <c r="A155" s="19"/>
      <c r="B155" s="20"/>
      <c r="C155" s="15"/>
      <c r="D155" s="11"/>
      <c r="F155" s="11"/>
      <c r="G155" s="11"/>
      <c r="H155" s="11"/>
      <c r="I155" s="21"/>
      <c r="J155" s="11"/>
    </row>
    <row r="156" spans="1:10">
      <c r="A156" s="19"/>
      <c r="B156" s="20"/>
      <c r="C156" s="15"/>
      <c r="D156" s="11"/>
      <c r="F156" s="11"/>
      <c r="G156" s="11"/>
      <c r="H156" s="11"/>
      <c r="I156" s="21"/>
      <c r="J156" s="11"/>
    </row>
    <row r="157" spans="1:10">
      <c r="A157" s="19"/>
      <c r="B157" s="20"/>
      <c r="C157" s="15"/>
      <c r="D157" s="11"/>
      <c r="F157" s="11"/>
      <c r="G157" s="11"/>
      <c r="H157" s="11"/>
      <c r="I157" s="21"/>
      <c r="J157" s="11"/>
    </row>
    <row r="158" spans="1:10">
      <c r="A158" s="19"/>
      <c r="B158" s="20"/>
      <c r="C158" s="15"/>
      <c r="D158" s="11"/>
      <c r="F158" s="11"/>
      <c r="G158" s="11"/>
      <c r="H158" s="11"/>
      <c r="I158" s="21"/>
      <c r="J158" s="11"/>
    </row>
    <row r="159" spans="1:10">
      <c r="A159" s="19"/>
      <c r="B159" s="20"/>
      <c r="C159" s="15"/>
      <c r="D159" s="11"/>
      <c r="F159" s="11"/>
      <c r="G159" s="11"/>
      <c r="H159" s="11"/>
      <c r="I159" s="21"/>
      <c r="J159" s="11"/>
    </row>
    <row r="160" spans="1:10">
      <c r="A160" s="19"/>
      <c r="B160" s="20"/>
      <c r="C160" s="15"/>
      <c r="D160" s="11"/>
      <c r="F160" s="11"/>
      <c r="G160" s="11"/>
      <c r="H160" s="11"/>
      <c r="I160" s="21"/>
      <c r="J160" s="11"/>
    </row>
    <row r="161" spans="1:10">
      <c r="A161" s="19"/>
      <c r="B161" s="20"/>
      <c r="C161" s="15"/>
      <c r="D161" s="11"/>
      <c r="F161" s="11"/>
      <c r="G161" s="11"/>
      <c r="H161" s="11"/>
      <c r="I161" s="21"/>
      <c r="J161" s="11"/>
    </row>
    <row r="162" spans="1:10">
      <c r="A162" s="19"/>
      <c r="B162" s="20"/>
      <c r="C162" s="15"/>
      <c r="D162" s="11"/>
      <c r="F162" s="11"/>
      <c r="G162" s="11"/>
      <c r="H162" s="11"/>
      <c r="I162" s="21"/>
      <c r="J162" s="11"/>
    </row>
    <row r="163" spans="1:10">
      <c r="A163" s="19"/>
      <c r="B163" s="20"/>
      <c r="C163" s="15"/>
      <c r="D163" s="11"/>
      <c r="F163" s="11"/>
      <c r="G163" s="11"/>
      <c r="H163" s="11"/>
      <c r="I163" s="21"/>
      <c r="J163" s="11"/>
    </row>
    <row r="164" spans="1:10">
      <c r="A164" s="19"/>
      <c r="B164" s="20"/>
      <c r="C164" s="15"/>
      <c r="D164" s="11"/>
      <c r="F164" s="11"/>
      <c r="G164" s="11"/>
      <c r="H164" s="11"/>
      <c r="I164" s="21"/>
      <c r="J164" s="11"/>
    </row>
    <row r="165" spans="1:10">
      <c r="A165" s="19"/>
      <c r="B165" s="20"/>
      <c r="C165" s="15"/>
      <c r="D165" s="11"/>
      <c r="F165" s="11"/>
      <c r="G165" s="11"/>
      <c r="H165" s="11"/>
      <c r="I165" s="21"/>
      <c r="J165" s="11"/>
    </row>
    <row r="166" spans="1:10">
      <c r="A166" s="19"/>
      <c r="B166" s="20"/>
      <c r="C166" s="15"/>
      <c r="D166" s="11"/>
      <c r="F166" s="11"/>
      <c r="G166" s="11"/>
      <c r="H166" s="11"/>
      <c r="I166" s="21"/>
      <c r="J166" s="11"/>
    </row>
    <row r="167" spans="1:10">
      <c r="A167" s="19"/>
      <c r="B167" s="20"/>
      <c r="C167" s="15"/>
      <c r="D167" s="11"/>
      <c r="F167" s="11"/>
      <c r="G167" s="11"/>
      <c r="H167" s="11"/>
      <c r="I167" s="21"/>
      <c r="J167" s="11"/>
    </row>
    <row r="168" spans="1:10">
      <c r="A168" s="19"/>
      <c r="B168" s="20"/>
      <c r="C168" s="15"/>
      <c r="D168" s="11"/>
      <c r="F168" s="11"/>
      <c r="G168" s="11"/>
      <c r="H168" s="11"/>
      <c r="I168" s="21"/>
      <c r="J168" s="11"/>
    </row>
    <row r="169" spans="1:10">
      <c r="A169" s="19"/>
      <c r="B169" s="20"/>
      <c r="C169" s="15"/>
      <c r="D169" s="11"/>
      <c r="F169" s="11"/>
      <c r="G169" s="11"/>
      <c r="H169" s="11"/>
      <c r="I169" s="21"/>
      <c r="J169" s="11"/>
    </row>
    <row r="170" spans="1:10">
      <c r="A170" s="19"/>
      <c r="B170" s="20"/>
      <c r="C170" s="15"/>
      <c r="D170" s="11"/>
      <c r="F170" s="11"/>
      <c r="G170" s="11"/>
      <c r="H170" s="11"/>
      <c r="I170" s="21"/>
      <c r="J170" s="11"/>
    </row>
    <row r="171" spans="1:10">
      <c r="A171" s="19"/>
      <c r="B171" s="20"/>
      <c r="C171" s="15"/>
      <c r="D171" s="11"/>
      <c r="F171" s="11"/>
      <c r="G171" s="11"/>
      <c r="H171" s="11"/>
      <c r="I171" s="21"/>
      <c r="J171" s="11"/>
    </row>
    <row r="172" spans="1:10">
      <c r="A172" s="19"/>
      <c r="B172" s="20"/>
      <c r="C172" s="15"/>
      <c r="D172" s="11"/>
      <c r="F172" s="11"/>
      <c r="G172" s="11"/>
      <c r="H172" s="11"/>
      <c r="I172" s="21"/>
      <c r="J172" s="11"/>
    </row>
    <row r="173" spans="1:10">
      <c r="A173" s="19"/>
      <c r="B173" s="20"/>
      <c r="C173" s="15"/>
      <c r="D173" s="11"/>
      <c r="F173" s="11"/>
      <c r="G173" s="11"/>
      <c r="H173" s="11"/>
      <c r="I173" s="21"/>
      <c r="J173" s="11"/>
    </row>
    <row r="174" spans="1:10">
      <c r="A174" s="19"/>
      <c r="B174" s="20"/>
      <c r="C174" s="15"/>
      <c r="D174" s="11"/>
      <c r="F174" s="11"/>
      <c r="G174" s="11"/>
      <c r="H174" s="11"/>
      <c r="I174" s="21"/>
      <c r="J174" s="11"/>
    </row>
    <row r="175" spans="1:10">
      <c r="A175" s="19"/>
      <c r="B175" s="20"/>
      <c r="C175" s="15"/>
      <c r="D175" s="11"/>
      <c r="F175" s="11"/>
      <c r="G175" s="11"/>
      <c r="H175" s="11"/>
      <c r="I175" s="21"/>
      <c r="J175" s="11"/>
    </row>
    <row r="176" spans="1:10">
      <c r="A176" s="19"/>
      <c r="B176" s="20"/>
      <c r="C176" s="15"/>
      <c r="D176" s="11"/>
      <c r="F176" s="11"/>
      <c r="G176" s="11"/>
      <c r="H176" s="11"/>
      <c r="I176" s="21"/>
      <c r="J176" s="11"/>
    </row>
    <row r="177" spans="1:10">
      <c r="A177" s="19"/>
      <c r="B177" s="20"/>
      <c r="C177" s="15"/>
      <c r="D177" s="11"/>
      <c r="F177" s="11"/>
      <c r="G177" s="11"/>
      <c r="H177" s="11"/>
      <c r="I177" s="21"/>
      <c r="J177" s="11"/>
    </row>
    <row r="178" spans="1:10">
      <c r="A178" s="19"/>
      <c r="B178" s="20"/>
      <c r="C178" s="15"/>
      <c r="D178" s="11"/>
      <c r="F178" s="11"/>
      <c r="G178" s="11"/>
      <c r="H178" s="11"/>
      <c r="I178" s="21"/>
      <c r="J178" s="11"/>
    </row>
    <row r="179" spans="1:10">
      <c r="A179" s="19"/>
      <c r="B179" s="20"/>
      <c r="C179" s="15"/>
      <c r="D179" s="11"/>
      <c r="F179" s="11"/>
      <c r="G179" s="11"/>
      <c r="H179" s="11"/>
      <c r="I179" s="21"/>
      <c r="J179" s="11"/>
    </row>
    <row r="180" spans="1:10">
      <c r="A180" s="19"/>
      <c r="B180" s="20"/>
      <c r="C180" s="15"/>
      <c r="D180" s="11"/>
      <c r="F180" s="11"/>
      <c r="G180" s="11"/>
      <c r="H180" s="11"/>
      <c r="I180" s="21"/>
      <c r="J180" s="11"/>
    </row>
    <row r="181" spans="1:10">
      <c r="A181" s="19"/>
      <c r="B181" s="20"/>
      <c r="C181" s="15"/>
      <c r="D181" s="11"/>
      <c r="F181" s="11"/>
      <c r="G181" s="11"/>
      <c r="H181" s="11"/>
      <c r="I181" s="21"/>
      <c r="J181" s="11"/>
    </row>
    <row r="182" spans="1:10">
      <c r="A182" s="19"/>
      <c r="B182" s="20"/>
      <c r="C182" s="15"/>
      <c r="D182" s="11"/>
      <c r="F182" s="11"/>
      <c r="G182" s="11"/>
      <c r="H182" s="11"/>
      <c r="I182" s="21"/>
      <c r="J182" s="11"/>
    </row>
    <row r="183" spans="1:10">
      <c r="A183" s="19"/>
      <c r="B183" s="20"/>
      <c r="C183" s="15"/>
      <c r="D183" s="11"/>
      <c r="F183" s="11"/>
      <c r="G183" s="11"/>
      <c r="H183" s="11"/>
      <c r="I183" s="21"/>
      <c r="J183" s="11"/>
    </row>
    <row r="184" spans="1:10">
      <c r="A184" s="19"/>
      <c r="B184" s="20"/>
      <c r="C184" s="15"/>
      <c r="D184" s="11"/>
      <c r="F184" s="11"/>
      <c r="G184" s="11"/>
      <c r="H184" s="11"/>
      <c r="I184" s="21"/>
      <c r="J184" s="11"/>
    </row>
    <row r="185" spans="1:10">
      <c r="A185" s="19"/>
      <c r="B185" s="20"/>
      <c r="C185" s="15"/>
      <c r="D185" s="11"/>
      <c r="F185" s="11"/>
      <c r="G185" s="11"/>
      <c r="H185" s="11"/>
      <c r="I185" s="21"/>
      <c r="J185" s="11"/>
    </row>
    <row r="186" spans="1:10">
      <c r="A186" s="19"/>
      <c r="B186" s="20"/>
      <c r="C186" s="15"/>
      <c r="D186" s="11"/>
      <c r="F186" s="11"/>
      <c r="G186" s="11"/>
      <c r="H186" s="11"/>
      <c r="I186" s="21"/>
      <c r="J186" s="11"/>
    </row>
    <row r="187" spans="1:10">
      <c r="A187" s="19"/>
      <c r="B187" s="20"/>
      <c r="C187" s="15"/>
      <c r="D187" s="11"/>
      <c r="F187" s="11"/>
      <c r="G187" s="11"/>
      <c r="H187" s="11"/>
      <c r="I187" s="21"/>
      <c r="J187" s="11"/>
    </row>
    <row r="188" spans="1:10">
      <c r="A188" s="19"/>
      <c r="B188" s="20"/>
      <c r="C188" s="15"/>
      <c r="D188" s="11"/>
      <c r="F188" s="11"/>
      <c r="G188" s="11"/>
      <c r="H188" s="11"/>
      <c r="I188" s="21"/>
      <c r="J188" s="11"/>
    </row>
    <row r="189" spans="1:10">
      <c r="A189" s="19"/>
      <c r="B189" s="20"/>
      <c r="C189" s="15"/>
      <c r="D189" s="11"/>
      <c r="F189" s="11"/>
      <c r="G189" s="11"/>
      <c r="H189" s="11"/>
      <c r="I189" s="21"/>
      <c r="J189" s="11"/>
    </row>
    <row r="190" spans="1:10">
      <c r="A190" s="19"/>
      <c r="B190" s="20"/>
      <c r="C190" s="15"/>
      <c r="D190" s="11"/>
      <c r="F190" s="11"/>
      <c r="G190" s="11"/>
      <c r="H190" s="11"/>
      <c r="I190" s="21"/>
      <c r="J190" s="11"/>
    </row>
    <row r="191" spans="1:10">
      <c r="A191" s="19"/>
      <c r="B191" s="20"/>
      <c r="C191" s="15"/>
      <c r="D191" s="11"/>
      <c r="F191" s="11"/>
      <c r="G191" s="11"/>
      <c r="H191" s="11"/>
      <c r="I191" s="21"/>
      <c r="J191" s="11"/>
    </row>
    <row r="192" spans="1:10">
      <c r="A192" s="19"/>
      <c r="B192" s="20"/>
      <c r="C192" s="15"/>
      <c r="D192" s="11"/>
      <c r="F192" s="11"/>
      <c r="G192" s="11"/>
      <c r="H192" s="11"/>
      <c r="I192" s="21"/>
      <c r="J192" s="11"/>
    </row>
    <row r="193" spans="1:10">
      <c r="A193" s="19"/>
      <c r="B193" s="20"/>
      <c r="C193" s="15"/>
      <c r="D193" s="11"/>
      <c r="F193" s="11"/>
      <c r="G193" s="11"/>
      <c r="H193" s="11"/>
      <c r="I193" s="21"/>
      <c r="J193" s="11"/>
    </row>
    <row r="194" spans="1:10">
      <c r="A194" s="19"/>
      <c r="B194" s="20"/>
      <c r="C194" s="15"/>
      <c r="D194" s="11"/>
      <c r="F194" s="11"/>
      <c r="G194" s="11"/>
      <c r="H194" s="11"/>
      <c r="I194" s="21"/>
      <c r="J194" s="11"/>
    </row>
    <row r="195" spans="1:10">
      <c r="A195" s="19"/>
      <c r="B195" s="20"/>
      <c r="C195" s="15"/>
      <c r="D195" s="11"/>
      <c r="F195" s="11"/>
      <c r="G195" s="11"/>
      <c r="H195" s="11"/>
      <c r="I195" s="21"/>
      <c r="J195" s="11"/>
    </row>
    <row r="196" spans="1:10">
      <c r="A196" s="19"/>
      <c r="B196" s="20"/>
      <c r="C196" s="15"/>
      <c r="D196" s="11"/>
      <c r="F196" s="11"/>
      <c r="G196" s="11"/>
      <c r="H196" s="11"/>
      <c r="I196" s="21"/>
      <c r="J196" s="11"/>
    </row>
    <row r="197" spans="1:10">
      <c r="A197" s="19"/>
      <c r="B197" s="20"/>
      <c r="C197" s="15"/>
      <c r="D197" s="11"/>
      <c r="F197" s="11"/>
      <c r="G197" s="11"/>
      <c r="H197" s="11"/>
      <c r="I197" s="21"/>
      <c r="J197" s="11"/>
    </row>
    <row r="198" spans="1:10">
      <c r="A198" s="19"/>
      <c r="B198" s="20"/>
      <c r="C198" s="15"/>
      <c r="D198" s="11"/>
      <c r="F198" s="11"/>
      <c r="G198" s="11"/>
      <c r="H198" s="11"/>
      <c r="I198" s="21"/>
      <c r="J198" s="11"/>
    </row>
    <row r="199" spans="1:10">
      <c r="A199" s="19"/>
      <c r="B199" s="20"/>
      <c r="C199" s="15"/>
      <c r="D199" s="11"/>
      <c r="F199" s="11"/>
      <c r="G199" s="11"/>
      <c r="H199" s="11"/>
      <c r="I199" s="21"/>
      <c r="J199" s="11"/>
    </row>
    <row r="200" spans="1:10">
      <c r="A200" s="19"/>
      <c r="B200" s="20"/>
      <c r="C200" s="15"/>
      <c r="D200" s="11"/>
      <c r="F200" s="11"/>
      <c r="G200" s="11"/>
      <c r="H200" s="11"/>
      <c r="I200" s="21"/>
      <c r="J200" s="11"/>
    </row>
    <row r="201" spans="1:10">
      <c r="A201" s="19"/>
      <c r="B201" s="20"/>
      <c r="C201" s="15"/>
      <c r="D201" s="11"/>
      <c r="F201" s="11"/>
      <c r="G201" s="11"/>
      <c r="H201" s="11"/>
      <c r="I201" s="21"/>
      <c r="J201" s="11"/>
    </row>
    <row r="202" spans="1:10">
      <c r="A202" s="19"/>
      <c r="B202" s="20"/>
      <c r="C202" s="15"/>
      <c r="D202" s="11"/>
      <c r="F202" s="11"/>
      <c r="G202" s="11"/>
      <c r="H202" s="11"/>
      <c r="I202" s="21"/>
      <c r="J202" s="11"/>
    </row>
    <row r="203" spans="1:10">
      <c r="A203" s="19"/>
      <c r="B203" s="20"/>
      <c r="C203" s="15"/>
      <c r="D203" s="11"/>
      <c r="F203" s="11"/>
      <c r="G203" s="11"/>
      <c r="H203" s="11"/>
      <c r="I203" s="21"/>
      <c r="J203" s="11"/>
    </row>
    <row r="204" spans="1:10">
      <c r="A204" s="19"/>
      <c r="B204" s="20"/>
      <c r="C204" s="15"/>
      <c r="D204" s="11"/>
      <c r="F204" s="11"/>
      <c r="G204" s="11"/>
      <c r="H204" s="11"/>
      <c r="I204" s="21"/>
      <c r="J204" s="11"/>
    </row>
    <row r="205" spans="1:10">
      <c r="A205" s="19"/>
      <c r="B205" s="20"/>
      <c r="C205" s="15"/>
      <c r="D205" s="11"/>
      <c r="F205" s="11"/>
      <c r="G205" s="11"/>
      <c r="H205" s="11"/>
      <c r="I205" s="21"/>
      <c r="J205" s="11"/>
    </row>
    <row r="206" spans="1:10">
      <c r="A206" s="19"/>
      <c r="B206" s="20"/>
      <c r="C206" s="15"/>
      <c r="D206" s="11"/>
      <c r="F206" s="11"/>
      <c r="G206" s="11"/>
      <c r="H206" s="11"/>
      <c r="I206" s="21"/>
      <c r="J206" s="11"/>
    </row>
    <row r="207" spans="1:10">
      <c r="A207" s="19"/>
      <c r="B207" s="20"/>
      <c r="C207" s="15"/>
      <c r="D207" s="11"/>
      <c r="F207" s="11"/>
      <c r="G207" s="11"/>
      <c r="H207" s="11"/>
      <c r="I207" s="21"/>
      <c r="J207" s="11"/>
    </row>
    <row r="208" spans="1:10">
      <c r="A208" s="19"/>
      <c r="B208" s="20"/>
      <c r="C208" s="15"/>
      <c r="D208" s="11"/>
      <c r="F208" s="11"/>
      <c r="G208" s="11"/>
      <c r="H208" s="11"/>
      <c r="I208" s="21"/>
      <c r="J208" s="11"/>
    </row>
    <row r="209" spans="1:10">
      <c r="A209" s="19"/>
      <c r="B209" s="20"/>
      <c r="C209" s="15"/>
      <c r="D209" s="11"/>
      <c r="F209" s="11"/>
      <c r="G209" s="11"/>
      <c r="H209" s="11"/>
      <c r="I209" s="21"/>
      <c r="J209" s="11"/>
    </row>
    <row r="210" spans="1:10">
      <c r="A210" s="19"/>
      <c r="B210" s="20"/>
      <c r="C210" s="15"/>
      <c r="D210" s="11"/>
      <c r="F210" s="11"/>
      <c r="G210" s="11"/>
      <c r="H210" s="11"/>
      <c r="I210" s="21"/>
      <c r="J210" s="11"/>
    </row>
    <row r="211" spans="1:10">
      <c r="A211" s="19"/>
      <c r="B211" s="20"/>
      <c r="C211" s="15"/>
      <c r="D211" s="11"/>
      <c r="F211" s="11"/>
      <c r="G211" s="11"/>
      <c r="H211" s="11"/>
      <c r="I211" s="21"/>
      <c r="J211" s="11"/>
    </row>
    <row r="212" spans="1:10">
      <c r="A212" s="19"/>
      <c r="B212" s="20"/>
      <c r="C212" s="15"/>
      <c r="D212" s="11"/>
      <c r="F212" s="11"/>
      <c r="G212" s="11"/>
      <c r="H212" s="11"/>
      <c r="I212" s="21"/>
      <c r="J212" s="11"/>
    </row>
    <row r="213" spans="1:10">
      <c r="A213" s="19"/>
      <c r="B213" s="20"/>
      <c r="C213" s="15"/>
      <c r="D213" s="11"/>
      <c r="F213" s="11"/>
      <c r="G213" s="11"/>
      <c r="H213" s="11"/>
      <c r="I213" s="21"/>
      <c r="J213" s="11"/>
    </row>
    <row r="214" spans="1:10">
      <c r="A214" s="19"/>
      <c r="B214" s="20"/>
      <c r="C214" s="15"/>
      <c r="D214" s="11"/>
      <c r="F214" s="11"/>
      <c r="G214" s="11"/>
      <c r="H214" s="11"/>
      <c r="I214" s="21"/>
      <c r="J214" s="11"/>
    </row>
    <row r="215" spans="1:10">
      <c r="A215" s="19"/>
      <c r="B215" s="20"/>
      <c r="C215" s="15"/>
      <c r="D215" s="11"/>
      <c r="F215" s="11"/>
      <c r="G215" s="11"/>
      <c r="H215" s="11"/>
      <c r="I215" s="21"/>
      <c r="J215" s="11"/>
    </row>
    <row r="216" spans="1:10">
      <c r="A216" s="19"/>
      <c r="B216" s="20"/>
      <c r="C216" s="15"/>
      <c r="D216" s="11"/>
      <c r="F216" s="11"/>
      <c r="G216" s="11"/>
      <c r="H216" s="11"/>
      <c r="I216" s="21"/>
      <c r="J216" s="11"/>
    </row>
    <row r="217" spans="1:10">
      <c r="A217" s="19"/>
      <c r="B217" s="20"/>
      <c r="C217" s="15"/>
      <c r="D217" s="11"/>
      <c r="F217" s="11"/>
      <c r="G217" s="11"/>
      <c r="H217" s="11"/>
      <c r="I217" s="21"/>
      <c r="J217" s="11"/>
    </row>
    <row r="218" spans="1:10">
      <c r="A218" s="19"/>
      <c r="B218" s="20"/>
      <c r="C218" s="15"/>
      <c r="D218" s="11"/>
      <c r="F218" s="11"/>
      <c r="G218" s="11"/>
      <c r="H218" s="11"/>
      <c r="I218" s="21"/>
      <c r="J218" s="11"/>
    </row>
    <row r="219" spans="1:10">
      <c r="A219" s="19"/>
      <c r="B219" s="20"/>
      <c r="C219" s="15"/>
      <c r="D219" s="11"/>
      <c r="F219" s="11"/>
      <c r="G219" s="11"/>
      <c r="H219" s="11"/>
      <c r="I219" s="21"/>
      <c r="J219" s="11"/>
    </row>
    <row r="220" spans="1:10">
      <c r="A220" s="19"/>
      <c r="B220" s="20"/>
      <c r="C220" s="15"/>
      <c r="D220" s="11"/>
      <c r="F220" s="11"/>
      <c r="G220" s="11"/>
      <c r="H220" s="11"/>
      <c r="I220" s="21"/>
      <c r="J220" s="11"/>
    </row>
    <row r="221" spans="1:10">
      <c r="A221" s="19"/>
      <c r="B221" s="20"/>
      <c r="C221" s="15"/>
      <c r="D221" s="11"/>
      <c r="F221" s="11"/>
      <c r="G221" s="11"/>
      <c r="H221" s="11"/>
      <c r="I221" s="21"/>
      <c r="J221" s="11"/>
    </row>
    <row r="222" spans="1:10">
      <c r="A222" s="19"/>
      <c r="B222" s="20"/>
      <c r="C222" s="15"/>
      <c r="D222" s="11"/>
      <c r="F222" s="11"/>
      <c r="G222" s="11"/>
      <c r="H222" s="11"/>
      <c r="I222" s="21"/>
      <c r="J222" s="11"/>
    </row>
    <row r="223" spans="1:10">
      <c r="A223" s="19"/>
      <c r="B223" s="20"/>
      <c r="C223" s="15"/>
      <c r="D223" s="11"/>
      <c r="F223" s="11"/>
      <c r="G223" s="11"/>
      <c r="H223" s="11"/>
      <c r="I223" s="21"/>
      <c r="J223" s="11"/>
    </row>
    <row r="224" spans="1:10">
      <c r="A224" s="19"/>
      <c r="B224" s="20"/>
      <c r="C224" s="15"/>
      <c r="D224" s="11"/>
      <c r="F224" s="11"/>
      <c r="G224" s="11"/>
      <c r="H224" s="11"/>
      <c r="I224" s="21"/>
      <c r="J224" s="11"/>
    </row>
    <row r="225" spans="1:10">
      <c r="A225" s="19"/>
      <c r="B225" s="20"/>
      <c r="C225" s="15"/>
      <c r="D225" s="11"/>
      <c r="F225" s="11"/>
      <c r="G225" s="11"/>
      <c r="H225" s="11"/>
      <c r="I225" s="21"/>
      <c r="J225" s="11"/>
    </row>
    <row r="226" spans="1:10">
      <c r="A226" s="19"/>
      <c r="B226" s="20"/>
      <c r="C226" s="15"/>
      <c r="D226" s="11"/>
      <c r="F226" s="11"/>
      <c r="G226" s="11"/>
      <c r="H226" s="11"/>
      <c r="I226" s="21"/>
      <c r="J226" s="11"/>
    </row>
    <row r="227" spans="1:10">
      <c r="A227" s="19"/>
      <c r="B227" s="20"/>
      <c r="C227" s="15"/>
      <c r="D227" s="11"/>
      <c r="F227" s="11"/>
      <c r="G227" s="11"/>
      <c r="H227" s="11"/>
      <c r="I227" s="21"/>
      <c r="J227" s="11"/>
    </row>
    <row r="228" spans="1:10">
      <c r="A228" s="19"/>
      <c r="B228" s="20"/>
      <c r="C228" s="15"/>
      <c r="D228" s="11"/>
      <c r="F228" s="11"/>
      <c r="G228" s="11"/>
      <c r="H228" s="11"/>
      <c r="I228" s="21"/>
      <c r="J228" s="11"/>
    </row>
    <row r="229" spans="1:10">
      <c r="A229" s="19"/>
      <c r="B229" s="20"/>
      <c r="C229" s="15"/>
      <c r="D229" s="11"/>
      <c r="F229" s="11"/>
      <c r="G229" s="11"/>
      <c r="H229" s="11"/>
      <c r="I229" s="21"/>
      <c r="J229" s="11"/>
    </row>
    <row r="230" spans="1:10">
      <c r="A230" s="19"/>
      <c r="B230" s="20"/>
      <c r="C230" s="15"/>
      <c r="D230" s="11"/>
      <c r="F230" s="11"/>
      <c r="G230" s="11"/>
      <c r="H230" s="11"/>
      <c r="I230" s="21"/>
      <c r="J230" s="11"/>
    </row>
    <row r="231" spans="1:10">
      <c r="A231" s="19"/>
      <c r="B231" s="20"/>
      <c r="C231" s="15"/>
      <c r="D231" s="11"/>
      <c r="F231" s="11"/>
      <c r="G231" s="11"/>
      <c r="H231" s="11"/>
      <c r="I231" s="21"/>
      <c r="J231" s="11"/>
    </row>
    <row r="232" spans="1:10">
      <c r="A232" s="19"/>
      <c r="B232" s="20"/>
      <c r="C232" s="15"/>
      <c r="D232" s="11"/>
      <c r="F232" s="11"/>
      <c r="G232" s="11"/>
      <c r="H232" s="11"/>
      <c r="I232" s="21"/>
      <c r="J232" s="11"/>
    </row>
    <row r="233" spans="1:10">
      <c r="A233" s="19"/>
      <c r="B233" s="20"/>
      <c r="C233" s="15"/>
      <c r="D233" s="11"/>
      <c r="F233" s="11"/>
      <c r="G233" s="11"/>
      <c r="H233" s="11"/>
      <c r="I233" s="21"/>
      <c r="J233" s="11"/>
    </row>
    <row r="234" spans="1:10">
      <c r="A234" s="19"/>
      <c r="B234" s="20"/>
      <c r="C234" s="15"/>
      <c r="D234" s="11"/>
      <c r="F234" s="11"/>
      <c r="G234" s="11"/>
      <c r="H234" s="11"/>
      <c r="I234" s="21"/>
      <c r="J234" s="11"/>
    </row>
    <row r="235" spans="1:10">
      <c r="A235" s="19"/>
      <c r="B235" s="20"/>
      <c r="C235" s="15"/>
      <c r="D235" s="11"/>
      <c r="F235" s="11"/>
      <c r="G235" s="11"/>
      <c r="H235" s="11"/>
      <c r="I235" s="21"/>
      <c r="J235" s="11"/>
    </row>
    <row r="236" spans="1:10">
      <c r="A236" s="19"/>
      <c r="B236" s="20"/>
      <c r="C236" s="15"/>
      <c r="D236" s="11"/>
      <c r="F236" s="11"/>
      <c r="G236" s="11"/>
      <c r="H236" s="11"/>
      <c r="I236" s="21"/>
      <c r="J236" s="11"/>
    </row>
    <row r="237" spans="1:10">
      <c r="A237" s="19"/>
      <c r="B237" s="20"/>
      <c r="C237" s="15"/>
      <c r="D237" s="11"/>
      <c r="F237" s="11"/>
      <c r="G237" s="11"/>
      <c r="H237" s="11"/>
      <c r="I237" s="21"/>
      <c r="J237" s="11"/>
    </row>
    <row r="238" spans="1:10">
      <c r="A238" s="19"/>
      <c r="B238" s="20"/>
      <c r="C238" s="15"/>
      <c r="D238" s="11"/>
      <c r="F238" s="11"/>
      <c r="G238" s="11"/>
      <c r="H238" s="11"/>
      <c r="I238" s="21"/>
      <c r="J238" s="11"/>
    </row>
    <row r="239" spans="1:10">
      <c r="A239" s="19"/>
      <c r="B239" s="20"/>
      <c r="C239" s="15"/>
      <c r="D239" s="11"/>
      <c r="F239" s="11"/>
      <c r="G239" s="11"/>
      <c r="H239" s="11"/>
      <c r="I239" s="21"/>
      <c r="J239" s="11"/>
    </row>
    <row r="240" spans="1:10">
      <c r="A240" s="19"/>
      <c r="B240" s="20"/>
      <c r="C240" s="15"/>
      <c r="D240" s="11"/>
      <c r="F240" s="11"/>
      <c r="G240" s="11"/>
      <c r="H240" s="11"/>
      <c r="I240" s="21"/>
      <c r="J240" s="11"/>
    </row>
    <row r="241" spans="1:10">
      <c r="A241" s="19"/>
      <c r="B241" s="20"/>
      <c r="C241" s="15"/>
      <c r="D241" s="11"/>
      <c r="F241" s="11"/>
      <c r="G241" s="11"/>
      <c r="H241" s="11"/>
      <c r="I241" s="21"/>
      <c r="J241" s="11"/>
    </row>
    <row r="242" spans="1:10">
      <c r="A242" s="19"/>
      <c r="B242" s="20"/>
      <c r="C242" s="15"/>
      <c r="D242" s="11"/>
      <c r="F242" s="11"/>
      <c r="G242" s="11"/>
      <c r="H242" s="11"/>
      <c r="I242" s="21"/>
      <c r="J242" s="11"/>
    </row>
    <row r="243" spans="1:10">
      <c r="A243" s="19"/>
      <c r="B243" s="20"/>
      <c r="C243" s="15"/>
      <c r="D243" s="11"/>
      <c r="F243" s="11"/>
      <c r="G243" s="11"/>
      <c r="H243" s="11"/>
      <c r="I243" s="21"/>
      <c r="J243" s="11"/>
    </row>
    <row r="244" spans="1:10">
      <c r="A244" s="19"/>
      <c r="B244" s="20"/>
      <c r="C244" s="15"/>
      <c r="D244" s="11"/>
      <c r="F244" s="11"/>
      <c r="G244" s="11"/>
      <c r="H244" s="11"/>
      <c r="I244" s="21"/>
      <c r="J244" s="11"/>
    </row>
    <row r="245" spans="1:10">
      <c r="A245" s="19"/>
      <c r="B245" s="20"/>
      <c r="C245" s="15"/>
      <c r="D245" s="11"/>
      <c r="F245" s="11"/>
      <c r="G245" s="11"/>
      <c r="H245" s="11"/>
      <c r="I245" s="21"/>
      <c r="J245" s="11"/>
    </row>
    <row r="246" spans="1:10">
      <c r="A246" s="19"/>
      <c r="B246" s="20"/>
      <c r="C246" s="15"/>
      <c r="D246" s="11"/>
      <c r="F246" s="11"/>
      <c r="G246" s="11"/>
      <c r="H246" s="11"/>
      <c r="I246" s="21"/>
      <c r="J246" s="11"/>
    </row>
    <row r="247" spans="1:10">
      <c r="A247" s="19"/>
      <c r="B247" s="20"/>
      <c r="C247" s="15"/>
      <c r="D247" s="11"/>
      <c r="F247" s="11"/>
      <c r="G247" s="11"/>
      <c r="H247" s="11"/>
      <c r="I247" s="21"/>
      <c r="J247" s="11"/>
    </row>
    <row r="248" spans="1:10">
      <c r="A248" s="19"/>
      <c r="B248" s="20"/>
      <c r="C248" s="15"/>
      <c r="D248" s="11"/>
      <c r="F248" s="11"/>
      <c r="G248" s="11"/>
      <c r="H248" s="11"/>
      <c r="I248" s="21"/>
      <c r="J248" s="11"/>
    </row>
    <row r="249" spans="1:10">
      <c r="A249" s="19"/>
      <c r="B249" s="20"/>
      <c r="C249" s="15"/>
      <c r="D249" s="11"/>
      <c r="F249" s="11"/>
      <c r="G249" s="11"/>
      <c r="H249" s="11"/>
      <c r="I249" s="21"/>
      <c r="J249" s="11"/>
    </row>
    <row r="250" spans="1:10">
      <c r="A250" s="19"/>
      <c r="B250" s="20"/>
      <c r="C250" s="15"/>
      <c r="D250" s="11"/>
      <c r="F250" s="11"/>
      <c r="G250" s="11"/>
      <c r="H250" s="11"/>
      <c r="I250" s="21"/>
      <c r="J250" s="11"/>
    </row>
    <row r="251" spans="1:10">
      <c r="A251" s="19"/>
      <c r="B251" s="20"/>
      <c r="C251" s="15"/>
      <c r="D251" s="11"/>
      <c r="F251" s="11"/>
      <c r="G251" s="11"/>
      <c r="H251" s="11"/>
      <c r="I251" s="21"/>
      <c r="J251" s="11"/>
    </row>
    <row r="252" spans="1:10">
      <c r="A252" s="19"/>
      <c r="B252" s="20"/>
      <c r="C252" s="15"/>
      <c r="D252" s="11"/>
      <c r="F252" s="11"/>
      <c r="G252" s="11"/>
      <c r="H252" s="11"/>
      <c r="I252" s="21"/>
      <c r="J252" s="11"/>
    </row>
    <row r="253" spans="1:10">
      <c r="A253" s="19"/>
      <c r="B253" s="20"/>
      <c r="C253" s="15"/>
      <c r="D253" s="11"/>
      <c r="F253" s="11"/>
      <c r="G253" s="11"/>
      <c r="H253" s="11"/>
      <c r="I253" s="21"/>
      <c r="J253" s="11"/>
    </row>
    <row r="254" spans="1:10">
      <c r="A254" s="19"/>
      <c r="B254" s="20"/>
      <c r="C254" s="15"/>
      <c r="D254" s="11"/>
      <c r="F254" s="11"/>
      <c r="G254" s="11"/>
      <c r="H254" s="11"/>
      <c r="I254" s="21"/>
      <c r="J254" s="11"/>
    </row>
    <row r="255" spans="1:10">
      <c r="A255" s="19"/>
      <c r="B255" s="20"/>
      <c r="C255" s="15"/>
      <c r="D255" s="11"/>
      <c r="F255" s="11"/>
      <c r="G255" s="11"/>
      <c r="H255" s="11"/>
      <c r="I255" s="21"/>
      <c r="J255" s="11"/>
    </row>
    <row r="256" spans="1:10">
      <c r="A256" s="19"/>
      <c r="B256" s="20"/>
      <c r="C256" s="15"/>
      <c r="D256" s="11"/>
      <c r="F256" s="11"/>
      <c r="G256" s="11"/>
      <c r="H256" s="11"/>
      <c r="I256" s="21"/>
      <c r="J256" s="11"/>
    </row>
    <row r="257" spans="1:10">
      <c r="A257" s="19"/>
      <c r="B257" s="20"/>
      <c r="C257" s="15"/>
      <c r="D257" s="11"/>
      <c r="F257" s="11"/>
      <c r="G257" s="11"/>
      <c r="H257" s="11"/>
      <c r="I257" s="21"/>
      <c r="J257" s="11"/>
    </row>
    <row r="258" spans="1:10">
      <c r="A258" s="19"/>
      <c r="B258" s="20"/>
      <c r="C258" s="15"/>
      <c r="D258" s="11"/>
      <c r="F258" s="11"/>
      <c r="G258" s="11"/>
      <c r="H258" s="11"/>
      <c r="I258" s="21"/>
      <c r="J258" s="11"/>
    </row>
    <row r="259" spans="1:10">
      <c r="A259" s="19"/>
      <c r="B259" s="20"/>
      <c r="C259" s="15"/>
      <c r="D259" s="11"/>
      <c r="F259" s="11"/>
      <c r="G259" s="11"/>
      <c r="H259" s="11"/>
      <c r="I259" s="21"/>
      <c r="J259" s="11"/>
    </row>
    <row r="260" spans="1:10">
      <c r="A260" s="19"/>
      <c r="B260" s="20"/>
      <c r="C260" s="15"/>
      <c r="D260" s="11"/>
      <c r="F260" s="11"/>
      <c r="G260" s="11"/>
      <c r="H260" s="11"/>
      <c r="I260" s="21"/>
      <c r="J260" s="11"/>
    </row>
    <row r="261" spans="1:10">
      <c r="A261" s="19"/>
      <c r="B261" s="20"/>
      <c r="C261" s="15"/>
      <c r="D261" s="11"/>
      <c r="F261" s="11"/>
      <c r="G261" s="11"/>
      <c r="H261" s="11"/>
      <c r="I261" s="21"/>
      <c r="J261" s="11"/>
    </row>
    <row r="262" spans="1:10">
      <c r="A262" s="19"/>
      <c r="B262" s="20"/>
      <c r="C262" s="15"/>
      <c r="D262" s="11"/>
      <c r="F262" s="11"/>
      <c r="G262" s="11"/>
      <c r="H262" s="11"/>
      <c r="I262" s="21"/>
      <c r="J262" s="11"/>
    </row>
    <row r="263" spans="1:10">
      <c r="A263" s="19"/>
      <c r="B263" s="20"/>
      <c r="C263" s="15"/>
      <c r="D263" s="11"/>
      <c r="F263" s="11"/>
      <c r="G263" s="11"/>
      <c r="H263" s="11"/>
      <c r="I263" s="21"/>
      <c r="J263" s="11"/>
    </row>
    <row r="264" spans="1:10">
      <c r="A264" s="19"/>
      <c r="B264" s="20"/>
      <c r="C264" s="15"/>
      <c r="D264" s="11"/>
      <c r="F264" s="11"/>
      <c r="G264" s="11"/>
      <c r="H264" s="11"/>
      <c r="I264" s="21"/>
      <c r="J264" s="11"/>
    </row>
    <row r="265" spans="1:10">
      <c r="A265" s="19"/>
      <c r="B265" s="20"/>
      <c r="C265" s="15"/>
      <c r="D265" s="11"/>
      <c r="F265" s="11"/>
      <c r="G265" s="11"/>
      <c r="H265" s="11"/>
      <c r="I265" s="21"/>
      <c r="J265" s="11"/>
    </row>
    <row r="266" spans="1:10">
      <c r="A266" s="19"/>
      <c r="B266" s="20"/>
      <c r="C266" s="15"/>
      <c r="D266" s="11"/>
      <c r="F266" s="11"/>
      <c r="G266" s="11"/>
      <c r="H266" s="11"/>
      <c r="I266" s="21"/>
      <c r="J266" s="11"/>
    </row>
    <row r="267" spans="1:10">
      <c r="A267" s="19"/>
      <c r="B267" s="20"/>
      <c r="C267" s="15"/>
      <c r="D267" s="11"/>
      <c r="F267" s="11"/>
      <c r="G267" s="11"/>
      <c r="H267" s="11"/>
      <c r="I267" s="21"/>
      <c r="J267" s="11"/>
    </row>
    <row r="268" spans="1:10">
      <c r="A268" s="19"/>
      <c r="B268" s="20"/>
      <c r="C268" s="15"/>
      <c r="D268" s="11"/>
      <c r="F268" s="11"/>
      <c r="G268" s="11"/>
      <c r="H268" s="11"/>
      <c r="I268" s="21"/>
      <c r="J268" s="11"/>
    </row>
    <row r="269" spans="1:10">
      <c r="A269" s="19"/>
      <c r="B269" s="20"/>
      <c r="C269" s="15"/>
      <c r="D269" s="11"/>
      <c r="F269" s="11"/>
      <c r="G269" s="11"/>
      <c r="H269" s="11"/>
      <c r="I269" s="21"/>
      <c r="J269" s="11"/>
    </row>
    <row r="270" spans="1:10">
      <c r="A270" s="19"/>
      <c r="B270" s="20"/>
      <c r="C270" s="15"/>
      <c r="D270" s="11"/>
      <c r="F270" s="11"/>
      <c r="G270" s="11"/>
      <c r="H270" s="11"/>
      <c r="I270" s="21"/>
      <c r="J270" s="11"/>
    </row>
    <row r="271" spans="1:10">
      <c r="A271" s="19"/>
      <c r="B271" s="20"/>
      <c r="C271" s="15"/>
      <c r="D271" s="11"/>
      <c r="F271" s="11"/>
      <c r="G271" s="11"/>
      <c r="H271" s="11"/>
      <c r="I271" s="21"/>
      <c r="J271" s="11"/>
    </row>
    <row r="272" spans="1:10">
      <c r="A272" s="19"/>
      <c r="B272" s="20"/>
      <c r="C272" s="15"/>
      <c r="D272" s="11"/>
      <c r="F272" s="11"/>
      <c r="G272" s="11"/>
      <c r="H272" s="11"/>
      <c r="I272" s="21"/>
      <c r="J272" s="11"/>
    </row>
    <row r="273" spans="1:10">
      <c r="A273" s="19"/>
      <c r="B273" s="20"/>
      <c r="C273" s="15"/>
      <c r="D273" s="11"/>
      <c r="F273" s="11"/>
      <c r="G273" s="11"/>
      <c r="H273" s="11"/>
      <c r="I273" s="21"/>
      <c r="J273" s="11"/>
    </row>
    <row r="274" spans="1:10">
      <c r="A274" s="19"/>
      <c r="B274" s="20"/>
      <c r="C274" s="15"/>
      <c r="D274" s="11"/>
      <c r="F274" s="11"/>
      <c r="G274" s="11"/>
      <c r="H274" s="11"/>
      <c r="I274" s="21"/>
      <c r="J274" s="11"/>
    </row>
    <row r="275" spans="1:10">
      <c r="A275" s="19"/>
      <c r="B275" s="20"/>
      <c r="C275" s="15"/>
      <c r="D275" s="11"/>
      <c r="F275" s="11"/>
      <c r="G275" s="11"/>
      <c r="H275" s="11"/>
      <c r="I275" s="21"/>
      <c r="J275" s="11"/>
    </row>
    <row r="276" spans="1:10">
      <c r="A276" s="19"/>
      <c r="B276" s="20"/>
      <c r="C276" s="15"/>
      <c r="D276" s="11"/>
      <c r="F276" s="11"/>
      <c r="G276" s="11"/>
      <c r="H276" s="11"/>
      <c r="I276" s="21"/>
      <c r="J276" s="11"/>
    </row>
    <row r="277" spans="1:10">
      <c r="A277" s="19"/>
      <c r="B277" s="20"/>
      <c r="C277" s="15"/>
      <c r="D277" s="11"/>
      <c r="F277" s="11"/>
      <c r="G277" s="11"/>
      <c r="H277" s="11"/>
      <c r="I277" s="21"/>
      <c r="J277" s="11"/>
    </row>
    <row r="278" spans="1:10">
      <c r="A278" s="19"/>
      <c r="B278" s="20"/>
      <c r="C278" s="15"/>
      <c r="D278" s="11"/>
      <c r="F278" s="11"/>
      <c r="G278" s="11"/>
      <c r="H278" s="11"/>
      <c r="I278" s="21"/>
      <c r="J278" s="11"/>
    </row>
    <row r="279" spans="1:10">
      <c r="A279" s="19"/>
      <c r="B279" s="20"/>
      <c r="C279" s="15"/>
      <c r="D279" s="11"/>
      <c r="F279" s="11"/>
      <c r="G279" s="11"/>
      <c r="H279" s="11"/>
      <c r="I279" s="21"/>
      <c r="J279" s="11"/>
    </row>
    <row r="280" spans="1:10">
      <c r="A280" s="19"/>
      <c r="B280" s="20"/>
      <c r="C280" s="15"/>
      <c r="D280" s="11"/>
      <c r="F280" s="11"/>
      <c r="G280" s="11"/>
      <c r="H280" s="11"/>
      <c r="I280" s="21"/>
      <c r="J280" s="11"/>
    </row>
    <row r="281" spans="1:10">
      <c r="A281" s="19"/>
      <c r="B281" s="20"/>
      <c r="C281" s="15"/>
      <c r="D281" s="11"/>
      <c r="F281" s="11"/>
      <c r="G281" s="11"/>
      <c r="H281" s="11"/>
      <c r="I281" s="21"/>
      <c r="J281" s="11"/>
    </row>
    <row r="282" spans="1:10">
      <c r="A282" s="19"/>
      <c r="B282" s="20"/>
      <c r="C282" s="15"/>
      <c r="D282" s="11"/>
      <c r="F282" s="11"/>
      <c r="G282" s="11"/>
      <c r="H282" s="11"/>
      <c r="I282" s="21"/>
      <c r="J282" s="11"/>
    </row>
    <row r="283" spans="1:10">
      <c r="A283" s="19"/>
      <c r="B283" s="20"/>
      <c r="C283" s="15"/>
      <c r="D283" s="11"/>
      <c r="F283" s="11"/>
      <c r="G283" s="11"/>
      <c r="H283" s="11"/>
      <c r="I283" s="21"/>
      <c r="J283" s="11"/>
    </row>
    <row r="284" spans="1:10">
      <c r="A284" s="19"/>
      <c r="B284" s="20"/>
      <c r="C284" s="15"/>
      <c r="D284" s="11"/>
      <c r="F284" s="11"/>
      <c r="G284" s="11"/>
      <c r="H284" s="11"/>
      <c r="I284" s="21"/>
      <c r="J284" s="11"/>
    </row>
    <row r="285" spans="1:10">
      <c r="A285" s="19"/>
      <c r="B285" s="20"/>
      <c r="C285" s="15"/>
      <c r="D285" s="11"/>
      <c r="F285" s="11"/>
      <c r="G285" s="11"/>
      <c r="H285" s="11"/>
      <c r="I285" s="21"/>
      <c r="J285" s="11"/>
    </row>
    <row r="286" spans="1:10">
      <c r="A286" s="19"/>
      <c r="B286" s="20"/>
      <c r="C286" s="15"/>
      <c r="D286" s="11"/>
      <c r="F286" s="11"/>
      <c r="G286" s="11"/>
      <c r="H286" s="11"/>
      <c r="I286" s="21"/>
      <c r="J286" s="11"/>
    </row>
    <row r="287" spans="1:10">
      <c r="A287" s="19"/>
      <c r="B287" s="20"/>
      <c r="C287" s="15"/>
      <c r="D287" s="11"/>
      <c r="F287" s="11"/>
      <c r="G287" s="11"/>
      <c r="H287" s="11"/>
      <c r="I287" s="21"/>
      <c r="J287" s="11"/>
    </row>
    <row r="288" spans="1:10">
      <c r="A288" s="19"/>
      <c r="B288" s="20"/>
      <c r="C288" s="15"/>
      <c r="D288" s="11"/>
      <c r="F288" s="11"/>
      <c r="G288" s="11"/>
      <c r="H288" s="11"/>
      <c r="I288" s="21"/>
      <c r="J288" s="11"/>
    </row>
    <row r="289" spans="1:10">
      <c r="A289" s="19"/>
      <c r="B289" s="20"/>
      <c r="C289" s="15"/>
      <c r="D289" s="11"/>
      <c r="F289" s="11"/>
      <c r="G289" s="11"/>
      <c r="H289" s="11"/>
      <c r="I289" s="21"/>
      <c r="J289" s="11"/>
    </row>
    <row r="290" spans="1:10">
      <c r="A290" s="19"/>
      <c r="B290" s="20"/>
      <c r="C290" s="15"/>
      <c r="D290" s="11"/>
      <c r="F290" s="11"/>
      <c r="G290" s="11"/>
      <c r="H290" s="11"/>
      <c r="I290" s="21"/>
      <c r="J290" s="11"/>
    </row>
    <row r="291" spans="1:10">
      <c r="A291" s="19"/>
      <c r="B291" s="20"/>
      <c r="C291" s="15"/>
      <c r="D291" s="11"/>
      <c r="F291" s="11"/>
      <c r="G291" s="11"/>
      <c r="H291" s="11"/>
      <c r="I291" s="21"/>
      <c r="J291" s="11"/>
    </row>
    <row r="292" spans="1:10">
      <c r="A292" s="19"/>
      <c r="B292" s="20"/>
      <c r="C292" s="15"/>
      <c r="D292" s="11"/>
      <c r="F292" s="11"/>
      <c r="G292" s="11"/>
      <c r="H292" s="11"/>
      <c r="I292" s="21"/>
      <c r="J292" s="11"/>
    </row>
    <row r="293" spans="1:10">
      <c r="A293" s="19"/>
      <c r="B293" s="20"/>
      <c r="C293" s="15"/>
      <c r="D293" s="11"/>
      <c r="F293" s="11"/>
      <c r="G293" s="11"/>
      <c r="H293" s="11"/>
      <c r="I293" s="21"/>
      <c r="J293" s="11"/>
    </row>
    <row r="294" spans="1:10">
      <c r="A294" s="19"/>
      <c r="B294" s="20"/>
      <c r="C294" s="15"/>
      <c r="D294" s="11"/>
      <c r="F294" s="11"/>
      <c r="G294" s="11"/>
      <c r="H294" s="11"/>
      <c r="I294" s="21"/>
      <c r="J294" s="11"/>
    </row>
    <row r="295" spans="1:10">
      <c r="A295" s="19"/>
      <c r="B295" s="20"/>
      <c r="C295" s="15"/>
      <c r="D295" s="11"/>
      <c r="F295" s="11"/>
      <c r="G295" s="11"/>
      <c r="H295" s="11"/>
      <c r="I295" s="21"/>
      <c r="J295" s="11"/>
    </row>
    <row r="296" spans="1:10">
      <c r="A296" s="19"/>
      <c r="B296" s="20"/>
      <c r="C296" s="15"/>
      <c r="D296" s="11"/>
      <c r="F296" s="11"/>
      <c r="G296" s="11"/>
      <c r="H296" s="11"/>
      <c r="I296" s="21"/>
      <c r="J296" s="11"/>
    </row>
    <row r="297" spans="1:10">
      <c r="A297" s="19"/>
      <c r="B297" s="20"/>
      <c r="C297" s="15"/>
      <c r="D297" s="11"/>
      <c r="F297" s="11"/>
      <c r="G297" s="11"/>
      <c r="H297" s="11"/>
      <c r="I297" s="21"/>
      <c r="J297" s="11"/>
    </row>
    <row r="298" spans="1:10">
      <c r="A298" s="19"/>
      <c r="B298" s="20"/>
      <c r="C298" s="15"/>
      <c r="D298" s="11"/>
      <c r="F298" s="11"/>
      <c r="G298" s="11"/>
      <c r="H298" s="11"/>
      <c r="I298" s="21"/>
      <c r="J298" s="11"/>
    </row>
    <row r="299" spans="1:10">
      <c r="A299" s="19"/>
      <c r="B299" s="20"/>
      <c r="C299" s="15"/>
      <c r="D299" s="11"/>
      <c r="F299" s="11"/>
      <c r="G299" s="11"/>
      <c r="H299" s="11"/>
      <c r="I299" s="21"/>
      <c r="J299" s="11"/>
    </row>
    <row r="300" spans="1:10">
      <c r="A300" s="19"/>
      <c r="B300" s="20"/>
      <c r="C300" s="15"/>
      <c r="D300" s="11"/>
      <c r="F300" s="11"/>
      <c r="G300" s="11"/>
      <c r="H300" s="11"/>
      <c r="I300" s="21"/>
      <c r="J300" s="11"/>
    </row>
    <row r="301" spans="1:10">
      <c r="A301" s="19"/>
      <c r="B301" s="20"/>
      <c r="C301" s="15"/>
      <c r="D301" s="11"/>
      <c r="F301" s="11"/>
      <c r="G301" s="11"/>
      <c r="H301" s="11"/>
      <c r="I301" s="21"/>
      <c r="J301" s="11"/>
    </row>
    <row r="302" spans="1:10">
      <c r="A302" s="19"/>
      <c r="B302" s="20"/>
      <c r="C302" s="15"/>
      <c r="D302" s="11"/>
      <c r="F302" s="11"/>
      <c r="G302" s="11"/>
      <c r="H302" s="11"/>
      <c r="I302" s="21"/>
      <c r="J302" s="11"/>
    </row>
    <row r="303" spans="1:10">
      <c r="A303" s="19"/>
      <c r="B303" s="20"/>
      <c r="C303" s="15"/>
      <c r="D303" s="11"/>
      <c r="F303" s="11"/>
      <c r="G303" s="11"/>
      <c r="H303" s="11"/>
      <c r="I303" s="21"/>
      <c r="J303" s="11"/>
    </row>
    <row r="304" spans="1:10">
      <c r="A304" s="19"/>
      <c r="B304" s="20"/>
      <c r="C304" s="15"/>
      <c r="D304" s="11"/>
      <c r="F304" s="11"/>
      <c r="G304" s="11"/>
      <c r="H304" s="11"/>
      <c r="I304" s="21"/>
      <c r="J304" s="11"/>
    </row>
    <row r="305" spans="1:10">
      <c r="A305" s="19"/>
      <c r="B305" s="20"/>
      <c r="C305" s="15"/>
      <c r="D305" s="11"/>
      <c r="F305" s="11"/>
      <c r="G305" s="11"/>
      <c r="H305" s="11"/>
      <c r="I305" s="21"/>
      <c r="J305" s="11"/>
    </row>
    <row r="306" spans="1:10">
      <c r="A306" s="19"/>
      <c r="B306" s="20"/>
      <c r="C306" s="15"/>
      <c r="D306" s="11"/>
      <c r="F306" s="11"/>
      <c r="G306" s="11"/>
      <c r="H306" s="11"/>
      <c r="I306" s="21"/>
      <c r="J306" s="11"/>
    </row>
    <row r="307" spans="1:10">
      <c r="A307" s="19"/>
      <c r="B307" s="20"/>
      <c r="C307" s="15"/>
      <c r="D307" s="11"/>
      <c r="F307" s="11"/>
      <c r="G307" s="11"/>
      <c r="H307" s="11"/>
      <c r="I307" s="21"/>
      <c r="J307" s="11"/>
    </row>
    <row r="308" spans="1:10">
      <c r="A308" s="19"/>
      <c r="B308" s="20"/>
      <c r="C308" s="15"/>
      <c r="D308" s="11"/>
      <c r="F308" s="11"/>
      <c r="G308" s="11"/>
      <c r="H308" s="11"/>
      <c r="I308" s="21"/>
      <c r="J308" s="11"/>
    </row>
    <row r="309" spans="1:10">
      <c r="A309" s="19"/>
      <c r="B309" s="20"/>
      <c r="C309" s="15"/>
      <c r="D309" s="11"/>
      <c r="F309" s="11"/>
      <c r="G309" s="11"/>
      <c r="H309" s="11"/>
      <c r="I309" s="21"/>
      <c r="J309" s="11"/>
    </row>
    <row r="310" spans="1:10">
      <c r="A310" s="19"/>
      <c r="B310" s="20"/>
      <c r="C310" s="15"/>
      <c r="D310" s="11"/>
      <c r="F310" s="11"/>
      <c r="G310" s="11"/>
      <c r="H310" s="11"/>
      <c r="I310" s="21"/>
      <c r="J310" s="11"/>
    </row>
    <row r="311" spans="1:10">
      <c r="A311" s="19"/>
      <c r="B311" s="20"/>
      <c r="C311" s="15"/>
      <c r="D311" s="11"/>
      <c r="F311" s="11"/>
      <c r="G311" s="11"/>
      <c r="H311" s="11"/>
      <c r="I311" s="21"/>
      <c r="J311" s="11"/>
    </row>
    <row r="312" spans="1:10">
      <c r="A312" s="19"/>
      <c r="B312" s="20"/>
      <c r="C312" s="15"/>
      <c r="D312" s="11"/>
      <c r="F312" s="11"/>
      <c r="G312" s="11"/>
      <c r="H312" s="11"/>
      <c r="I312" s="21"/>
      <c r="J312" s="11"/>
    </row>
    <row r="313" spans="1:10">
      <c r="A313" s="19"/>
      <c r="B313" s="20"/>
      <c r="C313" s="15"/>
      <c r="D313" s="11"/>
      <c r="F313" s="11"/>
      <c r="G313" s="11"/>
      <c r="H313" s="11"/>
      <c r="I313" s="21"/>
      <c r="J313" s="11"/>
    </row>
    <row r="314" spans="1:10">
      <c r="A314" s="19"/>
      <c r="B314" s="20"/>
      <c r="C314" s="15"/>
      <c r="D314" s="11"/>
      <c r="F314" s="11"/>
      <c r="G314" s="11"/>
      <c r="H314" s="11"/>
      <c r="I314" s="21"/>
      <c r="J314" s="11"/>
    </row>
    <row r="315" spans="1:10">
      <c r="A315" s="19"/>
      <c r="B315" s="20"/>
      <c r="C315" s="15"/>
      <c r="D315" s="11"/>
      <c r="F315" s="11"/>
      <c r="G315" s="11"/>
      <c r="H315" s="11"/>
      <c r="I315" s="21"/>
      <c r="J315" s="11"/>
    </row>
    <row r="316" spans="1:10">
      <c r="A316" s="19"/>
      <c r="B316" s="20"/>
      <c r="C316" s="15"/>
      <c r="D316" s="11"/>
      <c r="F316" s="11"/>
      <c r="G316" s="11"/>
      <c r="H316" s="11"/>
      <c r="I316" s="21"/>
      <c r="J316" s="11"/>
    </row>
    <row r="317" spans="1:10">
      <c r="A317" s="19"/>
      <c r="B317" s="20"/>
      <c r="C317" s="15"/>
      <c r="D317" s="11"/>
      <c r="F317" s="11"/>
      <c r="G317" s="11"/>
      <c r="H317" s="11"/>
      <c r="I317" s="21"/>
      <c r="J317" s="11"/>
    </row>
    <row r="318" spans="1:10">
      <c r="A318" s="19"/>
      <c r="B318" s="20"/>
      <c r="C318" s="15"/>
      <c r="D318" s="11"/>
      <c r="F318" s="11"/>
      <c r="G318" s="11"/>
      <c r="H318" s="11"/>
      <c r="I318" s="21"/>
      <c r="J318" s="11"/>
    </row>
    <row r="319" spans="1:10">
      <c r="A319" s="19"/>
      <c r="B319" s="20"/>
      <c r="C319" s="15"/>
      <c r="D319" s="11"/>
      <c r="F319" s="11"/>
      <c r="G319" s="11"/>
      <c r="H319" s="11"/>
      <c r="I319" s="21"/>
      <c r="J319" s="11"/>
    </row>
    <row r="320" spans="1:10">
      <c r="A320" s="19"/>
      <c r="B320" s="20"/>
      <c r="C320" s="15"/>
      <c r="D320" s="11"/>
      <c r="F320" s="11"/>
      <c r="G320" s="11"/>
      <c r="H320" s="11"/>
      <c r="I320" s="21"/>
      <c r="J320" s="11"/>
    </row>
    <row r="321" spans="1:10">
      <c r="A321" s="19"/>
      <c r="B321" s="20"/>
      <c r="C321" s="15"/>
      <c r="D321" s="11"/>
      <c r="F321" s="11"/>
      <c r="G321" s="11"/>
      <c r="H321" s="11"/>
      <c r="I321" s="21"/>
      <c r="J321" s="11"/>
    </row>
    <row r="322" spans="1:10">
      <c r="A322" s="19"/>
      <c r="B322" s="20"/>
      <c r="C322" s="15"/>
      <c r="D322" s="11"/>
      <c r="F322" s="11"/>
      <c r="G322" s="11"/>
      <c r="H322" s="11"/>
      <c r="I322" s="21"/>
      <c r="J322" s="11"/>
    </row>
    <row r="323" spans="1:10">
      <c r="A323" s="19"/>
      <c r="B323" s="20"/>
      <c r="C323" s="15"/>
      <c r="D323" s="11"/>
      <c r="F323" s="11"/>
      <c r="G323" s="11"/>
      <c r="H323" s="11"/>
      <c r="I323" s="21"/>
      <c r="J323" s="11"/>
    </row>
    <row r="324" spans="1:10">
      <c r="A324" s="19"/>
      <c r="B324" s="20"/>
      <c r="C324" s="15"/>
      <c r="D324" s="11"/>
      <c r="F324" s="11"/>
      <c r="G324" s="11"/>
      <c r="H324" s="11"/>
      <c r="I324" s="21"/>
      <c r="J324" s="11"/>
    </row>
    <row r="325" spans="1:10">
      <c r="A325" s="19"/>
      <c r="B325" s="20"/>
      <c r="C325" s="15"/>
      <c r="D325" s="11"/>
      <c r="F325" s="11"/>
      <c r="G325" s="11"/>
      <c r="H325" s="11"/>
      <c r="I325" s="21"/>
      <c r="J325" s="11"/>
    </row>
    <row r="326" spans="1:10">
      <c r="A326" s="19"/>
      <c r="B326" s="20"/>
      <c r="C326" s="15"/>
      <c r="D326" s="11"/>
      <c r="F326" s="11"/>
      <c r="G326" s="11"/>
      <c r="H326" s="11"/>
      <c r="I326" s="21"/>
      <c r="J326" s="11"/>
    </row>
    <row r="327" spans="1:10">
      <c r="A327" s="19"/>
      <c r="B327" s="20"/>
      <c r="C327" s="15"/>
      <c r="D327" s="11"/>
      <c r="F327" s="11"/>
      <c r="G327" s="11"/>
      <c r="H327" s="11"/>
      <c r="I327" s="21"/>
      <c r="J327" s="11"/>
    </row>
    <row r="328" spans="1:10">
      <c r="A328" s="19"/>
      <c r="B328" s="20"/>
      <c r="C328" s="15"/>
      <c r="D328" s="11"/>
      <c r="F328" s="11"/>
      <c r="G328" s="11"/>
      <c r="H328" s="11"/>
      <c r="I328" s="21"/>
      <c r="J328" s="11"/>
    </row>
    <row r="329" spans="1:10">
      <c r="A329" s="19"/>
      <c r="B329" s="20"/>
      <c r="C329" s="15"/>
      <c r="D329" s="11"/>
      <c r="F329" s="11"/>
      <c r="G329" s="11"/>
      <c r="H329" s="11"/>
      <c r="I329" s="21"/>
      <c r="J329" s="11"/>
    </row>
    <row r="330" spans="1:10">
      <c r="A330" s="19"/>
      <c r="B330" s="20"/>
      <c r="C330" s="15"/>
      <c r="D330" s="11"/>
      <c r="F330" s="11"/>
      <c r="G330" s="11"/>
      <c r="H330" s="11"/>
      <c r="I330" s="21"/>
      <c r="J330" s="11"/>
    </row>
    <row r="331" spans="1:10">
      <c r="A331" s="19"/>
      <c r="B331" s="20"/>
      <c r="C331" s="15"/>
      <c r="D331" s="11"/>
      <c r="F331" s="11"/>
      <c r="G331" s="11"/>
      <c r="H331" s="11"/>
      <c r="I331" s="21"/>
      <c r="J331" s="11"/>
    </row>
    <row r="332" spans="1:10">
      <c r="A332" s="19"/>
      <c r="B332" s="20"/>
      <c r="C332" s="15"/>
      <c r="D332" s="11"/>
      <c r="F332" s="11"/>
      <c r="G332" s="11"/>
      <c r="H332" s="11"/>
      <c r="I332" s="21"/>
      <c r="J332" s="11"/>
    </row>
    <row r="333" spans="1:10">
      <c r="A333" s="19"/>
      <c r="B333" s="20"/>
      <c r="C333" s="15"/>
      <c r="D333" s="11"/>
      <c r="F333" s="11"/>
      <c r="G333" s="11"/>
      <c r="H333" s="11"/>
      <c r="I333" s="21"/>
      <c r="J333" s="11"/>
    </row>
    <row r="334" spans="1:10">
      <c r="A334" s="19"/>
      <c r="B334" s="20"/>
      <c r="C334" s="15"/>
      <c r="D334" s="11"/>
      <c r="F334" s="11"/>
      <c r="G334" s="11"/>
      <c r="H334" s="11"/>
      <c r="I334" s="21"/>
      <c r="J334" s="11"/>
    </row>
    <row r="335" spans="1:10">
      <c r="A335" s="19"/>
      <c r="B335" s="20"/>
      <c r="C335" s="15"/>
      <c r="D335" s="11"/>
      <c r="F335" s="11"/>
      <c r="G335" s="11"/>
      <c r="H335" s="11"/>
      <c r="I335" s="21"/>
      <c r="J335" s="11"/>
    </row>
    <row r="336" spans="1:10">
      <c r="A336" s="19"/>
      <c r="B336" s="20"/>
      <c r="C336" s="15"/>
      <c r="D336" s="11"/>
      <c r="F336" s="11"/>
      <c r="G336" s="11"/>
      <c r="H336" s="11"/>
      <c r="I336" s="21"/>
      <c r="J336" s="11"/>
    </row>
    <row r="337" spans="1:10">
      <c r="A337" s="19"/>
      <c r="B337" s="20"/>
      <c r="C337" s="15"/>
      <c r="D337" s="11"/>
      <c r="F337" s="11"/>
      <c r="G337" s="11"/>
      <c r="H337" s="11"/>
      <c r="I337" s="21"/>
      <c r="J337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4405-A57A-4202-9488-4D586DB3D1A2}">
  <dimension ref="A1:AG337"/>
  <sheetViews>
    <sheetView zoomScale="85" zoomScaleNormal="85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7109375" style="10" bestFit="1" customWidth="1"/>
    <col min="2" max="16384" width="9.140625" style="10"/>
  </cols>
  <sheetData>
    <row r="1" spans="1:33">
      <c r="A1" s="10" t="s">
        <v>40</v>
      </c>
      <c r="B1" s="22">
        <f>'[2]Soy Complex'!AI435</f>
        <v>5.63</v>
      </c>
      <c r="C1" s="22" t="str">
        <f>'[2]Soy Complex'!AJ435</f>
        <v xml:space="preserve">94/95 </v>
      </c>
      <c r="D1" s="22" t="str">
        <f>'[2]Soy Complex'!AK435</f>
        <v xml:space="preserve">95/96 </v>
      </c>
      <c r="E1" s="22" t="str">
        <f>'[2]Soy Complex'!AL435</f>
        <v xml:space="preserve">96/97 </v>
      </c>
      <c r="F1" s="22" t="str">
        <f>'[2]Soy Complex'!AM435</f>
        <v xml:space="preserve">97/98 </v>
      </c>
      <c r="G1" s="22" t="str">
        <f>'[2]Soy Complex'!AN435</f>
        <v xml:space="preserve">98/99 </v>
      </c>
      <c r="H1" s="22" t="str">
        <f>'[2]Soy Complex'!AO435</f>
        <v xml:space="preserve">99/00 </v>
      </c>
      <c r="I1" s="22" t="str">
        <f>'[2]Soy Complex'!AP435</f>
        <v xml:space="preserve">00/01 </v>
      </c>
      <c r="J1" s="22" t="str">
        <f>'[2]Soy Complex'!AQ435</f>
        <v xml:space="preserve">01/02 </v>
      </c>
      <c r="K1" s="22" t="str">
        <f>'[2]Soy Complex'!AR435</f>
        <v xml:space="preserve">02/03 </v>
      </c>
      <c r="L1" s="22" t="str">
        <f>'[2]Soy Complex'!AS435</f>
        <v xml:space="preserve">03/04 </v>
      </c>
      <c r="M1" s="22" t="str">
        <f>'[2]Soy Complex'!AT435</f>
        <v xml:space="preserve">04/05 </v>
      </c>
      <c r="N1" s="22" t="str">
        <f>'[2]Soy Complex'!AU435</f>
        <v xml:space="preserve">05/06 </v>
      </c>
      <c r="O1" s="22" t="str">
        <f>'[2]Soy Complex'!AV435</f>
        <v xml:space="preserve">06/07 </v>
      </c>
      <c r="P1" s="22" t="str">
        <f>'[2]Soy Complex'!AW435</f>
        <v xml:space="preserve">07/08 </v>
      </c>
      <c r="Q1" s="22" t="str">
        <f>'[2]Soy Complex'!AX435</f>
        <v xml:space="preserve">08/09 </v>
      </c>
      <c r="R1" s="22" t="str">
        <f>'[2]Soy Complex'!AY435</f>
        <v xml:space="preserve">09/10 </v>
      </c>
      <c r="S1" s="22" t="str">
        <f>'[2]Soy Complex'!AZ435</f>
        <v xml:space="preserve">10/11 </v>
      </c>
      <c r="T1" s="22" t="str">
        <f>'[2]Soy Complex'!BA435</f>
        <v xml:space="preserve">11/12 </v>
      </c>
      <c r="U1" s="22" t="str">
        <f>'[2]Soy Complex'!BB435</f>
        <v xml:space="preserve">12/13 </v>
      </c>
      <c r="V1" s="22" t="str">
        <f>'[2]Soy Complex'!BC435</f>
        <v xml:space="preserve">13/14 </v>
      </c>
      <c r="W1" s="22" t="str">
        <f>'[2]Soy Complex'!BD435</f>
        <v xml:space="preserve">14/15 </v>
      </c>
      <c r="X1" s="22" t="str">
        <f>'[2]Soy Complex'!BE435</f>
        <v xml:space="preserve">15/16 </v>
      </c>
      <c r="Y1" s="22" t="str">
        <f>'[2]Soy Complex'!BF435</f>
        <v xml:space="preserve">16/17 </v>
      </c>
      <c r="Z1" s="22" t="str">
        <f>'[2]Soy Complex'!BG435</f>
        <v xml:space="preserve">17/18 </v>
      </c>
      <c r="AA1" s="22" t="str">
        <f>'[2]Soy Complex'!BH435</f>
        <v xml:space="preserve">18/19 </v>
      </c>
      <c r="AB1" s="22" t="str">
        <f>'[2]Soy Complex'!BI435</f>
        <v>19/20</v>
      </c>
      <c r="AC1" s="22" t="str">
        <f>'[2]Soy Complex'!BJ435</f>
        <v>20/21</v>
      </c>
      <c r="AD1" s="22" t="str">
        <f>'[2]Soy Complex'!BK435</f>
        <v xml:space="preserve">21/22 </v>
      </c>
      <c r="AE1" s="22" t="str">
        <f>'[2]Soy Complex'!BL435</f>
        <v xml:space="preserve">22/23 </v>
      </c>
      <c r="AF1" s="22" t="str">
        <f>'[2]Soy Complex'!BM435</f>
        <v xml:space="preserve">23/24 </v>
      </c>
      <c r="AG1" s="22" t="str">
        <f>'[2]Soy Complex'!BN435</f>
        <v xml:space="preserve">24/25 </v>
      </c>
    </row>
    <row r="2" spans="1:33">
      <c r="A2" s="19" t="s">
        <v>28</v>
      </c>
      <c r="B2" s="23">
        <f>'[2]Soy Complex'!AI436</f>
        <v>5.61</v>
      </c>
      <c r="C2" s="23">
        <f>'[2]Soy Complex'!AJ436</f>
        <v>0</v>
      </c>
      <c r="D2" s="23">
        <f>'[2]Soy Complex'!AK436</f>
        <v>0</v>
      </c>
      <c r="E2" s="23">
        <f>'[2]Soy Complex'!AL436</f>
        <v>0</v>
      </c>
      <c r="F2" s="23">
        <f>'[2]Soy Complex'!AM436</f>
        <v>0</v>
      </c>
      <c r="G2" s="23">
        <f>'[2]Soy Complex'!AN436</f>
        <v>0</v>
      </c>
      <c r="H2" s="23">
        <f>'[2]Soy Complex'!AO436</f>
        <v>0</v>
      </c>
      <c r="I2" s="23">
        <f>'[2]Soy Complex'!AP436</f>
        <v>0</v>
      </c>
      <c r="J2" s="23">
        <f>'[2]Soy Complex'!AQ436</f>
        <v>0</v>
      </c>
      <c r="K2" s="23">
        <f>'[2]Soy Complex'!AR436</f>
        <v>0</v>
      </c>
      <c r="L2" s="23">
        <f>'[2]Soy Complex'!AS436</f>
        <v>0</v>
      </c>
      <c r="M2" s="23">
        <f>'[2]Soy Complex'!AT436</f>
        <v>0</v>
      </c>
      <c r="N2" s="23">
        <f>'[2]Soy Complex'!AU436</f>
        <v>0</v>
      </c>
      <c r="O2" s="23">
        <f>'[2]Soy Complex'!AV436</f>
        <v>0</v>
      </c>
      <c r="P2" s="23">
        <f>'[2]Soy Complex'!AW436</f>
        <v>0</v>
      </c>
      <c r="Q2" s="23">
        <f>'[2]Soy Complex'!AX436</f>
        <v>0</v>
      </c>
      <c r="R2" s="23">
        <f>'[2]Soy Complex'!AY436</f>
        <v>0</v>
      </c>
      <c r="S2" s="23">
        <f>'[2]Soy Complex'!AZ436</f>
        <v>0</v>
      </c>
      <c r="T2" s="23">
        <f>'[2]Soy Complex'!BA436</f>
        <v>4.2415155737704913</v>
      </c>
      <c r="U2" s="23">
        <f>'[2]Soy Complex'!BB436</f>
        <v>4.1290819672131143</v>
      </c>
      <c r="V2" s="23">
        <f>'[2]Soy Complex'!BC436</f>
        <v>29.060771311475406</v>
      </c>
      <c r="W2" s="23">
        <f>'[2]Soy Complex'!BD436</f>
        <v>3.1077442622950811</v>
      </c>
      <c r="X2" s="23">
        <f>'[2]Soy Complex'!BE436</f>
        <v>1.3893491803278686</v>
      </c>
      <c r="Y2" s="23">
        <f>'[2]Soy Complex'!BF436</f>
        <v>1.9594180327868851</v>
      </c>
      <c r="Z2" s="23">
        <f>'[2]Soy Complex'!BG436</f>
        <v>1.1993127049180325</v>
      </c>
      <c r="AA2" s="23">
        <f>'[2]Soy Complex'!BH436</f>
        <v>6.8709901477832522</v>
      </c>
      <c r="AB2" s="23">
        <f>'[2]Soy Complex'!BI436</f>
        <v>4.3820556650246312</v>
      </c>
      <c r="AC2" s="22">
        <f>'[2]Soy Complex'!BJ436</f>
        <v>9.8874492610837432</v>
      </c>
      <c r="AD2" s="22">
        <f>'[2]Soy Complex'!BK436</f>
        <v>8.0244130049261084</v>
      </c>
      <c r="AE2" s="22">
        <f>'[2]Soy Complex'!BL436</f>
        <v>28.033793103448271</v>
      </c>
      <c r="AF2" s="22">
        <f>'[2]Soy Complex'!BM436</f>
        <v>37.372554401270428</v>
      </c>
      <c r="AG2" s="22">
        <f>'[2]Soy Complex'!BN436</f>
        <v>30.806832095290741</v>
      </c>
    </row>
    <row r="3" spans="1:33">
      <c r="A3" s="19" t="s">
        <v>29</v>
      </c>
      <c r="B3" s="23">
        <f>'[2]Soy Complex'!AI437</f>
        <v>5.58</v>
      </c>
      <c r="C3" s="23">
        <f>'[2]Soy Complex'!AJ437</f>
        <v>0</v>
      </c>
      <c r="D3" s="23">
        <f>'[2]Soy Complex'!AK437</f>
        <v>0</v>
      </c>
      <c r="E3" s="23">
        <f>'[2]Soy Complex'!AL437</f>
        <v>0</v>
      </c>
      <c r="F3" s="23">
        <f>'[2]Soy Complex'!AM437</f>
        <v>0</v>
      </c>
      <c r="G3" s="23">
        <f>'[2]Soy Complex'!AN437</f>
        <v>0</v>
      </c>
      <c r="H3" s="23">
        <f>'[2]Soy Complex'!AO437</f>
        <v>0</v>
      </c>
      <c r="I3" s="23">
        <f>'[2]Soy Complex'!AP437</f>
        <v>0</v>
      </c>
      <c r="J3" s="23">
        <f>'[2]Soy Complex'!AQ437</f>
        <v>0</v>
      </c>
      <c r="K3" s="23">
        <f>'[2]Soy Complex'!AR437</f>
        <v>0</v>
      </c>
      <c r="L3" s="23">
        <f>'[2]Soy Complex'!AS437</f>
        <v>0</v>
      </c>
      <c r="M3" s="23">
        <f>'[2]Soy Complex'!AT437</f>
        <v>0</v>
      </c>
      <c r="N3" s="23">
        <f>'[2]Soy Complex'!AU437</f>
        <v>0</v>
      </c>
      <c r="O3" s="23">
        <f>'[2]Soy Complex'!AV437</f>
        <v>0</v>
      </c>
      <c r="P3" s="23">
        <f>'[2]Soy Complex'!AW437</f>
        <v>0</v>
      </c>
      <c r="Q3" s="23">
        <f>'[2]Soy Complex'!AX437</f>
        <v>0</v>
      </c>
      <c r="R3" s="23">
        <f>'[2]Soy Complex'!AY437</f>
        <v>0</v>
      </c>
      <c r="S3" s="23">
        <f>'[2]Soy Complex'!AZ437</f>
        <v>0</v>
      </c>
      <c r="T3" s="23">
        <f>'[2]Soy Complex'!BA437</f>
        <v>5.6564299180327859</v>
      </c>
      <c r="U3" s="23">
        <f>'[2]Soy Complex'!BB437</f>
        <v>7.0270745901639344</v>
      </c>
      <c r="V3" s="23">
        <f>'[2]Soy Complex'!BC437</f>
        <v>16.304960655737702</v>
      </c>
      <c r="W3" s="23">
        <f>'[2]Soy Complex'!BD437</f>
        <v>1.9158418032786881</v>
      </c>
      <c r="X3" s="23">
        <f>'[2]Soy Complex'!BE437</f>
        <v>1.1482893442622948</v>
      </c>
      <c r="Y3" s="23">
        <f>'[2]Soy Complex'!BF437</f>
        <v>1.4146377049180325</v>
      </c>
      <c r="Z3" s="23">
        <f>'[2]Soy Complex'!BG437</f>
        <v>2.2038012295081963</v>
      </c>
      <c r="AA3" s="23">
        <f>'[2]Soy Complex'!BH437</f>
        <v>7.6559874384236473</v>
      </c>
      <c r="AB3" s="23">
        <f>'[2]Soy Complex'!BI437</f>
        <v>5.3084549261083742</v>
      </c>
      <c r="AC3" s="22">
        <f>'[2]Soy Complex'!BJ437</f>
        <v>13.488540937931033</v>
      </c>
      <c r="AD3" s="22">
        <f>'[2]Soy Complex'!BK437</f>
        <v>1.1880953694581282</v>
      </c>
      <c r="AE3" s="22">
        <f>'[2]Soy Complex'!BL437</f>
        <v>41.191857953639214</v>
      </c>
      <c r="AF3" s="22">
        <f>'[2]Soy Complex'!BM437</f>
        <v>23.912414813514243</v>
      </c>
      <c r="AG3" s="22">
        <f>'[2]Soy Complex'!BN437</f>
        <v>43.288290013569878</v>
      </c>
    </row>
    <row r="4" spans="1:33">
      <c r="A4" s="19" t="s">
        <v>30</v>
      </c>
      <c r="B4" s="23">
        <f>'[2]Soy Complex'!AI438</f>
        <v>5.5</v>
      </c>
      <c r="C4" s="23">
        <f>'[2]Soy Complex'!AJ438</f>
        <v>0</v>
      </c>
      <c r="D4" s="23">
        <f>'[2]Soy Complex'!AK438</f>
        <v>0</v>
      </c>
      <c r="E4" s="23">
        <f>'[2]Soy Complex'!AL438</f>
        <v>0</v>
      </c>
      <c r="F4" s="23">
        <f>'[2]Soy Complex'!AM438</f>
        <v>0</v>
      </c>
      <c r="G4" s="23">
        <f>'[2]Soy Complex'!AN438</f>
        <v>0</v>
      </c>
      <c r="H4" s="23">
        <f>'[2]Soy Complex'!AO438</f>
        <v>0</v>
      </c>
      <c r="I4" s="23">
        <f>'[2]Soy Complex'!AP438</f>
        <v>0</v>
      </c>
      <c r="J4" s="23">
        <f>'[2]Soy Complex'!AQ438</f>
        <v>0</v>
      </c>
      <c r="K4" s="23">
        <f>'[2]Soy Complex'!AR438</f>
        <v>0</v>
      </c>
      <c r="L4" s="23">
        <f>'[2]Soy Complex'!AS438</f>
        <v>0</v>
      </c>
      <c r="M4" s="23">
        <f>'[2]Soy Complex'!AT438</f>
        <v>0</v>
      </c>
      <c r="N4" s="23">
        <f>'[2]Soy Complex'!AU438</f>
        <v>0</v>
      </c>
      <c r="O4" s="23">
        <f>'[2]Soy Complex'!AV438</f>
        <v>0</v>
      </c>
      <c r="P4" s="23">
        <f>'[2]Soy Complex'!AW438</f>
        <v>0</v>
      </c>
      <c r="Q4" s="23">
        <f>'[2]Soy Complex'!AX438</f>
        <v>0</v>
      </c>
      <c r="R4" s="23">
        <f>'[2]Soy Complex'!AY438</f>
        <v>0</v>
      </c>
      <c r="S4" s="23">
        <f>'[2]Soy Complex'!AZ438</f>
        <v>0</v>
      </c>
      <c r="T4" s="23">
        <f>'[2]Soy Complex'!BA438</f>
        <v>3.4817827868852449</v>
      </c>
      <c r="U4" s="23">
        <f>'[2]Soy Complex'!BB438</f>
        <v>8.0349602459016385</v>
      </c>
      <c r="V4" s="23">
        <f>'[2]Soy Complex'!BC438</f>
        <v>2.0980475409836066</v>
      </c>
      <c r="W4" s="23">
        <f>'[2]Soy Complex'!BD438</f>
        <v>2.916287704918032</v>
      </c>
      <c r="X4" s="23">
        <f>'[2]Soy Complex'!BE438</f>
        <v>1.1022971311475409</v>
      </c>
      <c r="Y4" s="23">
        <f>'[2]Soy Complex'!BF438</f>
        <v>1.0283311475409835</v>
      </c>
      <c r="Z4" s="23">
        <f>'[2]Soy Complex'!BG438</f>
        <v>2.0112639344262293</v>
      </c>
      <c r="AA4" s="23">
        <f>'[2]Soy Complex'!BH438</f>
        <v>5.2548029556650251</v>
      </c>
      <c r="AB4" s="23">
        <f>'[2]Soy Complex'!BI438</f>
        <v>6.7003559113300497</v>
      </c>
      <c r="AC4" s="22">
        <f>'[2]Soy Complex'!BJ438</f>
        <v>18.426394380295566</v>
      </c>
      <c r="AD4" s="22">
        <f>'[2]Soy Complex'!BK438</f>
        <v>17.423022660098525</v>
      </c>
      <c r="AE4" s="22">
        <f>'[2]Soy Complex'!BL438</f>
        <v>48.2644469130028</v>
      </c>
      <c r="AF4" s="22">
        <f>'[2]Soy Complex'!BM438</f>
        <v>19.245093605024735</v>
      </c>
      <c r="AG4" s="22">
        <f>'[2]Soy Complex'!BN438</f>
        <v>38.699792075438509</v>
      </c>
    </row>
    <row r="5" spans="1:33">
      <c r="A5" s="19" t="s">
        <v>31</v>
      </c>
      <c r="B5" s="23">
        <f>'[2]Soy Complex'!AI439</f>
        <v>5.53</v>
      </c>
      <c r="C5" s="23">
        <f>'[2]Soy Complex'!AJ439</f>
        <v>0</v>
      </c>
      <c r="D5" s="23">
        <f>'[2]Soy Complex'!AK439</f>
        <v>0</v>
      </c>
      <c r="E5" s="23">
        <f>'[2]Soy Complex'!AL439</f>
        <v>0</v>
      </c>
      <c r="F5" s="23">
        <f>'[2]Soy Complex'!AM439</f>
        <v>0</v>
      </c>
      <c r="G5" s="23">
        <f>'[2]Soy Complex'!AN439</f>
        <v>0</v>
      </c>
      <c r="H5" s="23">
        <f>'[2]Soy Complex'!AO439</f>
        <v>0</v>
      </c>
      <c r="I5" s="23">
        <f>'[2]Soy Complex'!AP439</f>
        <v>0</v>
      </c>
      <c r="J5" s="23">
        <f>'[2]Soy Complex'!AQ439</f>
        <v>0</v>
      </c>
      <c r="K5" s="23">
        <f>'[2]Soy Complex'!AR439</f>
        <v>0</v>
      </c>
      <c r="L5" s="23">
        <f>'[2]Soy Complex'!AS439</f>
        <v>0</v>
      </c>
      <c r="M5" s="23">
        <f>'[2]Soy Complex'!AT439</f>
        <v>0</v>
      </c>
      <c r="N5" s="23">
        <f>'[2]Soy Complex'!AU439</f>
        <v>0</v>
      </c>
      <c r="O5" s="23">
        <f>'[2]Soy Complex'!AV439</f>
        <v>0</v>
      </c>
      <c r="P5" s="23">
        <f>'[2]Soy Complex'!AW439</f>
        <v>0</v>
      </c>
      <c r="Q5" s="23">
        <f>'[2]Soy Complex'!AX439</f>
        <v>0</v>
      </c>
      <c r="R5" s="23">
        <f>'[2]Soy Complex'!AY439</f>
        <v>0</v>
      </c>
      <c r="S5" s="23">
        <f>'[2]Soy Complex'!AZ439</f>
        <v>0</v>
      </c>
      <c r="T5" s="23">
        <f>'[2]Soy Complex'!BA439</f>
        <v>1.8912282786885242</v>
      </c>
      <c r="U5" s="23">
        <f>'[2]Soy Complex'!BB439</f>
        <v>1.4893450819672127</v>
      </c>
      <c r="V5" s="23">
        <f>'[2]Soy Complex'!BC439</f>
        <v>0.86406639344262282</v>
      </c>
      <c r="W5" s="23">
        <f>'[2]Soy Complex'!BD439</f>
        <v>0.61247950819672126</v>
      </c>
      <c r="X5" s="23">
        <f>'[2]Soy Complex'!BE439</f>
        <v>0.86795040983606542</v>
      </c>
      <c r="Y5" s="23">
        <f>'[2]Soy Complex'!BF439</f>
        <v>1.6583643442622948</v>
      </c>
      <c r="Z5" s="23">
        <f>'[2]Soy Complex'!BG439</f>
        <v>1.1868676229508193</v>
      </c>
      <c r="AA5" s="23">
        <f>'[2]Soy Complex'!BH439</f>
        <v>6.6093472906403949</v>
      </c>
      <c r="AB5" s="23">
        <f>'[2]Soy Complex'!BI439</f>
        <v>9.1530777694581271</v>
      </c>
      <c r="AC5" s="22">
        <f>'[2]Soy Complex'!BJ439</f>
        <v>42.873635467980293</v>
      </c>
      <c r="AD5" s="22">
        <f>'[2]Soy Complex'!BK439</f>
        <v>6.337819113300494</v>
      </c>
      <c r="AE5" s="22">
        <f>'[2]Soy Complex'!BL439</f>
        <v>19.724495524213854</v>
      </c>
      <c r="AF5" s="22">
        <f>'[2]Soy Complex'!BM439</f>
        <v>28.141952312384138</v>
      </c>
      <c r="AG5" s="22">
        <f>'[2]Soy Complex'!BN439</f>
        <v>32.643853817158366</v>
      </c>
    </row>
    <row r="6" spans="1:33">
      <c r="A6" s="19" t="s">
        <v>32</v>
      </c>
      <c r="B6" s="23">
        <f>'[2]Soy Complex'!AI440</f>
        <v>5.8</v>
      </c>
      <c r="C6" s="23">
        <f>'[2]Soy Complex'!AJ440</f>
        <v>0</v>
      </c>
      <c r="D6" s="23">
        <f>'[2]Soy Complex'!AK440</f>
        <v>0</v>
      </c>
      <c r="E6" s="23">
        <f>'[2]Soy Complex'!AL440</f>
        <v>0</v>
      </c>
      <c r="F6" s="23">
        <f>'[2]Soy Complex'!AM440</f>
        <v>0</v>
      </c>
      <c r="G6" s="23">
        <f>'[2]Soy Complex'!AN440</f>
        <v>0</v>
      </c>
      <c r="H6" s="23">
        <f>'[2]Soy Complex'!AO440</f>
        <v>0</v>
      </c>
      <c r="I6" s="23">
        <f>'[2]Soy Complex'!AP440</f>
        <v>0</v>
      </c>
      <c r="J6" s="23">
        <f>'[2]Soy Complex'!AQ440</f>
        <v>0</v>
      </c>
      <c r="K6" s="23">
        <f>'[2]Soy Complex'!AR440</f>
        <v>0</v>
      </c>
      <c r="L6" s="23">
        <f>'[2]Soy Complex'!AS440</f>
        <v>0</v>
      </c>
      <c r="M6" s="23">
        <f>'[2]Soy Complex'!AT440</f>
        <v>0</v>
      </c>
      <c r="N6" s="23">
        <f>'[2]Soy Complex'!AU440</f>
        <v>0</v>
      </c>
      <c r="O6" s="23">
        <f>'[2]Soy Complex'!AV440</f>
        <v>0</v>
      </c>
      <c r="P6" s="23">
        <f>'[2]Soy Complex'!AW440</f>
        <v>0</v>
      </c>
      <c r="Q6" s="23">
        <f>'[2]Soy Complex'!AX440</f>
        <v>0</v>
      </c>
      <c r="R6" s="23">
        <f>'[2]Soy Complex'!AY440</f>
        <v>0</v>
      </c>
      <c r="S6" s="23">
        <f>'[2]Soy Complex'!AZ440</f>
        <v>0</v>
      </c>
      <c r="T6" s="23">
        <f>'[2]Soy Complex'!BA440</f>
        <v>6.3548889344262278</v>
      </c>
      <c r="U6" s="23">
        <f>'[2]Soy Complex'!BB440</f>
        <v>2.1508524590163929</v>
      </c>
      <c r="V6" s="23">
        <f>'[2]Soy Complex'!BC440</f>
        <v>1.9302086065573771</v>
      </c>
      <c r="W6" s="23">
        <f>'[2]Soy Complex'!BD440</f>
        <v>1.4410991803278685</v>
      </c>
      <c r="X6" s="23">
        <f>'[2]Soy Complex'!BE440</f>
        <v>1.1153028688524589</v>
      </c>
      <c r="Y6" s="23">
        <f>'[2]Soy Complex'!BF440</f>
        <v>1.3186475409836065</v>
      </c>
      <c r="Z6" s="23">
        <f>'[2]Soy Complex'!BG440</f>
        <v>5.3123422131147535</v>
      </c>
      <c r="AA6" s="23">
        <f>'[2]Soy Complex'!BH440</f>
        <v>5.2051300492610837</v>
      </c>
      <c r="AB6" s="23">
        <f>'[2]Soy Complex'!BI440</f>
        <v>7.6239243073891618</v>
      </c>
      <c r="AC6" s="22">
        <f>'[2]Soy Complex'!BJ440</f>
        <v>8.8313733990147778</v>
      </c>
      <c r="AD6" s="22">
        <f>'[2]Soy Complex'!BK440</f>
        <v>7.4322317241379316</v>
      </c>
      <c r="AE6" s="22">
        <f>'[2]Soy Complex'!BL440</f>
        <v>11.314392063035188</v>
      </c>
      <c r="AF6" s="22">
        <f>'[2]Soy Complex'!BM440</f>
        <v>21.262546578955302</v>
      </c>
      <c r="AG6" s="22">
        <f>'[2]Soy Complex'!BN440</f>
        <v>26.172231185096827</v>
      </c>
    </row>
    <row r="7" spans="1:33">
      <c r="A7" s="19" t="s">
        <v>33</v>
      </c>
      <c r="B7" s="23">
        <f>'[2]Soy Complex'!AI441</f>
        <v>5.9</v>
      </c>
      <c r="C7" s="23">
        <f>'[2]Soy Complex'!AJ441</f>
        <v>0</v>
      </c>
      <c r="D7" s="23">
        <f>'[2]Soy Complex'!AK441</f>
        <v>0</v>
      </c>
      <c r="E7" s="23">
        <f>'[2]Soy Complex'!AL441</f>
        <v>0</v>
      </c>
      <c r="F7" s="23">
        <f>'[2]Soy Complex'!AM441</f>
        <v>0</v>
      </c>
      <c r="G7" s="23">
        <f>'[2]Soy Complex'!AN441</f>
        <v>0</v>
      </c>
      <c r="H7" s="23">
        <f>'[2]Soy Complex'!AO441</f>
        <v>0</v>
      </c>
      <c r="I7" s="23">
        <f>'[2]Soy Complex'!AP441</f>
        <v>0</v>
      </c>
      <c r="J7" s="23">
        <f>'[2]Soy Complex'!AQ441</f>
        <v>0</v>
      </c>
      <c r="K7" s="23">
        <f>'[2]Soy Complex'!AR441</f>
        <v>0</v>
      </c>
      <c r="L7" s="23">
        <f>'[2]Soy Complex'!AS441</f>
        <v>0</v>
      </c>
      <c r="M7" s="23">
        <f>'[2]Soy Complex'!AT441</f>
        <v>0</v>
      </c>
      <c r="N7" s="23">
        <f>'[2]Soy Complex'!AU441</f>
        <v>0</v>
      </c>
      <c r="O7" s="23">
        <f>'[2]Soy Complex'!AV441</f>
        <v>0</v>
      </c>
      <c r="P7" s="23">
        <f>'[2]Soy Complex'!AW441</f>
        <v>0</v>
      </c>
      <c r="Q7" s="23">
        <f>'[2]Soy Complex'!AX441</f>
        <v>0</v>
      </c>
      <c r="R7" s="23">
        <f>'[2]Soy Complex'!AY441</f>
        <v>0</v>
      </c>
      <c r="S7" s="23">
        <f>'[2]Soy Complex'!AZ441</f>
        <v>0</v>
      </c>
      <c r="T7" s="23">
        <f>'[2]Soy Complex'!BA441</f>
        <v>2.3964860655737699</v>
      </c>
      <c r="U7" s="23">
        <f>'[2]Soy Complex'!BB441</f>
        <v>2.5615549180327863</v>
      </c>
      <c r="V7" s="23">
        <f>'[2]Soy Complex'!BC441</f>
        <v>2.7240344262295078</v>
      </c>
      <c r="W7" s="23">
        <f>'[2]Soy Complex'!BD441</f>
        <v>2.5872897540983604</v>
      </c>
      <c r="X7" s="23">
        <f>'[2]Soy Complex'!BE441</f>
        <v>1.6735684426229505</v>
      </c>
      <c r="Y7" s="23">
        <f>'[2]Soy Complex'!BF441</f>
        <v>1.6891118852459013</v>
      </c>
      <c r="Z7" s="23">
        <f>'[2]Soy Complex'!BG441</f>
        <v>8.3802430327868844</v>
      </c>
      <c r="AA7" s="23">
        <f>'[2]Soy Complex'!BH441</f>
        <v>6.3736714285714289</v>
      </c>
      <c r="AB7" s="23">
        <f>'[2]Soy Complex'!BI441</f>
        <v>8.1011595862068972</v>
      </c>
      <c r="AC7" s="22">
        <f>'[2]Soy Complex'!BJ441</f>
        <v>8.0120039408867001</v>
      </c>
      <c r="AD7" s="22">
        <f>'[2]Soy Complex'!BK441</f>
        <v>7.5328630541871933</v>
      </c>
      <c r="AE7" s="22">
        <f>'[2]Soy Complex'!BL441</f>
        <v>52.764776131539165</v>
      </c>
      <c r="AF7" s="22">
        <f>'[2]Soy Complex'!BM441</f>
        <v>28.617329792926778</v>
      </c>
      <c r="AG7" s="22">
        <f>'[2]Soy Complex'!BN441</f>
        <v>38.700833999712884</v>
      </c>
    </row>
    <row r="8" spans="1:33">
      <c r="A8" s="19" t="s">
        <v>34</v>
      </c>
      <c r="B8" s="23">
        <f>'[2]Soy Complex'!AI442</f>
        <v>5.99</v>
      </c>
      <c r="C8" s="23">
        <f>'[2]Soy Complex'!AJ442</f>
        <v>0</v>
      </c>
      <c r="D8" s="23">
        <f>'[2]Soy Complex'!AK442</f>
        <v>0</v>
      </c>
      <c r="E8" s="23">
        <f>'[2]Soy Complex'!AL442</f>
        <v>0</v>
      </c>
      <c r="F8" s="23">
        <f>'[2]Soy Complex'!AM442</f>
        <v>0</v>
      </c>
      <c r="G8" s="23">
        <f>'[2]Soy Complex'!AN442</f>
        <v>0</v>
      </c>
      <c r="H8" s="23">
        <f>'[2]Soy Complex'!AO442</f>
        <v>0</v>
      </c>
      <c r="I8" s="23">
        <f>'[2]Soy Complex'!AP442</f>
        <v>0</v>
      </c>
      <c r="J8" s="23">
        <f>'[2]Soy Complex'!AQ442</f>
        <v>0</v>
      </c>
      <c r="K8" s="23">
        <f>'[2]Soy Complex'!AR442</f>
        <v>0</v>
      </c>
      <c r="L8" s="23">
        <f>'[2]Soy Complex'!AS442</f>
        <v>0</v>
      </c>
      <c r="M8" s="23">
        <f>'[2]Soy Complex'!AT442</f>
        <v>0</v>
      </c>
      <c r="N8" s="23">
        <f>'[2]Soy Complex'!AU442</f>
        <v>0</v>
      </c>
      <c r="O8" s="23">
        <f>'[2]Soy Complex'!AV442</f>
        <v>0</v>
      </c>
      <c r="P8" s="23">
        <f>'[2]Soy Complex'!AW442</f>
        <v>0</v>
      </c>
      <c r="Q8" s="23">
        <f>'[2]Soy Complex'!AX442</f>
        <v>0</v>
      </c>
      <c r="R8" s="23">
        <f>'[2]Soy Complex'!AY442</f>
        <v>0</v>
      </c>
      <c r="S8" s="23">
        <f>'[2]Soy Complex'!AZ442</f>
        <v>0</v>
      </c>
      <c r="T8" s="23">
        <f>'[2]Soy Complex'!BA442</f>
        <v>1.3658680327868851</v>
      </c>
      <c r="U8" s="23">
        <f>'[2]Soy Complex'!BB442</f>
        <v>2.3975262295081965</v>
      </c>
      <c r="V8" s="23">
        <f>'[2]Soy Complex'!BC442</f>
        <v>3.3894258196721307</v>
      </c>
      <c r="W8" s="23">
        <f>'[2]Soy Complex'!BD442</f>
        <v>2.0584622950819669</v>
      </c>
      <c r="X8" s="23">
        <f>'[2]Soy Complex'!BE442</f>
        <v>1.4421172131147537</v>
      </c>
      <c r="Y8" s="23">
        <f>'[2]Soy Complex'!BF442</f>
        <v>1.2358918032786883</v>
      </c>
      <c r="Z8" s="23">
        <f>'[2]Soy Complex'!BG442</f>
        <v>1.0364993296089384</v>
      </c>
      <c r="AA8" s="23">
        <f>'[2]Soy Complex'!BH442</f>
        <v>6.6406566502463065</v>
      </c>
      <c r="AB8" s="22">
        <f>'[2]Soy Complex'!BI442</f>
        <v>7.0086683546798021</v>
      </c>
      <c r="AC8" s="22">
        <f>'[2]Soy Complex'!BJ442</f>
        <v>6.0216000000000003</v>
      </c>
      <c r="AD8" s="22">
        <f>'[2]Soy Complex'!BK442</f>
        <v>8.3427310344827585</v>
      </c>
      <c r="AE8" s="22">
        <f>'[2]Soy Complex'!BL442</f>
        <v>26.346982404475785</v>
      </c>
      <c r="AF8" s="22">
        <f>'[2]Soy Complex'!BM442</f>
        <v>21.285849801938177</v>
      </c>
      <c r="AG8" s="22">
        <f>'[2]Soy Complex'!BN442</f>
        <v>28.504663819907986</v>
      </c>
    </row>
    <row r="9" spans="1:33">
      <c r="A9" s="19" t="s">
        <v>35</v>
      </c>
      <c r="B9" s="23">
        <f>'[2]Soy Complex'!AI443</f>
        <v>5.98</v>
      </c>
      <c r="C9" s="23">
        <f>'[2]Soy Complex'!AJ443</f>
        <v>0</v>
      </c>
      <c r="D9" s="23">
        <f>'[2]Soy Complex'!AK443</f>
        <v>0</v>
      </c>
      <c r="E9" s="23">
        <f>'[2]Soy Complex'!AL443</f>
        <v>0</v>
      </c>
      <c r="F9" s="23">
        <f>'[2]Soy Complex'!AM443</f>
        <v>0</v>
      </c>
      <c r="G9" s="23">
        <f>'[2]Soy Complex'!AN443</f>
        <v>0</v>
      </c>
      <c r="H9" s="23">
        <f>'[2]Soy Complex'!AO443</f>
        <v>0</v>
      </c>
      <c r="I9" s="23">
        <f>'[2]Soy Complex'!AP443</f>
        <v>0</v>
      </c>
      <c r="J9" s="23">
        <f>'[2]Soy Complex'!AQ443</f>
        <v>0</v>
      </c>
      <c r="K9" s="23">
        <f>'[2]Soy Complex'!AR443</f>
        <v>0</v>
      </c>
      <c r="L9" s="23">
        <f>'[2]Soy Complex'!AS443</f>
        <v>0</v>
      </c>
      <c r="M9" s="23">
        <f>'[2]Soy Complex'!AT443</f>
        <v>0</v>
      </c>
      <c r="N9" s="23">
        <f>'[2]Soy Complex'!AU443</f>
        <v>0</v>
      </c>
      <c r="O9" s="23">
        <f>'[2]Soy Complex'!AV443</f>
        <v>0</v>
      </c>
      <c r="P9" s="23">
        <f>'[2]Soy Complex'!AW443</f>
        <v>0</v>
      </c>
      <c r="Q9" s="23">
        <f>'[2]Soy Complex'!AX443</f>
        <v>0</v>
      </c>
      <c r="R9" s="23">
        <f>'[2]Soy Complex'!AY443</f>
        <v>0</v>
      </c>
      <c r="S9" s="23">
        <f>'[2]Soy Complex'!AZ443</f>
        <v>0</v>
      </c>
      <c r="T9" s="23">
        <f>'[2]Soy Complex'!BA443</f>
        <v>1.5067696721311472</v>
      </c>
      <c r="U9" s="23">
        <f>'[2]Soy Complex'!BB443</f>
        <v>6.734242622950819</v>
      </c>
      <c r="V9" s="23">
        <f>'[2]Soy Complex'!BC443</f>
        <v>2.8094016393442622</v>
      </c>
      <c r="W9" s="23">
        <f>'[2]Soy Complex'!BD443</f>
        <v>1.2580413934426229</v>
      </c>
      <c r="X9" s="23">
        <f>'[2]Soy Complex'!BE443</f>
        <v>1.140141393442623</v>
      </c>
      <c r="Y9" s="23">
        <f>'[2]Soy Complex'!BF443</f>
        <v>1.3549573770491801</v>
      </c>
      <c r="Z9" s="23">
        <f>'[2]Soy Complex'!BG443</f>
        <v>0.43263150837988829</v>
      </c>
      <c r="AA9" s="23">
        <f>'[2]Soy Complex'!BH443</f>
        <v>7.6882078817733994</v>
      </c>
      <c r="AB9" s="22">
        <f>'[2]Soy Complex'!BI443</f>
        <v>9.6779578995073887</v>
      </c>
      <c r="AC9" s="22">
        <f>'[2]Soy Complex'!BJ443</f>
        <v>4.392325123152709</v>
      </c>
      <c r="AD9" s="22">
        <f>'[2]Soy Complex'!BK443</f>
        <v>13.688070935960591</v>
      </c>
      <c r="AE9" s="22">
        <f>'[2]Soy Complex'!BL443</f>
        <v>38.500020123048138</v>
      </c>
      <c r="AF9" s="22">
        <f>'[2]Soy Complex'!BM443</f>
        <v>7.7484868943198695</v>
      </c>
      <c r="AG9" s="22">
        <f>'[2]Soy Complex'!BN443</f>
        <v>33.430831185753767</v>
      </c>
    </row>
    <row r="10" spans="1:33">
      <c r="A10" s="19" t="s">
        <v>36</v>
      </c>
      <c r="B10" s="23">
        <f>'[2]Soy Complex'!AI444</f>
        <v>5.89</v>
      </c>
      <c r="C10" s="23">
        <f>'[2]Soy Complex'!AJ444</f>
        <v>0</v>
      </c>
      <c r="D10" s="23">
        <f>'[2]Soy Complex'!AK444</f>
        <v>0</v>
      </c>
      <c r="E10" s="23">
        <f>'[2]Soy Complex'!AL444</f>
        <v>0</v>
      </c>
      <c r="F10" s="23">
        <f>'[2]Soy Complex'!AM444</f>
        <v>0</v>
      </c>
      <c r="G10" s="23">
        <f>'[2]Soy Complex'!AN444</f>
        <v>0</v>
      </c>
      <c r="H10" s="23">
        <f>'[2]Soy Complex'!AO444</f>
        <v>0</v>
      </c>
      <c r="I10" s="23">
        <f>'[2]Soy Complex'!AP444</f>
        <v>0</v>
      </c>
      <c r="J10" s="23">
        <f>'[2]Soy Complex'!AQ444</f>
        <v>0</v>
      </c>
      <c r="K10" s="23">
        <f>'[2]Soy Complex'!AR444</f>
        <v>0</v>
      </c>
      <c r="L10" s="23">
        <f>'[2]Soy Complex'!AS444</f>
        <v>0</v>
      </c>
      <c r="M10" s="23">
        <f>'[2]Soy Complex'!AT444</f>
        <v>0</v>
      </c>
      <c r="N10" s="23">
        <f>'[2]Soy Complex'!AU444</f>
        <v>0</v>
      </c>
      <c r="O10" s="23">
        <f>'[2]Soy Complex'!AV444</f>
        <v>0</v>
      </c>
      <c r="P10" s="23">
        <f>'[2]Soy Complex'!AW444</f>
        <v>0</v>
      </c>
      <c r="Q10" s="23">
        <f>'[2]Soy Complex'!AX444</f>
        <v>0</v>
      </c>
      <c r="R10" s="23">
        <f>'[2]Soy Complex'!AY444</f>
        <v>0</v>
      </c>
      <c r="S10" s="23">
        <f>'[2]Soy Complex'!AZ444</f>
        <v>0</v>
      </c>
      <c r="T10" s="23">
        <f>'[2]Soy Complex'!BA444</f>
        <v>1.8827483606557376</v>
      </c>
      <c r="U10" s="23">
        <f>'[2]Soy Complex'!BB444</f>
        <v>20.8634606557377</v>
      </c>
      <c r="V10" s="23">
        <f>'[2]Soy Complex'!BC444</f>
        <v>2.8656258196721311</v>
      </c>
      <c r="W10" s="23">
        <f>'[2]Soy Complex'!BD444</f>
        <v>2.0067307377049177</v>
      </c>
      <c r="X10" s="23">
        <f>'[2]Soy Complex'!BE444</f>
        <v>1.9405733606557376</v>
      </c>
      <c r="Y10" s="23">
        <f>'[2]Soy Complex'!BF444</f>
        <v>1.3727471311475408</v>
      </c>
      <c r="Z10" s="23">
        <f>'[2]Soy Complex'!BG444</f>
        <v>0.93590547486033526</v>
      </c>
      <c r="AA10" s="23">
        <f>'[2]Soy Complex'!BH444</f>
        <v>5.487311083743843</v>
      </c>
      <c r="AB10" s="22">
        <f>'[2]Soy Complex'!BI444</f>
        <v>7.6244859586206886</v>
      </c>
      <c r="AC10" s="22">
        <f>'[2]Soy Complex'!BJ444</f>
        <v>8.2788965517241362</v>
      </c>
      <c r="AD10" s="22">
        <f>'[2]Soy Complex'!BK444</f>
        <v>27.05991133004926</v>
      </c>
      <c r="AE10" s="22">
        <f>'[2]Soy Complex'!BL444</f>
        <v>52.811228876735974</v>
      </c>
      <c r="AF10" s="22">
        <f>'[2]Soy Complex'!BM444</f>
        <v>33.593702318384373</v>
      </c>
      <c r="AG10" s="22">
        <f>'[2]Soy Complex'!BN444</f>
        <v>39.599753490129515</v>
      </c>
    </row>
    <row r="11" spans="1:33">
      <c r="A11" s="19" t="s">
        <v>37</v>
      </c>
      <c r="B11" s="23">
        <f>'[2]Soy Complex'!AI445</f>
        <v>5.75</v>
      </c>
      <c r="C11" s="23">
        <f>'[2]Soy Complex'!AJ445</f>
        <v>0</v>
      </c>
      <c r="D11" s="23">
        <f>'[2]Soy Complex'!AK445</f>
        <v>0</v>
      </c>
      <c r="E11" s="23">
        <f>'[2]Soy Complex'!AL445</f>
        <v>0</v>
      </c>
      <c r="F11" s="23">
        <f>'[2]Soy Complex'!AM445</f>
        <v>0</v>
      </c>
      <c r="G11" s="23">
        <f>'[2]Soy Complex'!AN445</f>
        <v>0</v>
      </c>
      <c r="H11" s="23">
        <f>'[2]Soy Complex'!AO445</f>
        <v>0</v>
      </c>
      <c r="I11" s="23">
        <f>'[2]Soy Complex'!AP445</f>
        <v>0</v>
      </c>
      <c r="J11" s="23">
        <f>'[2]Soy Complex'!AQ445</f>
        <v>0</v>
      </c>
      <c r="K11" s="23">
        <f>'[2]Soy Complex'!AR445</f>
        <v>0</v>
      </c>
      <c r="L11" s="23">
        <f>'[2]Soy Complex'!AS445</f>
        <v>0</v>
      </c>
      <c r="M11" s="23">
        <f>'[2]Soy Complex'!AT445</f>
        <v>0</v>
      </c>
      <c r="N11" s="23">
        <f>'[2]Soy Complex'!AU445</f>
        <v>0</v>
      </c>
      <c r="O11" s="23">
        <f>'[2]Soy Complex'!AV445</f>
        <v>0</v>
      </c>
      <c r="P11" s="23">
        <f>'[2]Soy Complex'!AW445</f>
        <v>0</v>
      </c>
      <c r="Q11" s="23">
        <f>'[2]Soy Complex'!AX445</f>
        <v>0</v>
      </c>
      <c r="R11" s="23">
        <f>'[2]Soy Complex'!AY445</f>
        <v>0</v>
      </c>
      <c r="S11" s="23">
        <f>'[2]Soy Complex'!AZ445</f>
        <v>0</v>
      </c>
      <c r="T11" s="23">
        <f>'[2]Soy Complex'!BA445</f>
        <v>2.0451172131147537</v>
      </c>
      <c r="U11" s="23">
        <f>'[2]Soy Complex'!BB445</f>
        <v>16.072900819672128</v>
      </c>
      <c r="V11" s="23">
        <f>'[2]Soy Complex'!BC445</f>
        <v>5.1059286885245889</v>
      </c>
      <c r="W11" s="23">
        <f>'[2]Soy Complex'!BD445</f>
        <v>1.7564090163934425</v>
      </c>
      <c r="X11" s="23">
        <f>'[2]Soy Complex'!BE445</f>
        <v>1.5683348360655733</v>
      </c>
      <c r="Y11" s="23">
        <f>'[2]Soy Complex'!BF445</f>
        <v>1.9047319672131147</v>
      </c>
      <c r="Z11" s="23">
        <f>'[2]Soy Complex'!BG445</f>
        <v>9.1795821574874825</v>
      </c>
      <c r="AA11" s="23">
        <f>'[2]Soy Complex'!BH445</f>
        <v>6.878651231527094</v>
      </c>
      <c r="AB11" s="22">
        <f>'[2]Soy Complex'!BI445</f>
        <v>8.2420385418719206</v>
      </c>
      <c r="AC11" s="22">
        <f>'[2]Soy Complex'!BJ445</f>
        <v>10.334126108374386</v>
      </c>
      <c r="AD11" s="22">
        <f>'[2]Soy Complex'!BK445</f>
        <v>14.147973399014777</v>
      </c>
      <c r="AE11" s="22">
        <f>'[2]Soy Complex'!BL445</f>
        <v>23.921891393826002</v>
      </c>
      <c r="AF11" s="22">
        <f>'[2]Soy Complex'!BM445</f>
        <v>40.905430832537562</v>
      </c>
      <c r="AG11" s="22">
        <f>'[2]Soy Complex'!BN445</f>
        <v>35.039771010319662</v>
      </c>
    </row>
    <row r="12" spans="1:33">
      <c r="A12" s="19" t="s">
        <v>38</v>
      </c>
      <c r="B12" s="23">
        <f>'[2]Soy Complex'!AI446</f>
        <v>5.58</v>
      </c>
      <c r="C12" s="23">
        <f>'[2]Soy Complex'!AJ446</f>
        <v>0</v>
      </c>
      <c r="D12" s="23">
        <f>'[2]Soy Complex'!AK446</f>
        <v>0</v>
      </c>
      <c r="E12" s="23">
        <f>'[2]Soy Complex'!AL446</f>
        <v>0</v>
      </c>
      <c r="F12" s="23">
        <f>'[2]Soy Complex'!AM446</f>
        <v>0</v>
      </c>
      <c r="G12" s="23">
        <f>'[2]Soy Complex'!AN446</f>
        <v>0</v>
      </c>
      <c r="H12" s="23">
        <f>'[2]Soy Complex'!AO446</f>
        <v>0</v>
      </c>
      <c r="I12" s="23">
        <f>'[2]Soy Complex'!AP446</f>
        <v>0</v>
      </c>
      <c r="J12" s="23">
        <f>'[2]Soy Complex'!AQ446</f>
        <v>0</v>
      </c>
      <c r="K12" s="23">
        <f>'[2]Soy Complex'!AR446</f>
        <v>0</v>
      </c>
      <c r="L12" s="23">
        <f>'[2]Soy Complex'!AS446</f>
        <v>0</v>
      </c>
      <c r="M12" s="23">
        <f>'[2]Soy Complex'!AT446</f>
        <v>0</v>
      </c>
      <c r="N12" s="23">
        <f>'[2]Soy Complex'!AU446</f>
        <v>0</v>
      </c>
      <c r="O12" s="23">
        <f>'[2]Soy Complex'!AV446</f>
        <v>0</v>
      </c>
      <c r="P12" s="23">
        <f>'[2]Soy Complex'!AW446</f>
        <v>0</v>
      </c>
      <c r="Q12" s="23">
        <f>'[2]Soy Complex'!AX446</f>
        <v>0</v>
      </c>
      <c r="R12" s="23">
        <f>'[2]Soy Complex'!AY446</f>
        <v>0</v>
      </c>
      <c r="S12" s="23">
        <f>'[2]Soy Complex'!AZ446</f>
        <v>0</v>
      </c>
      <c r="T12" s="23">
        <f>'[2]Soy Complex'!BA446</f>
        <v>4.5499721311475403</v>
      </c>
      <c r="U12" s="23">
        <f>'[2]Soy Complex'!BB446</f>
        <v>23.482740983606554</v>
      </c>
      <c r="V12" s="23">
        <f>'[2]Soy Complex'!BC446</f>
        <v>1.8022168032786883</v>
      </c>
      <c r="W12" s="23">
        <f>'[2]Soy Complex'!BD446</f>
        <v>1.6415262295081963</v>
      </c>
      <c r="X12" s="23">
        <f>'[2]Soy Complex'!BE446</f>
        <v>1.7513668032786882</v>
      </c>
      <c r="Y12" s="23">
        <f>'[2]Soy Complex'!BF446</f>
        <v>1.6237991803278686</v>
      </c>
      <c r="Z12" s="23">
        <f>'[2]Soy Complex'!BG446</f>
        <v>7.8841388711879832</v>
      </c>
      <c r="AA12" s="23">
        <f>'[2]Soy Complex'!BH446</f>
        <v>8.0097495073891629</v>
      </c>
      <c r="AB12" s="22">
        <f>'[2]Soy Complex'!BI446</f>
        <v>8.3557945182266007</v>
      </c>
      <c r="AC12" s="22">
        <f>'[2]Soy Complex'!BJ446</f>
        <v>15.252604926108374</v>
      </c>
      <c r="AD12" s="22">
        <f>'[2]Soy Complex'!BK446</f>
        <v>21.433720197044337</v>
      </c>
      <c r="AE12" s="22">
        <f>'[2]Soy Complex'!BL446</f>
        <v>43.692452071365082</v>
      </c>
      <c r="AF12" s="22">
        <f>'[2]Soy Complex'!BM446</f>
        <v>53.427392143287932</v>
      </c>
      <c r="AG12" s="22">
        <f>'[2]Soy Complex'!BN446</f>
        <v>50.145233455763098</v>
      </c>
    </row>
    <row r="13" spans="1:33">
      <c r="A13" s="19" t="s">
        <v>39</v>
      </c>
      <c r="B13" s="23">
        <f>'[2]Soy Complex'!AI447</f>
        <v>5.64</v>
      </c>
      <c r="C13" s="23">
        <f>'[2]Soy Complex'!AJ447</f>
        <v>0</v>
      </c>
      <c r="D13" s="23">
        <f>'[2]Soy Complex'!AK447</f>
        <v>0</v>
      </c>
      <c r="E13" s="23">
        <f>'[2]Soy Complex'!AL447</f>
        <v>0</v>
      </c>
      <c r="F13" s="23">
        <f>'[2]Soy Complex'!AM447</f>
        <v>0</v>
      </c>
      <c r="G13" s="23">
        <f>'[2]Soy Complex'!AN447</f>
        <v>0</v>
      </c>
      <c r="H13" s="23">
        <f>'[2]Soy Complex'!AO447</f>
        <v>0</v>
      </c>
      <c r="I13" s="23">
        <f>'[2]Soy Complex'!AP447</f>
        <v>0</v>
      </c>
      <c r="J13" s="23">
        <f>'[2]Soy Complex'!AQ447</f>
        <v>0</v>
      </c>
      <c r="K13" s="23">
        <f>'[2]Soy Complex'!AR447</f>
        <v>0</v>
      </c>
      <c r="L13" s="23">
        <f>'[2]Soy Complex'!AS447</f>
        <v>0</v>
      </c>
      <c r="M13" s="23">
        <f>'[2]Soy Complex'!AT447</f>
        <v>0</v>
      </c>
      <c r="N13" s="23">
        <f>'[2]Soy Complex'!AU447</f>
        <v>0</v>
      </c>
      <c r="O13" s="23">
        <f>'[2]Soy Complex'!AV447</f>
        <v>0</v>
      </c>
      <c r="P13" s="23">
        <f>'[2]Soy Complex'!AW447</f>
        <v>0</v>
      </c>
      <c r="Q13" s="23">
        <f>'[2]Soy Complex'!AX447</f>
        <v>0</v>
      </c>
      <c r="R13" s="23">
        <f>'[2]Soy Complex'!AY447</f>
        <v>0</v>
      </c>
      <c r="S13" s="23">
        <f>'[2]Soy Complex'!AZ447</f>
        <v>0</v>
      </c>
      <c r="T13" s="23">
        <f>'[2]Soy Complex'!BA447</f>
        <v>3.8365266393442616</v>
      </c>
      <c r="U13" s="23">
        <f>'[2]Soy Complex'!BB447</f>
        <v>29.040145081967211</v>
      </c>
      <c r="V13" s="23">
        <f>'[2]Soy Complex'!BC447</f>
        <v>2.3090385245901635</v>
      </c>
      <c r="W13" s="23">
        <f>'[2]Soy Complex'!BD447</f>
        <v>1.366048770491803</v>
      </c>
      <c r="X13" s="23">
        <f>'[2]Soy Complex'!BE447</f>
        <v>1.3089725409836064</v>
      </c>
      <c r="Y13" s="23">
        <f>'[2]Soy Complex'!BF447</f>
        <v>1.4130811475409835</v>
      </c>
      <c r="Z13" s="23">
        <f>'[2]Soy Complex'!BG447</f>
        <v>8.0471815270935956</v>
      </c>
      <c r="AA13" s="23">
        <f>'[2]Soy Complex'!BH447</f>
        <v>6.7371672413793107</v>
      </c>
      <c r="AB13" s="22">
        <f>'[2]Soy Complex'!BI447</f>
        <v>7.4618549556650242</v>
      </c>
      <c r="AC13" s="22">
        <f>'[2]Soy Complex'!BJ447</f>
        <v>11.477156650246306</v>
      </c>
      <c r="AD13" s="22">
        <f>'[2]Soy Complex'!BK447</f>
        <v>65.731256157635471</v>
      </c>
      <c r="AE13" s="22">
        <f>'[2]Soy Complex'!BL447</f>
        <v>40.045928790127995</v>
      </c>
      <c r="AF13" s="22">
        <f>'[2]Soy Complex'!BM447</f>
        <v>41.052695622455644</v>
      </c>
      <c r="AG13" s="22">
        <f>'[2]Soy Complex'!BN447</f>
        <v>45.371313801701874</v>
      </c>
    </row>
    <row r="14" spans="1:33">
      <c r="A14" s="19"/>
    </row>
    <row r="15" spans="1:33">
      <c r="A15" s="19"/>
    </row>
    <row r="16" spans="1:33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  <row r="105" spans="1:1">
      <c r="A105" s="19"/>
    </row>
    <row r="106" spans="1:1">
      <c r="A106" s="19"/>
    </row>
    <row r="107" spans="1:1">
      <c r="A107" s="19"/>
    </row>
    <row r="108" spans="1:1">
      <c r="A108" s="19"/>
    </row>
    <row r="109" spans="1:1">
      <c r="A109" s="19"/>
    </row>
    <row r="110" spans="1:1">
      <c r="A110" s="19"/>
    </row>
    <row r="111" spans="1:1">
      <c r="A111" s="19"/>
    </row>
    <row r="112" spans="1:1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19"/>
    </row>
    <row r="118" spans="1:1">
      <c r="A118" s="19"/>
    </row>
    <row r="119" spans="1:1">
      <c r="A119" s="1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9"/>
    </row>
    <row r="140" spans="1:1">
      <c r="A140" s="19"/>
    </row>
    <row r="141" spans="1:1">
      <c r="A141" s="19"/>
    </row>
    <row r="142" spans="1:1">
      <c r="A142" s="19"/>
    </row>
    <row r="143" spans="1:1">
      <c r="A143" s="19"/>
    </row>
    <row r="144" spans="1:1">
      <c r="A144" s="19"/>
    </row>
    <row r="145" spans="1:1">
      <c r="A145" s="19"/>
    </row>
    <row r="146" spans="1:1">
      <c r="A146" s="19"/>
    </row>
    <row r="147" spans="1:1">
      <c r="A147" s="19"/>
    </row>
    <row r="148" spans="1:1">
      <c r="A148" s="19"/>
    </row>
    <row r="149" spans="1:1">
      <c r="A149" s="19"/>
    </row>
    <row r="150" spans="1:1">
      <c r="A150" s="19"/>
    </row>
    <row r="151" spans="1:1">
      <c r="A151" s="19"/>
    </row>
    <row r="152" spans="1:1">
      <c r="A152" s="19"/>
    </row>
    <row r="153" spans="1:1">
      <c r="A153" s="19"/>
    </row>
    <row r="154" spans="1:1">
      <c r="A154" s="19"/>
    </row>
    <row r="155" spans="1:1">
      <c r="A155" s="19"/>
    </row>
    <row r="156" spans="1:1">
      <c r="A156" s="19"/>
    </row>
    <row r="157" spans="1:1">
      <c r="A157" s="19"/>
    </row>
    <row r="158" spans="1:1">
      <c r="A158" s="19"/>
    </row>
    <row r="159" spans="1:1">
      <c r="A159" s="19"/>
    </row>
    <row r="160" spans="1:1">
      <c r="A160" s="19"/>
    </row>
    <row r="161" spans="1:1">
      <c r="A161" s="19"/>
    </row>
    <row r="162" spans="1:1">
      <c r="A162" s="19"/>
    </row>
    <row r="163" spans="1:1">
      <c r="A163" s="19"/>
    </row>
    <row r="164" spans="1:1">
      <c r="A164" s="19"/>
    </row>
    <row r="165" spans="1:1">
      <c r="A165" s="19"/>
    </row>
    <row r="166" spans="1:1">
      <c r="A166" s="19"/>
    </row>
    <row r="167" spans="1:1">
      <c r="A167" s="19"/>
    </row>
    <row r="168" spans="1:1">
      <c r="A168" s="19"/>
    </row>
    <row r="169" spans="1:1">
      <c r="A169" s="19"/>
    </row>
    <row r="170" spans="1:1">
      <c r="A170" s="19"/>
    </row>
    <row r="171" spans="1:1">
      <c r="A171" s="19"/>
    </row>
    <row r="172" spans="1:1">
      <c r="A172" s="19"/>
    </row>
    <row r="173" spans="1:1">
      <c r="A173" s="19"/>
    </row>
    <row r="174" spans="1:1">
      <c r="A174" s="19"/>
    </row>
    <row r="175" spans="1:1">
      <c r="A175" s="19"/>
    </row>
    <row r="176" spans="1:1">
      <c r="A176" s="19"/>
    </row>
    <row r="177" spans="1:1">
      <c r="A177" s="19"/>
    </row>
    <row r="178" spans="1:1">
      <c r="A178" s="19"/>
    </row>
    <row r="179" spans="1:1">
      <c r="A179" s="19"/>
    </row>
    <row r="180" spans="1:1">
      <c r="A180" s="19"/>
    </row>
    <row r="181" spans="1:1">
      <c r="A181" s="19"/>
    </row>
    <row r="182" spans="1:1">
      <c r="A182" s="19"/>
    </row>
    <row r="183" spans="1:1">
      <c r="A183" s="19"/>
    </row>
    <row r="184" spans="1:1">
      <c r="A184" s="19"/>
    </row>
    <row r="185" spans="1:1">
      <c r="A185" s="19"/>
    </row>
    <row r="186" spans="1:1">
      <c r="A186" s="19"/>
    </row>
    <row r="187" spans="1:1">
      <c r="A187" s="19"/>
    </row>
    <row r="188" spans="1:1">
      <c r="A188" s="19"/>
    </row>
    <row r="189" spans="1:1">
      <c r="A189" s="19"/>
    </row>
    <row r="190" spans="1:1">
      <c r="A190" s="19"/>
    </row>
    <row r="191" spans="1:1">
      <c r="A191" s="19"/>
    </row>
    <row r="192" spans="1:1">
      <c r="A192" s="19"/>
    </row>
    <row r="193" spans="1:1">
      <c r="A193" s="19"/>
    </row>
    <row r="194" spans="1:1">
      <c r="A194" s="19"/>
    </row>
    <row r="195" spans="1:1">
      <c r="A195" s="19"/>
    </row>
    <row r="196" spans="1:1">
      <c r="A196" s="19"/>
    </row>
    <row r="197" spans="1:1">
      <c r="A197" s="19"/>
    </row>
    <row r="198" spans="1:1">
      <c r="A198" s="19"/>
    </row>
    <row r="199" spans="1:1">
      <c r="A199" s="19"/>
    </row>
    <row r="200" spans="1:1">
      <c r="A200" s="19"/>
    </row>
    <row r="201" spans="1:1">
      <c r="A201" s="19"/>
    </row>
    <row r="202" spans="1:1">
      <c r="A202" s="19"/>
    </row>
    <row r="203" spans="1:1">
      <c r="A203" s="19"/>
    </row>
    <row r="204" spans="1:1">
      <c r="A204" s="19"/>
    </row>
    <row r="205" spans="1:1">
      <c r="A205" s="19"/>
    </row>
    <row r="206" spans="1:1">
      <c r="A206" s="19"/>
    </row>
    <row r="207" spans="1:1">
      <c r="A207" s="19"/>
    </row>
    <row r="208" spans="1:1">
      <c r="A208" s="19"/>
    </row>
    <row r="209" spans="1:1">
      <c r="A209" s="19"/>
    </row>
    <row r="210" spans="1:1">
      <c r="A210" s="19"/>
    </row>
    <row r="211" spans="1:1">
      <c r="A211" s="19"/>
    </row>
    <row r="212" spans="1:1">
      <c r="A212" s="19"/>
    </row>
    <row r="213" spans="1:1">
      <c r="A213" s="19"/>
    </row>
    <row r="214" spans="1:1">
      <c r="A214" s="19"/>
    </row>
    <row r="215" spans="1:1">
      <c r="A215" s="19"/>
    </row>
    <row r="216" spans="1:1">
      <c r="A216" s="19"/>
    </row>
    <row r="217" spans="1:1">
      <c r="A217" s="19"/>
    </row>
    <row r="218" spans="1:1">
      <c r="A218" s="19"/>
    </row>
    <row r="219" spans="1:1">
      <c r="A219" s="19"/>
    </row>
    <row r="220" spans="1:1">
      <c r="A220" s="19"/>
    </row>
    <row r="221" spans="1:1">
      <c r="A221" s="19"/>
    </row>
    <row r="222" spans="1:1">
      <c r="A222" s="19"/>
    </row>
    <row r="223" spans="1:1">
      <c r="A223" s="19"/>
    </row>
    <row r="224" spans="1:1">
      <c r="A224" s="19"/>
    </row>
    <row r="225" spans="1:1">
      <c r="A225" s="19"/>
    </row>
    <row r="226" spans="1:1">
      <c r="A226" s="19"/>
    </row>
    <row r="227" spans="1:1">
      <c r="A227" s="19"/>
    </row>
    <row r="228" spans="1:1">
      <c r="A228" s="19"/>
    </row>
    <row r="229" spans="1:1">
      <c r="A229" s="19"/>
    </row>
    <row r="230" spans="1:1">
      <c r="A230" s="19"/>
    </row>
    <row r="231" spans="1:1">
      <c r="A231" s="19"/>
    </row>
    <row r="232" spans="1:1">
      <c r="A232" s="19"/>
    </row>
    <row r="233" spans="1:1">
      <c r="A233" s="19"/>
    </row>
    <row r="234" spans="1:1">
      <c r="A234" s="19"/>
    </row>
    <row r="235" spans="1:1">
      <c r="A235" s="19"/>
    </row>
    <row r="236" spans="1:1">
      <c r="A236" s="19"/>
    </row>
    <row r="237" spans="1:1">
      <c r="A237" s="19"/>
    </row>
    <row r="238" spans="1:1">
      <c r="A238" s="19"/>
    </row>
    <row r="239" spans="1:1">
      <c r="A239" s="19"/>
    </row>
    <row r="240" spans="1:1">
      <c r="A240" s="19"/>
    </row>
    <row r="241" spans="1:1">
      <c r="A241" s="19"/>
    </row>
    <row r="242" spans="1:1">
      <c r="A242" s="19"/>
    </row>
    <row r="243" spans="1:1">
      <c r="A243" s="19"/>
    </row>
    <row r="244" spans="1:1">
      <c r="A244" s="19"/>
    </row>
    <row r="245" spans="1:1">
      <c r="A245" s="19"/>
    </row>
    <row r="246" spans="1:1">
      <c r="A246" s="19"/>
    </row>
    <row r="247" spans="1:1">
      <c r="A247" s="19"/>
    </row>
    <row r="248" spans="1:1">
      <c r="A248" s="19"/>
    </row>
    <row r="249" spans="1:1">
      <c r="A249" s="19"/>
    </row>
    <row r="250" spans="1:1">
      <c r="A250" s="19"/>
    </row>
    <row r="251" spans="1:1">
      <c r="A251" s="19"/>
    </row>
    <row r="252" spans="1:1">
      <c r="A252" s="19"/>
    </row>
    <row r="253" spans="1:1">
      <c r="A253" s="19"/>
    </row>
    <row r="254" spans="1:1">
      <c r="A254" s="19"/>
    </row>
    <row r="255" spans="1:1">
      <c r="A255" s="19"/>
    </row>
    <row r="256" spans="1:1">
      <c r="A256" s="19"/>
    </row>
    <row r="257" spans="1:1">
      <c r="A257" s="19"/>
    </row>
    <row r="258" spans="1:1">
      <c r="A258" s="19"/>
    </row>
    <row r="259" spans="1:1">
      <c r="A259" s="19"/>
    </row>
    <row r="260" spans="1:1">
      <c r="A260" s="19"/>
    </row>
    <row r="261" spans="1:1">
      <c r="A261" s="19"/>
    </row>
    <row r="262" spans="1:1">
      <c r="A262" s="19"/>
    </row>
    <row r="263" spans="1:1">
      <c r="A263" s="19"/>
    </row>
    <row r="264" spans="1:1">
      <c r="A264" s="19"/>
    </row>
    <row r="265" spans="1:1">
      <c r="A265" s="19"/>
    </row>
    <row r="266" spans="1:1">
      <c r="A266" s="19"/>
    </row>
    <row r="267" spans="1:1">
      <c r="A267" s="19"/>
    </row>
    <row r="268" spans="1:1">
      <c r="A268" s="19"/>
    </row>
    <row r="269" spans="1:1">
      <c r="A269" s="19"/>
    </row>
    <row r="270" spans="1:1">
      <c r="A270" s="19"/>
    </row>
    <row r="271" spans="1:1">
      <c r="A271" s="19"/>
    </row>
    <row r="272" spans="1:1">
      <c r="A272" s="19"/>
    </row>
    <row r="273" spans="1:1">
      <c r="A273" s="19"/>
    </row>
    <row r="274" spans="1:1">
      <c r="A274" s="19"/>
    </row>
    <row r="275" spans="1:1">
      <c r="A275" s="19"/>
    </row>
    <row r="276" spans="1:1">
      <c r="A276" s="19"/>
    </row>
    <row r="277" spans="1:1">
      <c r="A277" s="19"/>
    </row>
    <row r="278" spans="1:1">
      <c r="A278" s="19"/>
    </row>
    <row r="279" spans="1:1">
      <c r="A279" s="19"/>
    </row>
    <row r="280" spans="1:1">
      <c r="A280" s="19"/>
    </row>
    <row r="281" spans="1:1">
      <c r="A281" s="19"/>
    </row>
    <row r="282" spans="1:1">
      <c r="A282" s="19"/>
    </row>
    <row r="283" spans="1:1">
      <c r="A283" s="19"/>
    </row>
    <row r="284" spans="1:1">
      <c r="A284" s="19"/>
    </row>
    <row r="285" spans="1:1">
      <c r="A285" s="19"/>
    </row>
    <row r="286" spans="1:1">
      <c r="A286" s="19"/>
    </row>
    <row r="287" spans="1:1">
      <c r="A287" s="19"/>
    </row>
    <row r="288" spans="1:1">
      <c r="A288" s="19"/>
    </row>
    <row r="289" spans="1:1">
      <c r="A289" s="19"/>
    </row>
    <row r="290" spans="1:1">
      <c r="A290" s="19"/>
    </row>
    <row r="291" spans="1:1">
      <c r="A291" s="19"/>
    </row>
    <row r="292" spans="1:1">
      <c r="A292" s="19"/>
    </row>
    <row r="293" spans="1:1">
      <c r="A293" s="19"/>
    </row>
    <row r="294" spans="1:1">
      <c r="A294" s="19"/>
    </row>
    <row r="295" spans="1:1">
      <c r="A295" s="19"/>
    </row>
    <row r="296" spans="1:1">
      <c r="A296" s="19"/>
    </row>
    <row r="297" spans="1:1">
      <c r="A297" s="19"/>
    </row>
    <row r="298" spans="1:1">
      <c r="A298" s="19"/>
    </row>
    <row r="299" spans="1:1">
      <c r="A299" s="19"/>
    </row>
    <row r="300" spans="1:1">
      <c r="A300" s="19"/>
    </row>
    <row r="301" spans="1:1">
      <c r="A301" s="19"/>
    </row>
    <row r="302" spans="1:1">
      <c r="A302" s="19"/>
    </row>
    <row r="303" spans="1:1">
      <c r="A303" s="19"/>
    </row>
    <row r="304" spans="1:1">
      <c r="A304" s="19"/>
    </row>
    <row r="305" spans="1:1">
      <c r="A305" s="19"/>
    </row>
    <row r="306" spans="1:1">
      <c r="A306" s="19"/>
    </row>
    <row r="307" spans="1:1">
      <c r="A307" s="19"/>
    </row>
    <row r="308" spans="1:1">
      <c r="A308" s="19"/>
    </row>
    <row r="309" spans="1:1">
      <c r="A309" s="19"/>
    </row>
    <row r="310" spans="1:1">
      <c r="A310" s="19"/>
    </row>
    <row r="311" spans="1:1">
      <c r="A311" s="19"/>
    </row>
    <row r="312" spans="1:1">
      <c r="A312" s="19"/>
    </row>
    <row r="313" spans="1:1">
      <c r="A313" s="19"/>
    </row>
    <row r="314" spans="1:1">
      <c r="A314" s="19"/>
    </row>
    <row r="315" spans="1:1">
      <c r="A315" s="19"/>
    </row>
    <row r="316" spans="1:1">
      <c r="A316" s="19"/>
    </row>
    <row r="317" spans="1:1">
      <c r="A317" s="19"/>
    </row>
    <row r="318" spans="1:1">
      <c r="A318" s="19"/>
    </row>
    <row r="319" spans="1:1">
      <c r="A319" s="19"/>
    </row>
    <row r="320" spans="1:1">
      <c r="A320" s="19"/>
    </row>
    <row r="321" spans="1:1">
      <c r="A321" s="19"/>
    </row>
    <row r="322" spans="1:1">
      <c r="A322" s="19"/>
    </row>
    <row r="323" spans="1:1">
      <c r="A323" s="19"/>
    </row>
    <row r="324" spans="1:1">
      <c r="A324" s="19"/>
    </row>
    <row r="325" spans="1:1">
      <c r="A325" s="19"/>
    </row>
    <row r="326" spans="1:1">
      <c r="A326" s="19"/>
    </row>
    <row r="327" spans="1:1">
      <c r="A327" s="19"/>
    </row>
    <row r="328" spans="1:1">
      <c r="A328" s="19"/>
    </row>
    <row r="329" spans="1:1">
      <c r="A329" s="19"/>
    </row>
    <row r="330" spans="1:1">
      <c r="A330" s="19"/>
    </row>
    <row r="331" spans="1:1">
      <c r="A331" s="19"/>
    </row>
    <row r="332" spans="1:1">
      <c r="A332" s="19"/>
    </row>
    <row r="333" spans="1:1">
      <c r="A333" s="19"/>
    </row>
    <row r="334" spans="1:1">
      <c r="A334" s="19"/>
    </row>
    <row r="335" spans="1:1">
      <c r="A335" s="19"/>
    </row>
    <row r="336" spans="1:1">
      <c r="A336" s="19"/>
    </row>
    <row r="337" spans="1:1">
      <c r="A337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5502-9063-405D-B9C9-5CF75E2F9765}">
  <dimension ref="A1:AG337"/>
  <sheetViews>
    <sheetView zoomScale="85" zoomScaleNormal="85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7109375" style="10" bestFit="1" customWidth="1"/>
    <col min="2" max="16384" width="9.140625" style="10"/>
  </cols>
  <sheetData>
    <row r="1" spans="1:33">
      <c r="A1" s="10" t="s">
        <v>0</v>
      </c>
      <c r="B1" s="24">
        <f>'[2]Soy Complex'!AI387</f>
        <v>4.9000000000000004</v>
      </c>
      <c r="C1" s="24" t="str">
        <f>'[2]Soy Complex'!AJ387</f>
        <v xml:space="preserve">94/95 </v>
      </c>
      <c r="D1" s="24" t="str">
        <f>'[2]Soy Complex'!AK387</f>
        <v xml:space="preserve">95/96 </v>
      </c>
      <c r="E1" s="24" t="str">
        <f>'[2]Soy Complex'!AL387</f>
        <v xml:space="preserve">96/97 </v>
      </c>
      <c r="F1" s="24" t="str">
        <f>'[2]Soy Complex'!AM387</f>
        <v xml:space="preserve">97/98 </v>
      </c>
      <c r="G1" s="24" t="str">
        <f>'[2]Soy Complex'!AN387</f>
        <v xml:space="preserve">98/99 </v>
      </c>
      <c r="H1" s="24" t="str">
        <f>'[2]Soy Complex'!AO387</f>
        <v xml:space="preserve">99/00 </v>
      </c>
      <c r="I1" s="24" t="str">
        <f>'[2]Soy Complex'!AP387</f>
        <v xml:space="preserve">00/01 </v>
      </c>
      <c r="J1" s="24" t="str">
        <f>'[2]Soy Complex'!AQ387</f>
        <v xml:space="preserve">01/02 </v>
      </c>
      <c r="K1" s="24" t="str">
        <f>'[2]Soy Complex'!AR387</f>
        <v xml:space="preserve">02/03 </v>
      </c>
      <c r="L1" s="24" t="str">
        <f>'[2]Soy Complex'!AS387</f>
        <v xml:space="preserve">03/04 </v>
      </c>
      <c r="M1" s="24" t="str">
        <f>'[2]Soy Complex'!AT387</f>
        <v xml:space="preserve">04/05 </v>
      </c>
      <c r="N1" s="24" t="str">
        <f>'[2]Soy Complex'!AU387</f>
        <v xml:space="preserve">05/06 </v>
      </c>
      <c r="O1" s="24" t="str">
        <f>'[2]Soy Complex'!AV387</f>
        <v xml:space="preserve">06/07 </v>
      </c>
      <c r="P1" s="24" t="str">
        <f>'[2]Soy Complex'!AW387</f>
        <v xml:space="preserve">07/08 </v>
      </c>
      <c r="Q1" s="24" t="str">
        <f>'[2]Soy Complex'!AX387</f>
        <v xml:space="preserve">08/09 </v>
      </c>
      <c r="R1" s="24" t="str">
        <f>'[2]Soy Complex'!AY387</f>
        <v xml:space="preserve">09/10 </v>
      </c>
      <c r="S1" s="24" t="str">
        <f>'[2]Soy Complex'!AZ387</f>
        <v xml:space="preserve">10/11 </v>
      </c>
      <c r="T1" s="24" t="str">
        <f>'[2]Soy Complex'!BA387</f>
        <v xml:space="preserve">11/12 </v>
      </c>
      <c r="U1" s="24" t="str">
        <f>'[2]Soy Complex'!BB387</f>
        <v xml:space="preserve">12/13 </v>
      </c>
      <c r="V1" s="24" t="str">
        <f>'[2]Soy Complex'!BC387</f>
        <v xml:space="preserve">13/14 </v>
      </c>
      <c r="W1" s="24" t="str">
        <f>'[2]Soy Complex'!BD387</f>
        <v xml:space="preserve">14/15 </v>
      </c>
      <c r="X1" s="24" t="str">
        <f>'[2]Soy Complex'!BE387</f>
        <v xml:space="preserve">15/16 </v>
      </c>
      <c r="Y1" s="24" t="str">
        <f>'[2]Soy Complex'!BF387</f>
        <v xml:space="preserve">16/17 </v>
      </c>
      <c r="Z1" s="24" t="str">
        <f>'[2]Soy Complex'!BG387</f>
        <v xml:space="preserve">17/18 </v>
      </c>
      <c r="AA1" s="24" t="str">
        <f>'[2]Soy Complex'!BH387</f>
        <v xml:space="preserve">18/19 </v>
      </c>
      <c r="AB1" s="24" t="str">
        <f>'[2]Soy Complex'!BI387</f>
        <v>19/20</v>
      </c>
      <c r="AC1" s="24" t="str">
        <f>'[2]Soy Complex'!BJ387</f>
        <v>20/21</v>
      </c>
      <c r="AD1" s="24" t="str">
        <f>'[2]Soy Complex'!BK387</f>
        <v xml:space="preserve">21/22 </v>
      </c>
      <c r="AE1" s="24" t="str">
        <f>'[2]Soy Complex'!BL387</f>
        <v xml:space="preserve">22/23 </v>
      </c>
      <c r="AF1" s="24" t="str">
        <f>'[2]Soy Complex'!BM387</f>
        <v xml:space="preserve">23/24 </v>
      </c>
      <c r="AG1" s="24" t="str">
        <f>'[2]Soy Complex'!BN387</f>
        <v xml:space="preserve">24/25 </v>
      </c>
    </row>
    <row r="2" spans="1:33">
      <c r="A2" s="19" t="s">
        <v>28</v>
      </c>
      <c r="B2" s="11">
        <f>'[2]Soy Complex'!AI388</f>
        <v>4.96</v>
      </c>
      <c r="C2" s="11">
        <f>'[2]Soy Complex'!AJ388</f>
        <v>0</v>
      </c>
      <c r="D2" s="11">
        <f>'[2]Soy Complex'!AK388</f>
        <v>0</v>
      </c>
      <c r="E2" s="11">
        <f>'[2]Soy Complex'!AL388</f>
        <v>0</v>
      </c>
      <c r="F2" s="11">
        <f>'[2]Soy Complex'!AM388</f>
        <v>0</v>
      </c>
      <c r="G2" s="11">
        <f>'[2]Soy Complex'!AN388</f>
        <v>0.14845192849800068</v>
      </c>
      <c r="H2" s="11">
        <f>'[2]Soy Complex'!AO388</f>
        <v>0.59380771399200272</v>
      </c>
      <c r="I2" s="11">
        <f>'[2]Soy Complex'!AP388</f>
        <v>0.10594550710612409</v>
      </c>
      <c r="J2" s="11">
        <f>'[2]Soy Complex'!AQ388</f>
        <v>4.7053309611616596</v>
      </c>
      <c r="K2" s="11">
        <f>'[2]Soy Complex'!AR388</f>
        <v>5.6274177871419004</v>
      </c>
      <c r="L2" s="11">
        <f>'[2]Soy Complex'!AS388</f>
        <v>3.2679714900617962</v>
      </c>
      <c r="M2" s="11">
        <f>'[2]Soy Complex'!AT388</f>
        <v>26.33123743930997</v>
      </c>
      <c r="N2" s="11">
        <f>'[2]Soy Complex'!AU388</f>
        <v>88.427799471015888</v>
      </c>
      <c r="O2" s="11">
        <f>'[2]Soy Complex'!AV388</f>
        <v>166.1</v>
      </c>
      <c r="P2" s="11">
        <f>'[2]Soy Complex'!AW388</f>
        <v>246.8</v>
      </c>
      <c r="Q2" s="11">
        <f>'[2]Soy Complex'!AX388</f>
        <v>295.3</v>
      </c>
      <c r="R2" s="11">
        <f>'[2]Soy Complex'!AY388</f>
        <v>244</v>
      </c>
      <c r="S2" s="11">
        <f>'[2]Soy Complex'!AZ388</f>
        <v>105</v>
      </c>
      <c r="T2" s="11">
        <f>'[2]Soy Complex'!BA388</f>
        <v>531.24151557377047</v>
      </c>
      <c r="U2" s="11">
        <f>'[2]Soy Complex'!BB388</f>
        <v>311.1290819672131</v>
      </c>
      <c r="V2" s="11">
        <f>'[2]Soy Complex'!BC388</f>
        <v>580.06077131147538</v>
      </c>
      <c r="W2" s="11">
        <f>'[2]Soy Complex'!BD388</f>
        <v>461.91774426229506</v>
      </c>
      <c r="X2" s="11">
        <f>'[2]Soy Complex'!BE388</f>
        <v>409.38934918032788</v>
      </c>
      <c r="Y2" s="11">
        <f>'[2]Soy Complex'!BF388</f>
        <v>560.2701364026542</v>
      </c>
      <c r="Z2" s="11">
        <f>'[2]Soy Complex'!BG388</f>
        <v>618.96054429300784</v>
      </c>
      <c r="AA2" s="11">
        <f>'[2]Soy Complex'!BH388</f>
        <v>783.02353468238039</v>
      </c>
      <c r="AB2" s="11">
        <f>'[2]Soy Complex'!BI388</f>
        <v>696.18438467083797</v>
      </c>
      <c r="AC2" s="24">
        <f>'[2]Soy Complex'!BJ388</f>
        <v>785.87598756355499</v>
      </c>
      <c r="AD2" s="24">
        <f>'[2]Soy Complex'!BK388</f>
        <v>834.43943405266543</v>
      </c>
      <c r="AE2" s="24">
        <f>'[2]Soy Complex'!BL388</f>
        <v>906.40899999999999</v>
      </c>
      <c r="AF2" s="24">
        <f>'[2]Soy Complex'!BM388</f>
        <v>1061.944</v>
      </c>
      <c r="AG2" s="24">
        <f>'[2]Soy Complex'!BN388</f>
        <v>1227.0820000000001</v>
      </c>
    </row>
    <row r="3" spans="1:33">
      <c r="A3" s="19" t="s">
        <v>29</v>
      </c>
      <c r="B3" s="11">
        <f>'[2]Soy Complex'!AI389</f>
        <v>4.95</v>
      </c>
      <c r="C3" s="11">
        <f>'[2]Soy Complex'!AJ389</f>
        <v>0</v>
      </c>
      <c r="D3" s="11">
        <f>'[2]Soy Complex'!AK389</f>
        <v>0</v>
      </c>
      <c r="E3" s="11">
        <f>'[2]Soy Complex'!AL389</f>
        <v>0</v>
      </c>
      <c r="F3" s="11">
        <f>'[2]Soy Complex'!AM389</f>
        <v>0</v>
      </c>
      <c r="G3" s="11">
        <f>'[2]Soy Complex'!AN389</f>
        <v>0.14845192849800068</v>
      </c>
      <c r="H3" s="11">
        <f>'[2]Soy Complex'!AO389</f>
        <v>0.59380771399200272</v>
      </c>
      <c r="I3" s="11">
        <f>'[2]Soy Complex'!AP389</f>
        <v>0.10594550710612409</v>
      </c>
      <c r="J3" s="11">
        <f>'[2]Soy Complex'!AQ389</f>
        <v>4.7053309611616596</v>
      </c>
      <c r="K3" s="11">
        <f>'[2]Soy Complex'!AR389</f>
        <v>5.6274177871419004</v>
      </c>
      <c r="L3" s="11">
        <f>'[2]Soy Complex'!AS389</f>
        <v>3.2679714900617962</v>
      </c>
      <c r="M3" s="11">
        <f>'[2]Soy Complex'!AT389</f>
        <v>26.33123743930997</v>
      </c>
      <c r="N3" s="11">
        <f>'[2]Soy Complex'!AU389</f>
        <v>88.427799471015888</v>
      </c>
      <c r="O3" s="11">
        <f>'[2]Soy Complex'!AV389</f>
        <v>157.6</v>
      </c>
      <c r="P3" s="11">
        <f>'[2]Soy Complex'!AW389</f>
        <v>219.1</v>
      </c>
      <c r="Q3" s="11">
        <f>'[2]Soy Complex'!AX389</f>
        <v>252.4</v>
      </c>
      <c r="R3" s="11">
        <f>'[2]Soy Complex'!AY389</f>
        <v>237</v>
      </c>
      <c r="S3" s="11">
        <f>'[2]Soy Complex'!AZ389</f>
        <v>73</v>
      </c>
      <c r="T3" s="11">
        <f>'[2]Soy Complex'!BA389</f>
        <v>543.65642991803281</v>
      </c>
      <c r="U3" s="11">
        <f>'[2]Soy Complex'!BB389</f>
        <v>253.02707459016392</v>
      </c>
      <c r="V3" s="11">
        <f>'[2]Soy Complex'!BC389</f>
        <v>551.30496065573766</v>
      </c>
      <c r="W3" s="11">
        <f>'[2]Soy Complex'!BD389</f>
        <v>449.03584180327869</v>
      </c>
      <c r="X3" s="11">
        <f>'[2]Soy Complex'!BE389</f>
        <v>465.14828934426231</v>
      </c>
      <c r="Y3" s="11">
        <f>'[2]Soy Complex'!BF389</f>
        <v>640.6064903688922</v>
      </c>
      <c r="Z3" s="11">
        <f>'[2]Soy Complex'!BG389</f>
        <v>629.27709169795571</v>
      </c>
      <c r="AA3" s="11">
        <f>'[2]Soy Complex'!BH389</f>
        <v>784.39340940183877</v>
      </c>
      <c r="AB3" s="11">
        <f>'[2]Soy Complex'!BI389</f>
        <v>645.39542296890977</v>
      </c>
      <c r="AC3" s="24">
        <f>'[2]Soy Complex'!BJ389</f>
        <v>805.37285650950196</v>
      </c>
      <c r="AD3" s="24">
        <f>'[2]Soy Complex'!BK389</f>
        <v>820.20644973968263</v>
      </c>
      <c r="AE3" s="24">
        <f>'[2]Soy Complex'!BL389</f>
        <v>943.34199999999998</v>
      </c>
      <c r="AF3" s="24">
        <f>'[2]Soy Complex'!BM389</f>
        <v>1062.1690000000001</v>
      </c>
      <c r="AG3" s="24">
        <f>'[2]Soy Complex'!BN389</f>
        <v>1191.5229999999999</v>
      </c>
    </row>
    <row r="4" spans="1:33">
      <c r="A4" s="19" t="s">
        <v>30</v>
      </c>
      <c r="B4" s="11">
        <f>'[2]Soy Complex'!AI390</f>
        <v>5.0199999999999996</v>
      </c>
      <c r="C4" s="11">
        <f>'[2]Soy Complex'!AJ390</f>
        <v>0</v>
      </c>
      <c r="D4" s="11">
        <f>'[2]Soy Complex'!AK390</f>
        <v>0</v>
      </c>
      <c r="E4" s="11">
        <f>'[2]Soy Complex'!AL390</f>
        <v>0</v>
      </c>
      <c r="F4" s="11">
        <f>'[2]Soy Complex'!AM390</f>
        <v>0</v>
      </c>
      <c r="G4" s="11">
        <f>'[2]Soy Complex'!AN390</f>
        <v>0.14845192849800068</v>
      </c>
      <c r="H4" s="11">
        <f>'[2]Soy Complex'!AO390</f>
        <v>0.59380771399200272</v>
      </c>
      <c r="I4" s="11">
        <f>'[2]Soy Complex'!AP390</f>
        <v>0.10594550710612409</v>
      </c>
      <c r="J4" s="11">
        <f>'[2]Soy Complex'!AQ390</f>
        <v>4.7053309611616596</v>
      </c>
      <c r="K4" s="11">
        <f>'[2]Soy Complex'!AR390</f>
        <v>5.6274177871419004</v>
      </c>
      <c r="L4" s="11">
        <f>'[2]Soy Complex'!AS390</f>
        <v>3.2679714900617962</v>
      </c>
      <c r="M4" s="11">
        <f>'[2]Soy Complex'!AT390</f>
        <v>26.33123743930997</v>
      </c>
      <c r="N4" s="11">
        <f>'[2]Soy Complex'!AU390</f>
        <v>88.427799471015888</v>
      </c>
      <c r="O4" s="11">
        <f>'[2]Soy Complex'!AV390</f>
        <v>178.7</v>
      </c>
      <c r="P4" s="11">
        <f>'[2]Soy Complex'!AW390</f>
        <v>219.3</v>
      </c>
      <c r="Q4" s="11">
        <f>'[2]Soy Complex'!AX390</f>
        <v>207</v>
      </c>
      <c r="R4" s="11">
        <f>'[2]Soy Complex'!AY390</f>
        <v>241</v>
      </c>
      <c r="S4" s="11">
        <f>'[2]Soy Complex'!AZ390</f>
        <v>63</v>
      </c>
      <c r="T4" s="11">
        <f>'[2]Soy Complex'!BA390</f>
        <v>595.48178278688522</v>
      </c>
      <c r="U4" s="11">
        <f>'[2]Soy Complex'!BB390</f>
        <v>281.03496024590163</v>
      </c>
      <c r="V4" s="11">
        <f>'[2]Soy Complex'!BC390</f>
        <v>561.09804754098366</v>
      </c>
      <c r="W4" s="11">
        <f>'[2]Soy Complex'!BD390</f>
        <v>534.22628770491792</v>
      </c>
      <c r="X4" s="11">
        <f>'[2]Soy Complex'!BE390</f>
        <v>437.10229713114757</v>
      </c>
      <c r="Y4" s="11">
        <f>'[2]Soy Complex'!BF390</f>
        <v>654.68939716852515</v>
      </c>
      <c r="Z4" s="11">
        <f>'[2]Soy Complex'!BG390</f>
        <v>636.32991055182811</v>
      </c>
      <c r="AA4" s="11">
        <f>'[2]Soy Complex'!BH390</f>
        <v>862.13341442805211</v>
      </c>
      <c r="AB4" s="11">
        <f>'[2]Soy Complex'!BI390</f>
        <v>700.68491711617048</v>
      </c>
      <c r="AC4" s="24">
        <f>'[2]Soy Complex'!BJ390</f>
        <v>891.47086327785996</v>
      </c>
      <c r="AD4" s="24">
        <f>'[2]Soy Complex'!BK390</f>
        <v>940.97093390345049</v>
      </c>
      <c r="AE4" s="24">
        <f>'[2]Soy Complex'!BL390</f>
        <v>885.65899999999999</v>
      </c>
      <c r="AF4" s="24">
        <f>'[2]Soy Complex'!BM390</f>
        <v>1141.3201944193002</v>
      </c>
      <c r="AG4" s="24">
        <f>'[2]Soy Complex'!BN390</f>
        <v>1096.6990000000001</v>
      </c>
    </row>
    <row r="5" spans="1:33">
      <c r="A5" s="19" t="s">
        <v>31</v>
      </c>
      <c r="B5" s="11">
        <f>'[2]Soy Complex'!AI391</f>
        <v>5.09</v>
      </c>
      <c r="C5" s="11">
        <f>'[2]Soy Complex'!AJ391</f>
        <v>0</v>
      </c>
      <c r="D5" s="11">
        <f>'[2]Soy Complex'!AK391</f>
        <v>0</v>
      </c>
      <c r="E5" s="11">
        <f>'[2]Soy Complex'!AL391</f>
        <v>0</v>
      </c>
      <c r="F5" s="11">
        <f>'[2]Soy Complex'!AM391</f>
        <v>0</v>
      </c>
      <c r="G5" s="11">
        <f>'[2]Soy Complex'!AN391</f>
        <v>0.15748480840727289</v>
      </c>
      <c r="H5" s="11">
        <f>'[2]Soy Complex'!AO391</f>
        <v>0.62993923362909154</v>
      </c>
      <c r="I5" s="11">
        <f>'[2]Soy Complex'!AP391</f>
        <v>3.6232368797822416</v>
      </c>
      <c r="J5" s="11">
        <f>'[2]Soy Complex'!AQ391</f>
        <v>6.3683646097343614</v>
      </c>
      <c r="K5" s="11">
        <f>'[2]Soy Complex'!AR391</f>
        <v>5.1705605193162594</v>
      </c>
      <c r="L5" s="11">
        <f>'[2]Soy Complex'!AS391</f>
        <v>12.937129110066229</v>
      </c>
      <c r="M5" s="11">
        <f>'[2]Soy Complex'!AT391</f>
        <v>17.948954341994057</v>
      </c>
      <c r="N5" s="11">
        <f>'[2]Soy Complex'!AU391</f>
        <v>94.4</v>
      </c>
      <c r="O5" s="11">
        <f>'[2]Soy Complex'!AV391</f>
        <v>192.1</v>
      </c>
      <c r="P5" s="11">
        <f>'[2]Soy Complex'!AW391</f>
        <v>289</v>
      </c>
      <c r="Q5" s="11">
        <f>'[2]Soy Complex'!AX391</f>
        <v>152</v>
      </c>
      <c r="R5" s="11">
        <f>'[2]Soy Complex'!AY391</f>
        <v>90</v>
      </c>
      <c r="S5" s="11">
        <f>'[2]Soy Complex'!AZ391</f>
        <v>150</v>
      </c>
      <c r="T5" s="11">
        <f>'[2]Soy Complex'!BA391</f>
        <v>307.89122827868852</v>
      </c>
      <c r="U5" s="11">
        <f>'[2]Soy Complex'!BB391</f>
        <v>314.4893450819672</v>
      </c>
      <c r="V5" s="11">
        <f>'[2]Soy Complex'!BC391</f>
        <v>241.86406639344261</v>
      </c>
      <c r="W5" s="11">
        <f>'[2]Soy Complex'!BD391</f>
        <v>306.61247950819671</v>
      </c>
      <c r="X5" s="11">
        <f>'[2]Soy Complex'!BE391</f>
        <v>393.13795040983604</v>
      </c>
      <c r="Y5" s="11">
        <f>'[2]Soy Complex'!BF391</f>
        <v>420.94313711669025</v>
      </c>
      <c r="Z5" s="11">
        <f>'[2]Soy Complex'!BG391</f>
        <v>491.8442757684038</v>
      </c>
      <c r="AA5" s="11">
        <f>'[2]Soy Complex'!BH391</f>
        <v>711.94203871261902</v>
      </c>
      <c r="AB5" s="11">
        <f>'[2]Soy Complex'!BI391</f>
        <v>623.25137377151998</v>
      </c>
      <c r="AC5" s="24">
        <f>'[2]Soy Complex'!BJ391</f>
        <v>683.77633859659568</v>
      </c>
      <c r="AD5" s="24">
        <f>'[2]Soy Complex'!BK391</f>
        <v>791.48900000000003</v>
      </c>
      <c r="AE5" s="24">
        <f>'[2]Soy Complex'!BL391</f>
        <v>940.87400000000002</v>
      </c>
      <c r="AF5" s="24">
        <f>'[2]Soy Complex'!BM391</f>
        <v>960.20299999999997</v>
      </c>
      <c r="AG5" s="24">
        <f>'[2]Soy Complex'!BN391</f>
        <v>636.59772158966973</v>
      </c>
    </row>
    <row r="6" spans="1:33">
      <c r="A6" s="19" t="s">
        <v>32</v>
      </c>
      <c r="B6" s="11">
        <f>'[2]Soy Complex'!AI392</f>
        <v>5.09</v>
      </c>
      <c r="C6" s="11">
        <f>'[2]Soy Complex'!AJ392</f>
        <v>0</v>
      </c>
      <c r="D6" s="11">
        <f>'[2]Soy Complex'!AK392</f>
        <v>0</v>
      </c>
      <c r="E6" s="11">
        <f>'[2]Soy Complex'!AL392</f>
        <v>0</v>
      </c>
      <c r="F6" s="11">
        <f>'[2]Soy Complex'!AM392</f>
        <v>0</v>
      </c>
      <c r="G6" s="11">
        <f>'[2]Soy Complex'!AN392</f>
        <v>0.15748480840727289</v>
      </c>
      <c r="H6" s="11">
        <f>'[2]Soy Complex'!AO392</f>
        <v>0.62993923362909154</v>
      </c>
      <c r="I6" s="11">
        <f>'[2]Soy Complex'!AP392</f>
        <v>3.6232368797822416</v>
      </c>
      <c r="J6" s="11">
        <f>'[2]Soy Complex'!AQ392</f>
        <v>6.3683646097343614</v>
      </c>
      <c r="K6" s="11">
        <f>'[2]Soy Complex'!AR392</f>
        <v>5.1705605193162594</v>
      </c>
      <c r="L6" s="11">
        <f>'[2]Soy Complex'!AS392</f>
        <v>12.937129110066229</v>
      </c>
      <c r="M6" s="11">
        <f>'[2]Soy Complex'!AT392</f>
        <v>17.948954341994057</v>
      </c>
      <c r="N6" s="11">
        <f>'[2]Soy Complex'!AU392</f>
        <v>81.599999999999994</v>
      </c>
      <c r="O6" s="11">
        <f>'[2]Soy Complex'!AV392</f>
        <v>158.4</v>
      </c>
      <c r="P6" s="11">
        <f>'[2]Soy Complex'!AW392</f>
        <v>247.5</v>
      </c>
      <c r="Q6" s="11">
        <f>'[2]Soy Complex'!AX392</f>
        <v>146</v>
      </c>
      <c r="R6" s="11">
        <f>'[2]Soy Complex'!AY392</f>
        <v>102</v>
      </c>
      <c r="S6" s="11">
        <f>'[2]Soy Complex'!AZ392</f>
        <v>150</v>
      </c>
      <c r="T6" s="11">
        <f>'[2]Soy Complex'!BA392</f>
        <v>327.35488893442624</v>
      </c>
      <c r="U6" s="11">
        <f>'[2]Soy Complex'!BB392</f>
        <v>289.15085245901639</v>
      </c>
      <c r="V6" s="11">
        <f>'[2]Soy Complex'!BC392</f>
        <v>278.93020860655736</v>
      </c>
      <c r="W6" s="11">
        <f>'[2]Soy Complex'!BD392</f>
        <v>312.44109918032785</v>
      </c>
      <c r="X6" s="11">
        <f>'[2]Soy Complex'!BE392</f>
        <v>417.11530286885244</v>
      </c>
      <c r="Y6" s="11">
        <f>'[2]Soy Complex'!BF392</f>
        <v>403.78044304347202</v>
      </c>
      <c r="Z6" s="11">
        <f>'[2]Soy Complex'!BG392</f>
        <v>544.03547119317955</v>
      </c>
      <c r="AA6" s="11">
        <f>'[2]Soy Complex'!BH392</f>
        <v>657.85951157590421</v>
      </c>
      <c r="AB6" s="11">
        <f>'[2]Soy Complex'!BI392</f>
        <v>667.12582193924868</v>
      </c>
      <c r="AC6" s="24">
        <f>'[2]Soy Complex'!BJ392</f>
        <v>554.25915105210674</v>
      </c>
      <c r="AD6" s="24">
        <f>'[2]Soy Complex'!BK392</f>
        <v>758.13099999999997</v>
      </c>
      <c r="AE6" s="24">
        <f>'[2]Soy Complex'!BL392</f>
        <v>909.98699999999997</v>
      </c>
      <c r="AF6" s="24">
        <f>'[2]Soy Complex'!BM392</f>
        <v>888.49042234729995</v>
      </c>
      <c r="AG6" s="24">
        <f>'[2]Soy Complex'!BN392</f>
        <v>719.636333589571</v>
      </c>
    </row>
    <row r="7" spans="1:33">
      <c r="A7" s="19" t="s">
        <v>33</v>
      </c>
      <c r="B7" s="11">
        <f>'[2]Soy Complex'!AI393</f>
        <v>5.13</v>
      </c>
      <c r="C7" s="11">
        <f>'[2]Soy Complex'!AJ393</f>
        <v>0</v>
      </c>
      <c r="D7" s="11">
        <f>'[2]Soy Complex'!AK393</f>
        <v>0</v>
      </c>
      <c r="E7" s="11">
        <f>'[2]Soy Complex'!AL393</f>
        <v>0</v>
      </c>
      <c r="F7" s="11">
        <f>'[2]Soy Complex'!AM393</f>
        <v>0</v>
      </c>
      <c r="G7" s="11">
        <f>'[2]Soy Complex'!AN393</f>
        <v>0.15748480840727289</v>
      </c>
      <c r="H7" s="11">
        <f>'[2]Soy Complex'!AO393</f>
        <v>0.62993923362909154</v>
      </c>
      <c r="I7" s="11">
        <f>'[2]Soy Complex'!AP393</f>
        <v>3.6232368797822416</v>
      </c>
      <c r="J7" s="11">
        <f>'[2]Soy Complex'!AQ393</f>
        <v>6.3683646097343614</v>
      </c>
      <c r="K7" s="11">
        <f>'[2]Soy Complex'!AR393</f>
        <v>5.1705605193162594</v>
      </c>
      <c r="L7" s="11">
        <f>'[2]Soy Complex'!AS393</f>
        <v>12.937129110066229</v>
      </c>
      <c r="M7" s="11">
        <f>'[2]Soy Complex'!AT393</f>
        <v>17.948954341994057</v>
      </c>
      <c r="N7" s="11">
        <f>'[2]Soy Complex'!AU393</f>
        <v>111.3</v>
      </c>
      <c r="O7" s="11">
        <f>'[2]Soy Complex'!AV393</f>
        <v>222.4</v>
      </c>
      <c r="P7" s="11">
        <f>'[2]Soy Complex'!AW393</f>
        <v>259.5</v>
      </c>
      <c r="Q7" s="11">
        <f>'[2]Soy Complex'!AX393</f>
        <v>102</v>
      </c>
      <c r="R7" s="11">
        <f>'[2]Soy Complex'!AY393</f>
        <v>112</v>
      </c>
      <c r="S7" s="11">
        <f>'[2]Soy Complex'!AZ393</f>
        <v>190</v>
      </c>
      <c r="T7" s="11">
        <f>'[2]Soy Complex'!BA393</f>
        <v>390.39648606557375</v>
      </c>
      <c r="U7" s="11">
        <f>'[2]Soy Complex'!BB393</f>
        <v>445.56155491803281</v>
      </c>
      <c r="V7" s="11">
        <f>'[2]Soy Complex'!BC393</f>
        <v>381.72403442622948</v>
      </c>
      <c r="W7" s="11">
        <f>'[2]Soy Complex'!BD393</f>
        <v>383.58728975409838</v>
      </c>
      <c r="X7" s="11">
        <f>'[2]Soy Complex'!BE393</f>
        <v>466.15356844262294</v>
      </c>
      <c r="Y7" s="11">
        <f>'[2]Soy Complex'!BF393</f>
        <v>395.95947396180185</v>
      </c>
      <c r="Z7" s="11">
        <f>'[2]Soy Complex'!BG393</f>
        <v>680.94274874726977</v>
      </c>
      <c r="AA7" s="11">
        <f>'[2]Soy Complex'!BH393</f>
        <v>704.31191658863565</v>
      </c>
      <c r="AB7" s="11">
        <f>'[2]Soy Complex'!BI393</f>
        <v>768.60693138262116</v>
      </c>
      <c r="AC7" s="24">
        <f>'[2]Soy Complex'!BJ393</f>
        <v>751.11364006228337</v>
      </c>
      <c r="AD7" s="24">
        <f>'[2]Soy Complex'!BK393</f>
        <v>919.11900000000003</v>
      </c>
      <c r="AE7" s="24">
        <f>'[2]Soy Complex'!BL393</f>
        <v>952.70299999999997</v>
      </c>
      <c r="AF7" s="24">
        <f>'[2]Soy Complex'!BM393</f>
        <v>1026.1990000000001</v>
      </c>
      <c r="AG7" s="24">
        <f>'[2]Soy Complex'!BN393</f>
        <v>926.91414537093965</v>
      </c>
    </row>
    <row r="8" spans="1:33">
      <c r="A8" s="19" t="s">
        <v>34</v>
      </c>
      <c r="B8" s="11">
        <f>'[2]Soy Complex'!AI394</f>
        <v>5.17</v>
      </c>
      <c r="C8" s="11">
        <f>'[2]Soy Complex'!AJ394</f>
        <v>0</v>
      </c>
      <c r="D8" s="11">
        <f>'[2]Soy Complex'!AK394</f>
        <v>0</v>
      </c>
      <c r="E8" s="11">
        <f>'[2]Soy Complex'!AL394</f>
        <v>0</v>
      </c>
      <c r="F8" s="11">
        <f>'[2]Soy Complex'!AM394</f>
        <v>0</v>
      </c>
      <c r="G8" s="11">
        <f>'[2]Soy Complex'!AN394</f>
        <v>0.34572021789631785</v>
      </c>
      <c r="H8" s="11">
        <f>'[2]Soy Complex'!AO394</f>
        <v>1.3828808715852714</v>
      </c>
      <c r="I8" s="11">
        <f>'[2]Soy Complex'!AP394</f>
        <v>6.6667470785954341</v>
      </c>
      <c r="J8" s="11">
        <f>'[2]Soy Complex'!AQ394</f>
        <v>7.5145764566391513</v>
      </c>
      <c r="K8" s="11">
        <f>'[2]Soy Complex'!AR394</f>
        <v>13.039183905705046</v>
      </c>
      <c r="L8" s="11">
        <f>'[2]Soy Complex'!AS394</f>
        <v>14.863558198765865</v>
      </c>
      <c r="M8" s="11">
        <f>'[2]Soy Complex'!AT394</f>
        <v>41.138238360285243</v>
      </c>
      <c r="N8" s="11">
        <f>'[2]Soy Complex'!AU394</f>
        <v>116.7</v>
      </c>
      <c r="O8" s="11">
        <f>'[2]Soy Complex'!AV394</f>
        <v>214.9</v>
      </c>
      <c r="P8" s="11">
        <f>'[2]Soy Complex'!AW394</f>
        <v>266.5</v>
      </c>
      <c r="Q8" s="11">
        <f>'[2]Soy Complex'!AX394</f>
        <v>102</v>
      </c>
      <c r="R8" s="11">
        <f>'[2]Soy Complex'!AY394</f>
        <v>127</v>
      </c>
      <c r="S8" s="11">
        <f>'[2]Soy Complex'!AZ394</f>
        <v>236</v>
      </c>
      <c r="T8" s="11">
        <f>'[2]Soy Complex'!BA394</f>
        <v>351.36586803278686</v>
      </c>
      <c r="U8" s="11">
        <f>'[2]Soy Complex'!BB394</f>
        <v>425.39752622950817</v>
      </c>
      <c r="V8" s="11">
        <f>'[2]Soy Complex'!BC394</f>
        <v>363.38942581967211</v>
      </c>
      <c r="W8" s="11">
        <f>'[2]Soy Complex'!BD394</f>
        <v>386.65846229508202</v>
      </c>
      <c r="X8" s="11">
        <f>'[2]Soy Complex'!BE394</f>
        <v>426.13822906581635</v>
      </c>
      <c r="Y8" s="11">
        <f>'[2]Soy Complex'!BF394</f>
        <v>460.08687599782183</v>
      </c>
      <c r="Z8" s="11">
        <f>'[2]Soy Complex'!BG394</f>
        <v>573.24796009750548</v>
      </c>
      <c r="AA8" s="11">
        <f>'[2]Soy Complex'!BH394</f>
        <v>726.16438988074867</v>
      </c>
      <c r="AB8" s="24">
        <f>'[2]Soy Complex'!BI394</f>
        <v>769.24420452231993</v>
      </c>
      <c r="AC8" s="24">
        <f>'[2]Soy Complex'!BJ394</f>
        <v>702.15417561275945</v>
      </c>
      <c r="AD8" s="24">
        <f>'[2]Soy Complex'!BK394</f>
        <v>842.00099999999998</v>
      </c>
      <c r="AE8" s="24">
        <f>'[2]Soy Complex'!BL394</f>
        <v>926.59799999999996</v>
      </c>
      <c r="AF8" s="24">
        <f>'[2]Soy Complex'!BM394</f>
        <v>1070.029</v>
      </c>
      <c r="AG8" s="24">
        <f>'[2]Soy Complex'!BN394</f>
        <v>1029.7989628755749</v>
      </c>
    </row>
    <row r="9" spans="1:33">
      <c r="A9" s="19" t="s">
        <v>35</v>
      </c>
      <c r="B9" s="11">
        <f>'[2]Soy Complex'!AI395</f>
        <v>5.17</v>
      </c>
      <c r="C9" s="11">
        <f>'[2]Soy Complex'!AJ395</f>
        <v>0</v>
      </c>
      <c r="D9" s="11">
        <f>'[2]Soy Complex'!AK395</f>
        <v>0</v>
      </c>
      <c r="E9" s="11">
        <f>'[2]Soy Complex'!AL395</f>
        <v>0</v>
      </c>
      <c r="F9" s="11">
        <f>'[2]Soy Complex'!AM395</f>
        <v>0</v>
      </c>
      <c r="G9" s="11">
        <f>'[2]Soy Complex'!AN395</f>
        <v>0.34572021789631785</v>
      </c>
      <c r="H9" s="11">
        <f>'[2]Soy Complex'!AO395</f>
        <v>1.3828808715852714</v>
      </c>
      <c r="I9" s="11">
        <f>'[2]Soy Complex'!AP395</f>
        <v>6.6667470785954341</v>
      </c>
      <c r="J9" s="11">
        <f>'[2]Soy Complex'!AQ395</f>
        <v>7.5145764566391513</v>
      </c>
      <c r="K9" s="11">
        <f>'[2]Soy Complex'!AR395</f>
        <v>13.039183905705046</v>
      </c>
      <c r="L9" s="11">
        <f>'[2]Soy Complex'!AS395</f>
        <v>14.863558198765865</v>
      </c>
      <c r="M9" s="11">
        <f>'[2]Soy Complex'!AT395</f>
        <v>41.138238360285243</v>
      </c>
      <c r="N9" s="11">
        <f>'[2]Soy Complex'!AU395</f>
        <v>160.80000000000001</v>
      </c>
      <c r="O9" s="11">
        <f>'[2]Soy Complex'!AV395</f>
        <v>269.10000000000002</v>
      </c>
      <c r="P9" s="11">
        <f>'[2]Soy Complex'!AW395</f>
        <v>269.8</v>
      </c>
      <c r="Q9" s="11">
        <f>'[2]Soy Complex'!AX395</f>
        <v>94</v>
      </c>
      <c r="R9" s="11">
        <f>'[2]Soy Complex'!AY395</f>
        <v>98</v>
      </c>
      <c r="S9" s="11">
        <f>'[2]Soy Complex'!AZ395</f>
        <v>264</v>
      </c>
      <c r="T9" s="11">
        <f>'[2]Soy Complex'!BA395</f>
        <v>430.50676967213116</v>
      </c>
      <c r="U9" s="11">
        <f>'[2]Soy Complex'!BB395</f>
        <v>422.73424262295083</v>
      </c>
      <c r="V9" s="11">
        <f>'[2]Soy Complex'!BC395</f>
        <v>366.80940163934429</v>
      </c>
      <c r="W9" s="11">
        <f>'[2]Soy Complex'!BD395</f>
        <v>444.25804139344262</v>
      </c>
      <c r="X9" s="11">
        <f>'[2]Soy Complex'!BE395</f>
        <v>564.30685018907764</v>
      </c>
      <c r="Y9" s="11">
        <f>'[2]Soy Complex'!BF395</f>
        <v>585.4515715873539</v>
      </c>
      <c r="Z9" s="11">
        <f>'[2]Soy Complex'!BG395</f>
        <v>627.43807733803544</v>
      </c>
      <c r="AA9" s="11">
        <f>'[2]Soy Complex'!BH395</f>
        <v>757.75509364283459</v>
      </c>
      <c r="AB9" s="24">
        <f>'[2]Soy Complex'!BI395</f>
        <v>920.25707588896512</v>
      </c>
      <c r="AC9" s="24">
        <f>'[2]Soy Complex'!BJ395</f>
        <v>787.42594677582849</v>
      </c>
      <c r="AD9" s="24">
        <f>'[2]Soy Complex'!BK395</f>
        <v>855.74599999999998</v>
      </c>
      <c r="AE9" s="24">
        <f>'[2]Soy Complex'!BL395</f>
        <v>1140.8710000000001</v>
      </c>
      <c r="AF9" s="24">
        <f>'[2]Soy Complex'!BM395</f>
        <v>1076.011</v>
      </c>
      <c r="AG9" s="24">
        <f>'[2]Soy Complex'!BN395</f>
        <v>1062.6334797658242</v>
      </c>
    </row>
    <row r="10" spans="1:33">
      <c r="A10" s="19" t="s">
        <v>36</v>
      </c>
      <c r="B10" s="11">
        <f>'[2]Soy Complex'!AI396</f>
        <v>5.1100000000000003</v>
      </c>
      <c r="C10" s="11">
        <f>'[2]Soy Complex'!AJ396</f>
        <v>0</v>
      </c>
      <c r="D10" s="11">
        <f>'[2]Soy Complex'!AK396</f>
        <v>0</v>
      </c>
      <c r="E10" s="11">
        <f>'[2]Soy Complex'!AL396</f>
        <v>0</v>
      </c>
      <c r="F10" s="11">
        <f>'[2]Soy Complex'!AM396</f>
        <v>0</v>
      </c>
      <c r="G10" s="11">
        <f>'[2]Soy Complex'!AN396</f>
        <v>0.34572021789631785</v>
      </c>
      <c r="H10" s="11">
        <f>'[2]Soy Complex'!AO396</f>
        <v>1.3828808715852714</v>
      </c>
      <c r="I10" s="11">
        <f>'[2]Soy Complex'!AP396</f>
        <v>6.6667470785954341</v>
      </c>
      <c r="J10" s="11">
        <f>'[2]Soy Complex'!AQ396</f>
        <v>7.5145764566391513</v>
      </c>
      <c r="K10" s="11">
        <f>'[2]Soy Complex'!AR396</f>
        <v>13.039183905705046</v>
      </c>
      <c r="L10" s="11">
        <f>'[2]Soy Complex'!AS396</f>
        <v>14.863558198765865</v>
      </c>
      <c r="M10" s="11">
        <f>'[2]Soy Complex'!AT396</f>
        <v>41.138238360285243</v>
      </c>
      <c r="N10" s="11">
        <f>'[2]Soy Complex'!AU396</f>
        <v>185.3</v>
      </c>
      <c r="O10" s="11">
        <f>'[2]Soy Complex'!AV396</f>
        <v>255.9</v>
      </c>
      <c r="P10" s="11">
        <f>'[2]Soy Complex'!AW396</f>
        <v>298.8</v>
      </c>
      <c r="Q10" s="11">
        <f>'[2]Soy Complex'!AX396</f>
        <v>112</v>
      </c>
      <c r="R10" s="11">
        <f>'[2]Soy Complex'!AY396</f>
        <v>89</v>
      </c>
      <c r="S10" s="11">
        <f>'[2]Soy Complex'!AZ396</f>
        <v>311</v>
      </c>
      <c r="T10" s="11">
        <f>'[2]Soy Complex'!BA396</f>
        <v>370.88274836065574</v>
      </c>
      <c r="U10" s="11">
        <f>'[2]Soy Complex'!BB396</f>
        <v>506.8634606557377</v>
      </c>
      <c r="V10" s="11">
        <f>'[2]Soy Complex'!BC396</f>
        <v>469.47562581967213</v>
      </c>
      <c r="W10" s="11">
        <f>'[2]Soy Complex'!BD396</f>
        <v>476.00673073770491</v>
      </c>
      <c r="X10" s="11">
        <f>'[2]Soy Complex'!BE396</f>
        <v>556.93482013970333</v>
      </c>
      <c r="Y10" s="11">
        <f>'[2]Soy Complex'!BF396</f>
        <v>578.14261307527238</v>
      </c>
      <c r="Z10" s="11">
        <f>'[2]Soy Complex'!BG396</f>
        <v>650.10543100688085</v>
      </c>
      <c r="AA10" s="11">
        <f>'[2]Soy Complex'!BH396</f>
        <v>691.48587860583257</v>
      </c>
      <c r="AB10" s="24">
        <f>'[2]Soy Complex'!BI396</f>
        <v>886.2960878834532</v>
      </c>
      <c r="AC10" s="24">
        <f>'[2]Soy Complex'!BJ396</f>
        <v>681.88144339470978</v>
      </c>
      <c r="AD10" s="24">
        <f>'[2]Soy Complex'!BK396</f>
        <v>809.79899999999998</v>
      </c>
      <c r="AE10" s="24">
        <f>'[2]Soy Complex'!BL396</f>
        <v>1206.92</v>
      </c>
      <c r="AF10" s="24">
        <f>'[2]Soy Complex'!BM396</f>
        <v>1266.837</v>
      </c>
      <c r="AG10" s="24">
        <f>'[2]Soy Complex'!BN396</f>
        <v>1030.2917167837779</v>
      </c>
    </row>
    <row r="11" spans="1:33">
      <c r="A11" s="19" t="s">
        <v>37</v>
      </c>
      <c r="B11" s="11">
        <f>'[2]Soy Complex'!AI397</f>
        <v>5.04</v>
      </c>
      <c r="C11" s="11">
        <f>'[2]Soy Complex'!AJ397</f>
        <v>0</v>
      </c>
      <c r="D11" s="11">
        <f>'[2]Soy Complex'!AK397</f>
        <v>0</v>
      </c>
      <c r="E11" s="11">
        <f>'[2]Soy Complex'!AL397</f>
        <v>0</v>
      </c>
      <c r="F11" s="11">
        <f>'[2]Soy Complex'!AM397</f>
        <v>0</v>
      </c>
      <c r="G11" s="11">
        <f>'[2]Soy Complex'!AN397</f>
        <v>0.40001854693321803</v>
      </c>
      <c r="H11" s="11">
        <f>'[2]Soy Complex'!AO397</f>
        <v>1.6000741877328721</v>
      </c>
      <c r="I11" s="11">
        <f>'[2]Soy Complex'!AP397</f>
        <v>10.637580569212387</v>
      </c>
      <c r="J11" s="11">
        <f>'[2]Soy Complex'!AQ397</f>
        <v>12.961993024509113</v>
      </c>
      <c r="K11" s="11">
        <f>'[2]Soy Complex'!AR397</f>
        <v>15.212707826494727</v>
      </c>
      <c r="L11" s="11">
        <f>'[2]Soy Complex'!AS397</f>
        <v>13.814113468057771</v>
      </c>
      <c r="M11" s="11">
        <f>'[2]Soy Complex'!AT397</f>
        <v>77.428275425543987</v>
      </c>
      <c r="N11" s="11">
        <f>'[2]Soy Complex'!AU397</f>
        <v>163.5</v>
      </c>
      <c r="O11" s="11">
        <f>'[2]Soy Complex'!AV397</f>
        <v>348.1</v>
      </c>
      <c r="P11" s="11">
        <f>'[2]Soy Complex'!AW397</f>
        <v>319.10000000000002</v>
      </c>
      <c r="Q11" s="11">
        <f>'[2]Soy Complex'!AX397</f>
        <v>164</v>
      </c>
      <c r="R11" s="11">
        <f>'[2]Soy Complex'!AY397</f>
        <v>96</v>
      </c>
      <c r="S11" s="11">
        <f>'[2]Soy Complex'!AZ397</f>
        <v>367</v>
      </c>
      <c r="T11" s="11">
        <f>'[2]Soy Complex'!BA397</f>
        <v>349.04511721311474</v>
      </c>
      <c r="U11" s="11">
        <f>'[2]Soy Complex'!BB397</f>
        <v>496.0729008196721</v>
      </c>
      <c r="V11" s="11">
        <f>'[2]Soy Complex'!BC397</f>
        <v>439.73592868852461</v>
      </c>
      <c r="W11" s="11">
        <f>'[2]Soy Complex'!BD397</f>
        <v>447.75640901639343</v>
      </c>
      <c r="X11" s="11">
        <f>'[2]Soy Complex'!BE397</f>
        <v>567.75045197681504</v>
      </c>
      <c r="Y11" s="11">
        <f>'[2]Soy Complex'!BF397</f>
        <v>638.79849866435131</v>
      </c>
      <c r="Z11" s="11">
        <f>'[2]Soy Complex'!BG397</f>
        <v>702.83240119970662</v>
      </c>
      <c r="AA11" s="11">
        <f>'[2]Soy Complex'!BH397</f>
        <v>821.47230182376813</v>
      </c>
      <c r="AB11" s="24">
        <f>'[2]Soy Complex'!BI397</f>
        <v>902.98995256898502</v>
      </c>
      <c r="AC11" s="24">
        <f>'[2]Soy Complex'!BJ397</f>
        <v>810.43413965002856</v>
      </c>
      <c r="AD11" s="24">
        <f>'[2]Soy Complex'!BK397</f>
        <v>956.48800000000006</v>
      </c>
      <c r="AE11" s="24">
        <f>'[2]Soy Complex'!BL397</f>
        <v>1272.7660000000001</v>
      </c>
      <c r="AF11" s="24">
        <f>'[2]Soy Complex'!BM397</f>
        <v>1139.1510000000001</v>
      </c>
      <c r="AG11" s="24">
        <f>'[2]Soy Complex'!BN397</f>
        <v>1046.2599266588384</v>
      </c>
    </row>
    <row r="12" spans="1:33">
      <c r="A12" s="19" t="s">
        <v>38</v>
      </c>
      <c r="B12" s="11">
        <f>'[2]Soy Complex'!AI398</f>
        <v>5.04</v>
      </c>
      <c r="C12" s="11">
        <f>'[2]Soy Complex'!AJ398</f>
        <v>0</v>
      </c>
      <c r="D12" s="11">
        <f>'[2]Soy Complex'!AK398</f>
        <v>0</v>
      </c>
      <c r="E12" s="11">
        <f>'[2]Soy Complex'!AL398</f>
        <v>0</v>
      </c>
      <c r="F12" s="11">
        <f>'[2]Soy Complex'!AM398</f>
        <v>0</v>
      </c>
      <c r="G12" s="11">
        <f>'[2]Soy Complex'!AN398</f>
        <v>0.40001854693321803</v>
      </c>
      <c r="H12" s="11">
        <f>'[2]Soy Complex'!AO398</f>
        <v>1.6000741877328721</v>
      </c>
      <c r="I12" s="11">
        <f>'[2]Soy Complex'!AP398</f>
        <v>10.637580569212387</v>
      </c>
      <c r="J12" s="11">
        <f>'[2]Soy Complex'!AQ398</f>
        <v>12.961993024509113</v>
      </c>
      <c r="K12" s="11">
        <f>'[2]Soy Complex'!AR398</f>
        <v>15.212707826494727</v>
      </c>
      <c r="L12" s="11">
        <f>'[2]Soy Complex'!AS398</f>
        <v>13.814113468057771</v>
      </c>
      <c r="M12" s="11">
        <f>'[2]Soy Complex'!AT398</f>
        <v>77.428275425543987</v>
      </c>
      <c r="N12" s="11">
        <f>'[2]Soy Complex'!AU398</f>
        <v>208.5</v>
      </c>
      <c r="O12" s="11">
        <f>'[2]Soy Complex'!AV398</f>
        <v>311.5</v>
      </c>
      <c r="P12" s="11">
        <f>'[2]Soy Complex'!AW398</f>
        <v>331.9</v>
      </c>
      <c r="Q12" s="11">
        <f>'[2]Soy Complex'!AX398</f>
        <v>168</v>
      </c>
      <c r="R12" s="11">
        <f>'[2]Soy Complex'!AY398</f>
        <v>84</v>
      </c>
      <c r="S12" s="11">
        <f>'[2]Soy Complex'!AZ398</f>
        <v>398</v>
      </c>
      <c r="T12" s="11">
        <f>'[2]Soy Complex'!BA398</f>
        <v>389.54997213114751</v>
      </c>
      <c r="U12" s="11">
        <f>'[2]Soy Complex'!BB398</f>
        <v>536.4827409836065</v>
      </c>
      <c r="V12" s="11">
        <f>'[2]Soy Complex'!BC398</f>
        <v>449.61221680327867</v>
      </c>
      <c r="W12" s="11">
        <f>'[2]Soy Complex'!BD398</f>
        <v>465.24152622950822</v>
      </c>
      <c r="X12" s="11">
        <f>'[2]Soy Complex'!BE398</f>
        <v>601.75034892403687</v>
      </c>
      <c r="Y12" s="11">
        <f>'[2]Soy Complex'!BF398</f>
        <v>648.74333270469629</v>
      </c>
      <c r="Z12" s="11">
        <f>'[2]Soy Complex'!BG398</f>
        <v>745.03835365192936</v>
      </c>
      <c r="AA12" s="11">
        <f>'[2]Soy Complex'!BH398</f>
        <v>774.8716181755558</v>
      </c>
      <c r="AB12" s="24">
        <f>'[2]Soy Complex'!BI398</f>
        <v>870.66386457987107</v>
      </c>
      <c r="AC12" s="24">
        <f>'[2]Soy Complex'!BJ398</f>
        <v>831.389867929513</v>
      </c>
      <c r="AD12" s="24">
        <f>'[2]Soy Complex'!BK398</f>
        <v>924.71799999999996</v>
      </c>
      <c r="AE12" s="24">
        <f>'[2]Soy Complex'!BL398</f>
        <v>1197.1020000000001</v>
      </c>
      <c r="AF12" s="24">
        <f>'[2]Soy Complex'!BM398</f>
        <v>1217.0319999999999</v>
      </c>
      <c r="AG12" s="24">
        <f>'[2]Soy Complex'!BN398</f>
        <v>1123.6178318551986</v>
      </c>
    </row>
    <row r="13" spans="1:33">
      <c r="A13" s="19" t="s">
        <v>39</v>
      </c>
      <c r="B13" s="11">
        <f>'[2]Soy Complex'!AI399</f>
        <v>5</v>
      </c>
      <c r="C13" s="11">
        <f>'[2]Soy Complex'!AJ399</f>
        <v>0</v>
      </c>
      <c r="D13" s="11">
        <f>'[2]Soy Complex'!AK399</f>
        <v>0</v>
      </c>
      <c r="E13" s="11">
        <f>'[2]Soy Complex'!AL399</f>
        <v>0</v>
      </c>
      <c r="F13" s="11">
        <f>'[2]Soy Complex'!AM399</f>
        <v>0</v>
      </c>
      <c r="G13" s="11">
        <f>'[2]Soy Complex'!AN399</f>
        <v>0.40001854693321803</v>
      </c>
      <c r="H13" s="11">
        <f>'[2]Soy Complex'!AO399</f>
        <v>1.6000741877328721</v>
      </c>
      <c r="I13" s="11">
        <f>'[2]Soy Complex'!AP399</f>
        <v>10.637580569212387</v>
      </c>
      <c r="J13" s="11">
        <f>'[2]Soy Complex'!AQ399</f>
        <v>12.961993024509113</v>
      </c>
      <c r="K13" s="11">
        <f>'[2]Soy Complex'!AR399</f>
        <v>15.212707826494727</v>
      </c>
      <c r="L13" s="11">
        <f>'[2]Soy Complex'!AS399</f>
        <v>13.814113468057771</v>
      </c>
      <c r="M13" s="11">
        <f>'[2]Soy Complex'!AT399</f>
        <v>77.428275425543987</v>
      </c>
      <c r="N13" s="11">
        <f>'[2]Soy Complex'!AU399</f>
        <v>181.2</v>
      </c>
      <c r="O13" s="11">
        <f>'[2]Soy Complex'!AV399</f>
        <v>286.60000000000002</v>
      </c>
      <c r="P13" s="11">
        <f>'[2]Soy Complex'!AW399</f>
        <v>278.10000000000002</v>
      </c>
      <c r="Q13" s="11">
        <f>'[2]Soy Complex'!AX399</f>
        <v>215</v>
      </c>
      <c r="R13" s="11">
        <f>'[2]Soy Complex'!AY399</f>
        <v>102</v>
      </c>
      <c r="S13" s="11">
        <f>'[2]Soy Complex'!AZ399</f>
        <v>430</v>
      </c>
      <c r="T13" s="11">
        <f>'[2]Soy Complex'!BA399</f>
        <v>325.83652663934424</v>
      </c>
      <c r="U13" s="11">
        <f>'[2]Soy Complex'!BB399</f>
        <v>531.04014508196724</v>
      </c>
      <c r="V13" s="11">
        <f>'[2]Soy Complex'!BC399</f>
        <v>397.51903852459014</v>
      </c>
      <c r="W13" s="11">
        <f>'[2]Soy Complex'!BD399</f>
        <v>391.36604877049183</v>
      </c>
      <c r="X13" s="11">
        <f>'[2]Soy Complex'!BE399</f>
        <v>568.54068272684015</v>
      </c>
      <c r="Y13" s="11">
        <f>'[2]Soy Complex'!BF399</f>
        <v>640.00222788042845</v>
      </c>
      <c r="Z13" s="11">
        <f>'[2]Soy Complex'!BG399</f>
        <v>758.8424535968428</v>
      </c>
      <c r="AA13" s="11">
        <f>'[2]Soy Complex'!BH399</f>
        <v>698.41458149872597</v>
      </c>
      <c r="AB13" s="24">
        <f>'[2]Soy Complex'!BI399</f>
        <v>882.08485924626416</v>
      </c>
      <c r="AC13" s="24">
        <f>'[2]Soy Complex'!BJ399</f>
        <v>785.01534069521745</v>
      </c>
      <c r="AD13" s="24">
        <f>'[2]Soy Complex'!BK399</f>
        <v>932.48199999999997</v>
      </c>
      <c r="AE13" s="24">
        <f>'[2]Soy Complex'!BL399</f>
        <v>1207.4829999999999</v>
      </c>
      <c r="AF13" s="24">
        <f>'[2]Soy Complex'!BM399</f>
        <v>1076.2909999999999</v>
      </c>
      <c r="AG13" s="24">
        <f>'[2]Soy Complex'!BN399</f>
        <v>1120.4194741698409</v>
      </c>
    </row>
    <row r="14" spans="1:33">
      <c r="A14" s="19"/>
      <c r="B14" s="11"/>
      <c r="D14" s="11"/>
    </row>
    <row r="15" spans="1:33">
      <c r="A15" s="19"/>
      <c r="B15" s="11"/>
      <c r="D15" s="11"/>
    </row>
    <row r="16" spans="1:33">
      <c r="A16" s="19"/>
      <c r="B16" s="11"/>
      <c r="D16" s="11"/>
    </row>
    <row r="17" spans="1:4">
      <c r="A17" s="19"/>
      <c r="B17" s="11"/>
      <c r="D17" s="11"/>
    </row>
    <row r="18" spans="1:4">
      <c r="A18" s="19"/>
      <c r="B18" s="11"/>
      <c r="D18" s="11"/>
    </row>
    <row r="19" spans="1:4">
      <c r="A19" s="19"/>
      <c r="B19" s="11"/>
      <c r="D19" s="11"/>
    </row>
    <row r="20" spans="1:4">
      <c r="A20" s="19"/>
      <c r="B20" s="11"/>
      <c r="D20" s="11"/>
    </row>
    <row r="21" spans="1:4">
      <c r="A21" s="19"/>
      <c r="B21" s="11"/>
      <c r="D21" s="11"/>
    </row>
    <row r="22" spans="1:4">
      <c r="A22" s="19"/>
      <c r="B22" s="11"/>
      <c r="D22" s="11"/>
    </row>
    <row r="23" spans="1:4">
      <c r="A23" s="19"/>
      <c r="B23" s="11"/>
      <c r="D23" s="11"/>
    </row>
    <row r="24" spans="1:4">
      <c r="A24" s="19"/>
      <c r="B24" s="11"/>
      <c r="D24" s="11"/>
    </row>
    <row r="25" spans="1:4">
      <c r="A25" s="19"/>
      <c r="B25" s="11"/>
      <c r="D25" s="11"/>
    </row>
    <row r="26" spans="1:4">
      <c r="A26" s="19"/>
      <c r="B26" s="11"/>
      <c r="D26" s="11"/>
    </row>
    <row r="27" spans="1:4">
      <c r="A27" s="19"/>
      <c r="B27" s="11"/>
      <c r="D27" s="11"/>
    </row>
    <row r="28" spans="1:4">
      <c r="A28" s="19"/>
      <c r="B28" s="11"/>
      <c r="D28" s="11"/>
    </row>
    <row r="29" spans="1:4">
      <c r="A29" s="19"/>
      <c r="B29" s="11"/>
      <c r="D29" s="11"/>
    </row>
    <row r="30" spans="1:4">
      <c r="A30" s="19"/>
      <c r="B30" s="11"/>
      <c r="D30" s="11"/>
    </row>
    <row r="31" spans="1:4">
      <c r="A31" s="19"/>
      <c r="B31" s="11"/>
      <c r="D31" s="11"/>
    </row>
    <row r="32" spans="1:4">
      <c r="A32" s="19"/>
      <c r="B32" s="11"/>
      <c r="D32" s="11"/>
    </row>
    <row r="33" spans="1:4">
      <c r="A33" s="19"/>
      <c r="B33" s="11"/>
      <c r="D33" s="11"/>
    </row>
    <row r="34" spans="1:4">
      <c r="A34" s="19"/>
      <c r="B34" s="11"/>
      <c r="D34" s="11"/>
    </row>
    <row r="35" spans="1:4">
      <c r="A35" s="19"/>
      <c r="B35" s="11"/>
      <c r="D35" s="11"/>
    </row>
    <row r="36" spans="1:4">
      <c r="A36" s="19"/>
      <c r="B36" s="11"/>
      <c r="D36" s="11"/>
    </row>
    <row r="37" spans="1:4">
      <c r="A37" s="19"/>
      <c r="B37" s="11"/>
      <c r="D37" s="11"/>
    </row>
    <row r="38" spans="1:4">
      <c r="A38" s="19"/>
      <c r="B38" s="11"/>
      <c r="D38" s="11"/>
    </row>
    <row r="39" spans="1:4">
      <c r="A39" s="19"/>
      <c r="B39" s="11"/>
      <c r="D39" s="11"/>
    </row>
    <row r="40" spans="1:4">
      <c r="A40" s="19"/>
      <c r="B40" s="11"/>
      <c r="D40" s="11"/>
    </row>
    <row r="41" spans="1:4">
      <c r="A41" s="19"/>
      <c r="B41" s="11"/>
      <c r="D41" s="11"/>
    </row>
    <row r="42" spans="1:4">
      <c r="A42" s="19"/>
      <c r="B42" s="11"/>
      <c r="D42" s="11"/>
    </row>
    <row r="43" spans="1:4">
      <c r="A43" s="19"/>
      <c r="B43" s="11"/>
      <c r="D43" s="11"/>
    </row>
    <row r="44" spans="1:4">
      <c r="A44" s="19"/>
      <c r="B44" s="11"/>
      <c r="D44" s="11"/>
    </row>
    <row r="45" spans="1:4">
      <c r="A45" s="19"/>
      <c r="B45" s="11"/>
      <c r="D45" s="11"/>
    </row>
    <row r="46" spans="1:4">
      <c r="A46" s="19"/>
      <c r="B46" s="11"/>
      <c r="D46" s="11"/>
    </row>
    <row r="47" spans="1:4">
      <c r="A47" s="19"/>
      <c r="B47" s="11"/>
      <c r="D47" s="11"/>
    </row>
    <row r="48" spans="1:4">
      <c r="A48" s="19"/>
      <c r="B48" s="11"/>
      <c r="D48" s="11"/>
    </row>
    <row r="49" spans="1:4">
      <c r="A49" s="19"/>
      <c r="B49" s="11"/>
      <c r="D49" s="11"/>
    </row>
    <row r="50" spans="1:4">
      <c r="A50" s="19"/>
      <c r="B50" s="11"/>
      <c r="D50" s="11"/>
    </row>
    <row r="51" spans="1:4">
      <c r="A51" s="19"/>
      <c r="B51" s="11"/>
      <c r="D51" s="11"/>
    </row>
    <row r="52" spans="1:4">
      <c r="A52" s="19"/>
      <c r="B52" s="11"/>
      <c r="D52" s="11"/>
    </row>
    <row r="53" spans="1:4">
      <c r="A53" s="19"/>
      <c r="B53" s="11"/>
      <c r="D53" s="11"/>
    </row>
    <row r="54" spans="1:4">
      <c r="A54" s="19"/>
      <c r="B54" s="11"/>
      <c r="D54" s="11"/>
    </row>
    <row r="55" spans="1:4">
      <c r="A55" s="19"/>
      <c r="B55" s="11"/>
      <c r="D55" s="11"/>
    </row>
    <row r="56" spans="1:4">
      <c r="A56" s="19"/>
      <c r="B56" s="11"/>
      <c r="D56" s="11"/>
    </row>
    <row r="57" spans="1:4">
      <c r="A57" s="19"/>
      <c r="B57" s="11"/>
      <c r="D57" s="11"/>
    </row>
    <row r="58" spans="1:4">
      <c r="A58" s="19"/>
      <c r="B58" s="11"/>
      <c r="D58" s="11"/>
    </row>
    <row r="59" spans="1:4">
      <c r="A59" s="19"/>
      <c r="B59" s="11"/>
      <c r="D59" s="11"/>
    </row>
    <row r="60" spans="1:4">
      <c r="A60" s="19"/>
      <c r="B60" s="11"/>
      <c r="D60" s="11"/>
    </row>
    <row r="61" spans="1:4">
      <c r="A61" s="19"/>
      <c r="B61" s="11"/>
      <c r="D61" s="11"/>
    </row>
    <row r="62" spans="1:4">
      <c r="A62" s="19"/>
      <c r="B62" s="11"/>
      <c r="C62" s="15"/>
      <c r="D62" s="11"/>
    </row>
    <row r="63" spans="1:4">
      <c r="A63" s="19"/>
      <c r="B63" s="11"/>
      <c r="C63" s="15"/>
      <c r="D63" s="11"/>
    </row>
    <row r="64" spans="1:4">
      <c r="A64" s="19"/>
      <c r="B64" s="11"/>
      <c r="C64" s="15"/>
      <c r="D64" s="11"/>
    </row>
    <row r="65" spans="1:4">
      <c r="A65" s="19"/>
      <c r="B65" s="11"/>
      <c r="C65" s="15"/>
      <c r="D65" s="11"/>
    </row>
    <row r="66" spans="1:4">
      <c r="A66" s="19"/>
      <c r="B66" s="11"/>
      <c r="C66" s="15"/>
      <c r="D66" s="11"/>
    </row>
    <row r="67" spans="1:4">
      <c r="A67" s="19"/>
      <c r="B67" s="11"/>
      <c r="C67" s="15"/>
      <c r="D67" s="11"/>
    </row>
    <row r="68" spans="1:4">
      <c r="A68" s="19"/>
      <c r="B68" s="11"/>
      <c r="C68" s="15"/>
      <c r="D68" s="11"/>
    </row>
    <row r="69" spans="1:4">
      <c r="A69" s="19"/>
      <c r="B69" s="11"/>
      <c r="C69" s="15"/>
      <c r="D69" s="11"/>
    </row>
    <row r="70" spans="1:4">
      <c r="A70" s="19"/>
      <c r="B70" s="11"/>
      <c r="C70" s="15"/>
      <c r="D70" s="11"/>
    </row>
    <row r="71" spans="1:4">
      <c r="A71" s="19"/>
      <c r="B71" s="11"/>
      <c r="C71" s="15"/>
      <c r="D71" s="11"/>
    </row>
    <row r="72" spans="1:4">
      <c r="A72" s="19"/>
      <c r="B72" s="11"/>
      <c r="C72" s="15"/>
      <c r="D72" s="11"/>
    </row>
    <row r="73" spans="1:4">
      <c r="A73" s="19"/>
      <c r="B73" s="11"/>
      <c r="C73" s="15"/>
      <c r="D73" s="11"/>
    </row>
    <row r="74" spans="1:4">
      <c r="A74" s="19"/>
      <c r="B74" s="11"/>
      <c r="C74" s="15"/>
      <c r="D74" s="11"/>
    </row>
    <row r="75" spans="1:4">
      <c r="A75" s="19"/>
      <c r="B75" s="11"/>
      <c r="C75" s="15"/>
      <c r="D75" s="11"/>
    </row>
    <row r="76" spans="1:4">
      <c r="A76" s="19"/>
      <c r="B76" s="11"/>
      <c r="C76" s="15"/>
      <c r="D76" s="11"/>
    </row>
    <row r="77" spans="1:4">
      <c r="A77" s="19"/>
      <c r="B77" s="11"/>
      <c r="C77" s="15"/>
      <c r="D77" s="11"/>
    </row>
    <row r="78" spans="1:4">
      <c r="A78" s="19"/>
      <c r="B78" s="11"/>
      <c r="C78" s="15"/>
      <c r="D78" s="11"/>
    </row>
    <row r="79" spans="1:4">
      <c r="A79" s="19"/>
      <c r="B79" s="11"/>
      <c r="C79" s="15"/>
      <c r="D79" s="11"/>
    </row>
    <row r="80" spans="1:4">
      <c r="A80" s="19"/>
      <c r="B80" s="11"/>
      <c r="C80" s="15"/>
      <c r="D80" s="11"/>
    </row>
    <row r="81" spans="1:4">
      <c r="A81" s="19"/>
      <c r="B81" s="11"/>
      <c r="C81" s="15"/>
      <c r="D81" s="11"/>
    </row>
    <row r="82" spans="1:4">
      <c r="A82" s="19"/>
      <c r="B82" s="11"/>
      <c r="C82" s="15"/>
      <c r="D82" s="11"/>
    </row>
    <row r="83" spans="1:4">
      <c r="A83" s="19"/>
      <c r="B83" s="11"/>
      <c r="C83" s="15"/>
      <c r="D83" s="11"/>
    </row>
    <row r="84" spans="1:4">
      <c r="A84" s="19"/>
      <c r="B84" s="11"/>
      <c r="C84" s="15"/>
      <c r="D84" s="11"/>
    </row>
    <row r="85" spans="1:4">
      <c r="A85" s="19"/>
      <c r="B85" s="11"/>
      <c r="C85" s="15"/>
      <c r="D85" s="11"/>
    </row>
    <row r="86" spans="1:4">
      <c r="A86" s="19"/>
      <c r="B86" s="11"/>
      <c r="C86" s="15"/>
      <c r="D86" s="11"/>
    </row>
    <row r="87" spans="1:4">
      <c r="A87" s="19"/>
      <c r="B87" s="11"/>
      <c r="C87" s="15"/>
      <c r="D87" s="11"/>
    </row>
    <row r="88" spans="1:4">
      <c r="A88" s="19"/>
      <c r="B88" s="11"/>
      <c r="C88" s="15"/>
      <c r="D88" s="11"/>
    </row>
    <row r="89" spans="1:4">
      <c r="A89" s="19"/>
      <c r="B89" s="11"/>
      <c r="C89" s="15"/>
      <c r="D89" s="11"/>
    </row>
    <row r="90" spans="1:4">
      <c r="A90" s="19"/>
      <c r="B90" s="11"/>
      <c r="C90" s="15"/>
      <c r="D90" s="11"/>
    </row>
    <row r="91" spans="1:4">
      <c r="A91" s="19"/>
      <c r="B91" s="11"/>
      <c r="C91" s="15"/>
      <c r="D91" s="11"/>
    </row>
    <row r="92" spans="1:4">
      <c r="A92" s="19"/>
      <c r="B92" s="11"/>
      <c r="C92" s="15"/>
      <c r="D92" s="11"/>
    </row>
    <row r="93" spans="1:4">
      <c r="A93" s="19"/>
      <c r="B93" s="11"/>
      <c r="C93" s="15"/>
      <c r="D93" s="11"/>
    </row>
    <row r="94" spans="1:4">
      <c r="A94" s="19"/>
      <c r="B94" s="11"/>
      <c r="C94" s="15"/>
      <c r="D94" s="11"/>
    </row>
    <row r="95" spans="1:4">
      <c r="A95" s="19"/>
      <c r="B95" s="11"/>
      <c r="C95" s="15"/>
      <c r="D95" s="11"/>
    </row>
    <row r="96" spans="1:4">
      <c r="A96" s="19"/>
      <c r="B96" s="11"/>
      <c r="C96" s="15"/>
      <c r="D96" s="11"/>
    </row>
    <row r="97" spans="1:4">
      <c r="A97" s="19"/>
      <c r="B97" s="11"/>
      <c r="C97" s="15"/>
      <c r="D97" s="11"/>
    </row>
    <row r="98" spans="1:4">
      <c r="A98" s="19"/>
      <c r="B98" s="11"/>
      <c r="C98" s="15"/>
      <c r="D98" s="11"/>
    </row>
    <row r="99" spans="1:4">
      <c r="A99" s="19"/>
      <c r="B99" s="11"/>
      <c r="C99" s="15"/>
      <c r="D99" s="11"/>
    </row>
    <row r="100" spans="1:4">
      <c r="A100" s="19"/>
      <c r="B100" s="11"/>
      <c r="C100" s="15"/>
      <c r="D100" s="11"/>
    </row>
    <row r="101" spans="1:4">
      <c r="A101" s="19"/>
      <c r="B101" s="11"/>
      <c r="C101" s="15"/>
      <c r="D101" s="11"/>
    </row>
    <row r="102" spans="1:4">
      <c r="A102" s="19"/>
      <c r="B102" s="11"/>
      <c r="C102" s="15"/>
      <c r="D102" s="11"/>
    </row>
    <row r="103" spans="1:4">
      <c r="A103" s="19"/>
      <c r="B103" s="11"/>
      <c r="C103" s="15"/>
      <c r="D103" s="11"/>
    </row>
    <row r="104" spans="1:4">
      <c r="A104" s="19"/>
      <c r="B104" s="11"/>
      <c r="C104" s="15"/>
      <c r="D104" s="11"/>
    </row>
    <row r="105" spans="1:4">
      <c r="A105" s="19"/>
      <c r="B105" s="11"/>
      <c r="C105" s="15"/>
      <c r="D105" s="11"/>
    </row>
    <row r="106" spans="1:4">
      <c r="A106" s="19"/>
      <c r="B106" s="11"/>
      <c r="C106" s="15"/>
      <c r="D106" s="11"/>
    </row>
    <row r="107" spans="1:4">
      <c r="A107" s="19"/>
      <c r="B107" s="11"/>
      <c r="C107" s="15"/>
      <c r="D107" s="11"/>
    </row>
    <row r="108" spans="1:4">
      <c r="A108" s="19"/>
      <c r="B108" s="11"/>
      <c r="C108" s="15"/>
      <c r="D108" s="11"/>
    </row>
    <row r="109" spans="1:4">
      <c r="A109" s="19"/>
      <c r="B109" s="11"/>
      <c r="C109" s="15"/>
      <c r="D109" s="11"/>
    </row>
    <row r="110" spans="1:4">
      <c r="A110" s="19"/>
      <c r="B110" s="11"/>
      <c r="C110" s="15"/>
      <c r="D110" s="11"/>
    </row>
    <row r="111" spans="1:4">
      <c r="A111" s="19"/>
      <c r="B111" s="11"/>
      <c r="C111" s="15"/>
      <c r="D111" s="11"/>
    </row>
    <row r="112" spans="1:4">
      <c r="A112" s="19"/>
      <c r="B112" s="11"/>
      <c r="C112" s="15"/>
      <c r="D112" s="11"/>
    </row>
    <row r="113" spans="1:4">
      <c r="A113" s="19"/>
      <c r="B113" s="11"/>
      <c r="C113" s="15"/>
      <c r="D113" s="11"/>
    </row>
    <row r="114" spans="1:4">
      <c r="A114" s="19"/>
      <c r="B114" s="11"/>
      <c r="C114" s="15"/>
      <c r="D114" s="11"/>
    </row>
    <row r="115" spans="1:4">
      <c r="A115" s="19"/>
      <c r="B115" s="11"/>
      <c r="C115" s="15"/>
      <c r="D115" s="11"/>
    </row>
    <row r="116" spans="1:4">
      <c r="A116" s="19"/>
      <c r="B116" s="11"/>
      <c r="C116" s="15"/>
      <c r="D116" s="11"/>
    </row>
    <row r="117" spans="1:4">
      <c r="A117" s="19"/>
      <c r="B117" s="11"/>
      <c r="C117" s="15"/>
      <c r="D117" s="11"/>
    </row>
    <row r="118" spans="1:4">
      <c r="A118" s="19"/>
      <c r="B118" s="11"/>
      <c r="C118" s="15"/>
      <c r="D118" s="11"/>
    </row>
    <row r="119" spans="1:4">
      <c r="A119" s="19"/>
      <c r="B119" s="11"/>
      <c r="C119" s="15"/>
      <c r="D119" s="11"/>
    </row>
    <row r="120" spans="1:4">
      <c r="A120" s="19"/>
      <c r="B120" s="11"/>
      <c r="C120" s="15"/>
      <c r="D120" s="11"/>
    </row>
    <row r="121" spans="1:4">
      <c r="A121" s="19"/>
      <c r="B121" s="11"/>
      <c r="C121" s="15"/>
      <c r="D121" s="11"/>
    </row>
    <row r="122" spans="1:4">
      <c r="A122" s="19"/>
      <c r="B122" s="11"/>
      <c r="C122" s="15"/>
      <c r="D122" s="11"/>
    </row>
    <row r="123" spans="1:4">
      <c r="A123" s="19"/>
      <c r="B123" s="11"/>
      <c r="C123" s="15"/>
      <c r="D123" s="11"/>
    </row>
    <row r="124" spans="1:4">
      <c r="A124" s="19"/>
      <c r="B124" s="11"/>
      <c r="C124" s="15"/>
      <c r="D124" s="11"/>
    </row>
    <row r="125" spans="1:4">
      <c r="A125" s="19"/>
      <c r="B125" s="11"/>
      <c r="C125" s="15"/>
      <c r="D125" s="11"/>
    </row>
    <row r="126" spans="1:4">
      <c r="A126" s="19"/>
      <c r="B126" s="11"/>
      <c r="C126" s="15"/>
      <c r="D126" s="11"/>
    </row>
    <row r="127" spans="1:4">
      <c r="A127" s="19"/>
      <c r="B127" s="11"/>
      <c r="C127" s="15"/>
      <c r="D127" s="11"/>
    </row>
    <row r="128" spans="1:4">
      <c r="A128" s="19"/>
      <c r="B128" s="11"/>
      <c r="C128" s="15"/>
      <c r="D128" s="11"/>
    </row>
    <row r="129" spans="1:4">
      <c r="A129" s="19"/>
      <c r="B129" s="11"/>
      <c r="C129" s="15"/>
      <c r="D129" s="11"/>
    </row>
    <row r="130" spans="1:4">
      <c r="A130" s="19"/>
      <c r="B130" s="11"/>
      <c r="C130" s="15"/>
      <c r="D130" s="11"/>
    </row>
    <row r="131" spans="1:4">
      <c r="A131" s="19"/>
      <c r="B131" s="11"/>
      <c r="C131" s="15"/>
      <c r="D131" s="11"/>
    </row>
    <row r="132" spans="1:4">
      <c r="A132" s="19"/>
      <c r="B132" s="11"/>
      <c r="C132" s="15"/>
      <c r="D132" s="11"/>
    </row>
    <row r="133" spans="1:4">
      <c r="A133" s="19"/>
      <c r="B133" s="11"/>
      <c r="C133" s="15"/>
      <c r="D133" s="11"/>
    </row>
    <row r="134" spans="1:4">
      <c r="A134" s="19"/>
      <c r="B134" s="11"/>
      <c r="C134" s="15"/>
      <c r="D134" s="11"/>
    </row>
    <row r="135" spans="1:4">
      <c r="A135" s="19"/>
      <c r="B135" s="11"/>
      <c r="C135" s="15"/>
      <c r="D135" s="11"/>
    </row>
    <row r="136" spans="1:4">
      <c r="A136" s="19"/>
      <c r="B136" s="11"/>
      <c r="C136" s="15"/>
      <c r="D136" s="11"/>
    </row>
    <row r="137" spans="1:4">
      <c r="A137" s="19"/>
      <c r="B137" s="11"/>
      <c r="C137" s="15"/>
      <c r="D137" s="11"/>
    </row>
    <row r="138" spans="1:4">
      <c r="A138" s="19"/>
      <c r="B138" s="11"/>
      <c r="C138" s="15"/>
      <c r="D138" s="11"/>
    </row>
    <row r="139" spans="1:4">
      <c r="A139" s="19"/>
      <c r="B139" s="11"/>
      <c r="C139" s="15"/>
      <c r="D139" s="11"/>
    </row>
    <row r="140" spans="1:4">
      <c r="A140" s="19"/>
      <c r="B140" s="11"/>
      <c r="C140" s="15"/>
      <c r="D140" s="11"/>
    </row>
    <row r="141" spans="1:4">
      <c r="A141" s="19"/>
      <c r="B141" s="11"/>
      <c r="C141" s="15"/>
      <c r="D141" s="11"/>
    </row>
    <row r="142" spans="1:4">
      <c r="A142" s="19"/>
      <c r="B142" s="11"/>
      <c r="C142" s="15"/>
      <c r="D142" s="11"/>
    </row>
    <row r="143" spans="1:4">
      <c r="A143" s="19"/>
      <c r="B143" s="11"/>
      <c r="C143" s="15"/>
      <c r="D143" s="11"/>
    </row>
    <row r="144" spans="1:4">
      <c r="A144" s="19"/>
      <c r="B144" s="11"/>
      <c r="C144" s="15"/>
      <c r="D144" s="11"/>
    </row>
    <row r="145" spans="1:4">
      <c r="A145" s="19"/>
      <c r="B145" s="11"/>
      <c r="C145" s="15"/>
      <c r="D145" s="11"/>
    </row>
    <row r="146" spans="1:4">
      <c r="A146" s="19"/>
      <c r="B146" s="11"/>
      <c r="C146" s="15"/>
      <c r="D146" s="11"/>
    </row>
    <row r="147" spans="1:4">
      <c r="A147" s="19"/>
      <c r="B147" s="11"/>
      <c r="C147" s="15"/>
      <c r="D147" s="11"/>
    </row>
    <row r="148" spans="1:4">
      <c r="A148" s="19"/>
      <c r="B148" s="11"/>
      <c r="C148" s="15"/>
      <c r="D148" s="11"/>
    </row>
    <row r="149" spans="1:4">
      <c r="A149" s="19"/>
      <c r="B149" s="11"/>
      <c r="C149" s="15"/>
      <c r="D149" s="11"/>
    </row>
    <row r="150" spans="1:4">
      <c r="A150" s="19"/>
      <c r="B150" s="11"/>
      <c r="C150" s="15"/>
      <c r="D150" s="11"/>
    </row>
    <row r="151" spans="1:4">
      <c r="A151" s="19"/>
      <c r="B151" s="11"/>
      <c r="C151" s="15"/>
      <c r="D151" s="11"/>
    </row>
    <row r="152" spans="1:4">
      <c r="A152" s="19"/>
      <c r="B152" s="11"/>
      <c r="C152" s="15"/>
      <c r="D152" s="11"/>
    </row>
    <row r="153" spans="1:4">
      <c r="A153" s="19"/>
      <c r="B153" s="11"/>
      <c r="C153" s="15"/>
      <c r="D153" s="11"/>
    </row>
    <row r="154" spans="1:4">
      <c r="A154" s="19"/>
      <c r="B154" s="11"/>
      <c r="C154" s="15"/>
      <c r="D154" s="11"/>
    </row>
    <row r="155" spans="1:4">
      <c r="A155" s="19"/>
      <c r="B155" s="11"/>
      <c r="C155" s="15"/>
      <c r="D155" s="11"/>
    </row>
    <row r="156" spans="1:4">
      <c r="A156" s="19"/>
      <c r="B156" s="11"/>
      <c r="C156" s="15"/>
      <c r="D156" s="11"/>
    </row>
    <row r="157" spans="1:4">
      <c r="A157" s="19"/>
      <c r="B157" s="11"/>
      <c r="C157" s="15"/>
      <c r="D157" s="11"/>
    </row>
    <row r="158" spans="1:4">
      <c r="A158" s="19"/>
      <c r="B158" s="11"/>
      <c r="C158" s="15"/>
      <c r="D158" s="11"/>
    </row>
    <row r="159" spans="1:4">
      <c r="A159" s="19"/>
      <c r="B159" s="11"/>
      <c r="C159" s="15"/>
      <c r="D159" s="11"/>
    </row>
    <row r="160" spans="1:4">
      <c r="A160" s="19"/>
      <c r="B160" s="11"/>
      <c r="C160" s="15"/>
      <c r="D160" s="11"/>
    </row>
    <row r="161" spans="1:4">
      <c r="A161" s="19"/>
      <c r="B161" s="11"/>
      <c r="C161" s="15"/>
      <c r="D161" s="11"/>
    </row>
    <row r="162" spans="1:4">
      <c r="A162" s="19"/>
      <c r="B162" s="11"/>
      <c r="C162" s="15"/>
      <c r="D162" s="11"/>
    </row>
    <row r="163" spans="1:4">
      <c r="A163" s="19"/>
      <c r="B163" s="11"/>
      <c r="C163" s="15"/>
      <c r="D163" s="11"/>
    </row>
    <row r="164" spans="1:4">
      <c r="A164" s="19"/>
      <c r="B164" s="11"/>
      <c r="C164" s="15"/>
      <c r="D164" s="11"/>
    </row>
    <row r="165" spans="1:4">
      <c r="A165" s="19"/>
      <c r="B165" s="11"/>
      <c r="C165" s="15"/>
      <c r="D165" s="11"/>
    </row>
    <row r="166" spans="1:4">
      <c r="A166" s="19"/>
      <c r="B166" s="11"/>
      <c r="C166" s="15"/>
      <c r="D166" s="11"/>
    </row>
    <row r="167" spans="1:4">
      <c r="A167" s="19"/>
      <c r="B167" s="11"/>
      <c r="C167" s="15"/>
      <c r="D167" s="11"/>
    </row>
    <row r="168" spans="1:4">
      <c r="A168" s="19"/>
      <c r="B168" s="11"/>
      <c r="C168" s="15"/>
      <c r="D168" s="11"/>
    </row>
    <row r="169" spans="1:4">
      <c r="A169" s="19"/>
      <c r="B169" s="11"/>
      <c r="C169" s="15"/>
      <c r="D169" s="11"/>
    </row>
    <row r="170" spans="1:4">
      <c r="A170" s="19"/>
      <c r="B170" s="11"/>
      <c r="C170" s="15"/>
      <c r="D170" s="11"/>
    </row>
    <row r="171" spans="1:4">
      <c r="A171" s="19"/>
      <c r="B171" s="11"/>
      <c r="C171" s="15"/>
      <c r="D171" s="11"/>
    </row>
    <row r="172" spans="1:4">
      <c r="A172" s="19"/>
      <c r="B172" s="11"/>
      <c r="C172" s="15"/>
      <c r="D172" s="11"/>
    </row>
    <row r="173" spans="1:4">
      <c r="A173" s="19"/>
      <c r="B173" s="11"/>
      <c r="C173" s="15"/>
      <c r="D173" s="11"/>
    </row>
    <row r="174" spans="1:4">
      <c r="A174" s="19"/>
      <c r="B174" s="11"/>
      <c r="C174" s="15"/>
      <c r="D174" s="11"/>
    </row>
    <row r="175" spans="1:4">
      <c r="A175" s="19"/>
      <c r="B175" s="11"/>
      <c r="C175" s="15"/>
      <c r="D175" s="11"/>
    </row>
    <row r="176" spans="1:4">
      <c r="A176" s="19"/>
      <c r="B176" s="11"/>
      <c r="C176" s="15"/>
      <c r="D176" s="11"/>
    </row>
    <row r="177" spans="1:4">
      <c r="A177" s="19"/>
      <c r="B177" s="11"/>
      <c r="C177" s="15"/>
      <c r="D177" s="11"/>
    </row>
    <row r="178" spans="1:4">
      <c r="A178" s="19"/>
      <c r="B178" s="11"/>
      <c r="C178" s="15"/>
      <c r="D178" s="11"/>
    </row>
    <row r="179" spans="1:4">
      <c r="A179" s="19"/>
      <c r="B179" s="11"/>
      <c r="C179" s="15"/>
      <c r="D179" s="11"/>
    </row>
    <row r="180" spans="1:4">
      <c r="A180" s="19"/>
      <c r="B180" s="11"/>
      <c r="C180" s="15"/>
      <c r="D180" s="11"/>
    </row>
    <row r="181" spans="1:4">
      <c r="A181" s="19"/>
      <c r="B181" s="11"/>
      <c r="C181" s="15"/>
      <c r="D181" s="11"/>
    </row>
    <row r="182" spans="1:4">
      <c r="A182" s="19"/>
      <c r="B182" s="11"/>
      <c r="C182" s="15"/>
      <c r="D182" s="11"/>
    </row>
    <row r="183" spans="1:4">
      <c r="A183" s="19"/>
      <c r="B183" s="11"/>
      <c r="C183" s="15"/>
      <c r="D183" s="11"/>
    </row>
    <row r="184" spans="1:4">
      <c r="A184" s="19"/>
      <c r="B184" s="11"/>
      <c r="C184" s="15"/>
      <c r="D184" s="11"/>
    </row>
    <row r="185" spans="1:4">
      <c r="A185" s="19"/>
      <c r="B185" s="11"/>
      <c r="C185" s="15"/>
      <c r="D185" s="11"/>
    </row>
    <row r="186" spans="1:4">
      <c r="A186" s="19"/>
      <c r="B186" s="11"/>
      <c r="C186" s="15"/>
      <c r="D186" s="11"/>
    </row>
    <row r="187" spans="1:4">
      <c r="A187" s="19"/>
      <c r="B187" s="11"/>
      <c r="C187" s="15"/>
      <c r="D187" s="11"/>
    </row>
    <row r="188" spans="1:4">
      <c r="A188" s="19"/>
      <c r="B188" s="11"/>
      <c r="C188" s="15"/>
      <c r="D188" s="11"/>
    </row>
    <row r="189" spans="1:4">
      <c r="A189" s="19"/>
      <c r="B189" s="11"/>
      <c r="C189" s="15"/>
      <c r="D189" s="11"/>
    </row>
    <row r="190" spans="1:4">
      <c r="A190" s="19"/>
      <c r="B190" s="11"/>
      <c r="C190" s="15"/>
      <c r="D190" s="11"/>
    </row>
    <row r="191" spans="1:4">
      <c r="A191" s="19"/>
      <c r="B191" s="11"/>
      <c r="C191" s="15"/>
      <c r="D191" s="11"/>
    </row>
    <row r="192" spans="1:4">
      <c r="A192" s="19"/>
      <c r="B192" s="11"/>
      <c r="C192" s="15"/>
      <c r="D192" s="11"/>
    </row>
    <row r="193" spans="1:4">
      <c r="A193" s="19"/>
      <c r="B193" s="11"/>
      <c r="C193" s="15"/>
      <c r="D193" s="11"/>
    </row>
    <row r="194" spans="1:4">
      <c r="A194" s="19"/>
      <c r="B194" s="11"/>
      <c r="C194" s="15"/>
      <c r="D194" s="11"/>
    </row>
    <row r="195" spans="1:4">
      <c r="A195" s="19"/>
      <c r="B195" s="11"/>
      <c r="C195" s="15"/>
      <c r="D195" s="11"/>
    </row>
    <row r="196" spans="1:4">
      <c r="A196" s="19"/>
      <c r="B196" s="11"/>
      <c r="C196" s="15"/>
      <c r="D196" s="11"/>
    </row>
    <row r="197" spans="1:4">
      <c r="A197" s="19"/>
      <c r="B197" s="11"/>
      <c r="C197" s="15"/>
      <c r="D197" s="11"/>
    </row>
    <row r="198" spans="1:4">
      <c r="A198" s="19"/>
      <c r="B198" s="11"/>
      <c r="C198" s="15"/>
      <c r="D198" s="11"/>
    </row>
    <row r="199" spans="1:4">
      <c r="A199" s="19"/>
      <c r="B199" s="11"/>
      <c r="C199" s="15"/>
      <c r="D199" s="11"/>
    </row>
    <row r="200" spans="1:4">
      <c r="A200" s="19"/>
      <c r="B200" s="11"/>
      <c r="C200" s="15"/>
      <c r="D200" s="11"/>
    </row>
    <row r="201" spans="1:4">
      <c r="A201" s="19"/>
      <c r="B201" s="11"/>
      <c r="C201" s="15"/>
      <c r="D201" s="11"/>
    </row>
    <row r="202" spans="1:4">
      <c r="A202" s="19"/>
      <c r="B202" s="11"/>
      <c r="C202" s="15"/>
      <c r="D202" s="11"/>
    </row>
    <row r="203" spans="1:4">
      <c r="A203" s="19"/>
      <c r="B203" s="11"/>
      <c r="C203" s="15"/>
      <c r="D203" s="11"/>
    </row>
    <row r="204" spans="1:4">
      <c r="A204" s="19"/>
      <c r="B204" s="11"/>
      <c r="C204" s="15"/>
      <c r="D204" s="11"/>
    </row>
    <row r="205" spans="1:4">
      <c r="A205" s="19"/>
      <c r="B205" s="11"/>
      <c r="C205" s="15"/>
      <c r="D205" s="11"/>
    </row>
    <row r="206" spans="1:4">
      <c r="A206" s="19"/>
      <c r="B206" s="11"/>
      <c r="C206" s="15"/>
      <c r="D206" s="11"/>
    </row>
    <row r="207" spans="1:4">
      <c r="A207" s="19"/>
      <c r="B207" s="11"/>
      <c r="C207" s="15"/>
      <c r="D207" s="11"/>
    </row>
    <row r="208" spans="1:4">
      <c r="A208" s="19"/>
      <c r="B208" s="11"/>
      <c r="C208" s="15"/>
      <c r="D208" s="11"/>
    </row>
    <row r="209" spans="1:4">
      <c r="A209" s="19"/>
      <c r="B209" s="11"/>
      <c r="C209" s="15"/>
      <c r="D209" s="11"/>
    </row>
    <row r="210" spans="1:4">
      <c r="A210" s="19"/>
      <c r="B210" s="11"/>
      <c r="C210" s="15"/>
      <c r="D210" s="11"/>
    </row>
    <row r="211" spans="1:4">
      <c r="A211" s="19"/>
      <c r="B211" s="11"/>
      <c r="C211" s="15"/>
      <c r="D211" s="11"/>
    </row>
    <row r="212" spans="1:4">
      <c r="A212" s="19"/>
      <c r="B212" s="11"/>
      <c r="C212" s="15"/>
      <c r="D212" s="11"/>
    </row>
    <row r="213" spans="1:4">
      <c r="A213" s="19"/>
      <c r="B213" s="11"/>
      <c r="C213" s="15"/>
      <c r="D213" s="11"/>
    </row>
    <row r="214" spans="1:4">
      <c r="A214" s="19"/>
      <c r="B214" s="11"/>
      <c r="C214" s="15"/>
      <c r="D214" s="11"/>
    </row>
    <row r="215" spans="1:4">
      <c r="A215" s="19"/>
      <c r="B215" s="11"/>
      <c r="C215" s="15"/>
      <c r="D215" s="11"/>
    </row>
    <row r="216" spans="1:4">
      <c r="A216" s="19"/>
      <c r="B216" s="11"/>
      <c r="C216" s="15"/>
      <c r="D216" s="11"/>
    </row>
    <row r="217" spans="1:4">
      <c r="A217" s="19"/>
      <c r="B217" s="11"/>
      <c r="C217" s="15"/>
      <c r="D217" s="11"/>
    </row>
    <row r="218" spans="1:4">
      <c r="A218" s="19"/>
      <c r="B218" s="11"/>
      <c r="C218" s="15"/>
      <c r="D218" s="11"/>
    </row>
    <row r="219" spans="1:4">
      <c r="A219" s="19"/>
      <c r="B219" s="11"/>
      <c r="C219" s="15"/>
      <c r="D219" s="11"/>
    </row>
    <row r="220" spans="1:4">
      <c r="A220" s="19"/>
      <c r="B220" s="11"/>
      <c r="C220" s="15"/>
      <c r="D220" s="11"/>
    </row>
    <row r="221" spans="1:4">
      <c r="A221" s="19"/>
      <c r="B221" s="11"/>
      <c r="C221" s="15"/>
      <c r="D221" s="11"/>
    </row>
    <row r="222" spans="1:4">
      <c r="A222" s="19"/>
      <c r="B222" s="11"/>
      <c r="C222" s="15"/>
      <c r="D222" s="11"/>
    </row>
    <row r="223" spans="1:4">
      <c r="A223" s="19"/>
      <c r="B223" s="11"/>
      <c r="C223" s="15"/>
      <c r="D223" s="11"/>
    </row>
    <row r="224" spans="1:4">
      <c r="A224" s="19"/>
      <c r="B224" s="11"/>
      <c r="C224" s="15"/>
      <c r="D224" s="11"/>
    </row>
    <row r="225" spans="1:4">
      <c r="A225" s="19"/>
      <c r="B225" s="11"/>
      <c r="C225" s="15"/>
      <c r="D225" s="11"/>
    </row>
    <row r="226" spans="1:4">
      <c r="A226" s="19"/>
      <c r="B226" s="11"/>
      <c r="C226" s="15"/>
      <c r="D226" s="11"/>
    </row>
    <row r="227" spans="1:4">
      <c r="A227" s="19"/>
      <c r="B227" s="11"/>
      <c r="C227" s="15"/>
      <c r="D227" s="11"/>
    </row>
    <row r="228" spans="1:4">
      <c r="A228" s="19"/>
      <c r="B228" s="11"/>
      <c r="C228" s="15"/>
      <c r="D228" s="11"/>
    </row>
    <row r="229" spans="1:4">
      <c r="A229" s="19"/>
      <c r="B229" s="11"/>
      <c r="C229" s="15"/>
      <c r="D229" s="11"/>
    </row>
    <row r="230" spans="1:4">
      <c r="A230" s="19"/>
      <c r="B230" s="11"/>
      <c r="C230" s="15"/>
      <c r="D230" s="11"/>
    </row>
    <row r="231" spans="1:4">
      <c r="A231" s="19"/>
      <c r="B231" s="11"/>
      <c r="C231" s="15"/>
      <c r="D231" s="11"/>
    </row>
    <row r="232" spans="1:4">
      <c r="A232" s="19"/>
      <c r="B232" s="11"/>
      <c r="C232" s="15"/>
      <c r="D232" s="11"/>
    </row>
    <row r="233" spans="1:4">
      <c r="A233" s="19"/>
      <c r="B233" s="11"/>
      <c r="C233" s="15"/>
      <c r="D233" s="11"/>
    </row>
    <row r="234" spans="1:4">
      <c r="A234" s="19"/>
      <c r="B234" s="11"/>
      <c r="C234" s="15"/>
      <c r="D234" s="11"/>
    </row>
    <row r="235" spans="1:4">
      <c r="A235" s="19"/>
      <c r="B235" s="11"/>
      <c r="C235" s="15"/>
      <c r="D235" s="11"/>
    </row>
    <row r="236" spans="1:4">
      <c r="A236" s="19"/>
      <c r="B236" s="11"/>
      <c r="C236" s="15"/>
      <c r="D236" s="11"/>
    </row>
    <row r="237" spans="1:4">
      <c r="A237" s="19"/>
      <c r="B237" s="11"/>
      <c r="C237" s="15"/>
      <c r="D237" s="11"/>
    </row>
    <row r="238" spans="1:4">
      <c r="A238" s="19"/>
      <c r="B238" s="11"/>
      <c r="C238" s="15"/>
      <c r="D238" s="11"/>
    </row>
    <row r="239" spans="1:4">
      <c r="A239" s="19"/>
      <c r="B239" s="11"/>
      <c r="C239" s="15"/>
      <c r="D239" s="11"/>
    </row>
    <row r="240" spans="1:4">
      <c r="A240" s="19"/>
      <c r="B240" s="11"/>
      <c r="C240" s="15"/>
      <c r="D240" s="11"/>
    </row>
    <row r="241" spans="1:5">
      <c r="A241" s="19"/>
      <c r="B241" s="11"/>
      <c r="C241" s="15"/>
      <c r="D241" s="11"/>
    </row>
    <row r="242" spans="1:5">
      <c r="A242" s="19"/>
      <c r="B242" s="11"/>
      <c r="C242" s="15"/>
      <c r="D242" s="11"/>
    </row>
    <row r="243" spans="1:5">
      <c r="A243" s="19"/>
      <c r="B243" s="11"/>
      <c r="C243" s="15"/>
      <c r="D243" s="11"/>
    </row>
    <row r="244" spans="1:5">
      <c r="A244" s="19"/>
      <c r="B244" s="11"/>
      <c r="C244" s="15"/>
      <c r="D244" s="11"/>
    </row>
    <row r="245" spans="1:5">
      <c r="A245" s="19"/>
      <c r="B245" s="11"/>
      <c r="C245" s="15"/>
      <c r="D245" s="11"/>
    </row>
    <row r="246" spans="1:5">
      <c r="A246" s="19"/>
      <c r="B246" s="11"/>
      <c r="C246" s="15"/>
      <c r="D246" s="11"/>
    </row>
    <row r="247" spans="1:5">
      <c r="A247" s="19"/>
      <c r="B247" s="11"/>
      <c r="C247" s="15"/>
      <c r="D247" s="11"/>
    </row>
    <row r="248" spans="1:5">
      <c r="A248" s="19"/>
      <c r="B248" s="11"/>
      <c r="C248" s="15"/>
      <c r="D248" s="11"/>
    </row>
    <row r="249" spans="1:5">
      <c r="A249" s="19"/>
      <c r="B249" s="11"/>
      <c r="C249" s="15"/>
      <c r="D249" s="11"/>
    </row>
    <row r="250" spans="1:5">
      <c r="A250" s="19"/>
      <c r="B250" s="11"/>
      <c r="C250" s="15"/>
      <c r="D250" s="11"/>
    </row>
    <row r="251" spans="1:5">
      <c r="A251" s="19"/>
      <c r="B251" s="11"/>
      <c r="C251" s="15"/>
      <c r="D251" s="11"/>
    </row>
    <row r="252" spans="1:5">
      <c r="A252" s="19"/>
      <c r="B252" s="11"/>
      <c r="C252" s="15"/>
      <c r="D252" s="11"/>
    </row>
    <row r="253" spans="1:5">
      <c r="A253" s="19"/>
      <c r="B253" s="11"/>
      <c r="C253" s="15"/>
      <c r="D253" s="11"/>
    </row>
    <row r="254" spans="1:5">
      <c r="A254" s="19"/>
      <c r="B254" s="11"/>
      <c r="C254" s="15"/>
      <c r="D254" s="11"/>
      <c r="E254" s="25"/>
    </row>
    <row r="255" spans="1:5">
      <c r="A255" s="19"/>
      <c r="B255" s="11"/>
      <c r="C255" s="15"/>
      <c r="D255" s="11"/>
      <c r="E255" s="25"/>
    </row>
    <row r="256" spans="1:5">
      <c r="A256" s="19"/>
      <c r="B256" s="11"/>
      <c r="C256" s="15"/>
      <c r="D256" s="11"/>
      <c r="E256" s="25"/>
    </row>
    <row r="257" spans="1:5">
      <c r="A257" s="19"/>
      <c r="B257" s="11"/>
      <c r="C257" s="15"/>
      <c r="D257" s="11"/>
      <c r="E257" s="25"/>
    </row>
    <row r="258" spans="1:5">
      <c r="A258" s="19"/>
      <c r="B258" s="11"/>
      <c r="C258" s="15"/>
      <c r="D258" s="11"/>
      <c r="E258" s="25"/>
    </row>
    <row r="259" spans="1:5">
      <c r="A259" s="19"/>
      <c r="B259" s="11"/>
      <c r="C259" s="15"/>
      <c r="D259" s="11"/>
      <c r="E259" s="25"/>
    </row>
    <row r="260" spans="1:5">
      <c r="A260" s="19"/>
      <c r="B260" s="11"/>
      <c r="C260" s="15"/>
      <c r="D260" s="11"/>
      <c r="E260" s="25"/>
    </row>
    <row r="261" spans="1:5">
      <c r="A261" s="19"/>
      <c r="B261" s="11"/>
      <c r="C261" s="15"/>
      <c r="D261" s="11"/>
      <c r="E261" s="25"/>
    </row>
    <row r="262" spans="1:5">
      <c r="A262" s="19"/>
      <c r="B262" s="11"/>
      <c r="C262" s="15"/>
      <c r="D262" s="11"/>
      <c r="E262" s="25"/>
    </row>
    <row r="263" spans="1:5">
      <c r="A263" s="19"/>
      <c r="B263" s="11"/>
      <c r="C263" s="15"/>
      <c r="D263" s="11"/>
      <c r="E263" s="25"/>
    </row>
    <row r="264" spans="1:5">
      <c r="A264" s="19"/>
      <c r="B264" s="11"/>
      <c r="C264" s="15"/>
      <c r="D264" s="11"/>
      <c r="E264" s="25"/>
    </row>
    <row r="265" spans="1:5">
      <c r="A265" s="19"/>
      <c r="B265" s="11"/>
      <c r="C265" s="15"/>
      <c r="D265" s="11"/>
      <c r="E265" s="25"/>
    </row>
    <row r="266" spans="1:5">
      <c r="A266" s="19"/>
      <c r="B266" s="11"/>
      <c r="C266" s="15"/>
      <c r="D266" s="11"/>
      <c r="E266" s="25"/>
    </row>
    <row r="267" spans="1:5">
      <c r="A267" s="19"/>
      <c r="B267" s="11"/>
      <c r="C267" s="15"/>
      <c r="D267" s="11"/>
      <c r="E267" s="25"/>
    </row>
    <row r="268" spans="1:5">
      <c r="A268" s="19"/>
      <c r="B268" s="11"/>
      <c r="C268" s="15"/>
      <c r="D268" s="11"/>
      <c r="E268" s="25"/>
    </row>
    <row r="269" spans="1:5">
      <c r="A269" s="19"/>
      <c r="B269" s="11"/>
      <c r="C269" s="15"/>
      <c r="D269" s="11"/>
      <c r="E269" s="25"/>
    </row>
    <row r="270" spans="1:5">
      <c r="A270" s="19"/>
      <c r="B270" s="11"/>
      <c r="C270" s="15"/>
      <c r="D270" s="11"/>
      <c r="E270" s="25"/>
    </row>
    <row r="271" spans="1:5">
      <c r="A271" s="19"/>
      <c r="B271" s="11"/>
      <c r="C271" s="15"/>
      <c r="D271" s="11"/>
      <c r="E271" s="25"/>
    </row>
    <row r="272" spans="1:5">
      <c r="A272" s="19"/>
      <c r="B272" s="11"/>
      <c r="C272" s="15"/>
      <c r="D272" s="11"/>
      <c r="E272" s="25"/>
    </row>
    <row r="273" spans="1:5">
      <c r="A273" s="19"/>
      <c r="B273" s="11"/>
      <c r="C273" s="15"/>
      <c r="D273" s="11"/>
      <c r="E273" s="25"/>
    </row>
    <row r="274" spans="1:5">
      <c r="A274" s="19"/>
      <c r="B274" s="11"/>
      <c r="C274" s="15"/>
      <c r="D274" s="11"/>
      <c r="E274" s="25"/>
    </row>
    <row r="275" spans="1:5">
      <c r="A275" s="19"/>
      <c r="B275" s="11"/>
      <c r="C275" s="15"/>
      <c r="D275" s="11"/>
      <c r="E275" s="25"/>
    </row>
    <row r="276" spans="1:5">
      <c r="A276" s="19"/>
      <c r="B276" s="11"/>
      <c r="C276" s="15"/>
      <c r="D276" s="11"/>
      <c r="E276" s="25"/>
    </row>
    <row r="277" spans="1:5">
      <c r="A277" s="19"/>
      <c r="B277" s="11"/>
      <c r="C277" s="15"/>
      <c r="D277" s="11"/>
      <c r="E277" s="25"/>
    </row>
    <row r="278" spans="1:5">
      <c r="A278" s="19"/>
      <c r="B278" s="11"/>
      <c r="C278" s="15"/>
      <c r="D278" s="11"/>
      <c r="E278" s="25"/>
    </row>
    <row r="279" spans="1:5">
      <c r="A279" s="19"/>
      <c r="B279" s="11"/>
      <c r="C279" s="15"/>
      <c r="D279" s="11"/>
      <c r="E279" s="25"/>
    </row>
    <row r="280" spans="1:5">
      <c r="A280" s="19"/>
      <c r="B280" s="11"/>
      <c r="C280" s="15"/>
      <c r="D280" s="11"/>
      <c r="E280" s="25"/>
    </row>
    <row r="281" spans="1:5">
      <c r="A281" s="19"/>
      <c r="B281" s="11"/>
      <c r="C281" s="15"/>
      <c r="D281" s="11"/>
      <c r="E281" s="25"/>
    </row>
    <row r="282" spans="1:5">
      <c r="A282" s="19"/>
      <c r="B282" s="11"/>
      <c r="C282" s="15"/>
      <c r="D282" s="11"/>
      <c r="E282" s="25"/>
    </row>
    <row r="283" spans="1:5">
      <c r="A283" s="19"/>
      <c r="B283" s="11"/>
      <c r="C283" s="15"/>
      <c r="D283" s="11"/>
      <c r="E283" s="25"/>
    </row>
    <row r="284" spans="1:5">
      <c r="A284" s="19"/>
      <c r="B284" s="11"/>
      <c r="C284" s="15"/>
      <c r="D284" s="11"/>
      <c r="E284" s="25"/>
    </row>
    <row r="285" spans="1:5">
      <c r="A285" s="19"/>
      <c r="B285" s="11"/>
      <c r="C285" s="15"/>
      <c r="D285" s="11"/>
      <c r="E285" s="25"/>
    </row>
    <row r="286" spans="1:5">
      <c r="A286" s="19"/>
      <c r="B286" s="11"/>
      <c r="C286" s="15"/>
      <c r="D286" s="11"/>
      <c r="E286" s="25"/>
    </row>
    <row r="287" spans="1:5">
      <c r="A287" s="19"/>
      <c r="B287" s="11"/>
      <c r="C287" s="15"/>
      <c r="D287" s="11"/>
      <c r="E287" s="25"/>
    </row>
    <row r="288" spans="1:5">
      <c r="A288" s="19"/>
      <c r="B288" s="11"/>
      <c r="C288" s="15"/>
      <c r="D288" s="11"/>
      <c r="E288" s="25"/>
    </row>
    <row r="289" spans="1:5">
      <c r="A289" s="19"/>
      <c r="B289" s="11"/>
      <c r="C289" s="15"/>
      <c r="D289" s="11"/>
      <c r="E289" s="25"/>
    </row>
    <row r="290" spans="1:5">
      <c r="A290" s="19"/>
      <c r="B290" s="11"/>
      <c r="C290" s="15"/>
      <c r="D290" s="11"/>
      <c r="E290" s="25"/>
    </row>
    <row r="291" spans="1:5">
      <c r="A291" s="19"/>
      <c r="B291" s="11"/>
      <c r="C291" s="15"/>
      <c r="D291" s="11"/>
      <c r="E291" s="25"/>
    </row>
    <row r="292" spans="1:5">
      <c r="A292" s="19"/>
      <c r="B292" s="11"/>
      <c r="C292" s="15"/>
      <c r="D292" s="11"/>
      <c r="E292" s="25"/>
    </row>
    <row r="293" spans="1:5">
      <c r="A293" s="19"/>
      <c r="B293" s="11"/>
      <c r="C293" s="15"/>
      <c r="D293" s="11"/>
      <c r="E293" s="25"/>
    </row>
    <row r="294" spans="1:5">
      <c r="A294" s="19"/>
      <c r="B294" s="11"/>
      <c r="C294" s="15"/>
      <c r="D294" s="11"/>
      <c r="E294" s="25"/>
    </row>
    <row r="295" spans="1:5">
      <c r="A295" s="19"/>
      <c r="B295" s="11"/>
      <c r="C295" s="15"/>
      <c r="D295" s="11"/>
      <c r="E295" s="25"/>
    </row>
    <row r="296" spans="1:5">
      <c r="A296" s="19"/>
      <c r="B296" s="11"/>
      <c r="C296" s="15"/>
      <c r="D296" s="11"/>
      <c r="E296" s="25"/>
    </row>
    <row r="297" spans="1:5">
      <c r="A297" s="19"/>
      <c r="B297" s="11"/>
      <c r="C297" s="15"/>
      <c r="D297" s="11"/>
      <c r="E297" s="25"/>
    </row>
    <row r="298" spans="1:5">
      <c r="A298" s="19"/>
      <c r="B298" s="11"/>
      <c r="C298" s="15"/>
      <c r="D298" s="11"/>
      <c r="E298" s="25"/>
    </row>
    <row r="299" spans="1:5">
      <c r="A299" s="19"/>
      <c r="B299" s="11"/>
      <c r="C299" s="15"/>
      <c r="D299" s="11"/>
      <c r="E299" s="25"/>
    </row>
    <row r="300" spans="1:5">
      <c r="A300" s="19"/>
      <c r="B300" s="11"/>
      <c r="C300" s="15"/>
      <c r="D300" s="11"/>
      <c r="E300" s="25"/>
    </row>
    <row r="301" spans="1:5">
      <c r="A301" s="19"/>
      <c r="B301" s="11"/>
      <c r="C301" s="15"/>
      <c r="D301" s="11"/>
      <c r="E301" s="25"/>
    </row>
    <row r="302" spans="1:5">
      <c r="A302" s="19"/>
      <c r="B302" s="11"/>
      <c r="C302" s="15"/>
      <c r="D302" s="11"/>
      <c r="E302" s="25"/>
    </row>
    <row r="303" spans="1:5">
      <c r="A303" s="19"/>
      <c r="B303" s="11"/>
      <c r="C303" s="15"/>
      <c r="D303" s="11"/>
      <c r="E303" s="25"/>
    </row>
    <row r="304" spans="1:5">
      <c r="A304" s="19"/>
      <c r="B304" s="11"/>
      <c r="C304" s="15"/>
      <c r="D304" s="11"/>
      <c r="E304" s="25"/>
    </row>
    <row r="305" spans="1:5">
      <c r="A305" s="19"/>
      <c r="B305" s="11"/>
      <c r="C305" s="15"/>
      <c r="D305" s="11"/>
      <c r="E305" s="25"/>
    </row>
    <row r="306" spans="1:5">
      <c r="A306" s="19"/>
      <c r="B306" s="11"/>
      <c r="C306" s="15"/>
      <c r="D306" s="11"/>
      <c r="E306" s="25"/>
    </row>
    <row r="307" spans="1:5">
      <c r="A307" s="19"/>
      <c r="B307" s="11"/>
      <c r="C307" s="15"/>
      <c r="D307" s="11"/>
      <c r="E307" s="25"/>
    </row>
    <row r="308" spans="1:5">
      <c r="A308" s="19"/>
      <c r="B308" s="11"/>
      <c r="C308" s="15"/>
      <c r="D308" s="11"/>
      <c r="E308" s="25"/>
    </row>
    <row r="309" spans="1:5">
      <c r="A309" s="19"/>
      <c r="B309" s="11"/>
      <c r="C309" s="15"/>
      <c r="D309" s="11"/>
      <c r="E309" s="25"/>
    </row>
    <row r="310" spans="1:5">
      <c r="A310" s="19"/>
      <c r="B310" s="11"/>
      <c r="C310" s="15"/>
      <c r="D310" s="11"/>
      <c r="E310" s="25"/>
    </row>
    <row r="311" spans="1:5">
      <c r="A311" s="19"/>
      <c r="B311" s="11"/>
      <c r="C311" s="15"/>
      <c r="D311" s="11"/>
      <c r="E311" s="25"/>
    </row>
    <row r="312" spans="1:5">
      <c r="A312" s="19"/>
      <c r="B312" s="11"/>
      <c r="C312" s="15"/>
      <c r="D312" s="11"/>
      <c r="E312" s="25"/>
    </row>
    <row r="313" spans="1:5">
      <c r="A313" s="19"/>
      <c r="B313" s="11"/>
      <c r="C313" s="15"/>
      <c r="D313" s="11"/>
      <c r="E313" s="25"/>
    </row>
    <row r="314" spans="1:5">
      <c r="A314" s="19"/>
      <c r="B314" s="11"/>
      <c r="C314" s="15"/>
      <c r="D314" s="11"/>
      <c r="E314" s="25"/>
    </row>
    <row r="315" spans="1:5">
      <c r="A315" s="19"/>
      <c r="B315" s="11"/>
      <c r="C315" s="15"/>
      <c r="D315" s="11"/>
      <c r="E315" s="25"/>
    </row>
    <row r="316" spans="1:5">
      <c r="A316" s="19"/>
      <c r="B316" s="11"/>
      <c r="C316" s="15"/>
      <c r="D316" s="11"/>
      <c r="E316" s="25"/>
    </row>
    <row r="317" spans="1:5">
      <c r="A317" s="19"/>
      <c r="B317" s="11"/>
      <c r="C317" s="15"/>
      <c r="D317" s="11"/>
      <c r="E317" s="25"/>
    </row>
    <row r="318" spans="1:5">
      <c r="A318" s="19"/>
      <c r="B318" s="11"/>
      <c r="C318" s="15"/>
      <c r="D318" s="11"/>
      <c r="E318" s="25"/>
    </row>
    <row r="319" spans="1:5">
      <c r="A319" s="19"/>
      <c r="B319" s="11"/>
      <c r="C319" s="15"/>
      <c r="D319" s="11"/>
      <c r="E319" s="25"/>
    </row>
    <row r="320" spans="1:5">
      <c r="A320" s="19"/>
      <c r="B320" s="11"/>
      <c r="C320" s="15"/>
      <c r="D320" s="11"/>
      <c r="E320" s="25"/>
    </row>
    <row r="321" spans="1:9">
      <c r="A321" s="19"/>
      <c r="B321" s="11"/>
      <c r="C321" s="15"/>
      <c r="D321" s="11"/>
      <c r="E321" s="25"/>
      <c r="F321" s="11"/>
      <c r="G321" s="15"/>
      <c r="H321" s="11"/>
      <c r="I321" s="25"/>
    </row>
    <row r="322" spans="1:9">
      <c r="A322" s="19"/>
      <c r="B322" s="11"/>
      <c r="C322" s="15"/>
      <c r="D322" s="11"/>
      <c r="E322" s="25"/>
      <c r="F322" s="11"/>
      <c r="G322" s="15"/>
      <c r="H322" s="11"/>
      <c r="I322" s="25"/>
    </row>
    <row r="323" spans="1:9">
      <c r="A323" s="19"/>
      <c r="B323" s="11"/>
      <c r="C323" s="15"/>
      <c r="D323" s="11"/>
      <c r="E323" s="25"/>
      <c r="F323" s="11"/>
      <c r="G323" s="15"/>
      <c r="H323" s="11"/>
      <c r="I323" s="25"/>
    </row>
    <row r="324" spans="1:9">
      <c r="A324" s="19"/>
      <c r="B324" s="11"/>
      <c r="C324" s="15"/>
      <c r="D324" s="11"/>
      <c r="E324" s="25"/>
      <c r="F324" s="11"/>
      <c r="G324" s="15"/>
      <c r="H324" s="11"/>
      <c r="I324" s="25"/>
    </row>
    <row r="325" spans="1:9">
      <c r="A325" s="19"/>
      <c r="B325" s="11"/>
      <c r="C325" s="15"/>
      <c r="D325" s="11"/>
      <c r="E325" s="25"/>
      <c r="F325" s="11"/>
      <c r="G325" s="15"/>
      <c r="H325" s="11"/>
      <c r="I325" s="25"/>
    </row>
    <row r="326" spans="1:9">
      <c r="A326" s="19"/>
      <c r="B326" s="11"/>
      <c r="C326" s="15"/>
      <c r="D326" s="11"/>
      <c r="E326" s="25"/>
      <c r="F326" s="11"/>
      <c r="G326" s="15"/>
      <c r="H326" s="11"/>
      <c r="I326" s="25"/>
    </row>
    <row r="327" spans="1:9">
      <c r="A327" s="19"/>
      <c r="B327" s="11"/>
      <c r="C327" s="15"/>
      <c r="D327" s="11"/>
      <c r="E327" s="25"/>
      <c r="F327" s="11"/>
      <c r="G327" s="15"/>
      <c r="H327" s="11"/>
      <c r="I327" s="25"/>
    </row>
    <row r="328" spans="1:9">
      <c r="A328" s="19"/>
      <c r="B328" s="11"/>
      <c r="C328" s="15"/>
      <c r="D328" s="11"/>
      <c r="E328" s="25"/>
      <c r="F328" s="11"/>
      <c r="G328" s="15"/>
      <c r="H328" s="11"/>
      <c r="I328" s="25"/>
    </row>
    <row r="329" spans="1:9">
      <c r="A329" s="19"/>
      <c r="B329" s="11"/>
      <c r="C329" s="15"/>
      <c r="D329" s="11"/>
      <c r="E329" s="25"/>
      <c r="F329" s="11"/>
      <c r="G329" s="15"/>
      <c r="H329" s="11"/>
      <c r="I329" s="25"/>
    </row>
    <row r="330" spans="1:9">
      <c r="A330" s="19"/>
      <c r="B330" s="11"/>
      <c r="C330" s="15"/>
      <c r="D330" s="11"/>
      <c r="E330" s="25"/>
      <c r="F330" s="11"/>
      <c r="G330" s="15"/>
      <c r="H330" s="11"/>
      <c r="I330" s="25"/>
    </row>
    <row r="331" spans="1:9">
      <c r="A331" s="19"/>
      <c r="B331" s="11"/>
      <c r="C331" s="15"/>
      <c r="D331" s="11"/>
      <c r="E331" s="25"/>
      <c r="F331" s="11"/>
      <c r="G331" s="15"/>
      <c r="H331" s="11"/>
      <c r="I331" s="25"/>
    </row>
    <row r="332" spans="1:9">
      <c r="A332" s="19"/>
      <c r="B332" s="11"/>
      <c r="C332" s="15"/>
      <c r="D332" s="11"/>
      <c r="E332" s="25"/>
      <c r="F332" s="11"/>
      <c r="G332" s="15"/>
      <c r="H332" s="11"/>
      <c r="I332" s="25"/>
    </row>
    <row r="333" spans="1:9">
      <c r="A333" s="19"/>
      <c r="B333" s="11"/>
      <c r="C333" s="15"/>
      <c r="D333" s="11"/>
      <c r="E333" s="25"/>
      <c r="F333" s="11"/>
      <c r="G333" s="15"/>
      <c r="H333" s="11"/>
      <c r="I333" s="25"/>
    </row>
    <row r="334" spans="1:9">
      <c r="A334" s="19"/>
      <c r="B334" s="11"/>
      <c r="C334" s="15"/>
      <c r="D334" s="11"/>
      <c r="E334" s="25"/>
      <c r="F334" s="11"/>
      <c r="G334" s="15"/>
      <c r="H334" s="11"/>
      <c r="I334" s="25"/>
    </row>
    <row r="335" spans="1:9">
      <c r="A335" s="19"/>
      <c r="B335" s="11"/>
      <c r="C335" s="15"/>
      <c r="D335" s="11"/>
      <c r="E335" s="25"/>
      <c r="F335" s="11"/>
      <c r="G335" s="15"/>
      <c r="H335" s="11"/>
      <c r="I335" s="25"/>
    </row>
    <row r="336" spans="1:9">
      <c r="A336" s="19"/>
      <c r="B336" s="11"/>
      <c r="C336" s="15"/>
      <c r="D336" s="11"/>
      <c r="E336" s="25"/>
      <c r="F336" s="11"/>
      <c r="G336" s="15"/>
      <c r="H336" s="11"/>
      <c r="I336" s="25"/>
    </row>
    <row r="337" spans="1:9">
      <c r="A337" s="19"/>
      <c r="B337" s="11"/>
      <c r="C337" s="15"/>
      <c r="D337" s="11"/>
      <c r="E337" s="25"/>
      <c r="F337" s="11"/>
      <c r="G337" s="15"/>
      <c r="H337" s="11"/>
      <c r="I337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7FF9-A308-44E2-B1EB-97545DF81C4B}">
  <dimension ref="A1:AG337"/>
  <sheetViews>
    <sheetView zoomScale="85" zoomScaleNormal="85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7109375" style="10" bestFit="1" customWidth="1"/>
    <col min="2" max="16384" width="9.140625" style="10"/>
  </cols>
  <sheetData>
    <row r="1" spans="1:33">
      <c r="A1" s="10" t="s">
        <v>0</v>
      </c>
      <c r="B1" s="11">
        <f>'[2]Soy Complex'!AI403</f>
        <v>5.01</v>
      </c>
      <c r="C1" s="11" t="str">
        <f>'[2]Soy Complex'!AJ403</f>
        <v xml:space="preserve">94/95 </v>
      </c>
      <c r="D1" s="11" t="str">
        <f>'[2]Soy Complex'!AK403</f>
        <v xml:space="preserve">95/96 </v>
      </c>
      <c r="E1" s="11" t="str">
        <f>'[2]Soy Complex'!AL403</f>
        <v xml:space="preserve">96/97 </v>
      </c>
      <c r="F1" s="11" t="str">
        <f>'[2]Soy Complex'!AM403</f>
        <v xml:space="preserve">97/98 </v>
      </c>
      <c r="G1" s="11" t="str">
        <f>'[2]Soy Complex'!AN403</f>
        <v xml:space="preserve">98/99 </v>
      </c>
      <c r="H1" s="11" t="str">
        <f>'[2]Soy Complex'!AO403</f>
        <v xml:space="preserve">99/00 </v>
      </c>
      <c r="I1" s="11" t="str">
        <f>'[2]Soy Complex'!AP403</f>
        <v xml:space="preserve">00/01 </v>
      </c>
      <c r="J1" s="11" t="str">
        <f>'[2]Soy Complex'!AQ403</f>
        <v xml:space="preserve">01/02 </v>
      </c>
      <c r="K1" s="11" t="str">
        <f>'[2]Soy Complex'!AR403</f>
        <v xml:space="preserve">02/03 </v>
      </c>
      <c r="L1" s="11" t="str">
        <f>'[2]Soy Complex'!AS403</f>
        <v xml:space="preserve">03/04 </v>
      </c>
      <c r="M1" s="11" t="str">
        <f>'[2]Soy Complex'!AT403</f>
        <v xml:space="preserve">04/05 </v>
      </c>
      <c r="N1" s="11" t="str">
        <f>'[2]Soy Complex'!AU403</f>
        <v xml:space="preserve">05/06 </v>
      </c>
      <c r="O1" s="11" t="str">
        <f>'[2]Soy Complex'!AV403</f>
        <v xml:space="preserve">06/07 </v>
      </c>
      <c r="P1" s="11" t="str">
        <f>'[2]Soy Complex'!AW403</f>
        <v xml:space="preserve">07/08 </v>
      </c>
      <c r="Q1" s="11" t="str">
        <f>'[2]Soy Complex'!AX403</f>
        <v xml:space="preserve">08/09 </v>
      </c>
      <c r="R1" s="11" t="str">
        <f>'[2]Soy Complex'!AY403</f>
        <v xml:space="preserve">09/10 </v>
      </c>
      <c r="S1" s="11" t="str">
        <f>'[2]Soy Complex'!AZ403</f>
        <v xml:space="preserve">10/11 </v>
      </c>
      <c r="T1" s="11" t="str">
        <f>'[2]Soy Complex'!BA403</f>
        <v xml:space="preserve">11/12 </v>
      </c>
      <c r="U1" s="11" t="str">
        <f>'[2]Soy Complex'!BB403</f>
        <v xml:space="preserve">12/13 </v>
      </c>
      <c r="V1" s="11" t="str">
        <f>'[2]Soy Complex'!BC403</f>
        <v xml:space="preserve">13/14 </v>
      </c>
      <c r="W1" s="11" t="str">
        <f>'[2]Soy Complex'!BD403</f>
        <v xml:space="preserve">14/15 </v>
      </c>
      <c r="X1" s="11" t="str">
        <f>'[2]Soy Complex'!BE403</f>
        <v xml:space="preserve">15/16 </v>
      </c>
      <c r="Y1" s="11" t="str">
        <f>'[2]Soy Complex'!BF403</f>
        <v xml:space="preserve">16/17 </v>
      </c>
      <c r="Z1" s="11" t="str">
        <f>'[2]Soy Complex'!BG403</f>
        <v xml:space="preserve">17/18 </v>
      </c>
      <c r="AA1" s="11" t="str">
        <f>'[2]Soy Complex'!BH403</f>
        <v xml:space="preserve">18/19 </v>
      </c>
      <c r="AB1" s="11" t="str">
        <f>'[2]Soy Complex'!BI403</f>
        <v>19/20</v>
      </c>
      <c r="AC1" s="11" t="str">
        <f>'[2]Soy Complex'!BJ403</f>
        <v>20/21</v>
      </c>
      <c r="AD1" s="11" t="str">
        <f>'[2]Soy Complex'!BK403</f>
        <v>21/22</v>
      </c>
      <c r="AE1" s="11" t="str">
        <f>'[2]Soy Complex'!BL403</f>
        <v xml:space="preserve">22/23 </v>
      </c>
      <c r="AF1" s="11" t="str">
        <f>'[2]Soy Complex'!BM403</f>
        <v xml:space="preserve">23/24 </v>
      </c>
      <c r="AG1" s="11" t="str">
        <f>'[2]Soy Complex'!BN403</f>
        <v xml:space="preserve">24/25 </v>
      </c>
    </row>
    <row r="2" spans="1:33">
      <c r="A2" s="19" t="s">
        <v>28</v>
      </c>
      <c r="B2" s="11">
        <f>'[2]Soy Complex'!AI404</f>
        <v>5</v>
      </c>
      <c r="C2" s="11">
        <f>'[2]Soy Complex'!AJ404</f>
        <v>0</v>
      </c>
      <c r="D2" s="11">
        <f>'[2]Soy Complex'!AK404</f>
        <v>0</v>
      </c>
      <c r="E2" s="11">
        <f>'[2]Soy Complex'!AL404</f>
        <v>0</v>
      </c>
      <c r="F2" s="11">
        <f>'[2]Soy Complex'!AM404</f>
        <v>0</v>
      </c>
      <c r="G2" s="11">
        <f>'[2]Soy Complex'!AN404</f>
        <v>0.14845192849800068</v>
      </c>
      <c r="H2" s="11">
        <f>'[2]Soy Complex'!AO404</f>
        <v>0.59380771399200272</v>
      </c>
      <c r="I2" s="11">
        <f>'[2]Soy Complex'!AP404</f>
        <v>0.10594550710612409</v>
      </c>
      <c r="J2" s="11">
        <f>'[2]Soy Complex'!AQ404</f>
        <v>4.7053309611616596</v>
      </c>
      <c r="K2" s="11">
        <f>'[2]Soy Complex'!AR404</f>
        <v>5.6274177871419004</v>
      </c>
      <c r="L2" s="11">
        <f>'[2]Soy Complex'!AS404</f>
        <v>3.2679714900617962</v>
      </c>
      <c r="M2" s="11">
        <f>'[2]Soy Complex'!AT404</f>
        <v>26.33123743930997</v>
      </c>
      <c r="N2" s="11">
        <f>'[2]Soy Complex'!AU404</f>
        <v>88.427799471015888</v>
      </c>
      <c r="O2" s="11">
        <f>'[2]Soy Complex'!AV404</f>
        <v>166.1</v>
      </c>
      <c r="P2" s="11">
        <f>'[2]Soy Complex'!AW404</f>
        <v>246.8</v>
      </c>
      <c r="Q2" s="11">
        <f>'[2]Soy Complex'!AX404</f>
        <v>295.3</v>
      </c>
      <c r="R2" s="11">
        <f>'[2]Soy Complex'!AY404</f>
        <v>244</v>
      </c>
      <c r="S2" s="11">
        <f>'[2]Soy Complex'!AZ404</f>
        <v>105</v>
      </c>
      <c r="T2" s="11">
        <f>'[2]Soy Complex'!BA404</f>
        <v>527</v>
      </c>
      <c r="U2" s="11">
        <f>'[2]Soy Complex'!BB404</f>
        <v>307</v>
      </c>
      <c r="V2" s="11">
        <f>'[2]Soy Complex'!BC404</f>
        <v>551</v>
      </c>
      <c r="W2" s="11">
        <f>'[2]Soy Complex'!BD404</f>
        <v>458.81</v>
      </c>
      <c r="X2" s="11">
        <f>'[2]Soy Complex'!BE404</f>
        <v>408</v>
      </c>
      <c r="Y2" s="11">
        <f>'[2]Soy Complex'!BF404</f>
        <v>525.96</v>
      </c>
      <c r="Z2" s="11">
        <f>'[2]Soy Complex'!BG404</f>
        <v>577.42999999999995</v>
      </c>
      <c r="AA2" s="11">
        <f>'[2]Soy Complex'!BH404</f>
        <v>698.88</v>
      </c>
      <c r="AB2" s="11">
        <f>'[2]Soy Complex'!BI404</f>
        <v>557.52</v>
      </c>
      <c r="AC2" s="11">
        <f>'[2]Soy Complex'!BJ404</f>
        <v>723</v>
      </c>
      <c r="AD2" s="11">
        <f>'[2]Soy Complex'!BK404</f>
        <v>644.12309883521937</v>
      </c>
      <c r="AE2" s="11">
        <f>'[2]Soy Complex'!BL404</f>
        <v>640.09400000000005</v>
      </c>
      <c r="AF2" s="11">
        <f>'[2]Soy Complex'!BM404</f>
        <v>645.47</v>
      </c>
      <c r="AG2" s="11">
        <f>'[2]Soy Complex'!BN404</f>
        <v>518.05399999999997</v>
      </c>
    </row>
    <row r="3" spans="1:33">
      <c r="A3" s="19" t="s">
        <v>29</v>
      </c>
      <c r="B3" s="11">
        <f>'[2]Soy Complex'!AI405</f>
        <v>4.96</v>
      </c>
      <c r="C3" s="11">
        <f>'[2]Soy Complex'!AJ405</f>
        <v>0</v>
      </c>
      <c r="D3" s="11">
        <f>'[2]Soy Complex'!AK405</f>
        <v>0</v>
      </c>
      <c r="E3" s="11">
        <f>'[2]Soy Complex'!AL405</f>
        <v>0</v>
      </c>
      <c r="F3" s="11">
        <f>'[2]Soy Complex'!AM405</f>
        <v>0</v>
      </c>
      <c r="G3" s="11">
        <f>'[2]Soy Complex'!AN405</f>
        <v>0.14845192849800068</v>
      </c>
      <c r="H3" s="11">
        <f>'[2]Soy Complex'!AO405</f>
        <v>0.59380771399200272</v>
      </c>
      <c r="I3" s="11">
        <f>'[2]Soy Complex'!AP405</f>
        <v>0.10594550710612409</v>
      </c>
      <c r="J3" s="11">
        <f>'[2]Soy Complex'!AQ405</f>
        <v>4.7053309611616596</v>
      </c>
      <c r="K3" s="11">
        <f>'[2]Soy Complex'!AR405</f>
        <v>5.6274177871419004</v>
      </c>
      <c r="L3" s="11">
        <f>'[2]Soy Complex'!AS405</f>
        <v>3.2679714900617962</v>
      </c>
      <c r="M3" s="11">
        <f>'[2]Soy Complex'!AT405</f>
        <v>26.33123743930997</v>
      </c>
      <c r="N3" s="11">
        <f>'[2]Soy Complex'!AU405</f>
        <v>88.427799471015888</v>
      </c>
      <c r="O3" s="11">
        <f>'[2]Soy Complex'!AV405</f>
        <v>157.6</v>
      </c>
      <c r="P3" s="11">
        <f>'[2]Soy Complex'!AW405</f>
        <v>219.1</v>
      </c>
      <c r="Q3" s="11">
        <f>'[2]Soy Complex'!AX405</f>
        <v>252.4</v>
      </c>
      <c r="R3" s="11">
        <f>'[2]Soy Complex'!AY405</f>
        <v>237</v>
      </c>
      <c r="S3" s="11">
        <f>'[2]Soy Complex'!AZ405</f>
        <v>73</v>
      </c>
      <c r="T3" s="11">
        <f>'[2]Soy Complex'!BA405</f>
        <v>538</v>
      </c>
      <c r="U3" s="11">
        <f>'[2]Soy Complex'!BB405</f>
        <v>246</v>
      </c>
      <c r="V3" s="11">
        <f>'[2]Soy Complex'!BC405</f>
        <v>535</v>
      </c>
      <c r="W3" s="11">
        <f>'[2]Soy Complex'!BD405</f>
        <v>447.12</v>
      </c>
      <c r="X3" s="11">
        <f>'[2]Soy Complex'!BE405</f>
        <v>464</v>
      </c>
      <c r="Y3" s="11">
        <f>'[2]Soy Complex'!BF405</f>
        <v>595.83000000000004</v>
      </c>
      <c r="Z3" s="11">
        <f>'[2]Soy Complex'!BG405</f>
        <v>590.79999999999995</v>
      </c>
      <c r="AA3" s="11">
        <f>'[2]Soy Complex'!BH405</f>
        <v>703.79</v>
      </c>
      <c r="AB3" s="11">
        <f>'[2]Soy Complex'!BI405</f>
        <v>526.53</v>
      </c>
      <c r="AC3" s="11">
        <f>'[2]Soy Complex'!BJ405</f>
        <v>683</v>
      </c>
      <c r="AD3" s="11">
        <f>'[2]Soy Complex'!BK405</f>
        <v>432.84409459115193</v>
      </c>
      <c r="AE3" s="11">
        <f>'[2]Soy Complex'!BL405</f>
        <v>593.81100000000004</v>
      </c>
      <c r="AF3" s="11">
        <f>'[2]Soy Complex'!BM405</f>
        <v>612.95299999999997</v>
      </c>
      <c r="AG3" s="11">
        <f>'[2]Soy Complex'!BN405</f>
        <v>467.47699999999998</v>
      </c>
    </row>
    <row r="4" spans="1:33">
      <c r="A4" s="19" t="s">
        <v>30</v>
      </c>
      <c r="B4" s="11">
        <f>'[2]Soy Complex'!AI406</f>
        <v>5.03</v>
      </c>
      <c r="C4" s="11">
        <f>'[2]Soy Complex'!AJ406</f>
        <v>0</v>
      </c>
      <c r="D4" s="11">
        <f>'[2]Soy Complex'!AK406</f>
        <v>0</v>
      </c>
      <c r="E4" s="11">
        <f>'[2]Soy Complex'!AL406</f>
        <v>0</v>
      </c>
      <c r="F4" s="11">
        <f>'[2]Soy Complex'!AM406</f>
        <v>0</v>
      </c>
      <c r="G4" s="11">
        <f>'[2]Soy Complex'!AN406</f>
        <v>0.14845192849800068</v>
      </c>
      <c r="H4" s="11">
        <f>'[2]Soy Complex'!AO406</f>
        <v>0.59380771399200272</v>
      </c>
      <c r="I4" s="11">
        <f>'[2]Soy Complex'!AP406</f>
        <v>0.10594550710612409</v>
      </c>
      <c r="J4" s="11">
        <f>'[2]Soy Complex'!AQ406</f>
        <v>4.7053309611616596</v>
      </c>
      <c r="K4" s="11">
        <f>'[2]Soy Complex'!AR406</f>
        <v>5.6274177871419004</v>
      </c>
      <c r="L4" s="11">
        <f>'[2]Soy Complex'!AS406</f>
        <v>3.2679714900617962</v>
      </c>
      <c r="M4" s="11">
        <f>'[2]Soy Complex'!AT406</f>
        <v>26.33123743930997</v>
      </c>
      <c r="N4" s="11">
        <f>'[2]Soy Complex'!AU406</f>
        <v>88.427799471015888</v>
      </c>
      <c r="O4" s="11">
        <f>'[2]Soy Complex'!AV406</f>
        <v>178.7</v>
      </c>
      <c r="P4" s="11">
        <f>'[2]Soy Complex'!AW406</f>
        <v>219.3</v>
      </c>
      <c r="Q4" s="11">
        <f>'[2]Soy Complex'!AX406</f>
        <v>207</v>
      </c>
      <c r="R4" s="11">
        <f>'[2]Soy Complex'!AY406</f>
        <v>241</v>
      </c>
      <c r="S4" s="11">
        <f>'[2]Soy Complex'!AZ406</f>
        <v>63</v>
      </c>
      <c r="T4" s="11">
        <f>'[2]Soy Complex'!BA406</f>
        <v>592</v>
      </c>
      <c r="U4" s="11">
        <f>'[2]Soy Complex'!BB406</f>
        <v>273</v>
      </c>
      <c r="V4" s="11">
        <f>'[2]Soy Complex'!BC406</f>
        <v>559</v>
      </c>
      <c r="W4" s="11">
        <f>'[2]Soy Complex'!BD406</f>
        <v>531.30999999999995</v>
      </c>
      <c r="X4" s="11">
        <f>'[2]Soy Complex'!BE406</f>
        <v>436</v>
      </c>
      <c r="Y4" s="11">
        <f>'[2]Soy Complex'!BF406</f>
        <v>610.47</v>
      </c>
      <c r="Z4" s="11">
        <f>'[2]Soy Complex'!BG406</f>
        <v>593.99</v>
      </c>
      <c r="AA4" s="11">
        <f>'[2]Soy Complex'!BH406</f>
        <v>767.76</v>
      </c>
      <c r="AB4" s="11">
        <f>'[2]Soy Complex'!BI406</f>
        <v>541.04999999999995</v>
      </c>
      <c r="AC4" s="11">
        <f>'[2]Soy Complex'!BJ406</f>
        <v>744</v>
      </c>
      <c r="AD4" s="11">
        <f>'[2]Soy Complex'!BK406</f>
        <v>541.99699766976471</v>
      </c>
      <c r="AE4" s="11">
        <f>'[2]Soy Complex'!BL406</f>
        <v>533.59299999999996</v>
      </c>
      <c r="AF4" s="11">
        <f>'[2]Soy Complex'!BM406</f>
        <v>603</v>
      </c>
      <c r="AG4" s="11">
        <f>'[2]Soy Complex'!BN406</f>
        <v>399.74799999999999</v>
      </c>
    </row>
    <row r="5" spans="1:33">
      <c r="A5" s="19" t="s">
        <v>31</v>
      </c>
      <c r="B5" s="11">
        <f>'[2]Soy Complex'!AI407</f>
        <v>5.14</v>
      </c>
      <c r="C5" s="11">
        <f>'[2]Soy Complex'!AJ407</f>
        <v>0</v>
      </c>
      <c r="D5" s="11">
        <f>'[2]Soy Complex'!AK407</f>
        <v>0</v>
      </c>
      <c r="E5" s="11">
        <f>'[2]Soy Complex'!AL407</f>
        <v>0</v>
      </c>
      <c r="F5" s="11">
        <f>'[2]Soy Complex'!AM407</f>
        <v>0</v>
      </c>
      <c r="G5" s="11">
        <f>'[2]Soy Complex'!AN407</f>
        <v>0.15748480840727289</v>
      </c>
      <c r="H5" s="11">
        <f>'[2]Soy Complex'!AO407</f>
        <v>0.62993923362909154</v>
      </c>
      <c r="I5" s="11">
        <f>'[2]Soy Complex'!AP407</f>
        <v>3.6232368797822416</v>
      </c>
      <c r="J5" s="11">
        <f>'[2]Soy Complex'!AQ407</f>
        <v>6.3683646097343614</v>
      </c>
      <c r="K5" s="11">
        <f>'[2]Soy Complex'!AR407</f>
        <v>5.1705605193162594</v>
      </c>
      <c r="L5" s="11">
        <f>'[2]Soy Complex'!AS407</f>
        <v>12.937129110066229</v>
      </c>
      <c r="M5" s="11">
        <f>'[2]Soy Complex'!AT407</f>
        <v>17.948954341994057</v>
      </c>
      <c r="N5" s="11">
        <f>'[2]Soy Complex'!AU407</f>
        <v>94.4</v>
      </c>
      <c r="O5" s="11">
        <f>'[2]Soy Complex'!AV407</f>
        <v>192.1</v>
      </c>
      <c r="P5" s="11">
        <f>'[2]Soy Complex'!AW407</f>
        <v>289</v>
      </c>
      <c r="Q5" s="11">
        <f>'[2]Soy Complex'!AX407</f>
        <v>152</v>
      </c>
      <c r="R5" s="11">
        <f>'[2]Soy Complex'!AY407</f>
        <v>90</v>
      </c>
      <c r="S5" s="11">
        <f>'[2]Soy Complex'!AZ407</f>
        <v>150</v>
      </c>
      <c r="T5" s="11">
        <f>'[2]Soy Complex'!BA407</f>
        <v>306</v>
      </c>
      <c r="U5" s="11">
        <f>'[2]Soy Complex'!BB407</f>
        <v>313</v>
      </c>
      <c r="V5" s="11">
        <f>'[2]Soy Complex'!BC407</f>
        <v>241</v>
      </c>
      <c r="W5" s="11">
        <f>'[2]Soy Complex'!BD407</f>
        <v>306</v>
      </c>
      <c r="X5" s="11">
        <f>'[2]Soy Complex'!BE407</f>
        <v>392.27</v>
      </c>
      <c r="Y5" s="11">
        <f>'[2]Soy Complex'!BF407</f>
        <v>390.11</v>
      </c>
      <c r="Z5" s="11">
        <f>'[2]Soy Complex'!BG407</f>
        <v>462.12</v>
      </c>
      <c r="AA5" s="11">
        <f>'[2]Soy Complex'!BH407</f>
        <v>622.80999999999995</v>
      </c>
      <c r="AB5" s="11">
        <f>'[2]Soy Complex'!BI407</f>
        <v>521</v>
      </c>
      <c r="AC5" s="11">
        <f>'[2]Soy Complex'!BJ407</f>
        <v>515.40087194059493</v>
      </c>
      <c r="AD5" s="11">
        <f>'[2]Soy Complex'!BK407</f>
        <v>543.04</v>
      </c>
      <c r="AE5" s="11">
        <f>'[2]Soy Complex'!BL407</f>
        <v>556.82899999999995</v>
      </c>
      <c r="AF5" s="11">
        <f>'[2]Soy Complex'!BM407</f>
        <v>544.50800000000004</v>
      </c>
      <c r="AG5" s="11">
        <f>'[2]Soy Complex'!BN407</f>
        <v>338.58815621958564</v>
      </c>
    </row>
    <row r="6" spans="1:33">
      <c r="A6" s="19" t="s">
        <v>32</v>
      </c>
      <c r="B6" s="11">
        <f>'[2]Soy Complex'!AI408</f>
        <v>5.12</v>
      </c>
      <c r="C6" s="11">
        <f>'[2]Soy Complex'!AJ408</f>
        <v>0</v>
      </c>
      <c r="D6" s="11">
        <f>'[2]Soy Complex'!AK408</f>
        <v>0</v>
      </c>
      <c r="E6" s="11">
        <f>'[2]Soy Complex'!AL408</f>
        <v>0</v>
      </c>
      <c r="F6" s="11">
        <f>'[2]Soy Complex'!AM408</f>
        <v>0</v>
      </c>
      <c r="G6" s="11">
        <f>'[2]Soy Complex'!AN408</f>
        <v>0.15748480840727289</v>
      </c>
      <c r="H6" s="11">
        <f>'[2]Soy Complex'!AO408</f>
        <v>0.62993923362909154</v>
      </c>
      <c r="I6" s="11">
        <f>'[2]Soy Complex'!AP408</f>
        <v>3.6232368797822416</v>
      </c>
      <c r="J6" s="11">
        <f>'[2]Soy Complex'!AQ408</f>
        <v>6.3683646097343614</v>
      </c>
      <c r="K6" s="11">
        <f>'[2]Soy Complex'!AR408</f>
        <v>5.1705605193162594</v>
      </c>
      <c r="L6" s="11">
        <f>'[2]Soy Complex'!AS408</f>
        <v>12.937129110066229</v>
      </c>
      <c r="M6" s="11">
        <f>'[2]Soy Complex'!AT408</f>
        <v>17.948954341994057</v>
      </c>
      <c r="N6" s="11">
        <f>'[2]Soy Complex'!AU408</f>
        <v>81.599999999999994</v>
      </c>
      <c r="O6" s="11">
        <f>'[2]Soy Complex'!AV408</f>
        <v>158.4</v>
      </c>
      <c r="P6" s="11">
        <f>'[2]Soy Complex'!AW408</f>
        <v>247.5</v>
      </c>
      <c r="Q6" s="11">
        <f>'[2]Soy Complex'!AX408</f>
        <v>146</v>
      </c>
      <c r="R6" s="11">
        <f>'[2]Soy Complex'!AY408</f>
        <v>102</v>
      </c>
      <c r="S6" s="11">
        <f>'[2]Soy Complex'!AZ408</f>
        <v>150</v>
      </c>
      <c r="T6" s="11">
        <f>'[2]Soy Complex'!BA408</f>
        <v>321</v>
      </c>
      <c r="U6" s="11">
        <f>'[2]Soy Complex'!BB408</f>
        <v>287</v>
      </c>
      <c r="V6" s="11">
        <f>'[2]Soy Complex'!BC408</f>
        <v>277</v>
      </c>
      <c r="W6" s="11">
        <f>'[2]Soy Complex'!BD408</f>
        <v>311</v>
      </c>
      <c r="X6" s="11">
        <f>'[2]Soy Complex'!BE408</f>
        <v>416</v>
      </c>
      <c r="Y6" s="11">
        <f>'[2]Soy Complex'!BF408</f>
        <v>369.18</v>
      </c>
      <c r="Z6" s="11">
        <f>'[2]Soy Complex'!BG408</f>
        <v>495.59</v>
      </c>
      <c r="AA6" s="11">
        <f>'[2]Soy Complex'!BH408</f>
        <v>559.57000000000005</v>
      </c>
      <c r="AB6" s="11">
        <f>'[2]Soy Complex'!BI408</f>
        <v>574.78</v>
      </c>
      <c r="AC6" s="11">
        <f>'[2]Soy Complex'!BJ408</f>
        <v>363.23678948435662</v>
      </c>
      <c r="AD6" s="11">
        <f>'[2]Soy Complex'!BK408</f>
        <v>536.60199999999998</v>
      </c>
      <c r="AE6" s="11">
        <f>'[2]Soy Complex'!BL408</f>
        <v>536.27599999999995</v>
      </c>
      <c r="AF6" s="11">
        <f>'[2]Soy Complex'!BM408</f>
        <v>521.55999999999995</v>
      </c>
      <c r="AG6" s="11">
        <f>'[2]Soy Complex'!BN408</f>
        <v>379.37153883886378</v>
      </c>
    </row>
    <row r="7" spans="1:33">
      <c r="A7" s="19" t="s">
        <v>33</v>
      </c>
      <c r="B7" s="11">
        <f>'[2]Soy Complex'!AI409</f>
        <v>5.1100000000000003</v>
      </c>
      <c r="C7" s="11">
        <f>'[2]Soy Complex'!AJ409</f>
        <v>0</v>
      </c>
      <c r="D7" s="11">
        <f>'[2]Soy Complex'!AK409</f>
        <v>0</v>
      </c>
      <c r="E7" s="11">
        <f>'[2]Soy Complex'!AL409</f>
        <v>0</v>
      </c>
      <c r="F7" s="11">
        <f>'[2]Soy Complex'!AM409</f>
        <v>0</v>
      </c>
      <c r="G7" s="11">
        <f>'[2]Soy Complex'!AN409</f>
        <v>0.15748480840727289</v>
      </c>
      <c r="H7" s="11">
        <f>'[2]Soy Complex'!AO409</f>
        <v>0.62993923362909154</v>
      </c>
      <c r="I7" s="11">
        <f>'[2]Soy Complex'!AP409</f>
        <v>3.6232368797822416</v>
      </c>
      <c r="J7" s="11">
        <f>'[2]Soy Complex'!AQ409</f>
        <v>6.3683646097343614</v>
      </c>
      <c r="K7" s="11">
        <f>'[2]Soy Complex'!AR409</f>
        <v>5.1705605193162594</v>
      </c>
      <c r="L7" s="11">
        <f>'[2]Soy Complex'!AS409</f>
        <v>12.937129110066229</v>
      </c>
      <c r="M7" s="11">
        <f>'[2]Soy Complex'!AT409</f>
        <v>17.948954341994057</v>
      </c>
      <c r="N7" s="11">
        <f>'[2]Soy Complex'!AU409</f>
        <v>111.3</v>
      </c>
      <c r="O7" s="11">
        <f>'[2]Soy Complex'!AV409</f>
        <v>222.4</v>
      </c>
      <c r="P7" s="11">
        <f>'[2]Soy Complex'!AW409</f>
        <v>259.5</v>
      </c>
      <c r="Q7" s="11">
        <f>'[2]Soy Complex'!AX409</f>
        <v>102</v>
      </c>
      <c r="R7" s="11">
        <f>'[2]Soy Complex'!AY409</f>
        <v>112</v>
      </c>
      <c r="S7" s="11">
        <f>'[2]Soy Complex'!AZ409</f>
        <v>190</v>
      </c>
      <c r="T7" s="11">
        <f>'[2]Soy Complex'!BA409</f>
        <v>388</v>
      </c>
      <c r="U7" s="11">
        <f>'[2]Soy Complex'!BB409</f>
        <v>443</v>
      </c>
      <c r="V7" s="11">
        <f>'[2]Soy Complex'!BC409</f>
        <v>379</v>
      </c>
      <c r="W7" s="11">
        <f>'[2]Soy Complex'!BD409</f>
        <v>381</v>
      </c>
      <c r="X7" s="11">
        <f>'[2]Soy Complex'!BE409</f>
        <v>464.48</v>
      </c>
      <c r="Y7" s="11">
        <f>'[2]Soy Complex'!BF409</f>
        <v>369.46</v>
      </c>
      <c r="Z7" s="11">
        <f>'[2]Soy Complex'!BG409</f>
        <v>624.15</v>
      </c>
      <c r="AA7" s="11">
        <f>'[2]Soy Complex'!BH409</f>
        <v>617.01</v>
      </c>
      <c r="AB7" s="11">
        <f>'[2]Soy Complex'!BI409</f>
        <v>656.02</v>
      </c>
      <c r="AC7" s="11">
        <f>'[2]Soy Complex'!BJ409</f>
        <v>531.32215736145281</v>
      </c>
      <c r="AD7" s="11">
        <f>'[2]Soy Complex'!BK409</f>
        <v>657.06299999999999</v>
      </c>
      <c r="AE7" s="11">
        <f>'[2]Soy Complex'!BL409</f>
        <v>592.54200000000003</v>
      </c>
      <c r="AF7" s="11">
        <f>'[2]Soy Complex'!BM409</f>
        <v>547.69156099999998</v>
      </c>
      <c r="AG7" s="11">
        <f>'[2]Soy Complex'!BN409</f>
        <v>415.23322196654721</v>
      </c>
    </row>
    <row r="8" spans="1:33">
      <c r="A8" s="19" t="s">
        <v>34</v>
      </c>
      <c r="B8" s="11">
        <f>'[2]Soy Complex'!AI410</f>
        <v>5.29</v>
      </c>
      <c r="C8" s="11">
        <f>'[2]Soy Complex'!AJ410</f>
        <v>0</v>
      </c>
      <c r="D8" s="11">
        <f>'[2]Soy Complex'!AK410</f>
        <v>0</v>
      </c>
      <c r="E8" s="11">
        <f>'[2]Soy Complex'!AL410</f>
        <v>0</v>
      </c>
      <c r="F8" s="11">
        <f>'[2]Soy Complex'!AM410</f>
        <v>0</v>
      </c>
      <c r="G8" s="11">
        <f>'[2]Soy Complex'!AN410</f>
        <v>0.34572021789631785</v>
      </c>
      <c r="H8" s="11">
        <f>'[2]Soy Complex'!AO410</f>
        <v>1.3828808715852714</v>
      </c>
      <c r="I8" s="11">
        <f>'[2]Soy Complex'!AP410</f>
        <v>6.6667470785954341</v>
      </c>
      <c r="J8" s="11">
        <f>'[2]Soy Complex'!AQ410</f>
        <v>7.5145764566391513</v>
      </c>
      <c r="K8" s="11">
        <f>'[2]Soy Complex'!AR410</f>
        <v>13.039183905705046</v>
      </c>
      <c r="L8" s="11">
        <f>'[2]Soy Complex'!AS410</f>
        <v>14.863558198765865</v>
      </c>
      <c r="M8" s="11">
        <f>'[2]Soy Complex'!AT410</f>
        <v>41.138238360285243</v>
      </c>
      <c r="N8" s="11">
        <f>'[2]Soy Complex'!AU410</f>
        <v>116.7</v>
      </c>
      <c r="O8" s="11">
        <f>'[2]Soy Complex'!AV410</f>
        <v>214.9</v>
      </c>
      <c r="P8" s="11">
        <f>'[2]Soy Complex'!AW410</f>
        <v>266.5</v>
      </c>
      <c r="Q8" s="11">
        <f>'[2]Soy Complex'!AX410</f>
        <v>102</v>
      </c>
      <c r="R8" s="11">
        <f>'[2]Soy Complex'!AY410</f>
        <v>127</v>
      </c>
      <c r="S8" s="11">
        <f>'[2]Soy Complex'!AZ410</f>
        <v>236</v>
      </c>
      <c r="T8" s="11">
        <f>'[2]Soy Complex'!BA410</f>
        <v>350</v>
      </c>
      <c r="U8" s="11">
        <f>'[2]Soy Complex'!BB410</f>
        <v>423</v>
      </c>
      <c r="V8" s="11">
        <f>'[2]Soy Complex'!BC410</f>
        <v>360</v>
      </c>
      <c r="W8" s="11">
        <f>'[2]Soy Complex'!BD410</f>
        <v>384.6</v>
      </c>
      <c r="X8" s="11">
        <f>'[2]Soy Complex'!BE410</f>
        <v>414.75</v>
      </c>
      <c r="Y8" s="11">
        <f>'[2]Soy Complex'!BF410</f>
        <v>426.71</v>
      </c>
      <c r="Z8" s="11">
        <f>'[2]Soy Complex'!BG410</f>
        <v>519.55999999999995</v>
      </c>
      <c r="AA8" s="11">
        <f>'[2]Soy Complex'!BH410</f>
        <v>631.84</v>
      </c>
      <c r="AB8" s="11">
        <f>'[2]Soy Complex'!BI410</f>
        <v>671.81</v>
      </c>
      <c r="AC8" s="11">
        <f>'[2]Soy Complex'!BJ410</f>
        <v>572.65796175791775</v>
      </c>
      <c r="AD8" s="11">
        <f>'[2]Soy Complex'!BK410</f>
        <v>578.07399999999996</v>
      </c>
      <c r="AE8" s="11">
        <f>'[2]Soy Complex'!BL410</f>
        <v>578.74400000000003</v>
      </c>
      <c r="AF8" s="11">
        <f>'[2]Soy Complex'!BM410</f>
        <v>504.93900000000002</v>
      </c>
      <c r="AG8" s="11">
        <f>'[2]Soy Complex'!BN410</f>
        <v>432.29360944915561</v>
      </c>
    </row>
    <row r="9" spans="1:33">
      <c r="A9" s="19" t="s">
        <v>35</v>
      </c>
      <c r="B9" s="11">
        <f>'[2]Soy Complex'!AI411</f>
        <v>5.43</v>
      </c>
      <c r="C9" s="11">
        <f>'[2]Soy Complex'!AJ411</f>
        <v>0</v>
      </c>
      <c r="D9" s="11">
        <f>'[2]Soy Complex'!AK411</f>
        <v>0</v>
      </c>
      <c r="E9" s="11">
        <f>'[2]Soy Complex'!AL411</f>
        <v>0</v>
      </c>
      <c r="F9" s="11">
        <f>'[2]Soy Complex'!AM411</f>
        <v>0</v>
      </c>
      <c r="G9" s="11">
        <f>'[2]Soy Complex'!AN411</f>
        <v>0.34572021789631785</v>
      </c>
      <c r="H9" s="11">
        <f>'[2]Soy Complex'!AO411</f>
        <v>1.3828808715852714</v>
      </c>
      <c r="I9" s="11">
        <f>'[2]Soy Complex'!AP411</f>
        <v>6.6667470785954341</v>
      </c>
      <c r="J9" s="11">
        <f>'[2]Soy Complex'!AQ411</f>
        <v>7.5145764566391513</v>
      </c>
      <c r="K9" s="11">
        <f>'[2]Soy Complex'!AR411</f>
        <v>13.039183905705046</v>
      </c>
      <c r="L9" s="11">
        <f>'[2]Soy Complex'!AS411</f>
        <v>14.863558198765865</v>
      </c>
      <c r="M9" s="11">
        <f>'[2]Soy Complex'!AT411</f>
        <v>41.138238360285243</v>
      </c>
      <c r="N9" s="11">
        <f>'[2]Soy Complex'!AU411</f>
        <v>160.80000000000001</v>
      </c>
      <c r="O9" s="11">
        <f>'[2]Soy Complex'!AV411</f>
        <v>269.10000000000002</v>
      </c>
      <c r="P9" s="11">
        <f>'[2]Soy Complex'!AW411</f>
        <v>269.8</v>
      </c>
      <c r="Q9" s="11">
        <f>'[2]Soy Complex'!AX411</f>
        <v>94</v>
      </c>
      <c r="R9" s="11">
        <f>'[2]Soy Complex'!AY411</f>
        <v>98</v>
      </c>
      <c r="S9" s="11">
        <f>'[2]Soy Complex'!AZ411</f>
        <v>264</v>
      </c>
      <c r="T9" s="11">
        <f>'[2]Soy Complex'!BA411</f>
        <v>429</v>
      </c>
      <c r="U9" s="11">
        <f>'[2]Soy Complex'!BB411</f>
        <v>416</v>
      </c>
      <c r="V9" s="11">
        <f>'[2]Soy Complex'!BC411</f>
        <v>364</v>
      </c>
      <c r="W9" s="11">
        <f>'[2]Soy Complex'!BD411</f>
        <v>443</v>
      </c>
      <c r="X9" s="11">
        <f>'[2]Soy Complex'!BE411</f>
        <v>543.78</v>
      </c>
      <c r="Y9" s="11">
        <f>'[2]Soy Complex'!BF411</f>
        <v>545.51</v>
      </c>
      <c r="Z9" s="11">
        <f>'[2]Soy Complex'!BG411</f>
        <v>581.33000000000004</v>
      </c>
      <c r="AA9" s="11">
        <f>'[2]Soy Complex'!BH411</f>
        <v>659.05</v>
      </c>
      <c r="AB9" s="11">
        <f>'[2]Soy Complex'!BI411</f>
        <v>805.35</v>
      </c>
      <c r="AC9" s="11">
        <f>'[2]Soy Complex'!BJ411</f>
        <v>591.80741599068722</v>
      </c>
      <c r="AD9" s="11">
        <f>'[2]Soy Complex'!BK411</f>
        <v>593.74400000000003</v>
      </c>
      <c r="AE9" s="11">
        <f>'[2]Soy Complex'!BL411</f>
        <v>662.75699999999995</v>
      </c>
      <c r="AF9" s="11">
        <f>'[2]Soy Complex'!BM411</f>
        <v>596.85599999999999</v>
      </c>
      <c r="AG9" s="11">
        <f>'[2]Soy Complex'!BN411</f>
        <v>478.05987193746262</v>
      </c>
    </row>
    <row r="10" spans="1:33">
      <c r="A10" s="19" t="s">
        <v>36</v>
      </c>
      <c r="B10" s="11">
        <f>'[2]Soy Complex'!AI412</f>
        <v>5.55</v>
      </c>
      <c r="C10" s="11">
        <f>'[2]Soy Complex'!AJ412</f>
        <v>0</v>
      </c>
      <c r="D10" s="11">
        <f>'[2]Soy Complex'!AK412</f>
        <v>0</v>
      </c>
      <c r="E10" s="11">
        <f>'[2]Soy Complex'!AL412</f>
        <v>0</v>
      </c>
      <c r="F10" s="11">
        <f>'[2]Soy Complex'!AM412</f>
        <v>0</v>
      </c>
      <c r="G10" s="11">
        <f>'[2]Soy Complex'!AN412</f>
        <v>0.34572021789631785</v>
      </c>
      <c r="H10" s="11">
        <f>'[2]Soy Complex'!AO412</f>
        <v>1.3828808715852714</v>
      </c>
      <c r="I10" s="11">
        <f>'[2]Soy Complex'!AP412</f>
        <v>6.6667470785954341</v>
      </c>
      <c r="J10" s="11">
        <f>'[2]Soy Complex'!AQ412</f>
        <v>7.5145764566391513</v>
      </c>
      <c r="K10" s="11">
        <f>'[2]Soy Complex'!AR412</f>
        <v>13.039183905705046</v>
      </c>
      <c r="L10" s="11">
        <f>'[2]Soy Complex'!AS412</f>
        <v>14.863558198765865</v>
      </c>
      <c r="M10" s="11">
        <f>'[2]Soy Complex'!AT412</f>
        <v>41.138238360285243</v>
      </c>
      <c r="N10" s="11">
        <f>'[2]Soy Complex'!AU412</f>
        <v>185.3</v>
      </c>
      <c r="O10" s="11">
        <f>'[2]Soy Complex'!AV412</f>
        <v>255.9</v>
      </c>
      <c r="P10" s="11">
        <f>'[2]Soy Complex'!AW412</f>
        <v>298.8</v>
      </c>
      <c r="Q10" s="11">
        <f>'[2]Soy Complex'!AX412</f>
        <v>112</v>
      </c>
      <c r="R10" s="11">
        <f>'[2]Soy Complex'!AY412</f>
        <v>89</v>
      </c>
      <c r="S10" s="11">
        <f>'[2]Soy Complex'!AZ412</f>
        <v>311</v>
      </c>
      <c r="T10" s="11">
        <f>'[2]Soy Complex'!BA412</f>
        <v>369</v>
      </c>
      <c r="U10" s="11">
        <f>'[2]Soy Complex'!BB412</f>
        <v>486</v>
      </c>
      <c r="V10" s="11">
        <f>'[2]Soy Complex'!BC412</f>
        <v>466.61</v>
      </c>
      <c r="W10" s="11">
        <f>'[2]Soy Complex'!BD412</f>
        <v>474</v>
      </c>
      <c r="X10" s="11">
        <f>'[2]Soy Complex'!BE412</f>
        <v>519.69000000000005</v>
      </c>
      <c r="Y10" s="11">
        <f>'[2]Soy Complex'!BF412</f>
        <v>548.84</v>
      </c>
      <c r="Z10" s="11">
        <f>'[2]Soy Complex'!BG412</f>
        <v>623.61</v>
      </c>
      <c r="AA10" s="11">
        <f>'[2]Soy Complex'!BH412</f>
        <v>594.15</v>
      </c>
      <c r="AB10" s="11">
        <f>'[2]Soy Complex'!BI412</f>
        <v>747.07</v>
      </c>
      <c r="AC10" s="11">
        <f>'[2]Soy Complex'!BJ412</f>
        <v>450.21332781229057</v>
      </c>
      <c r="AD10" s="11">
        <f>'[2]Soy Complex'!BK412</f>
        <v>559.88699999999994</v>
      </c>
      <c r="AE10" s="11">
        <f>'[2]Soy Complex'!BL412</f>
        <v>627.38300000000004</v>
      </c>
      <c r="AF10" s="11">
        <f>'[2]Soy Complex'!BM412</f>
        <v>577.89058302499996</v>
      </c>
      <c r="AG10" s="11">
        <f>'[2]Soy Complex'!BN412</f>
        <v>433.28685744699578</v>
      </c>
    </row>
    <row r="11" spans="1:33">
      <c r="A11" s="19" t="s">
        <v>37</v>
      </c>
      <c r="B11" s="11">
        <f>'[2]Soy Complex'!AI413</f>
        <v>5.46</v>
      </c>
      <c r="C11" s="11">
        <f>'[2]Soy Complex'!AJ413</f>
        <v>0</v>
      </c>
      <c r="D11" s="11">
        <f>'[2]Soy Complex'!AK413</f>
        <v>0</v>
      </c>
      <c r="E11" s="11">
        <f>'[2]Soy Complex'!AL413</f>
        <v>0</v>
      </c>
      <c r="F11" s="11">
        <f>'[2]Soy Complex'!AM413</f>
        <v>0</v>
      </c>
      <c r="G11" s="11">
        <f>'[2]Soy Complex'!AN413</f>
        <v>0.40001854693321803</v>
      </c>
      <c r="H11" s="11">
        <f>'[2]Soy Complex'!AO413</f>
        <v>1.6000741877328721</v>
      </c>
      <c r="I11" s="11">
        <f>'[2]Soy Complex'!AP413</f>
        <v>10.637580569212387</v>
      </c>
      <c r="J11" s="11">
        <f>'[2]Soy Complex'!AQ413</f>
        <v>12.961993024509113</v>
      </c>
      <c r="K11" s="11">
        <f>'[2]Soy Complex'!AR413</f>
        <v>15.212707826494727</v>
      </c>
      <c r="L11" s="11">
        <f>'[2]Soy Complex'!AS413</f>
        <v>13.814113468057771</v>
      </c>
      <c r="M11" s="11">
        <f>'[2]Soy Complex'!AT413</f>
        <v>77.428275425543987</v>
      </c>
      <c r="N11" s="11">
        <f>'[2]Soy Complex'!AU413</f>
        <v>163.5</v>
      </c>
      <c r="O11" s="11">
        <f>'[2]Soy Complex'!AV413</f>
        <v>348.1</v>
      </c>
      <c r="P11" s="11">
        <f>'[2]Soy Complex'!AW413</f>
        <v>319.10000000000002</v>
      </c>
      <c r="Q11" s="11">
        <f>'[2]Soy Complex'!AX413</f>
        <v>164</v>
      </c>
      <c r="R11" s="11">
        <f>'[2]Soy Complex'!AY413</f>
        <v>96</v>
      </c>
      <c r="S11" s="11">
        <f>'[2]Soy Complex'!AZ413</f>
        <v>367</v>
      </c>
      <c r="T11" s="11">
        <f>'[2]Soy Complex'!BA413</f>
        <v>347</v>
      </c>
      <c r="U11" s="11">
        <f>'[2]Soy Complex'!BB413</f>
        <v>480</v>
      </c>
      <c r="V11" s="11">
        <f>'[2]Soy Complex'!BC413</f>
        <v>434.63</v>
      </c>
      <c r="W11" s="11">
        <f>'[2]Soy Complex'!BD413</f>
        <v>446</v>
      </c>
      <c r="X11" s="11">
        <f>'[2]Soy Complex'!BE413</f>
        <v>535.6</v>
      </c>
      <c r="Y11" s="11">
        <f>'[2]Soy Complex'!BF413</f>
        <v>606.15</v>
      </c>
      <c r="Z11" s="11">
        <f>'[2]Soy Complex'!BG413</f>
        <v>671.27</v>
      </c>
      <c r="AA11" s="11">
        <f>'[2]Soy Complex'!BH413</f>
        <v>708.5</v>
      </c>
      <c r="AB11" s="11">
        <f>'[2]Soy Complex'!BI413</f>
        <v>774.83</v>
      </c>
      <c r="AC11" s="11">
        <f>'[2]Soy Complex'!BJ413</f>
        <v>591.97520835919272</v>
      </c>
      <c r="AD11" s="11">
        <f>'[2]Soy Complex'!BK413</f>
        <v>625.98500000000001</v>
      </c>
      <c r="AE11" s="11">
        <f>'[2]Soy Complex'!BL413</f>
        <v>678.70100000000002</v>
      </c>
      <c r="AF11" s="11">
        <f>'[2]Soy Complex'!BM413</f>
        <v>641.88599999999997</v>
      </c>
      <c r="AG11" s="11">
        <f>'[2]Soy Complex'!BN413</f>
        <v>467.0645973795169</v>
      </c>
    </row>
    <row r="12" spans="1:33">
      <c r="A12" s="19" t="s">
        <v>38</v>
      </c>
      <c r="B12" s="11">
        <f>'[2]Soy Complex'!AI414</f>
        <v>5.53</v>
      </c>
      <c r="C12" s="11">
        <f>'[2]Soy Complex'!AJ414</f>
        <v>0</v>
      </c>
      <c r="D12" s="11">
        <f>'[2]Soy Complex'!AK414</f>
        <v>0</v>
      </c>
      <c r="E12" s="11">
        <f>'[2]Soy Complex'!AL414</f>
        <v>0</v>
      </c>
      <c r="F12" s="11">
        <f>'[2]Soy Complex'!AM414</f>
        <v>0</v>
      </c>
      <c r="G12" s="11">
        <f>'[2]Soy Complex'!AN414</f>
        <v>0.40001854693321803</v>
      </c>
      <c r="H12" s="11">
        <f>'[2]Soy Complex'!AO414</f>
        <v>1.6000741877328721</v>
      </c>
      <c r="I12" s="11">
        <f>'[2]Soy Complex'!AP414</f>
        <v>10.637580569212387</v>
      </c>
      <c r="J12" s="11">
        <f>'[2]Soy Complex'!AQ414</f>
        <v>12.961993024509113</v>
      </c>
      <c r="K12" s="11">
        <f>'[2]Soy Complex'!AR414</f>
        <v>15.212707826494727</v>
      </c>
      <c r="L12" s="11">
        <f>'[2]Soy Complex'!AS414</f>
        <v>13.814113468057771</v>
      </c>
      <c r="M12" s="11">
        <f>'[2]Soy Complex'!AT414</f>
        <v>77.428275425543987</v>
      </c>
      <c r="N12" s="11">
        <f>'[2]Soy Complex'!AU414</f>
        <v>208.5</v>
      </c>
      <c r="O12" s="11">
        <f>'[2]Soy Complex'!AV414</f>
        <v>311.5</v>
      </c>
      <c r="P12" s="11">
        <f>'[2]Soy Complex'!AW414</f>
        <v>331.9</v>
      </c>
      <c r="Q12" s="11">
        <f>'[2]Soy Complex'!AX414</f>
        <v>168</v>
      </c>
      <c r="R12" s="11">
        <f>'[2]Soy Complex'!AY414</f>
        <v>84</v>
      </c>
      <c r="S12" s="11">
        <f>'[2]Soy Complex'!AZ414</f>
        <v>398</v>
      </c>
      <c r="T12" s="11">
        <f>'[2]Soy Complex'!BA414</f>
        <v>385</v>
      </c>
      <c r="U12" s="11">
        <f>'[2]Soy Complex'!BB414</f>
        <v>513</v>
      </c>
      <c r="V12" s="11">
        <f>'[2]Soy Complex'!BC414</f>
        <v>447.81</v>
      </c>
      <c r="W12" s="11">
        <f>'[2]Soy Complex'!BD414</f>
        <v>463.6</v>
      </c>
      <c r="X12" s="11">
        <f>'[2]Soy Complex'!BE414</f>
        <v>561.04</v>
      </c>
      <c r="Y12" s="11">
        <f>'[2]Soy Complex'!BF414</f>
        <v>608.16999999999996</v>
      </c>
      <c r="Z12" s="11">
        <f>'[2]Soy Complex'!BG414</f>
        <v>705.13</v>
      </c>
      <c r="AA12" s="11">
        <f>'[2]Soy Complex'!BH414</f>
        <v>701.14</v>
      </c>
      <c r="AB12" s="11">
        <f>'[2]Soy Complex'!BI414</f>
        <v>745.33</v>
      </c>
      <c r="AC12" s="11">
        <f>'[2]Soy Complex'!BJ414</f>
        <v>559.77245693603948</v>
      </c>
      <c r="AD12" s="11">
        <f>'[2]Soy Complex'!BK414</f>
        <v>642.899</v>
      </c>
      <c r="AE12" s="11">
        <f>'[2]Soy Complex'!BL414</f>
        <v>617.53700000000003</v>
      </c>
      <c r="AF12" s="11">
        <f>'[2]Soy Complex'!BM414</f>
        <v>636.02</v>
      </c>
      <c r="AG12" s="11">
        <f>'[2]Soy Complex'!BN414</f>
        <v>501.54884813869637</v>
      </c>
    </row>
    <row r="13" spans="1:33">
      <c r="A13" s="19" t="s">
        <v>39</v>
      </c>
      <c r="B13" s="11">
        <f>'[2]Soy Complex'!AI415</f>
        <v>5.58</v>
      </c>
      <c r="C13" s="11">
        <f>'[2]Soy Complex'!AJ415</f>
        <v>0</v>
      </c>
      <c r="D13" s="11">
        <f>'[2]Soy Complex'!AK415</f>
        <v>0</v>
      </c>
      <c r="E13" s="11">
        <f>'[2]Soy Complex'!AL415</f>
        <v>0</v>
      </c>
      <c r="F13" s="11">
        <f>'[2]Soy Complex'!AM415</f>
        <v>0</v>
      </c>
      <c r="G13" s="11">
        <f>'[2]Soy Complex'!AN415</f>
        <v>0.40001854693321803</v>
      </c>
      <c r="H13" s="11">
        <f>'[2]Soy Complex'!AO415</f>
        <v>1.6000741877328721</v>
      </c>
      <c r="I13" s="11">
        <f>'[2]Soy Complex'!AP415</f>
        <v>10.637580569212387</v>
      </c>
      <c r="J13" s="11">
        <f>'[2]Soy Complex'!AQ415</f>
        <v>12.961993024509113</v>
      </c>
      <c r="K13" s="11">
        <f>'[2]Soy Complex'!AR415</f>
        <v>15.212707826494727</v>
      </c>
      <c r="L13" s="11">
        <f>'[2]Soy Complex'!AS415</f>
        <v>13.814113468057771</v>
      </c>
      <c r="M13" s="11">
        <f>'[2]Soy Complex'!AT415</f>
        <v>77.428275425543987</v>
      </c>
      <c r="N13" s="11">
        <f>'[2]Soy Complex'!AU415</f>
        <v>181.2</v>
      </c>
      <c r="O13" s="11">
        <f>'[2]Soy Complex'!AV415</f>
        <v>286.60000000000002</v>
      </c>
      <c r="P13" s="11">
        <f>'[2]Soy Complex'!AW415</f>
        <v>278.10000000000002</v>
      </c>
      <c r="Q13" s="11">
        <f>'[2]Soy Complex'!AX415</f>
        <v>215</v>
      </c>
      <c r="R13" s="11">
        <f>'[2]Soy Complex'!AY415</f>
        <v>102</v>
      </c>
      <c r="S13" s="11">
        <f>'[2]Soy Complex'!AZ415</f>
        <v>430</v>
      </c>
      <c r="T13" s="11">
        <f>'[2]Soy Complex'!BA415</f>
        <v>322</v>
      </c>
      <c r="U13" s="11">
        <f>'[2]Soy Complex'!BB415</f>
        <v>502</v>
      </c>
      <c r="V13" s="11">
        <f>'[2]Soy Complex'!BC415</f>
        <v>395.21</v>
      </c>
      <c r="W13" s="11">
        <f>'[2]Soy Complex'!BD415</f>
        <v>390</v>
      </c>
      <c r="X13" s="11">
        <f>'[2]Soy Complex'!BE415</f>
        <v>536.84</v>
      </c>
      <c r="Y13" s="11">
        <f>'[2]Soy Complex'!BF415</f>
        <v>603.91</v>
      </c>
      <c r="Z13" s="11">
        <f>'[2]Soy Complex'!BG415</f>
        <v>688.71</v>
      </c>
      <c r="AA13" s="11">
        <f>'[2]Soy Complex'!BH415</f>
        <v>598.79999999999995</v>
      </c>
      <c r="AB13" s="11">
        <f>'[2]Soy Complex'!BI415</f>
        <v>736.53</v>
      </c>
      <c r="AC13" s="11">
        <f>'[2]Soy Complex'!BJ415</f>
        <v>605.76855485648321</v>
      </c>
      <c r="AD13" s="11">
        <f>'[2]Soy Complex'!BK415</f>
        <v>595.70399999999995</v>
      </c>
      <c r="AE13" s="11">
        <f>'[2]Soy Complex'!BL415</f>
        <v>619.99400000000003</v>
      </c>
      <c r="AF13" s="11">
        <f>'[2]Soy Complex'!BM415</f>
        <v>673.00900000000001</v>
      </c>
      <c r="AG13" s="11">
        <f>'[2]Soy Complex'!BN415</f>
        <v>505.70721111783433</v>
      </c>
    </row>
    <row r="14" spans="1:33">
      <c r="A14" s="19"/>
      <c r="B14" s="11"/>
      <c r="D14" s="11"/>
    </row>
    <row r="15" spans="1:33">
      <c r="A15" s="19"/>
      <c r="B15" s="11"/>
      <c r="D15" s="11"/>
    </row>
    <row r="16" spans="1:33">
      <c r="A16" s="19"/>
      <c r="B16" s="11"/>
      <c r="D16" s="11"/>
    </row>
    <row r="17" spans="1:4">
      <c r="A17" s="19"/>
      <c r="B17" s="11"/>
      <c r="D17" s="11"/>
    </row>
    <row r="18" spans="1:4">
      <c r="A18" s="19"/>
      <c r="B18" s="11"/>
      <c r="D18" s="11"/>
    </row>
    <row r="19" spans="1:4">
      <c r="A19" s="19"/>
      <c r="B19" s="11"/>
      <c r="D19" s="11"/>
    </row>
    <row r="20" spans="1:4">
      <c r="A20" s="19"/>
      <c r="B20" s="11"/>
      <c r="D20" s="11"/>
    </row>
    <row r="21" spans="1:4">
      <c r="A21" s="19"/>
      <c r="B21" s="11"/>
      <c r="D21" s="11"/>
    </row>
    <row r="22" spans="1:4">
      <c r="A22" s="19"/>
      <c r="B22" s="11"/>
      <c r="D22" s="11"/>
    </row>
    <row r="23" spans="1:4">
      <c r="A23" s="19"/>
      <c r="B23" s="11"/>
      <c r="D23" s="11"/>
    </row>
    <row r="24" spans="1:4">
      <c r="A24" s="19"/>
      <c r="B24" s="11"/>
      <c r="D24" s="11"/>
    </row>
    <row r="25" spans="1:4">
      <c r="A25" s="19"/>
      <c r="B25" s="11"/>
      <c r="D25" s="11"/>
    </row>
    <row r="26" spans="1:4">
      <c r="A26" s="19"/>
      <c r="B26" s="11"/>
      <c r="D26" s="11"/>
    </row>
    <row r="27" spans="1:4">
      <c r="A27" s="19"/>
      <c r="B27" s="11"/>
      <c r="D27" s="11"/>
    </row>
    <row r="28" spans="1:4">
      <c r="A28" s="19"/>
      <c r="B28" s="11"/>
      <c r="D28" s="11"/>
    </row>
    <row r="29" spans="1:4">
      <c r="A29" s="19"/>
      <c r="B29" s="11"/>
      <c r="D29" s="11"/>
    </row>
    <row r="30" spans="1:4">
      <c r="A30" s="19"/>
      <c r="B30" s="11"/>
      <c r="D30" s="11"/>
    </row>
    <row r="31" spans="1:4">
      <c r="A31" s="19"/>
      <c r="B31" s="11"/>
      <c r="D31" s="11"/>
    </row>
    <row r="32" spans="1:4">
      <c r="A32" s="19"/>
      <c r="B32" s="11"/>
      <c r="D32" s="11"/>
    </row>
    <row r="33" spans="1:4">
      <c r="A33" s="19"/>
      <c r="B33" s="11"/>
      <c r="D33" s="11"/>
    </row>
    <row r="34" spans="1:4">
      <c r="A34" s="19"/>
      <c r="B34" s="11"/>
      <c r="D34" s="11"/>
    </row>
    <row r="35" spans="1:4">
      <c r="A35" s="19"/>
      <c r="B35" s="11"/>
      <c r="D35" s="11"/>
    </row>
    <row r="36" spans="1:4">
      <c r="A36" s="19"/>
      <c r="B36" s="11"/>
      <c r="D36" s="11"/>
    </row>
    <row r="37" spans="1:4">
      <c r="A37" s="19"/>
      <c r="B37" s="11"/>
      <c r="D37" s="11"/>
    </row>
    <row r="38" spans="1:4">
      <c r="A38" s="19"/>
      <c r="B38" s="11"/>
      <c r="D38" s="11"/>
    </row>
    <row r="39" spans="1:4">
      <c r="A39" s="19"/>
      <c r="B39" s="11"/>
      <c r="D39" s="11"/>
    </row>
    <row r="40" spans="1:4">
      <c r="A40" s="19"/>
      <c r="B40" s="11"/>
      <c r="D40" s="11"/>
    </row>
    <row r="41" spans="1:4">
      <c r="A41" s="19"/>
      <c r="B41" s="11"/>
      <c r="D41" s="11"/>
    </row>
    <row r="42" spans="1:4">
      <c r="A42" s="19"/>
      <c r="B42" s="11"/>
      <c r="D42" s="11"/>
    </row>
    <row r="43" spans="1:4">
      <c r="A43" s="19"/>
      <c r="B43" s="11"/>
      <c r="D43" s="11"/>
    </row>
    <row r="44" spans="1:4">
      <c r="A44" s="19"/>
      <c r="B44" s="11"/>
      <c r="D44" s="11"/>
    </row>
    <row r="45" spans="1:4">
      <c r="A45" s="19"/>
      <c r="B45" s="11"/>
      <c r="D45" s="11"/>
    </row>
    <row r="46" spans="1:4">
      <c r="A46" s="19"/>
      <c r="B46" s="11"/>
      <c r="D46" s="11"/>
    </row>
    <row r="47" spans="1:4">
      <c r="A47" s="19"/>
      <c r="B47" s="11"/>
      <c r="D47" s="11"/>
    </row>
    <row r="48" spans="1:4">
      <c r="A48" s="19"/>
      <c r="B48" s="11"/>
      <c r="D48" s="11"/>
    </row>
    <row r="49" spans="1:4">
      <c r="A49" s="19"/>
      <c r="B49" s="11"/>
      <c r="D49" s="11"/>
    </row>
    <row r="50" spans="1:4">
      <c r="A50" s="19"/>
      <c r="B50" s="11"/>
      <c r="D50" s="11"/>
    </row>
    <row r="51" spans="1:4">
      <c r="A51" s="19"/>
      <c r="B51" s="11"/>
      <c r="D51" s="11"/>
    </row>
    <row r="52" spans="1:4">
      <c r="A52" s="19"/>
      <c r="B52" s="11"/>
      <c r="D52" s="11"/>
    </row>
    <row r="53" spans="1:4">
      <c r="A53" s="19"/>
      <c r="B53" s="11"/>
      <c r="D53" s="11"/>
    </row>
    <row r="54" spans="1:4">
      <c r="A54" s="19"/>
      <c r="B54" s="11"/>
      <c r="D54" s="11"/>
    </row>
    <row r="55" spans="1:4">
      <c r="A55" s="19"/>
      <c r="B55" s="11"/>
      <c r="D55" s="11"/>
    </row>
    <row r="56" spans="1:4">
      <c r="A56" s="19"/>
      <c r="B56" s="11"/>
      <c r="D56" s="11"/>
    </row>
    <row r="57" spans="1:4">
      <c r="A57" s="19"/>
      <c r="B57" s="11"/>
      <c r="D57" s="11"/>
    </row>
    <row r="58" spans="1:4">
      <c r="A58" s="19"/>
      <c r="B58" s="11"/>
      <c r="D58" s="11"/>
    </row>
    <row r="59" spans="1:4">
      <c r="A59" s="19"/>
      <c r="B59" s="11"/>
      <c r="D59" s="11"/>
    </row>
    <row r="60" spans="1:4">
      <c r="A60" s="19"/>
      <c r="B60" s="11"/>
      <c r="D60" s="11"/>
    </row>
    <row r="61" spans="1:4">
      <c r="A61" s="19"/>
      <c r="B61" s="11"/>
      <c r="D61" s="11"/>
    </row>
    <row r="62" spans="1:4">
      <c r="A62" s="19"/>
      <c r="B62" s="11"/>
      <c r="C62" s="15"/>
      <c r="D62" s="11"/>
    </row>
    <row r="63" spans="1:4">
      <c r="A63" s="19"/>
      <c r="B63" s="11"/>
      <c r="C63" s="15"/>
      <c r="D63" s="11"/>
    </row>
    <row r="64" spans="1:4">
      <c r="A64" s="19"/>
      <c r="B64" s="11"/>
      <c r="C64" s="15"/>
      <c r="D64" s="11"/>
    </row>
    <row r="65" spans="1:4">
      <c r="A65" s="19"/>
      <c r="B65" s="11"/>
      <c r="C65" s="15"/>
      <c r="D65" s="11"/>
    </row>
    <row r="66" spans="1:4">
      <c r="A66" s="19"/>
      <c r="B66" s="11"/>
      <c r="C66" s="15"/>
      <c r="D66" s="11"/>
    </row>
    <row r="67" spans="1:4">
      <c r="A67" s="19"/>
      <c r="B67" s="11"/>
      <c r="C67" s="15"/>
      <c r="D67" s="11"/>
    </row>
    <row r="68" spans="1:4">
      <c r="A68" s="19"/>
      <c r="B68" s="11"/>
      <c r="C68" s="15"/>
      <c r="D68" s="11"/>
    </row>
    <row r="69" spans="1:4">
      <c r="A69" s="19"/>
      <c r="B69" s="11"/>
      <c r="C69" s="15"/>
      <c r="D69" s="11"/>
    </row>
    <row r="70" spans="1:4">
      <c r="A70" s="19"/>
      <c r="B70" s="11"/>
      <c r="C70" s="15"/>
      <c r="D70" s="11"/>
    </row>
    <row r="71" spans="1:4">
      <c r="A71" s="19"/>
      <c r="B71" s="11"/>
      <c r="C71" s="15"/>
      <c r="D71" s="11"/>
    </row>
    <row r="72" spans="1:4">
      <c r="A72" s="19"/>
      <c r="B72" s="11"/>
      <c r="C72" s="15"/>
      <c r="D72" s="11"/>
    </row>
    <row r="73" spans="1:4">
      <c r="A73" s="19"/>
      <c r="B73" s="11"/>
      <c r="C73" s="15"/>
      <c r="D73" s="11"/>
    </row>
    <row r="74" spans="1:4">
      <c r="A74" s="19"/>
      <c r="B74" s="11"/>
      <c r="C74" s="15"/>
      <c r="D74" s="11"/>
    </row>
    <row r="75" spans="1:4">
      <c r="A75" s="19"/>
      <c r="B75" s="11"/>
      <c r="C75" s="15"/>
      <c r="D75" s="11"/>
    </row>
    <row r="76" spans="1:4">
      <c r="A76" s="19"/>
      <c r="B76" s="11"/>
      <c r="C76" s="15"/>
      <c r="D76" s="11"/>
    </row>
    <row r="77" spans="1:4">
      <c r="A77" s="19"/>
      <c r="B77" s="11"/>
      <c r="C77" s="15"/>
      <c r="D77" s="11"/>
    </row>
    <row r="78" spans="1:4">
      <c r="A78" s="19"/>
      <c r="B78" s="11"/>
      <c r="C78" s="15"/>
      <c r="D78" s="11"/>
    </row>
    <row r="79" spans="1:4">
      <c r="A79" s="19"/>
      <c r="B79" s="11"/>
      <c r="C79" s="15"/>
      <c r="D79" s="11"/>
    </row>
    <row r="80" spans="1:4">
      <c r="A80" s="19"/>
      <c r="B80" s="11"/>
      <c r="C80" s="15"/>
      <c r="D80" s="11"/>
    </row>
    <row r="81" spans="1:4">
      <c r="A81" s="19"/>
      <c r="B81" s="11"/>
      <c r="C81" s="15"/>
      <c r="D81" s="11"/>
    </row>
    <row r="82" spans="1:4">
      <c r="A82" s="19"/>
      <c r="B82" s="11"/>
      <c r="C82" s="15"/>
      <c r="D82" s="11"/>
    </row>
    <row r="83" spans="1:4">
      <c r="A83" s="19"/>
      <c r="B83" s="11"/>
      <c r="C83" s="15"/>
      <c r="D83" s="11"/>
    </row>
    <row r="84" spans="1:4">
      <c r="A84" s="19"/>
      <c r="B84" s="11"/>
      <c r="C84" s="15"/>
      <c r="D84" s="11"/>
    </row>
    <row r="85" spans="1:4">
      <c r="A85" s="19"/>
      <c r="B85" s="11"/>
      <c r="C85" s="15"/>
      <c r="D85" s="11"/>
    </row>
    <row r="86" spans="1:4">
      <c r="A86" s="19"/>
      <c r="B86" s="11"/>
      <c r="C86" s="15"/>
      <c r="D86" s="11"/>
    </row>
    <row r="87" spans="1:4">
      <c r="A87" s="19"/>
      <c r="B87" s="11"/>
      <c r="C87" s="15"/>
      <c r="D87" s="11"/>
    </row>
    <row r="88" spans="1:4">
      <c r="A88" s="19"/>
      <c r="B88" s="11"/>
      <c r="C88" s="15"/>
      <c r="D88" s="11"/>
    </row>
    <row r="89" spans="1:4">
      <c r="A89" s="19"/>
      <c r="B89" s="11"/>
      <c r="C89" s="15"/>
      <c r="D89" s="11"/>
    </row>
    <row r="90" spans="1:4">
      <c r="A90" s="19"/>
      <c r="B90" s="11"/>
      <c r="C90" s="15"/>
      <c r="D90" s="11"/>
    </row>
    <row r="91" spans="1:4">
      <c r="A91" s="19"/>
      <c r="B91" s="11"/>
      <c r="C91" s="15"/>
      <c r="D91" s="11"/>
    </row>
    <row r="92" spans="1:4">
      <c r="A92" s="19"/>
      <c r="B92" s="11"/>
      <c r="C92" s="15"/>
      <c r="D92" s="11"/>
    </row>
    <row r="93" spans="1:4">
      <c r="A93" s="19"/>
      <c r="B93" s="11"/>
      <c r="C93" s="15"/>
      <c r="D93" s="11"/>
    </row>
    <row r="94" spans="1:4">
      <c r="A94" s="19"/>
      <c r="B94" s="11"/>
      <c r="C94" s="15"/>
      <c r="D94" s="11"/>
    </row>
    <row r="95" spans="1:4">
      <c r="A95" s="19"/>
      <c r="B95" s="11"/>
      <c r="C95" s="15"/>
      <c r="D95" s="11"/>
    </row>
    <row r="96" spans="1:4">
      <c r="A96" s="19"/>
      <c r="B96" s="11"/>
      <c r="C96" s="15"/>
      <c r="D96" s="11"/>
    </row>
    <row r="97" spans="1:4">
      <c r="A97" s="19"/>
      <c r="B97" s="11"/>
      <c r="C97" s="15"/>
      <c r="D97" s="11"/>
    </row>
    <row r="98" spans="1:4">
      <c r="A98" s="19"/>
      <c r="B98" s="11"/>
      <c r="C98" s="15"/>
      <c r="D98" s="11"/>
    </row>
    <row r="99" spans="1:4">
      <c r="A99" s="19"/>
      <c r="B99" s="11"/>
      <c r="C99" s="15"/>
      <c r="D99" s="11"/>
    </row>
    <row r="100" spans="1:4">
      <c r="A100" s="19"/>
      <c r="B100" s="11"/>
      <c r="C100" s="15"/>
      <c r="D100" s="11"/>
    </row>
    <row r="101" spans="1:4">
      <c r="A101" s="19"/>
      <c r="B101" s="11"/>
      <c r="C101" s="15"/>
      <c r="D101" s="11"/>
    </row>
    <row r="102" spans="1:4">
      <c r="A102" s="19"/>
      <c r="B102" s="11"/>
      <c r="C102" s="15"/>
      <c r="D102" s="11"/>
    </row>
    <row r="103" spans="1:4">
      <c r="A103" s="19"/>
      <c r="B103" s="11"/>
      <c r="C103" s="15"/>
      <c r="D103" s="11"/>
    </row>
    <row r="104" spans="1:4">
      <c r="A104" s="19"/>
      <c r="B104" s="11"/>
      <c r="C104" s="15"/>
      <c r="D104" s="11"/>
    </row>
    <row r="105" spans="1:4">
      <c r="A105" s="19"/>
      <c r="B105" s="11"/>
      <c r="C105" s="15"/>
      <c r="D105" s="11"/>
    </row>
    <row r="106" spans="1:4">
      <c r="A106" s="19"/>
      <c r="B106" s="11"/>
      <c r="C106" s="15"/>
      <c r="D106" s="11"/>
    </row>
    <row r="107" spans="1:4">
      <c r="A107" s="19"/>
      <c r="B107" s="11"/>
      <c r="C107" s="15"/>
      <c r="D107" s="11"/>
    </row>
    <row r="108" spans="1:4">
      <c r="A108" s="19"/>
      <c r="B108" s="11"/>
      <c r="C108" s="15"/>
      <c r="D108" s="11"/>
    </row>
    <row r="109" spans="1:4">
      <c r="A109" s="19"/>
      <c r="B109" s="11"/>
      <c r="C109" s="15"/>
      <c r="D109" s="11"/>
    </row>
    <row r="110" spans="1:4">
      <c r="A110" s="19"/>
      <c r="B110" s="11"/>
      <c r="C110" s="15"/>
      <c r="D110" s="11"/>
    </row>
    <row r="111" spans="1:4">
      <c r="A111" s="19"/>
      <c r="B111" s="11"/>
      <c r="C111" s="15"/>
      <c r="D111" s="11"/>
    </row>
    <row r="112" spans="1:4">
      <c r="A112" s="19"/>
      <c r="B112" s="11"/>
      <c r="C112" s="15"/>
      <c r="D112" s="11"/>
    </row>
    <row r="113" spans="1:4">
      <c r="A113" s="19"/>
      <c r="B113" s="11"/>
      <c r="C113" s="15"/>
      <c r="D113" s="11"/>
    </row>
    <row r="114" spans="1:4">
      <c r="A114" s="19"/>
      <c r="B114" s="11"/>
      <c r="C114" s="15"/>
      <c r="D114" s="11"/>
    </row>
    <row r="115" spans="1:4">
      <c r="A115" s="19"/>
      <c r="B115" s="11"/>
      <c r="C115" s="15"/>
      <c r="D115" s="11"/>
    </row>
    <row r="116" spans="1:4">
      <c r="A116" s="19"/>
      <c r="B116" s="11"/>
      <c r="C116" s="15"/>
      <c r="D116" s="11"/>
    </row>
    <row r="117" spans="1:4">
      <c r="A117" s="19"/>
      <c r="B117" s="11"/>
      <c r="C117" s="15"/>
      <c r="D117" s="11"/>
    </row>
    <row r="118" spans="1:4">
      <c r="A118" s="19"/>
      <c r="B118" s="11"/>
      <c r="C118" s="15"/>
      <c r="D118" s="11"/>
    </row>
    <row r="119" spans="1:4">
      <c r="A119" s="19"/>
      <c r="B119" s="11"/>
      <c r="C119" s="15"/>
      <c r="D119" s="11"/>
    </row>
    <row r="120" spans="1:4">
      <c r="A120" s="19"/>
      <c r="B120" s="11"/>
      <c r="C120" s="15"/>
      <c r="D120" s="11"/>
    </row>
    <row r="121" spans="1:4">
      <c r="A121" s="19"/>
      <c r="B121" s="11"/>
      <c r="C121" s="15"/>
      <c r="D121" s="11"/>
    </row>
    <row r="122" spans="1:4">
      <c r="A122" s="19"/>
      <c r="B122" s="11"/>
      <c r="C122" s="15"/>
      <c r="D122" s="11"/>
    </row>
    <row r="123" spans="1:4">
      <c r="A123" s="19"/>
      <c r="B123" s="11"/>
      <c r="C123" s="15"/>
      <c r="D123" s="11"/>
    </row>
    <row r="124" spans="1:4">
      <c r="A124" s="19"/>
      <c r="B124" s="11"/>
      <c r="C124" s="15"/>
      <c r="D124" s="11"/>
    </row>
    <row r="125" spans="1:4">
      <c r="A125" s="19"/>
      <c r="B125" s="11"/>
      <c r="C125" s="15"/>
      <c r="D125" s="11"/>
    </row>
    <row r="126" spans="1:4">
      <c r="A126" s="19"/>
      <c r="B126" s="11"/>
      <c r="C126" s="15"/>
      <c r="D126" s="11"/>
    </row>
    <row r="127" spans="1:4">
      <c r="A127" s="19"/>
      <c r="B127" s="11"/>
      <c r="C127" s="15"/>
      <c r="D127" s="11"/>
    </row>
    <row r="128" spans="1:4">
      <c r="A128" s="19"/>
      <c r="B128" s="11"/>
      <c r="C128" s="15"/>
      <c r="D128" s="11"/>
    </row>
    <row r="129" spans="1:4">
      <c r="A129" s="19"/>
      <c r="B129" s="11"/>
      <c r="C129" s="15"/>
      <c r="D129" s="11"/>
    </row>
    <row r="130" spans="1:4">
      <c r="A130" s="19"/>
      <c r="B130" s="11"/>
      <c r="C130" s="15"/>
      <c r="D130" s="11"/>
    </row>
    <row r="131" spans="1:4">
      <c r="A131" s="19"/>
      <c r="B131" s="11"/>
      <c r="C131" s="15"/>
      <c r="D131" s="11"/>
    </row>
    <row r="132" spans="1:4">
      <c r="A132" s="19"/>
      <c r="B132" s="11"/>
      <c r="C132" s="15"/>
      <c r="D132" s="11"/>
    </row>
    <row r="133" spans="1:4">
      <c r="A133" s="19"/>
      <c r="B133" s="11"/>
      <c r="C133" s="15"/>
      <c r="D133" s="11"/>
    </row>
    <row r="134" spans="1:4">
      <c r="A134" s="19"/>
      <c r="B134" s="11"/>
      <c r="C134" s="15"/>
      <c r="D134" s="11"/>
    </row>
    <row r="135" spans="1:4">
      <c r="A135" s="19"/>
      <c r="B135" s="11"/>
      <c r="C135" s="15"/>
      <c r="D135" s="11"/>
    </row>
    <row r="136" spans="1:4">
      <c r="A136" s="19"/>
      <c r="B136" s="11"/>
      <c r="C136" s="15"/>
      <c r="D136" s="11"/>
    </row>
    <row r="137" spans="1:4">
      <c r="A137" s="19"/>
      <c r="B137" s="11"/>
      <c r="C137" s="15"/>
      <c r="D137" s="11"/>
    </row>
    <row r="138" spans="1:4">
      <c r="A138" s="19"/>
      <c r="B138" s="11"/>
      <c r="C138" s="15"/>
      <c r="D138" s="11"/>
    </row>
    <row r="139" spans="1:4">
      <c r="A139" s="19"/>
      <c r="B139" s="11"/>
      <c r="C139" s="15"/>
      <c r="D139" s="11"/>
    </row>
    <row r="140" spans="1:4">
      <c r="A140" s="19"/>
      <c r="B140" s="11"/>
      <c r="C140" s="15"/>
      <c r="D140" s="11"/>
    </row>
    <row r="141" spans="1:4">
      <c r="A141" s="19"/>
      <c r="B141" s="11"/>
      <c r="C141" s="15"/>
      <c r="D141" s="11"/>
    </row>
    <row r="142" spans="1:4">
      <c r="A142" s="19"/>
      <c r="B142" s="11"/>
      <c r="C142" s="15"/>
      <c r="D142" s="11"/>
    </row>
    <row r="143" spans="1:4">
      <c r="A143" s="19"/>
      <c r="B143" s="11"/>
      <c r="C143" s="15"/>
      <c r="D143" s="11"/>
    </row>
    <row r="144" spans="1:4">
      <c r="A144" s="19"/>
      <c r="B144" s="11"/>
      <c r="C144" s="15"/>
      <c r="D144" s="11"/>
    </row>
    <row r="145" spans="1:4">
      <c r="A145" s="19"/>
      <c r="B145" s="11"/>
      <c r="C145" s="15"/>
      <c r="D145" s="11"/>
    </row>
    <row r="146" spans="1:4">
      <c r="A146" s="19"/>
      <c r="B146" s="11"/>
      <c r="C146" s="15"/>
      <c r="D146" s="11"/>
    </row>
    <row r="147" spans="1:4">
      <c r="A147" s="19"/>
      <c r="B147" s="11"/>
      <c r="C147" s="15"/>
      <c r="D147" s="11"/>
    </row>
    <row r="148" spans="1:4">
      <c r="A148" s="19"/>
      <c r="B148" s="11"/>
      <c r="C148" s="15"/>
      <c r="D148" s="11"/>
    </row>
    <row r="149" spans="1:4">
      <c r="A149" s="19"/>
      <c r="B149" s="11"/>
      <c r="C149" s="15"/>
      <c r="D149" s="11"/>
    </row>
    <row r="150" spans="1:4">
      <c r="A150" s="19"/>
      <c r="B150" s="11"/>
      <c r="C150" s="15"/>
      <c r="D150" s="11"/>
    </row>
    <row r="151" spans="1:4">
      <c r="A151" s="19"/>
      <c r="B151" s="11"/>
      <c r="C151" s="15"/>
      <c r="D151" s="11"/>
    </row>
    <row r="152" spans="1:4">
      <c r="A152" s="19"/>
      <c r="B152" s="11"/>
      <c r="C152" s="15"/>
      <c r="D152" s="11"/>
    </row>
    <row r="153" spans="1:4">
      <c r="A153" s="19"/>
      <c r="B153" s="11"/>
      <c r="C153" s="15"/>
      <c r="D153" s="11"/>
    </row>
    <row r="154" spans="1:4">
      <c r="A154" s="19"/>
      <c r="B154" s="11"/>
      <c r="C154" s="15"/>
      <c r="D154" s="11"/>
    </row>
    <row r="155" spans="1:4">
      <c r="A155" s="19"/>
      <c r="B155" s="11"/>
      <c r="C155" s="15"/>
      <c r="D155" s="11"/>
    </row>
    <row r="156" spans="1:4">
      <c r="A156" s="19"/>
      <c r="B156" s="11"/>
      <c r="C156" s="15"/>
      <c r="D156" s="11"/>
    </row>
    <row r="157" spans="1:4">
      <c r="A157" s="19"/>
      <c r="B157" s="11"/>
      <c r="C157" s="15"/>
      <c r="D157" s="11"/>
    </row>
    <row r="158" spans="1:4">
      <c r="A158" s="19"/>
      <c r="B158" s="11"/>
      <c r="C158" s="15"/>
      <c r="D158" s="11"/>
    </row>
    <row r="159" spans="1:4">
      <c r="A159" s="19"/>
      <c r="B159" s="11"/>
      <c r="C159" s="15"/>
      <c r="D159" s="11"/>
    </row>
    <row r="160" spans="1:4">
      <c r="A160" s="19"/>
      <c r="B160" s="11"/>
      <c r="C160" s="15"/>
      <c r="D160" s="11"/>
    </row>
    <row r="161" spans="1:4">
      <c r="A161" s="19"/>
      <c r="B161" s="11"/>
      <c r="C161" s="15"/>
      <c r="D161" s="11"/>
    </row>
    <row r="162" spans="1:4">
      <c r="A162" s="19"/>
      <c r="B162" s="11"/>
      <c r="C162" s="15"/>
      <c r="D162" s="11"/>
    </row>
    <row r="163" spans="1:4">
      <c r="A163" s="19"/>
      <c r="B163" s="11"/>
      <c r="C163" s="15"/>
      <c r="D163" s="11"/>
    </row>
    <row r="164" spans="1:4">
      <c r="A164" s="19"/>
      <c r="B164" s="11"/>
      <c r="C164" s="15"/>
      <c r="D164" s="11"/>
    </row>
    <row r="165" spans="1:4">
      <c r="A165" s="19"/>
      <c r="B165" s="11"/>
      <c r="C165" s="15"/>
      <c r="D165" s="11"/>
    </row>
    <row r="166" spans="1:4">
      <c r="A166" s="19"/>
      <c r="B166" s="11"/>
      <c r="C166" s="15"/>
      <c r="D166" s="11"/>
    </row>
    <row r="167" spans="1:4">
      <c r="A167" s="19"/>
      <c r="B167" s="11"/>
      <c r="C167" s="15"/>
      <c r="D167" s="11"/>
    </row>
    <row r="168" spans="1:4">
      <c r="A168" s="19"/>
      <c r="B168" s="11"/>
      <c r="C168" s="15"/>
      <c r="D168" s="11"/>
    </row>
    <row r="169" spans="1:4">
      <c r="A169" s="19"/>
      <c r="B169" s="11"/>
      <c r="C169" s="15"/>
      <c r="D169" s="11"/>
    </row>
    <row r="170" spans="1:4">
      <c r="A170" s="19"/>
      <c r="B170" s="11"/>
      <c r="C170" s="15"/>
      <c r="D170" s="11"/>
    </row>
    <row r="171" spans="1:4">
      <c r="A171" s="19"/>
      <c r="B171" s="11"/>
      <c r="C171" s="15"/>
      <c r="D171" s="11"/>
    </row>
    <row r="172" spans="1:4">
      <c r="A172" s="19"/>
      <c r="B172" s="11"/>
      <c r="C172" s="15"/>
      <c r="D172" s="11"/>
    </row>
    <row r="173" spans="1:4">
      <c r="A173" s="19"/>
      <c r="B173" s="11"/>
      <c r="C173" s="15"/>
      <c r="D173" s="11"/>
    </row>
    <row r="174" spans="1:4">
      <c r="A174" s="19"/>
      <c r="B174" s="11"/>
      <c r="C174" s="15"/>
      <c r="D174" s="11"/>
    </row>
    <row r="175" spans="1:4">
      <c r="A175" s="19"/>
      <c r="B175" s="11"/>
      <c r="C175" s="15"/>
      <c r="D175" s="11"/>
    </row>
    <row r="176" spans="1:4">
      <c r="A176" s="19"/>
      <c r="B176" s="11"/>
      <c r="C176" s="15"/>
      <c r="D176" s="11"/>
    </row>
    <row r="177" spans="1:4">
      <c r="A177" s="19"/>
      <c r="B177" s="11"/>
      <c r="C177" s="15"/>
      <c r="D177" s="11"/>
    </row>
    <row r="178" spans="1:4">
      <c r="A178" s="19"/>
      <c r="B178" s="11"/>
      <c r="C178" s="15"/>
      <c r="D178" s="11"/>
    </row>
    <row r="179" spans="1:4">
      <c r="A179" s="19"/>
      <c r="B179" s="11"/>
      <c r="C179" s="15"/>
      <c r="D179" s="11"/>
    </row>
    <row r="180" spans="1:4">
      <c r="A180" s="19"/>
      <c r="B180" s="11"/>
      <c r="C180" s="15"/>
      <c r="D180" s="11"/>
    </row>
    <row r="181" spans="1:4">
      <c r="A181" s="19"/>
      <c r="B181" s="11"/>
      <c r="C181" s="15"/>
      <c r="D181" s="11"/>
    </row>
    <row r="182" spans="1:4">
      <c r="A182" s="19"/>
      <c r="B182" s="11"/>
      <c r="C182" s="15"/>
      <c r="D182" s="11"/>
    </row>
    <row r="183" spans="1:4">
      <c r="A183" s="19"/>
      <c r="B183" s="11"/>
      <c r="C183" s="15"/>
      <c r="D183" s="11"/>
    </row>
    <row r="184" spans="1:4">
      <c r="A184" s="19"/>
      <c r="B184" s="11"/>
      <c r="C184" s="15"/>
      <c r="D184" s="11"/>
    </row>
    <row r="185" spans="1:4">
      <c r="A185" s="19"/>
      <c r="B185" s="11"/>
      <c r="C185" s="15"/>
      <c r="D185" s="11"/>
    </row>
    <row r="186" spans="1:4">
      <c r="A186" s="19"/>
      <c r="B186" s="11"/>
      <c r="C186" s="15"/>
      <c r="D186" s="11"/>
    </row>
    <row r="187" spans="1:4">
      <c r="A187" s="19"/>
      <c r="B187" s="11"/>
      <c r="C187" s="15"/>
      <c r="D187" s="11"/>
    </row>
    <row r="188" spans="1:4">
      <c r="A188" s="19"/>
      <c r="B188" s="11"/>
      <c r="C188" s="15"/>
      <c r="D188" s="11"/>
    </row>
    <row r="189" spans="1:4">
      <c r="A189" s="19"/>
      <c r="B189" s="11"/>
      <c r="C189" s="15"/>
      <c r="D189" s="11"/>
    </row>
    <row r="190" spans="1:4">
      <c r="A190" s="19"/>
      <c r="B190" s="11"/>
      <c r="C190" s="15"/>
      <c r="D190" s="11"/>
    </row>
    <row r="191" spans="1:4">
      <c r="A191" s="19"/>
      <c r="B191" s="11"/>
      <c r="C191" s="15"/>
      <c r="D191" s="11"/>
    </row>
    <row r="192" spans="1:4">
      <c r="A192" s="19"/>
      <c r="B192" s="11"/>
      <c r="C192" s="15"/>
      <c r="D192" s="11"/>
    </row>
    <row r="193" spans="1:4">
      <c r="A193" s="19"/>
      <c r="B193" s="11"/>
      <c r="C193" s="15"/>
      <c r="D193" s="11"/>
    </row>
    <row r="194" spans="1:4">
      <c r="A194" s="19"/>
      <c r="B194" s="11"/>
      <c r="C194" s="15"/>
      <c r="D194" s="11"/>
    </row>
    <row r="195" spans="1:4">
      <c r="A195" s="19"/>
      <c r="B195" s="11"/>
      <c r="C195" s="15"/>
      <c r="D195" s="11"/>
    </row>
    <row r="196" spans="1:4">
      <c r="A196" s="19"/>
      <c r="B196" s="11"/>
      <c r="C196" s="15"/>
      <c r="D196" s="11"/>
    </row>
    <row r="197" spans="1:4">
      <c r="A197" s="19"/>
      <c r="B197" s="11"/>
      <c r="C197" s="15"/>
      <c r="D197" s="11"/>
    </row>
    <row r="198" spans="1:4">
      <c r="A198" s="19"/>
      <c r="B198" s="11"/>
      <c r="C198" s="15"/>
      <c r="D198" s="11"/>
    </row>
    <row r="199" spans="1:4">
      <c r="A199" s="19"/>
      <c r="B199" s="11"/>
      <c r="C199" s="15"/>
      <c r="D199" s="11"/>
    </row>
    <row r="200" spans="1:4">
      <c r="A200" s="19"/>
      <c r="B200" s="11"/>
      <c r="C200" s="15"/>
      <c r="D200" s="11"/>
    </row>
    <row r="201" spans="1:4">
      <c r="A201" s="19"/>
      <c r="B201" s="11"/>
      <c r="C201" s="15"/>
      <c r="D201" s="11"/>
    </row>
    <row r="202" spans="1:4">
      <c r="A202" s="19"/>
      <c r="B202" s="11"/>
      <c r="C202" s="15"/>
      <c r="D202" s="11"/>
    </row>
    <row r="203" spans="1:4">
      <c r="A203" s="19"/>
      <c r="B203" s="11"/>
      <c r="C203" s="15"/>
      <c r="D203" s="11"/>
    </row>
    <row r="204" spans="1:4">
      <c r="A204" s="19"/>
      <c r="B204" s="11"/>
      <c r="C204" s="15"/>
      <c r="D204" s="11"/>
    </row>
    <row r="205" spans="1:4">
      <c r="A205" s="19"/>
      <c r="B205" s="11"/>
      <c r="C205" s="15"/>
      <c r="D205" s="11"/>
    </row>
    <row r="206" spans="1:4">
      <c r="A206" s="19"/>
      <c r="B206" s="11"/>
      <c r="C206" s="15"/>
      <c r="D206" s="11"/>
    </row>
    <row r="207" spans="1:4">
      <c r="A207" s="19"/>
      <c r="B207" s="11"/>
      <c r="C207" s="15"/>
      <c r="D207" s="11"/>
    </row>
    <row r="208" spans="1:4">
      <c r="A208" s="19"/>
      <c r="B208" s="11"/>
      <c r="C208" s="15"/>
      <c r="D208" s="11"/>
    </row>
    <row r="209" spans="1:4">
      <c r="A209" s="19"/>
      <c r="B209" s="11"/>
      <c r="C209" s="15"/>
      <c r="D209" s="11"/>
    </row>
    <row r="210" spans="1:4">
      <c r="A210" s="19"/>
      <c r="B210" s="11"/>
      <c r="C210" s="15"/>
      <c r="D210" s="11"/>
    </row>
    <row r="211" spans="1:4">
      <c r="A211" s="19"/>
      <c r="B211" s="11"/>
      <c r="C211" s="15"/>
      <c r="D211" s="11"/>
    </row>
    <row r="212" spans="1:4">
      <c r="A212" s="19"/>
      <c r="B212" s="11"/>
      <c r="C212" s="15"/>
      <c r="D212" s="11"/>
    </row>
    <row r="213" spans="1:4">
      <c r="A213" s="19"/>
      <c r="B213" s="11"/>
      <c r="C213" s="15"/>
      <c r="D213" s="11"/>
    </row>
    <row r="214" spans="1:4">
      <c r="A214" s="19"/>
      <c r="B214" s="11"/>
      <c r="C214" s="15"/>
      <c r="D214" s="11"/>
    </row>
    <row r="215" spans="1:4">
      <c r="A215" s="19"/>
      <c r="B215" s="11"/>
      <c r="C215" s="15"/>
      <c r="D215" s="11"/>
    </row>
    <row r="216" spans="1:4">
      <c r="A216" s="19"/>
      <c r="B216" s="11"/>
      <c r="C216" s="15"/>
      <c r="D216" s="11"/>
    </row>
    <row r="217" spans="1:4">
      <c r="A217" s="19"/>
      <c r="B217" s="11"/>
      <c r="C217" s="15"/>
      <c r="D217" s="11"/>
    </row>
    <row r="218" spans="1:4">
      <c r="A218" s="19"/>
      <c r="B218" s="11"/>
      <c r="C218" s="15"/>
      <c r="D218" s="11"/>
    </row>
    <row r="219" spans="1:4">
      <c r="A219" s="19"/>
      <c r="B219" s="11"/>
      <c r="C219" s="15"/>
      <c r="D219" s="11"/>
    </row>
    <row r="220" spans="1:4">
      <c r="A220" s="19"/>
      <c r="B220" s="11"/>
      <c r="C220" s="15"/>
      <c r="D220" s="11"/>
    </row>
    <row r="221" spans="1:4">
      <c r="A221" s="19"/>
      <c r="B221" s="11"/>
      <c r="C221" s="15"/>
      <c r="D221" s="11"/>
    </row>
    <row r="222" spans="1:4">
      <c r="A222" s="19"/>
      <c r="B222" s="11"/>
      <c r="C222" s="15"/>
      <c r="D222" s="11"/>
    </row>
    <row r="223" spans="1:4">
      <c r="A223" s="19"/>
      <c r="B223" s="11"/>
      <c r="C223" s="15"/>
      <c r="D223" s="11"/>
    </row>
    <row r="224" spans="1:4">
      <c r="A224" s="19"/>
      <c r="B224" s="11"/>
      <c r="C224" s="15"/>
      <c r="D224" s="11"/>
    </row>
    <row r="225" spans="1:4">
      <c r="A225" s="19"/>
      <c r="B225" s="11"/>
      <c r="C225" s="15"/>
      <c r="D225" s="11"/>
    </row>
    <row r="226" spans="1:4">
      <c r="A226" s="19"/>
      <c r="B226" s="11"/>
      <c r="C226" s="15"/>
      <c r="D226" s="11"/>
    </row>
    <row r="227" spans="1:4">
      <c r="A227" s="19"/>
      <c r="B227" s="11"/>
      <c r="C227" s="15"/>
      <c r="D227" s="11"/>
    </row>
    <row r="228" spans="1:4">
      <c r="A228" s="19"/>
      <c r="B228" s="11"/>
      <c r="C228" s="15"/>
      <c r="D228" s="11"/>
    </row>
    <row r="229" spans="1:4">
      <c r="A229" s="19"/>
      <c r="B229" s="11"/>
      <c r="C229" s="15"/>
      <c r="D229" s="11"/>
    </row>
    <row r="230" spans="1:4">
      <c r="A230" s="19"/>
      <c r="B230" s="11"/>
      <c r="C230" s="15"/>
      <c r="D230" s="11"/>
    </row>
    <row r="231" spans="1:4">
      <c r="A231" s="19"/>
      <c r="B231" s="11"/>
      <c r="C231" s="15"/>
      <c r="D231" s="11"/>
    </row>
    <row r="232" spans="1:4">
      <c r="A232" s="19"/>
      <c r="B232" s="11"/>
      <c r="C232" s="15"/>
      <c r="D232" s="11"/>
    </row>
    <row r="233" spans="1:4">
      <c r="A233" s="19"/>
      <c r="B233" s="11"/>
      <c r="C233" s="15"/>
      <c r="D233" s="11"/>
    </row>
    <row r="234" spans="1:4">
      <c r="A234" s="19"/>
      <c r="B234" s="11"/>
      <c r="C234" s="15"/>
      <c r="D234" s="11"/>
    </row>
    <row r="235" spans="1:4">
      <c r="A235" s="19"/>
      <c r="B235" s="11"/>
      <c r="C235" s="15"/>
      <c r="D235" s="11"/>
    </row>
    <row r="236" spans="1:4">
      <c r="A236" s="19"/>
      <c r="B236" s="11"/>
      <c r="C236" s="15"/>
      <c r="D236" s="11"/>
    </row>
    <row r="237" spans="1:4">
      <c r="A237" s="19"/>
      <c r="B237" s="11"/>
      <c r="C237" s="15"/>
      <c r="D237" s="11"/>
    </row>
    <row r="238" spans="1:4">
      <c r="A238" s="19"/>
      <c r="B238" s="11"/>
      <c r="C238" s="15"/>
      <c r="D238" s="11"/>
    </row>
    <row r="239" spans="1:4">
      <c r="A239" s="19"/>
      <c r="B239" s="11"/>
      <c r="C239" s="15"/>
      <c r="D239" s="11"/>
    </row>
    <row r="240" spans="1:4">
      <c r="A240" s="19"/>
      <c r="B240" s="11"/>
      <c r="C240" s="15"/>
      <c r="D240" s="11"/>
    </row>
    <row r="241" spans="1:5">
      <c r="A241" s="19"/>
      <c r="B241" s="11"/>
      <c r="C241" s="15"/>
      <c r="D241" s="11"/>
    </row>
    <row r="242" spans="1:5">
      <c r="A242" s="19"/>
      <c r="B242" s="11"/>
      <c r="C242" s="15"/>
      <c r="D242" s="11"/>
    </row>
    <row r="243" spans="1:5">
      <c r="A243" s="19"/>
      <c r="B243" s="11"/>
      <c r="C243" s="15"/>
      <c r="D243" s="11"/>
    </row>
    <row r="244" spans="1:5">
      <c r="A244" s="19"/>
      <c r="B244" s="11"/>
      <c r="C244" s="15"/>
      <c r="D244" s="11"/>
    </row>
    <row r="245" spans="1:5">
      <c r="A245" s="19"/>
      <c r="B245" s="11"/>
      <c r="C245" s="15"/>
      <c r="D245" s="11"/>
    </row>
    <row r="246" spans="1:5">
      <c r="A246" s="19"/>
      <c r="B246" s="11"/>
      <c r="C246" s="15"/>
      <c r="D246" s="11"/>
    </row>
    <row r="247" spans="1:5">
      <c r="A247" s="19"/>
      <c r="B247" s="11"/>
      <c r="C247" s="15"/>
      <c r="D247" s="11"/>
    </row>
    <row r="248" spans="1:5">
      <c r="A248" s="19"/>
      <c r="B248" s="11"/>
      <c r="C248" s="15"/>
      <c r="D248" s="11"/>
    </row>
    <row r="249" spans="1:5">
      <c r="A249" s="19"/>
      <c r="B249" s="11"/>
      <c r="C249" s="15"/>
      <c r="D249" s="11"/>
    </row>
    <row r="250" spans="1:5">
      <c r="A250" s="19"/>
      <c r="B250" s="11"/>
      <c r="C250" s="15"/>
      <c r="D250" s="11"/>
    </row>
    <row r="251" spans="1:5">
      <c r="A251" s="19"/>
      <c r="B251" s="11"/>
      <c r="C251" s="15"/>
      <c r="D251" s="11"/>
    </row>
    <row r="252" spans="1:5">
      <c r="A252" s="19"/>
      <c r="B252" s="11"/>
      <c r="C252" s="15"/>
      <c r="D252" s="11"/>
    </row>
    <row r="253" spans="1:5">
      <c r="A253" s="19"/>
      <c r="B253" s="11"/>
      <c r="C253" s="15"/>
      <c r="D253" s="11"/>
    </row>
    <row r="254" spans="1:5">
      <c r="A254" s="19"/>
      <c r="B254" s="11"/>
      <c r="C254" s="15"/>
      <c r="D254" s="11"/>
      <c r="E254" s="25"/>
    </row>
    <row r="255" spans="1:5">
      <c r="A255" s="19"/>
      <c r="B255" s="11"/>
      <c r="C255" s="15"/>
      <c r="D255" s="11"/>
      <c r="E255" s="25"/>
    </row>
    <row r="256" spans="1:5">
      <c r="A256" s="19"/>
      <c r="B256" s="11"/>
      <c r="C256" s="15"/>
      <c r="D256" s="11"/>
      <c r="E256" s="25"/>
    </row>
    <row r="257" spans="1:5">
      <c r="A257" s="19"/>
      <c r="B257" s="11"/>
      <c r="C257" s="15"/>
      <c r="D257" s="11"/>
      <c r="E257" s="25"/>
    </row>
    <row r="258" spans="1:5">
      <c r="A258" s="19"/>
      <c r="B258" s="11"/>
      <c r="C258" s="15"/>
      <c r="D258" s="11"/>
      <c r="E258" s="25"/>
    </row>
    <row r="259" spans="1:5">
      <c r="A259" s="19"/>
      <c r="B259" s="11"/>
      <c r="C259" s="15"/>
      <c r="D259" s="11"/>
      <c r="E259" s="25"/>
    </row>
    <row r="260" spans="1:5">
      <c r="A260" s="19"/>
      <c r="B260" s="11"/>
      <c r="C260" s="15"/>
      <c r="D260" s="11"/>
      <c r="E260" s="25"/>
    </row>
    <row r="261" spans="1:5">
      <c r="A261" s="19"/>
      <c r="B261" s="11"/>
      <c r="C261" s="15"/>
      <c r="D261" s="11"/>
      <c r="E261" s="25"/>
    </row>
    <row r="262" spans="1:5">
      <c r="A262" s="19"/>
      <c r="B262" s="11"/>
      <c r="C262" s="15"/>
      <c r="D262" s="11"/>
      <c r="E262" s="25"/>
    </row>
    <row r="263" spans="1:5">
      <c r="A263" s="19"/>
      <c r="B263" s="11"/>
      <c r="C263" s="15"/>
      <c r="D263" s="11"/>
      <c r="E263" s="25"/>
    </row>
    <row r="264" spans="1:5">
      <c r="A264" s="19"/>
      <c r="B264" s="11"/>
      <c r="C264" s="15"/>
      <c r="D264" s="11"/>
      <c r="E264" s="25"/>
    </row>
    <row r="265" spans="1:5">
      <c r="A265" s="19"/>
      <c r="B265" s="11"/>
      <c r="C265" s="15"/>
      <c r="D265" s="11"/>
      <c r="E265" s="25"/>
    </row>
    <row r="266" spans="1:5">
      <c r="A266" s="19"/>
      <c r="B266" s="11"/>
      <c r="C266" s="15"/>
      <c r="D266" s="11"/>
      <c r="E266" s="25"/>
    </row>
    <row r="267" spans="1:5">
      <c r="A267" s="19"/>
      <c r="B267" s="11"/>
      <c r="C267" s="15"/>
      <c r="D267" s="11"/>
      <c r="E267" s="25"/>
    </row>
    <row r="268" spans="1:5">
      <c r="A268" s="19"/>
      <c r="B268" s="11"/>
      <c r="C268" s="15"/>
      <c r="D268" s="11"/>
      <c r="E268" s="25"/>
    </row>
    <row r="269" spans="1:5">
      <c r="A269" s="19"/>
      <c r="B269" s="11"/>
      <c r="C269" s="15"/>
      <c r="D269" s="11"/>
      <c r="E269" s="25"/>
    </row>
    <row r="270" spans="1:5">
      <c r="A270" s="19"/>
      <c r="B270" s="11"/>
      <c r="C270" s="15"/>
      <c r="D270" s="11"/>
      <c r="E270" s="25"/>
    </row>
    <row r="271" spans="1:5">
      <c r="A271" s="19"/>
      <c r="B271" s="11"/>
      <c r="C271" s="15"/>
      <c r="D271" s="11"/>
      <c r="E271" s="25"/>
    </row>
    <row r="272" spans="1:5">
      <c r="A272" s="19"/>
      <c r="B272" s="11"/>
      <c r="C272" s="15"/>
      <c r="D272" s="11"/>
      <c r="E272" s="25"/>
    </row>
    <row r="273" spans="1:5">
      <c r="A273" s="19"/>
      <c r="B273" s="11"/>
      <c r="C273" s="15"/>
      <c r="D273" s="11"/>
      <c r="E273" s="25"/>
    </row>
    <row r="274" spans="1:5">
      <c r="A274" s="19"/>
      <c r="B274" s="11"/>
      <c r="C274" s="15"/>
      <c r="D274" s="11"/>
      <c r="E274" s="25"/>
    </row>
    <row r="275" spans="1:5">
      <c r="A275" s="19"/>
      <c r="B275" s="11"/>
      <c r="C275" s="15"/>
      <c r="D275" s="11"/>
      <c r="E275" s="25"/>
    </row>
    <row r="276" spans="1:5">
      <c r="A276" s="19"/>
      <c r="B276" s="11"/>
      <c r="C276" s="15"/>
      <c r="D276" s="11"/>
      <c r="E276" s="25"/>
    </row>
    <row r="277" spans="1:5">
      <c r="A277" s="19"/>
      <c r="B277" s="11"/>
      <c r="C277" s="15"/>
      <c r="D277" s="11"/>
      <c r="E277" s="25"/>
    </row>
    <row r="278" spans="1:5">
      <c r="A278" s="19"/>
      <c r="B278" s="11"/>
      <c r="C278" s="15"/>
      <c r="D278" s="11"/>
      <c r="E278" s="25"/>
    </row>
    <row r="279" spans="1:5">
      <c r="A279" s="19"/>
      <c r="B279" s="11"/>
      <c r="C279" s="15"/>
      <c r="D279" s="11"/>
      <c r="E279" s="25"/>
    </row>
    <row r="280" spans="1:5">
      <c r="A280" s="19"/>
      <c r="B280" s="11"/>
      <c r="C280" s="15"/>
      <c r="D280" s="11"/>
      <c r="E280" s="25"/>
    </row>
    <row r="281" spans="1:5">
      <c r="A281" s="19"/>
      <c r="B281" s="11"/>
      <c r="C281" s="15"/>
      <c r="D281" s="11"/>
      <c r="E281" s="25"/>
    </row>
    <row r="282" spans="1:5">
      <c r="A282" s="19"/>
      <c r="B282" s="11"/>
      <c r="C282" s="15"/>
      <c r="D282" s="11"/>
      <c r="E282" s="25"/>
    </row>
    <row r="283" spans="1:5">
      <c r="A283" s="19"/>
      <c r="B283" s="11"/>
      <c r="C283" s="15"/>
      <c r="D283" s="11"/>
      <c r="E283" s="25"/>
    </row>
    <row r="284" spans="1:5">
      <c r="A284" s="19"/>
      <c r="B284" s="11"/>
      <c r="C284" s="15"/>
      <c r="D284" s="11"/>
      <c r="E284" s="25"/>
    </row>
    <row r="285" spans="1:5">
      <c r="A285" s="19"/>
      <c r="B285" s="11"/>
      <c r="C285" s="15"/>
      <c r="D285" s="11"/>
      <c r="E285" s="25"/>
    </row>
    <row r="286" spans="1:5">
      <c r="A286" s="19"/>
      <c r="B286" s="11"/>
      <c r="C286" s="15"/>
      <c r="D286" s="11"/>
      <c r="E286" s="25"/>
    </row>
    <row r="287" spans="1:5">
      <c r="A287" s="19"/>
      <c r="B287" s="11"/>
      <c r="C287" s="15"/>
      <c r="D287" s="11"/>
      <c r="E287" s="25"/>
    </row>
    <row r="288" spans="1:5">
      <c r="A288" s="19"/>
      <c r="B288" s="11"/>
      <c r="C288" s="15"/>
      <c r="D288" s="11"/>
      <c r="E288" s="25"/>
    </row>
    <row r="289" spans="1:5">
      <c r="A289" s="19"/>
      <c r="B289" s="11"/>
      <c r="C289" s="15"/>
      <c r="D289" s="11"/>
      <c r="E289" s="25"/>
    </row>
    <row r="290" spans="1:5">
      <c r="A290" s="19"/>
      <c r="B290" s="11"/>
      <c r="C290" s="15"/>
      <c r="D290" s="11"/>
      <c r="E290" s="25"/>
    </row>
    <row r="291" spans="1:5">
      <c r="A291" s="19"/>
      <c r="B291" s="11"/>
      <c r="C291" s="15"/>
      <c r="D291" s="11"/>
      <c r="E291" s="25"/>
    </row>
    <row r="292" spans="1:5">
      <c r="A292" s="19"/>
      <c r="B292" s="11"/>
      <c r="C292" s="15"/>
      <c r="D292" s="11"/>
      <c r="E292" s="25"/>
    </row>
    <row r="293" spans="1:5">
      <c r="A293" s="19"/>
      <c r="B293" s="11"/>
      <c r="C293" s="15"/>
      <c r="D293" s="11"/>
      <c r="E293" s="25"/>
    </row>
    <row r="294" spans="1:5">
      <c r="A294" s="19"/>
      <c r="B294" s="11"/>
      <c r="C294" s="15"/>
      <c r="D294" s="11"/>
      <c r="E294" s="25"/>
    </row>
    <row r="295" spans="1:5">
      <c r="A295" s="19"/>
      <c r="B295" s="11"/>
      <c r="C295" s="15"/>
      <c r="D295" s="11"/>
      <c r="E295" s="25"/>
    </row>
    <row r="296" spans="1:5">
      <c r="A296" s="19"/>
      <c r="B296" s="11"/>
      <c r="C296" s="15"/>
      <c r="D296" s="11"/>
      <c r="E296" s="25"/>
    </row>
    <row r="297" spans="1:5">
      <c r="A297" s="19"/>
      <c r="B297" s="11"/>
      <c r="C297" s="15"/>
      <c r="D297" s="11"/>
      <c r="E297" s="25"/>
    </row>
    <row r="298" spans="1:5">
      <c r="A298" s="19"/>
      <c r="B298" s="11"/>
      <c r="C298" s="15"/>
      <c r="D298" s="11"/>
      <c r="E298" s="25"/>
    </row>
    <row r="299" spans="1:5">
      <c r="A299" s="19"/>
      <c r="B299" s="11"/>
      <c r="C299" s="15"/>
      <c r="D299" s="11"/>
      <c r="E299" s="25"/>
    </row>
    <row r="300" spans="1:5">
      <c r="A300" s="19"/>
      <c r="B300" s="11"/>
      <c r="C300" s="15"/>
      <c r="D300" s="11"/>
      <c r="E300" s="25"/>
    </row>
    <row r="301" spans="1:5">
      <c r="A301" s="19"/>
      <c r="B301" s="11"/>
      <c r="C301" s="15"/>
      <c r="D301" s="11"/>
      <c r="E301" s="25"/>
    </row>
    <row r="302" spans="1:5">
      <c r="A302" s="19"/>
      <c r="B302" s="11"/>
      <c r="C302" s="15"/>
      <c r="D302" s="11"/>
      <c r="E302" s="25"/>
    </row>
    <row r="303" spans="1:5">
      <c r="A303" s="19"/>
      <c r="B303" s="11"/>
      <c r="C303" s="15"/>
      <c r="D303" s="11"/>
      <c r="E303" s="25"/>
    </row>
    <row r="304" spans="1:5">
      <c r="A304" s="19"/>
      <c r="B304" s="11"/>
      <c r="C304" s="15"/>
      <c r="D304" s="11"/>
      <c r="E304" s="25"/>
    </row>
    <row r="305" spans="1:5">
      <c r="A305" s="19"/>
      <c r="B305" s="11"/>
      <c r="C305" s="15"/>
      <c r="D305" s="11"/>
      <c r="E305" s="25"/>
    </row>
    <row r="306" spans="1:5">
      <c r="A306" s="19"/>
      <c r="B306" s="11"/>
      <c r="C306" s="15"/>
      <c r="D306" s="11"/>
      <c r="E306" s="25"/>
    </row>
    <row r="307" spans="1:5">
      <c r="A307" s="19"/>
      <c r="B307" s="11"/>
      <c r="C307" s="15"/>
      <c r="D307" s="11"/>
      <c r="E307" s="25"/>
    </row>
    <row r="308" spans="1:5">
      <c r="A308" s="19"/>
      <c r="B308" s="11"/>
      <c r="C308" s="15"/>
      <c r="D308" s="11"/>
      <c r="E308" s="25"/>
    </row>
    <row r="309" spans="1:5">
      <c r="A309" s="19"/>
      <c r="B309" s="11"/>
      <c r="C309" s="15"/>
      <c r="D309" s="11"/>
      <c r="E309" s="25"/>
    </row>
    <row r="310" spans="1:5">
      <c r="A310" s="19"/>
      <c r="B310" s="11"/>
      <c r="C310" s="15"/>
      <c r="D310" s="11"/>
      <c r="E310" s="25"/>
    </row>
    <row r="311" spans="1:5">
      <c r="A311" s="19"/>
      <c r="B311" s="11"/>
      <c r="C311" s="15"/>
      <c r="D311" s="11"/>
      <c r="E311" s="25"/>
    </row>
    <row r="312" spans="1:5">
      <c r="A312" s="19"/>
      <c r="B312" s="11"/>
      <c r="C312" s="15"/>
      <c r="D312" s="11"/>
      <c r="E312" s="25"/>
    </row>
    <row r="313" spans="1:5">
      <c r="A313" s="19"/>
      <c r="B313" s="11"/>
      <c r="C313" s="15"/>
      <c r="D313" s="11"/>
      <c r="E313" s="25"/>
    </row>
    <row r="314" spans="1:5">
      <c r="A314" s="19"/>
      <c r="B314" s="11"/>
      <c r="C314" s="15"/>
      <c r="D314" s="11"/>
      <c r="E314" s="25"/>
    </row>
    <row r="315" spans="1:5">
      <c r="A315" s="19"/>
      <c r="B315" s="11"/>
      <c r="C315" s="15"/>
      <c r="D315" s="11"/>
      <c r="E315" s="25"/>
    </row>
    <row r="316" spans="1:5">
      <c r="A316" s="19"/>
      <c r="B316" s="11"/>
      <c r="C316" s="15"/>
      <c r="D316" s="11"/>
      <c r="E316" s="25"/>
    </row>
    <row r="317" spans="1:5">
      <c r="A317" s="19"/>
      <c r="B317" s="11"/>
      <c r="C317" s="15"/>
      <c r="D317" s="11"/>
      <c r="E317" s="25"/>
    </row>
    <row r="318" spans="1:5">
      <c r="A318" s="19"/>
      <c r="B318" s="11"/>
      <c r="C318" s="15"/>
      <c r="D318" s="11"/>
      <c r="E318" s="25"/>
    </row>
    <row r="319" spans="1:5">
      <c r="A319" s="19"/>
      <c r="B319" s="11"/>
      <c r="C319" s="15"/>
      <c r="D319" s="11"/>
      <c r="E319" s="25"/>
    </row>
    <row r="320" spans="1:5">
      <c r="A320" s="19"/>
      <c r="B320" s="11"/>
      <c r="C320" s="15"/>
      <c r="D320" s="11"/>
      <c r="E320" s="25"/>
    </row>
    <row r="321" spans="1:9">
      <c r="A321" s="19"/>
      <c r="B321" s="11"/>
      <c r="C321" s="15"/>
      <c r="D321" s="11"/>
      <c r="E321" s="25"/>
      <c r="F321" s="11"/>
      <c r="G321" s="15"/>
      <c r="H321" s="11"/>
      <c r="I321" s="25"/>
    </row>
    <row r="322" spans="1:9">
      <c r="A322" s="19"/>
      <c r="B322" s="11"/>
      <c r="C322" s="15"/>
      <c r="D322" s="11"/>
      <c r="E322" s="25"/>
      <c r="F322" s="11"/>
      <c r="G322" s="15"/>
      <c r="H322" s="11"/>
      <c r="I322" s="25"/>
    </row>
    <row r="323" spans="1:9">
      <c r="A323" s="19"/>
      <c r="B323" s="11"/>
      <c r="C323" s="15"/>
      <c r="D323" s="11"/>
      <c r="E323" s="25"/>
      <c r="F323" s="11"/>
      <c r="G323" s="15"/>
      <c r="H323" s="11"/>
      <c r="I323" s="25"/>
    </row>
    <row r="324" spans="1:9">
      <c r="A324" s="19"/>
      <c r="B324" s="11"/>
      <c r="C324" s="15"/>
      <c r="D324" s="11"/>
      <c r="E324" s="25"/>
      <c r="F324" s="11"/>
      <c r="G324" s="15"/>
      <c r="H324" s="11"/>
      <c r="I324" s="25"/>
    </row>
    <row r="325" spans="1:9">
      <c r="A325" s="19"/>
      <c r="B325" s="11"/>
      <c r="C325" s="15"/>
      <c r="D325" s="11"/>
      <c r="E325" s="25"/>
      <c r="F325" s="11"/>
      <c r="G325" s="15"/>
      <c r="H325" s="11"/>
      <c r="I325" s="25"/>
    </row>
    <row r="326" spans="1:9">
      <c r="A326" s="19"/>
      <c r="B326" s="11"/>
      <c r="C326" s="15"/>
      <c r="D326" s="11"/>
      <c r="E326" s="25"/>
      <c r="F326" s="11"/>
      <c r="G326" s="15"/>
      <c r="H326" s="11"/>
      <c r="I326" s="25"/>
    </row>
    <row r="327" spans="1:9">
      <c r="A327" s="19"/>
      <c r="B327" s="11"/>
      <c r="C327" s="15"/>
      <c r="D327" s="11"/>
      <c r="E327" s="25"/>
      <c r="F327" s="11"/>
      <c r="G327" s="15"/>
      <c r="H327" s="11"/>
      <c r="I327" s="25"/>
    </row>
    <row r="328" spans="1:9">
      <c r="A328" s="19"/>
      <c r="B328" s="11"/>
      <c r="C328" s="15"/>
      <c r="D328" s="11"/>
      <c r="E328" s="25"/>
      <c r="F328" s="11"/>
      <c r="G328" s="15"/>
      <c r="H328" s="11"/>
      <c r="I328" s="25"/>
    </row>
    <row r="329" spans="1:9">
      <c r="A329" s="19"/>
      <c r="B329" s="11"/>
      <c r="C329" s="15"/>
      <c r="D329" s="11"/>
      <c r="E329" s="25"/>
      <c r="F329" s="11"/>
      <c r="G329" s="15"/>
      <c r="H329" s="11"/>
      <c r="I329" s="25"/>
    </row>
    <row r="330" spans="1:9">
      <c r="A330" s="19"/>
      <c r="B330" s="11"/>
      <c r="C330" s="15"/>
      <c r="D330" s="11"/>
      <c r="E330" s="25"/>
      <c r="F330" s="11"/>
      <c r="G330" s="15"/>
      <c r="H330" s="11"/>
      <c r="I330" s="25"/>
    </row>
    <row r="331" spans="1:9">
      <c r="A331" s="19"/>
      <c r="B331" s="11"/>
      <c r="C331" s="15"/>
      <c r="D331" s="11"/>
      <c r="E331" s="25"/>
      <c r="F331" s="11"/>
      <c r="G331" s="15"/>
      <c r="H331" s="11"/>
      <c r="I331" s="25"/>
    </row>
    <row r="332" spans="1:9">
      <c r="A332" s="19"/>
      <c r="B332" s="11"/>
      <c r="C332" s="15"/>
      <c r="D332" s="11"/>
      <c r="E332" s="25"/>
      <c r="F332" s="11"/>
      <c r="G332" s="15"/>
      <c r="H332" s="11"/>
      <c r="I332" s="25"/>
    </row>
    <row r="333" spans="1:9">
      <c r="A333" s="19"/>
      <c r="B333" s="11"/>
      <c r="C333" s="15"/>
      <c r="D333" s="11"/>
      <c r="E333" s="25"/>
      <c r="F333" s="11"/>
      <c r="G333" s="15"/>
      <c r="H333" s="11"/>
      <c r="I333" s="25"/>
    </row>
    <row r="334" spans="1:9">
      <c r="A334" s="19"/>
      <c r="B334" s="11"/>
      <c r="C334" s="15"/>
      <c r="D334" s="11"/>
      <c r="E334" s="25"/>
      <c r="F334" s="11"/>
      <c r="G334" s="15"/>
      <c r="H334" s="11"/>
      <c r="I334" s="25"/>
    </row>
    <row r="335" spans="1:9">
      <c r="A335" s="19"/>
      <c r="B335" s="11"/>
      <c r="C335" s="15"/>
      <c r="D335" s="11"/>
      <c r="E335" s="25"/>
      <c r="F335" s="11"/>
      <c r="G335" s="15"/>
      <c r="H335" s="11"/>
      <c r="I335" s="25"/>
    </row>
    <row r="336" spans="1:9">
      <c r="A336" s="19"/>
      <c r="B336" s="11"/>
      <c r="C336" s="15"/>
      <c r="D336" s="11"/>
      <c r="E336" s="25"/>
      <c r="F336" s="11"/>
      <c r="G336" s="15"/>
      <c r="H336" s="11"/>
      <c r="I336" s="25"/>
    </row>
    <row r="337" spans="1:9">
      <c r="A337" s="19"/>
      <c r="B337" s="11"/>
      <c r="C337" s="15"/>
      <c r="D337" s="11"/>
      <c r="E337" s="25"/>
      <c r="F337" s="11"/>
      <c r="G337" s="15"/>
      <c r="H337" s="11"/>
      <c r="I337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28A9-7950-428D-90E3-17524010599A}">
  <dimension ref="A1:AI337"/>
  <sheetViews>
    <sheetView zoomScale="85" zoomScaleNormal="85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5"/>
  <cols>
    <col min="1" max="1" width="9.140625" style="10"/>
    <col min="2" max="2" width="8.5703125" style="10" customWidth="1"/>
    <col min="3" max="5" width="8.5703125" customWidth="1"/>
    <col min="6" max="30" width="8.5703125" style="10" customWidth="1"/>
    <col min="31" max="16384" width="9.140625" style="10"/>
  </cols>
  <sheetData>
    <row r="1" spans="1:33" ht="12.75">
      <c r="A1" s="10" t="s">
        <v>41</v>
      </c>
      <c r="B1" s="20">
        <f>'[2]Soy Complex'!AI371</f>
        <v>4.62</v>
      </c>
      <c r="C1" s="20" t="str">
        <f>'[2]Soy Complex'!AJ371</f>
        <v xml:space="preserve">94/95 </v>
      </c>
      <c r="D1" s="20" t="str">
        <f>'[2]Soy Complex'!AK371</f>
        <v xml:space="preserve">95/96 </v>
      </c>
      <c r="E1" s="20" t="str">
        <f>'[2]Soy Complex'!AL371</f>
        <v xml:space="preserve">96/97 </v>
      </c>
      <c r="F1" s="20" t="str">
        <f>'[2]Soy Complex'!AM371</f>
        <v xml:space="preserve">97/98 </v>
      </c>
      <c r="G1" s="20" t="str">
        <f>'[2]Soy Complex'!AN371</f>
        <v xml:space="preserve">98/99 </v>
      </c>
      <c r="H1" s="20" t="str">
        <f>'[2]Soy Complex'!AO371</f>
        <v xml:space="preserve">99/00 </v>
      </c>
      <c r="I1" s="20" t="str">
        <f>'[2]Soy Complex'!AP371</f>
        <v xml:space="preserve">00/01 </v>
      </c>
      <c r="J1" s="20" t="str">
        <f>'[2]Soy Complex'!AQ371</f>
        <v xml:space="preserve">01/02 </v>
      </c>
      <c r="K1" s="20" t="str">
        <f>'[2]Soy Complex'!AR371</f>
        <v xml:space="preserve">02/03 </v>
      </c>
      <c r="L1" s="20" t="str">
        <f>'[2]Soy Complex'!AS371</f>
        <v xml:space="preserve">03/04 </v>
      </c>
      <c r="M1" s="20" t="str">
        <f>'[2]Soy Complex'!AT371</f>
        <v xml:space="preserve">04/05 </v>
      </c>
      <c r="N1" s="20" t="str">
        <f>'[2]Soy Complex'!AU371</f>
        <v xml:space="preserve">05/06 </v>
      </c>
      <c r="O1" s="20" t="str">
        <f>'[2]Soy Complex'!AV371</f>
        <v xml:space="preserve">06/07 </v>
      </c>
      <c r="P1" s="20" t="str">
        <f>'[2]Soy Complex'!AW371</f>
        <v xml:space="preserve">07/08 </v>
      </c>
      <c r="Q1" s="20" t="str">
        <f>'[2]Soy Complex'!AX371</f>
        <v xml:space="preserve">08/09 </v>
      </c>
      <c r="R1" s="20" t="str">
        <f>'[2]Soy Complex'!AY371</f>
        <v xml:space="preserve">09/10 </v>
      </c>
      <c r="S1" s="20" t="str">
        <f>'[2]Soy Complex'!AZ371</f>
        <v xml:space="preserve">10/11 </v>
      </c>
      <c r="T1" s="20" t="str">
        <f>'[2]Soy Complex'!BA371</f>
        <v xml:space="preserve">11/12 </v>
      </c>
      <c r="U1" s="20" t="str">
        <f>'[2]Soy Complex'!BB371</f>
        <v xml:space="preserve">12/13 </v>
      </c>
      <c r="V1" s="20" t="str">
        <f>'[2]Soy Complex'!BC371</f>
        <v xml:space="preserve">13/14 </v>
      </c>
      <c r="W1" s="20" t="str">
        <f>'[2]Soy Complex'!BD371</f>
        <v xml:space="preserve">14/15 </v>
      </c>
      <c r="X1" s="20" t="str">
        <f>'[2]Soy Complex'!BE371</f>
        <v xml:space="preserve">15/16 </v>
      </c>
      <c r="Y1" s="20" t="str">
        <f>'[2]Soy Complex'!BF371</f>
        <v xml:space="preserve">16/17 </v>
      </c>
      <c r="Z1" s="20" t="str">
        <f>'[2]Soy Complex'!BG371</f>
        <v xml:space="preserve">17/18 </v>
      </c>
      <c r="AA1" s="20" t="str">
        <f>'[2]Soy Complex'!BH371</f>
        <v xml:space="preserve">18/19 </v>
      </c>
      <c r="AB1" s="20" t="str">
        <f>'[2]Soy Complex'!BI371</f>
        <v>19/20</v>
      </c>
      <c r="AC1" s="20" t="str">
        <f>'[2]Soy Complex'!BJ371</f>
        <v>20/21</v>
      </c>
      <c r="AD1" s="20" t="str">
        <f>'[2]Soy Complex'!BK371</f>
        <v xml:space="preserve">21/22 </v>
      </c>
      <c r="AE1" s="20" t="str">
        <f>'[2]Soy Complex'!BL371</f>
        <v xml:space="preserve">22/23 </v>
      </c>
      <c r="AF1" s="20" t="str">
        <f>'[2]Soy Complex'!BM371</f>
        <v xml:space="preserve">23/24 </v>
      </c>
      <c r="AG1" s="20" t="str">
        <f>'[2]Soy Complex'!BN371</f>
        <v xml:space="preserve">24/25 </v>
      </c>
    </row>
    <row r="2" spans="1:33" ht="12.75">
      <c r="A2" s="19" t="s">
        <v>28</v>
      </c>
      <c r="B2" s="20">
        <f>'[2]Soy Complex'!AI372</f>
        <v>4.5999999999999996</v>
      </c>
      <c r="C2" s="20">
        <f>'[2]Soy Complex'!AJ372</f>
        <v>8.9678684203870933</v>
      </c>
      <c r="D2" s="20">
        <f>'[2]Soy Complex'!AK372</f>
        <v>41.830823887051622</v>
      </c>
      <c r="E2" s="20">
        <f>'[2]Soy Complex'!AL372</f>
        <v>46.128009012219337</v>
      </c>
      <c r="F2" s="20">
        <f>'[2]Soy Complex'!AM372</f>
        <v>51.311828082258053</v>
      </c>
      <c r="G2" s="20">
        <f>'[2]Soy Complex'!AN372</f>
        <v>50.733566935632275</v>
      </c>
      <c r="H2" s="20">
        <f>'[2]Soy Complex'!AO372</f>
        <v>51.506056826503233</v>
      </c>
      <c r="I2" s="20">
        <f>'[2]Soy Complex'!AP372</f>
        <v>52.003384415761303</v>
      </c>
      <c r="J2" s="20">
        <f>'[2]Soy Complex'!AQ372</f>
        <v>59.525017930148387</v>
      </c>
      <c r="K2" s="20">
        <f>'[2]Soy Complex'!AR372</f>
        <v>57.222050185070962</v>
      </c>
      <c r="L2" s="20">
        <f>'[2]Soy Complex'!AS372</f>
        <v>55.193587128477418</v>
      </c>
      <c r="M2" s="20">
        <f>'[2]Soy Complex'!AT372</f>
        <v>50.553912093032245</v>
      </c>
      <c r="N2" s="20">
        <f>'[2]Soy Complex'!AU372</f>
        <v>53.139197770516112</v>
      </c>
      <c r="O2" s="20">
        <f>'[2]Soy Complex'!AV372</f>
        <v>58.757246695032244</v>
      </c>
      <c r="P2" s="20">
        <f>'[2]Soy Complex'!AW372</f>
        <v>55.902012253483882</v>
      </c>
      <c r="Q2" s="20">
        <f>'[2]Soy Complex'!AX372</f>
        <v>58.621368797225813</v>
      </c>
      <c r="R2" s="20">
        <f>'[2]Soy Complex'!AY372</f>
        <v>60.752455816580607</v>
      </c>
      <c r="S2" s="20">
        <f>'[2]Soy Complex'!AZ372</f>
        <v>61.905055658129001</v>
      </c>
      <c r="T2" s="20">
        <f>'[2]Soy Complex'!BA372</f>
        <v>58.216804557493461</v>
      </c>
      <c r="U2" s="20">
        <f>'[2]Soy Complex'!BB372</f>
        <v>55.435175306063286</v>
      </c>
      <c r="V2" s="20">
        <f>'[2]Soy Complex'!BC372</f>
        <v>61.634137977164102</v>
      </c>
      <c r="W2" s="20">
        <f>'[2]Soy Complex'!BD372</f>
        <v>59.79709315628422</v>
      </c>
      <c r="X2" s="20">
        <f>'[2]Soy Complex'!BE372</f>
        <v>61.959367709677423</v>
      </c>
      <c r="Y2" s="20">
        <f>'[2]Soy Complex'!BF372</f>
        <v>62.405057129032265</v>
      </c>
      <c r="Z2" s="20">
        <f>'[2]Soy Complex'!BG372</f>
        <v>68.833734258064496</v>
      </c>
      <c r="AA2" s="20">
        <f>'[2]Soy Complex'!BH372</f>
        <v>68.300214967741937</v>
      </c>
      <c r="AB2" s="20">
        <f>'[2]Soy Complex'!BI372</f>
        <v>68.863754548387092</v>
      </c>
      <c r="AC2" s="20">
        <f>'[2]Soy Complex'!BJ372</f>
        <v>70.568412548387101</v>
      </c>
      <c r="AD2" s="20">
        <f>'[2]Soy Complex'!BK372</f>
        <v>68.657852645161313</v>
      </c>
      <c r="AE2" s="20">
        <f>'[2]Soy Complex'!BL372</f>
        <v>73.075916741935487</v>
      </c>
      <c r="AF2" s="20">
        <f>'[2]Soy Complex'!BM372</f>
        <v>81.181181741935504</v>
      </c>
      <c r="AG2" s="20">
        <f>'[2]Soy Complex'!BN372</f>
        <v>81.475867410719999</v>
      </c>
    </row>
    <row r="3" spans="1:33" ht="12.75">
      <c r="A3" s="19" t="s">
        <v>29</v>
      </c>
      <c r="B3" s="20">
        <f>'[2]Soy Complex'!AI373</f>
        <v>4.6100000000000003</v>
      </c>
      <c r="C3" s="20">
        <f>'[2]Soy Complex'!AJ373</f>
        <v>45.680501349460002</v>
      </c>
      <c r="D3" s="20">
        <f>'[2]Soy Complex'!AK373</f>
        <v>47.540004372893343</v>
      </c>
      <c r="E3" s="20">
        <f>'[2]Soy Complex'!AL373</f>
        <v>50.845218156706679</v>
      </c>
      <c r="F3" s="20">
        <f>'[2]Soy Complex'!AM373</f>
        <v>52.84146379630667</v>
      </c>
      <c r="G3" s="20">
        <f>'[2]Soy Complex'!AN373</f>
        <v>53.87828045117999</v>
      </c>
      <c r="H3" s="20">
        <f>'[2]Soy Complex'!AO373</f>
        <v>51.876741018586664</v>
      </c>
      <c r="I3" s="20">
        <f>'[2]Soy Complex'!AP373</f>
        <v>49.789922196046632</v>
      </c>
      <c r="J3" s="20">
        <f>'[2]Soy Complex'!AQ373</f>
        <v>51.819454184440005</v>
      </c>
      <c r="K3" s="20">
        <f>'[2]Soy Complex'!AR373</f>
        <v>52.969083449340012</v>
      </c>
      <c r="L3" s="20">
        <f>'[2]Soy Complex'!AS373</f>
        <v>50.664861890033315</v>
      </c>
      <c r="M3" s="20">
        <f>'[2]Soy Complex'!AT373</f>
        <v>58.931094429733307</v>
      </c>
      <c r="N3" s="20">
        <f>'[2]Soy Complex'!AU373</f>
        <v>59.675430186333337</v>
      </c>
      <c r="O3" s="20">
        <f>'[2]Soy Complex'!AV373</f>
        <v>54.404896612933314</v>
      </c>
      <c r="P3" s="20">
        <f>'[2]Soy Complex'!AW373</f>
        <v>59.936997990000009</v>
      </c>
      <c r="Q3" s="20">
        <f>'[2]Soy Complex'!AX373</f>
        <v>50.05347656166667</v>
      </c>
      <c r="R3" s="20">
        <f>'[2]Soy Complex'!AY373</f>
        <v>56.083517935133308</v>
      </c>
      <c r="S3" s="20">
        <f>'[2]Soy Complex'!AZ373</f>
        <v>57.472942827133338</v>
      </c>
      <c r="T3" s="20">
        <f>'[2]Soy Complex'!BA373</f>
        <v>57.312451372464096</v>
      </c>
      <c r="U3" s="20">
        <f>'[2]Soy Complex'!BB373</f>
        <v>56.506369755645594</v>
      </c>
      <c r="V3" s="20">
        <f>'[2]Soy Complex'!BC373</f>
        <v>60.612299747512012</v>
      </c>
      <c r="W3" s="20">
        <f>'[2]Soy Complex'!BD373</f>
        <v>61.209252009880736</v>
      </c>
      <c r="X3" s="20">
        <f>'[2]Soy Complex'!BE373</f>
        <v>63.143294600000011</v>
      </c>
      <c r="Y3" s="20">
        <f>'[2]Soy Complex'!BF373</f>
        <v>67.144827066666664</v>
      </c>
      <c r="Z3" s="20">
        <f>'[2]Soy Complex'!BG373</f>
        <v>64.491756999999993</v>
      </c>
      <c r="AA3" s="20">
        <f>'[2]Soy Complex'!BH373</f>
        <v>74.745435599999993</v>
      </c>
      <c r="AB3" s="20">
        <f>'[2]Soy Complex'!BI373</f>
        <v>65.491341933333331</v>
      </c>
      <c r="AC3" s="20">
        <f>'[2]Soy Complex'!BJ373</f>
        <v>69.297192833333327</v>
      </c>
      <c r="AD3" s="20">
        <f>'[2]Soy Complex'!BK373</f>
        <v>74.997134866666713</v>
      </c>
      <c r="AE3" s="20">
        <f>'[2]Soy Complex'!BL373</f>
        <v>73.579389100000014</v>
      </c>
      <c r="AF3" s="20">
        <f>'[2]Soy Complex'!BM373</f>
        <v>75.87509146666666</v>
      </c>
      <c r="AG3" s="20">
        <f>'[2]Soy Complex'!BN373</f>
        <v>83.758995905415318</v>
      </c>
    </row>
    <row r="4" spans="1:33" ht="12.75">
      <c r="A4" s="19" t="s">
        <v>30</v>
      </c>
      <c r="B4" s="20">
        <f>'[2]Soy Complex'!AI374</f>
        <v>4.6399999999999997</v>
      </c>
      <c r="C4" s="20">
        <f>'[2]Soy Complex'!AJ374</f>
        <v>44.254968302380639</v>
      </c>
      <c r="D4" s="20">
        <f>'[2]Soy Complex'!AK374</f>
        <v>35.847497390529043</v>
      </c>
      <c r="E4" s="20">
        <f>'[2]Soy Complex'!AL374</f>
        <v>43.431716012322575</v>
      </c>
      <c r="F4" s="20">
        <f>'[2]Soy Complex'!AM374</f>
        <v>49.752878303954851</v>
      </c>
      <c r="G4" s="20">
        <f>'[2]Soy Complex'!AN374</f>
        <v>55.128953799129029</v>
      </c>
      <c r="H4" s="20">
        <f>'[2]Soy Complex'!AO374</f>
        <v>47.710258782800018</v>
      </c>
      <c r="I4" s="20">
        <f>'[2]Soy Complex'!AP374</f>
        <v>47.630847356193556</v>
      </c>
      <c r="J4" s="20">
        <f>'[2]Soy Complex'!AQ374</f>
        <v>53.563778867477417</v>
      </c>
      <c r="K4" s="20">
        <f>'[2]Soy Complex'!AR374</f>
        <v>52.516223509593537</v>
      </c>
      <c r="L4" s="20">
        <f>'[2]Soy Complex'!AS374</f>
        <v>49.461639080025812</v>
      </c>
      <c r="M4" s="20">
        <f>'[2]Soy Complex'!AT374</f>
        <v>50.434633900451622</v>
      </c>
      <c r="N4" s="20">
        <f>'[2]Soy Complex'!AU374</f>
        <v>44.533408326322586</v>
      </c>
      <c r="O4" s="20">
        <f>'[2]Soy Complex'!AV374</f>
        <v>56.49153808903224</v>
      </c>
      <c r="P4" s="20">
        <f>'[2]Soy Complex'!AW374</f>
        <v>59.381370392193546</v>
      </c>
      <c r="Q4" s="20">
        <f>'[2]Soy Complex'!AX374</f>
        <v>48.053711134903232</v>
      </c>
      <c r="R4" s="20">
        <f>'[2]Soy Complex'!AY374</f>
        <v>56.401117655935487</v>
      </c>
      <c r="S4" s="20">
        <f>'[2]Soy Complex'!AZ374</f>
        <v>50.556429926451607</v>
      </c>
      <c r="T4" s="20">
        <f>'[2]Soy Complex'!BA374</f>
        <v>53.178973265412459</v>
      </c>
      <c r="U4" s="20">
        <f>'[2]Soy Complex'!BB374</f>
        <v>54.850574712832895</v>
      </c>
      <c r="V4" s="20">
        <f>'[2]Soy Complex'!BC374</f>
        <v>56.547014649902543</v>
      </c>
      <c r="W4" s="20">
        <f>'[2]Soy Complex'!BD374</f>
        <v>59.956877821789824</v>
      </c>
      <c r="X4" s="20">
        <f>'[2]Soy Complex'!BE374</f>
        <v>62.733374322580651</v>
      </c>
      <c r="Y4" s="20">
        <f>'[2]Soy Complex'!BF374</f>
        <v>61.484899967741924</v>
      </c>
      <c r="Z4" s="20">
        <f>'[2]Soy Complex'!BG374</f>
        <v>57.625150838709679</v>
      </c>
      <c r="AA4" s="20">
        <f>'[2]Soy Complex'!BH374</f>
        <v>68.847751064516132</v>
      </c>
      <c r="AB4" s="20">
        <f>'[2]Soy Complex'!BI374</f>
        <v>61.052084838709682</v>
      </c>
      <c r="AC4" s="20">
        <f>'[2]Soy Complex'!BJ374</f>
        <v>73.069050806451614</v>
      </c>
      <c r="AD4" s="20">
        <f>'[2]Soy Complex'!BK374</f>
        <v>74.058211612903222</v>
      </c>
      <c r="AE4" s="20">
        <f>'[2]Soy Complex'!BL374</f>
        <v>65.292989225806451</v>
      </c>
      <c r="AF4" s="20">
        <f>'[2]Soy Complex'!BM374</f>
        <v>70.734785870967741</v>
      </c>
      <c r="AG4" s="20">
        <f>'[2]Soy Complex'!BN374</f>
        <v>81.528919428191628</v>
      </c>
    </row>
    <row r="5" spans="1:33" ht="12.75">
      <c r="A5" s="19" t="s">
        <v>31</v>
      </c>
      <c r="B5" s="20">
        <f>'[2]Soy Complex'!AI375</f>
        <v>4.7</v>
      </c>
      <c r="C5" s="20">
        <f>'[2]Soy Complex'!AJ375</f>
        <v>43.315111546116128</v>
      </c>
      <c r="D5" s="20">
        <f>'[2]Soy Complex'!AK375</f>
        <v>40.994488535870957</v>
      </c>
      <c r="E5" s="20">
        <f>'[2]Soy Complex'!AL375</f>
        <v>43.104357400819346</v>
      </c>
      <c r="F5" s="20">
        <f>'[2]Soy Complex'!AM375</f>
        <v>51.029978415129015</v>
      </c>
      <c r="G5" s="20">
        <f>'[2]Soy Complex'!AN375</f>
        <v>43.181672693490327</v>
      </c>
      <c r="H5" s="20">
        <f>'[2]Soy Complex'!AO375</f>
        <v>44.691989400458048</v>
      </c>
      <c r="I5" s="20">
        <f>'[2]Soy Complex'!AP375</f>
        <v>47.85065049774839</v>
      </c>
      <c r="J5" s="20">
        <f>'[2]Soy Complex'!AQ375</f>
        <v>48.733676060535473</v>
      </c>
      <c r="K5" s="20">
        <f>'[2]Soy Complex'!AR375</f>
        <v>52.247754708606465</v>
      </c>
      <c r="L5" s="20">
        <f>'[2]Soy Complex'!AS375</f>
        <v>40.332554142148396</v>
      </c>
      <c r="M5" s="20">
        <f>'[2]Soy Complex'!AT375</f>
        <v>46.222740800516142</v>
      </c>
      <c r="N5" s="20">
        <f>'[2]Soy Complex'!AU375</f>
        <v>48.005869971483868</v>
      </c>
      <c r="O5" s="20">
        <f>'[2]Soy Complex'!AV375</f>
        <v>53.511161949032278</v>
      </c>
      <c r="P5" s="20">
        <f>'[2]Soy Complex'!AW375</f>
        <v>55.492726632903242</v>
      </c>
      <c r="Q5" s="20">
        <f>'[2]Soy Complex'!AX375</f>
        <v>40.694423712258057</v>
      </c>
      <c r="R5" s="20">
        <f>'[2]Soy Complex'!AY375</f>
        <v>57.654099233161311</v>
      </c>
      <c r="S5" s="20">
        <f>'[2]Soy Complex'!AZ375</f>
        <v>59.80393112438707</v>
      </c>
      <c r="T5" s="20">
        <f>'[2]Soy Complex'!BA375</f>
        <v>47.93612401107427</v>
      </c>
      <c r="U5" s="20">
        <f>'[2]Soy Complex'!BB375</f>
        <v>52.663444021903793</v>
      </c>
      <c r="V5" s="20">
        <f>'[2]Soy Complex'!BC375</f>
        <v>55.855843024463653</v>
      </c>
      <c r="W5" s="20">
        <f>'[2]Soy Complex'!BD375</f>
        <v>55.245022614512131</v>
      </c>
      <c r="X5" s="20">
        <f>'[2]Soy Complex'!BE375</f>
        <v>56.244241774193533</v>
      </c>
      <c r="Y5" s="20">
        <f>'[2]Soy Complex'!BF375</f>
        <v>56.519059999999989</v>
      </c>
      <c r="Z5" s="20">
        <f>'[2]Soy Complex'!BG375</f>
        <v>55.762755322580645</v>
      </c>
      <c r="AA5" s="20">
        <f>'[2]Soy Complex'!BH375</f>
        <v>67.345874387096771</v>
      </c>
      <c r="AB5" s="20">
        <f>'[2]Soy Complex'!BI375</f>
        <v>63.394417129032249</v>
      </c>
      <c r="AC5" s="20">
        <f>'[2]Soy Complex'!BJ375</f>
        <v>68.789677161290342</v>
      </c>
      <c r="AD5" s="20">
        <f>'[2]Soy Complex'!BK375</f>
        <v>72.892280354838718</v>
      </c>
      <c r="AE5" s="20">
        <f>'[2]Soy Complex'!BL375</f>
        <v>71.848425064516135</v>
      </c>
      <c r="AF5" s="20">
        <f>'[2]Soy Complex'!BM375</f>
        <v>68.848209354838673</v>
      </c>
      <c r="AG5" s="20">
        <f>'[2]Soy Complex'!BN375</f>
        <v>69.595349772159992</v>
      </c>
    </row>
    <row r="6" spans="1:33" ht="12.75">
      <c r="A6" s="19" t="s">
        <v>32</v>
      </c>
      <c r="B6" s="20">
        <f>'[2]Soy Complex'!AI376</f>
        <v>4.75</v>
      </c>
      <c r="C6" s="20">
        <f>'[2]Soy Complex'!AJ376</f>
        <v>45.670633057557147</v>
      </c>
      <c r="D6" s="20">
        <f>'[2]Soy Complex'!AK376</f>
        <v>42.669348514924138</v>
      </c>
      <c r="E6" s="20">
        <f>'[2]Soy Complex'!AL376</f>
        <v>47.139181625021443</v>
      </c>
      <c r="F6" s="20">
        <f>'[2]Soy Complex'!AM376</f>
        <v>58.537487058457145</v>
      </c>
      <c r="G6" s="20">
        <f>'[2]Soy Complex'!AN376</f>
        <v>47.871865441514295</v>
      </c>
      <c r="H6" s="20">
        <f>'[2]Soy Complex'!AO376</f>
        <v>46.798452299200015</v>
      </c>
      <c r="I6" s="20">
        <f>'[2]Soy Complex'!AP376</f>
        <v>48.39869301434284</v>
      </c>
      <c r="J6" s="20">
        <f>'[2]Soy Complex'!AQ376</f>
        <v>59.623778877814296</v>
      </c>
      <c r="K6" s="20">
        <f>'[2]Soy Complex'!AR376</f>
        <v>57.150315261464279</v>
      </c>
      <c r="L6" s="20">
        <f>'[2]Soy Complex'!AS376</f>
        <v>48.886095981696542</v>
      </c>
      <c r="M6" s="20">
        <f>'[2]Soy Complex'!AT376</f>
        <v>52.83362428471429</v>
      </c>
      <c r="N6" s="20">
        <f>'[2]Soy Complex'!AU376</f>
        <v>46.433125865071432</v>
      </c>
      <c r="O6" s="20">
        <f>'[2]Soy Complex'!AV376</f>
        <v>51.125431545285728</v>
      </c>
      <c r="P6" s="20">
        <f>'[2]Soy Complex'!AW376</f>
        <v>62.907216736137897</v>
      </c>
      <c r="Q6" s="20">
        <f>'[2]Soy Complex'!AX376</f>
        <v>50.5115862940714</v>
      </c>
      <c r="R6" s="20">
        <f>'[2]Soy Complex'!AY376</f>
        <v>58.209431036142881</v>
      </c>
      <c r="S6" s="20">
        <f>'[2]Soy Complex'!AZ376</f>
        <v>55.575402335500016</v>
      </c>
      <c r="T6" s="20">
        <f>'[2]Soy Complex'!BA376</f>
        <v>52.598673985454937</v>
      </c>
      <c r="U6" s="20">
        <f>'[2]Soy Complex'!BB376</f>
        <v>64.182862259301629</v>
      </c>
      <c r="V6" s="20">
        <f>'[2]Soy Complex'!BC376</f>
        <v>59.018373765055635</v>
      </c>
      <c r="W6" s="20">
        <f>'[2]Soy Complex'!BD376</f>
        <v>58.92313339838995</v>
      </c>
      <c r="X6" s="20">
        <f>'[2]Soy Complex'!BE376</f>
        <v>57.046559172413779</v>
      </c>
      <c r="Y6" s="20">
        <f>'[2]Soy Complex'!BF376</f>
        <v>60.369107857142865</v>
      </c>
      <c r="Z6" s="20">
        <f>'[2]Soy Complex'!BG376</f>
        <v>62.333242178571439</v>
      </c>
      <c r="AA6" s="20">
        <f>'[2]Soy Complex'!BH376</f>
        <v>63.719071035714272</v>
      </c>
      <c r="AB6" s="20">
        <f>'[2]Soy Complex'!BI376</f>
        <v>69.195729310344817</v>
      </c>
      <c r="AC6" s="20">
        <f>'[2]Soy Complex'!BJ376</f>
        <v>69.503613214285707</v>
      </c>
      <c r="AD6" s="20">
        <f>'[2]Soy Complex'!BK376</f>
        <v>72.122950142857135</v>
      </c>
      <c r="AE6" s="20">
        <f>'[2]Soy Complex'!BL376</f>
        <v>75.579968857142831</v>
      </c>
      <c r="AF6" s="20">
        <f>'[2]Soy Complex'!BM376</f>
        <v>71.227962677419356</v>
      </c>
      <c r="AG6" s="20">
        <f>'[2]Soy Complex'!BN376</f>
        <v>74.381654771056105</v>
      </c>
    </row>
    <row r="7" spans="1:33" ht="12.75">
      <c r="A7" s="19" t="s">
        <v>33</v>
      </c>
      <c r="B7" s="20">
        <f>'[2]Soy Complex'!AI377</f>
        <v>4.6900000000000004</v>
      </c>
      <c r="C7" s="20">
        <f>'[2]Soy Complex'!AJ377</f>
        <v>48.075925385877412</v>
      </c>
      <c r="D7" s="20">
        <f>'[2]Soy Complex'!AK377</f>
        <v>37.749174983987103</v>
      </c>
      <c r="E7" s="20">
        <f>'[2]Soy Complex'!AL377</f>
        <v>46.669050236729021</v>
      </c>
      <c r="F7" s="20">
        <f>'[2]Soy Complex'!AM377</f>
        <v>51.844079550438693</v>
      </c>
      <c r="G7" s="20">
        <f>'[2]Soy Complex'!AN377</f>
        <v>47.931461343683864</v>
      </c>
      <c r="H7" s="20">
        <f>'[2]Soy Complex'!AO377</f>
        <v>47.468687577200001</v>
      </c>
      <c r="I7" s="20">
        <f>'[2]Soy Complex'!AP377</f>
        <v>51.115112649509705</v>
      </c>
      <c r="J7" s="20">
        <f>'[2]Soy Complex'!AQ377</f>
        <v>50.013455464954845</v>
      </c>
      <c r="K7" s="20">
        <f>'[2]Soy Complex'!AR377</f>
        <v>53.239647388993546</v>
      </c>
      <c r="L7" s="20">
        <f>'[2]Soy Complex'!AS377</f>
        <v>51.827739798929045</v>
      </c>
      <c r="M7" s="20">
        <f>'[2]Soy Complex'!AT377</f>
        <v>49.105565035096774</v>
      </c>
      <c r="N7" s="20">
        <f>'[2]Soy Complex'!AU377</f>
        <v>56.797222386516125</v>
      </c>
      <c r="O7" s="20">
        <f>'[2]Soy Complex'!AV377</f>
        <v>54.438068276387099</v>
      </c>
      <c r="P7" s="20">
        <f>'[2]Soy Complex'!AW377</f>
        <v>65.417548507354837</v>
      </c>
      <c r="Q7" s="20">
        <f>'[2]Soy Complex'!AX377</f>
        <v>50.927467493548406</v>
      </c>
      <c r="R7" s="20">
        <f>'[2]Soy Complex'!AY377</f>
        <v>55.162389868516115</v>
      </c>
      <c r="S7" s="20">
        <f>'[2]Soy Complex'!AZ377</f>
        <v>51.695228017612891</v>
      </c>
      <c r="T7" s="20">
        <f>'[2]Soy Complex'!BA377</f>
        <v>49.678638549126688</v>
      </c>
      <c r="U7" s="20">
        <f>'[2]Soy Complex'!BB377</f>
        <v>56.122377051390202</v>
      </c>
      <c r="V7" s="20">
        <f>'[2]Soy Complex'!BC377</f>
        <v>55.09612874379777</v>
      </c>
      <c r="W7" s="20">
        <f>'[2]Soy Complex'!BD377</f>
        <v>57.595553628537552</v>
      </c>
      <c r="X7" s="20">
        <f>'[2]Soy Complex'!BE377</f>
        <v>61.825052516129034</v>
      </c>
      <c r="Y7" s="20">
        <f>'[2]Soy Complex'!BF377</f>
        <v>56.836345225806461</v>
      </c>
      <c r="Z7" s="20">
        <f>'[2]Soy Complex'!BG377</f>
        <v>67.135924548387067</v>
      </c>
      <c r="AA7" s="20">
        <f>'[2]Soy Complex'!BH377</f>
        <v>65.840533870967747</v>
      </c>
      <c r="AB7" s="20">
        <f>'[2]Soy Complex'!BI377</f>
        <v>73.388564709677425</v>
      </c>
      <c r="AC7" s="20">
        <f>'[2]Soy Complex'!BJ377</f>
        <v>74.331516322580669</v>
      </c>
      <c r="AD7" s="20">
        <f>'[2]Soy Complex'!BK377</f>
        <v>78.455481483870969</v>
      </c>
      <c r="AE7" s="20">
        <f>'[2]Soy Complex'!BL377</f>
        <v>75.784978612903274</v>
      </c>
      <c r="AF7" s="20">
        <f>'[2]Soy Complex'!BM377</f>
        <v>72.083018161290326</v>
      </c>
      <c r="AG7" s="20">
        <f>'[2]Soy Complex'!BN377</f>
        <v>75.427875657127075</v>
      </c>
    </row>
    <row r="8" spans="1:33" ht="12.75">
      <c r="A8" s="19" t="s">
        <v>34</v>
      </c>
      <c r="B8" s="20">
        <f>'[2]Soy Complex'!AI378</f>
        <v>4.74</v>
      </c>
      <c r="C8" s="20">
        <f>'[2]Soy Complex'!AJ378</f>
        <v>43.494568748613354</v>
      </c>
      <c r="D8" s="20">
        <f>'[2]Soy Complex'!AK378</f>
        <v>39.281385735479994</v>
      </c>
      <c r="E8" s="20">
        <f>'[2]Soy Complex'!AL378</f>
        <v>42.173882339946665</v>
      </c>
      <c r="F8" s="20">
        <f>'[2]Soy Complex'!AM378</f>
        <v>47.784141713513328</v>
      </c>
      <c r="G8" s="20">
        <f>'[2]Soy Complex'!AN378</f>
        <v>51.128301119133326</v>
      </c>
      <c r="H8" s="20">
        <f>'[2]Soy Complex'!AO378</f>
        <v>45.259421397893327</v>
      </c>
      <c r="I8" s="20">
        <f>'[2]Soy Complex'!AP378</f>
        <v>49.973312116046678</v>
      </c>
      <c r="J8" s="20">
        <f>'[2]Soy Complex'!AQ378</f>
        <v>55.90294768497332</v>
      </c>
      <c r="K8" s="20">
        <f>'[2]Soy Complex'!AR378</f>
        <v>52.976678131426659</v>
      </c>
      <c r="L8" s="20">
        <f>'[2]Soy Complex'!AS378</f>
        <v>49.300334001140008</v>
      </c>
      <c r="M8" s="20">
        <f>'[2]Soy Complex'!AT378</f>
        <v>53.244542623933334</v>
      </c>
      <c r="N8" s="20">
        <f>'[2]Soy Complex'!AU378</f>
        <v>49.277533716733359</v>
      </c>
      <c r="O8" s="20">
        <f>'[2]Soy Complex'!AV378</f>
        <v>56.22055291773335</v>
      </c>
      <c r="P8" s="20">
        <f>'[2]Soy Complex'!AW378</f>
        <v>62.421441768866643</v>
      </c>
      <c r="Q8" s="20">
        <f>'[2]Soy Complex'!AX378</f>
        <v>50.624823567533333</v>
      </c>
      <c r="R8" s="20">
        <f>'[2]Soy Complex'!AY378</f>
        <v>47.640799850800001</v>
      </c>
      <c r="S8" s="20">
        <f>'[2]Soy Complex'!AZ378</f>
        <v>52.874699443599994</v>
      </c>
      <c r="T8" s="20">
        <f>'[2]Soy Complex'!BA378</f>
        <v>51.809799371112412</v>
      </c>
      <c r="U8" s="20">
        <f>'[2]Soy Complex'!BB378</f>
        <v>55.027254738564899</v>
      </c>
      <c r="V8" s="20">
        <f>'[2]Soy Complex'!BC378</f>
        <v>52.58351401795273</v>
      </c>
      <c r="W8" s="20">
        <f>'[2]Soy Complex'!BD378</f>
        <v>58.957538465593217</v>
      </c>
      <c r="X8" s="20">
        <f>'[2]Soy Complex'!BE378</f>
        <v>59.131358900000002</v>
      </c>
      <c r="Y8" s="20">
        <f>'[2]Soy Complex'!BF378</f>
        <v>62.462197233333328</v>
      </c>
      <c r="Z8" s="20">
        <f>'[2]Soy Complex'!BG378</f>
        <v>58.311464366666677</v>
      </c>
      <c r="AA8" s="20">
        <f>'[2]Soy Complex'!BH378</f>
        <v>64.306032258064548</v>
      </c>
      <c r="AB8" s="20">
        <f>'[2]Soy Complex'!BI378</f>
        <v>61.665689466666663</v>
      </c>
      <c r="AC8" s="20">
        <f>'[2]Soy Complex'!BJ378</f>
        <v>69.336134033333337</v>
      </c>
      <c r="AD8" s="20">
        <f>'[2]Soy Complex'!BK378</f>
        <v>72.538317066666664</v>
      </c>
      <c r="AE8" s="20">
        <f>'[2]Soy Complex'!BL378</f>
        <v>70.628643799999992</v>
      </c>
      <c r="AF8" s="20">
        <f>'[2]Soy Complex'!BM378</f>
        <v>73.703546341628012</v>
      </c>
      <c r="AG8" s="20">
        <f>'[2]Soy Complex'!BN378</f>
        <v>74.096632095852499</v>
      </c>
    </row>
    <row r="9" spans="1:33" ht="12.75">
      <c r="A9" s="19" t="s">
        <v>35</v>
      </c>
      <c r="B9" s="20">
        <f>'[2]Soy Complex'!AI379</f>
        <v>4.75</v>
      </c>
      <c r="C9" s="20">
        <f>'[2]Soy Complex'!AJ379</f>
        <v>39.858764892696769</v>
      </c>
      <c r="D9" s="20">
        <f>'[2]Soy Complex'!AK379</f>
        <v>38.64161922910322</v>
      </c>
      <c r="E9" s="20">
        <f>'[2]Soy Complex'!AL379</f>
        <v>40.130481246941933</v>
      </c>
      <c r="F9" s="20">
        <f>'[2]Soy Complex'!AM379</f>
        <v>45.881817825193558</v>
      </c>
      <c r="G9" s="20">
        <f>'[2]Soy Complex'!AN379</f>
        <v>43.041641079503236</v>
      </c>
      <c r="H9" s="20">
        <f>'[2]Soy Complex'!AO379</f>
        <v>48.965325066361302</v>
      </c>
      <c r="I9" s="20">
        <f>'[2]Soy Complex'!AP379</f>
        <v>43.075942596232274</v>
      </c>
      <c r="J9" s="20">
        <f>'[2]Soy Complex'!AQ379</f>
        <v>47.867725904638696</v>
      </c>
      <c r="K9" s="20">
        <f>'[2]Soy Complex'!AR379</f>
        <v>50.221961698251611</v>
      </c>
      <c r="L9" s="20">
        <f>'[2]Soy Complex'!AS379</f>
        <v>45.1761306420645</v>
      </c>
      <c r="M9" s="20">
        <f>'[2]Soy Complex'!AT379</f>
        <v>49.365051887999982</v>
      </c>
      <c r="N9" s="20">
        <f>'[2]Soy Complex'!AU379</f>
        <v>50.67783460780641</v>
      </c>
      <c r="O9" s="20">
        <f>'[2]Soy Complex'!AV379</f>
        <v>56.912681790580635</v>
      </c>
      <c r="P9" s="20">
        <f>'[2]Soy Complex'!AW379</f>
        <v>54.788612914838744</v>
      </c>
      <c r="Q9" s="20">
        <f>'[2]Soy Complex'!AX379</f>
        <v>52.476795127225813</v>
      </c>
      <c r="R9" s="20">
        <f>'[2]Soy Complex'!AY379</f>
        <v>44.68250056587096</v>
      </c>
      <c r="S9" s="20">
        <f>'[2]Soy Complex'!AZ379</f>
        <v>53.814464665354834</v>
      </c>
      <c r="T9" s="20">
        <f>'[2]Soy Complex'!BA379</f>
        <v>57.470471142588245</v>
      </c>
      <c r="U9" s="20">
        <f>'[2]Soy Complex'!BB379</f>
        <v>56.864090721696762</v>
      </c>
      <c r="V9" s="20">
        <f>'[2]Soy Complex'!BC379</f>
        <v>55.521634840630831</v>
      </c>
      <c r="W9" s="20">
        <f>'[2]Soy Complex'!BD379</f>
        <v>43.73089390242599</v>
      </c>
      <c r="X9" s="20">
        <f>'[2]Soy Complex'!BE379</f>
        <v>60.105592387096785</v>
      </c>
      <c r="Y9" s="20">
        <f>'[2]Soy Complex'!BF379</f>
        <v>59.405521806451631</v>
      </c>
      <c r="Z9" s="20">
        <f>'[2]Soy Complex'!BG379</f>
        <v>74.688894999999988</v>
      </c>
      <c r="AA9" s="20">
        <f>'[2]Soy Complex'!BH379</f>
        <v>70.619945870967783</v>
      </c>
      <c r="AB9" s="20">
        <f>'[2]Soy Complex'!BI379</f>
        <v>72.165882967741979</v>
      </c>
      <c r="AC9" s="20">
        <f>'[2]Soy Complex'!BJ379</f>
        <v>67.423217870967733</v>
      </c>
      <c r="AD9" s="20">
        <f>'[2]Soy Complex'!BK379</f>
        <v>71.73103893548388</v>
      </c>
      <c r="AE9" s="20">
        <f>'[2]Soy Complex'!BL379</f>
        <v>78.580153516129016</v>
      </c>
      <c r="AF9" s="20">
        <f>'[2]Soy Complex'!BM379</f>
        <v>80.145375517803885</v>
      </c>
      <c r="AG9" s="20">
        <f>'[2]Soy Complex'!BN379</f>
        <v>74.881725153736269</v>
      </c>
    </row>
    <row r="10" spans="1:33" ht="12.75">
      <c r="A10" s="19" t="s">
        <v>36</v>
      </c>
      <c r="B10" s="20">
        <f>'[2]Soy Complex'!AI380</f>
        <v>4.8099999999999996</v>
      </c>
      <c r="C10" s="20">
        <f>'[2]Soy Complex'!AJ380</f>
        <v>40.117361269813337</v>
      </c>
      <c r="D10" s="20">
        <f>'[2]Soy Complex'!AK380</f>
        <v>36.726231530986681</v>
      </c>
      <c r="E10" s="20">
        <f>'[2]Soy Complex'!AL380</f>
        <v>40.230680751406666</v>
      </c>
      <c r="F10" s="20">
        <f>'[2]Soy Complex'!AM380</f>
        <v>49.573990403379995</v>
      </c>
      <c r="G10" s="20">
        <f>'[2]Soy Complex'!AN380</f>
        <v>50.410844353259996</v>
      </c>
      <c r="H10" s="20">
        <f>'[2]Soy Complex'!AO380</f>
        <v>43.895775614673319</v>
      </c>
      <c r="I10" s="20">
        <f>'[2]Soy Complex'!AP380</f>
        <v>45.754613507873302</v>
      </c>
      <c r="J10" s="20">
        <f>'[2]Soy Complex'!AQ380</f>
        <v>58.030547986186662</v>
      </c>
      <c r="K10" s="20">
        <f>'[2]Soy Complex'!AR380</f>
        <v>50.669436903553333</v>
      </c>
      <c r="L10" s="20">
        <f>'[2]Soy Complex'!AS380</f>
        <v>49.68333471095999</v>
      </c>
      <c r="M10" s="20">
        <f>'[2]Soy Complex'!AT380</f>
        <v>51.62444490386666</v>
      </c>
      <c r="N10" s="20">
        <f>'[2]Soy Complex'!AU380</f>
        <v>52.176972330133374</v>
      </c>
      <c r="O10" s="20">
        <f>'[2]Soy Complex'!AV380</f>
        <v>54.067965453466641</v>
      </c>
      <c r="P10" s="20">
        <f>'[2]Soy Complex'!AW380</f>
        <v>57.287323717933319</v>
      </c>
      <c r="Q10" s="20">
        <f>'[2]Soy Complex'!AX380</f>
        <v>47.245525738733356</v>
      </c>
      <c r="R10" s="20">
        <f>'[2]Soy Complex'!AY380</f>
        <v>45.738412855666638</v>
      </c>
      <c r="S10" s="20">
        <f>'[2]Soy Complex'!AZ380</f>
        <v>49.148619425666645</v>
      </c>
      <c r="T10" s="20">
        <f>'[2]Soy Complex'!BA380</f>
        <v>54.705344222137533</v>
      </c>
      <c r="U10" s="20">
        <f>'[2]Soy Complex'!BB380</f>
        <v>57.124416681973734</v>
      </c>
      <c r="V10" s="20">
        <f>'[2]Soy Complex'!BC380</f>
        <v>54.458635535781212</v>
      </c>
      <c r="W10" s="20">
        <f>'[2]Soy Complex'!BD380</f>
        <v>59.815228500000011</v>
      </c>
      <c r="X10" s="20">
        <f>'[2]Soy Complex'!BE380</f>
        <v>61.518188899999963</v>
      </c>
      <c r="Y10" s="20">
        <f>'[2]Soy Complex'!BF380</f>
        <v>62.87580913333337</v>
      </c>
      <c r="Z10" s="20">
        <f>'[2]Soy Complex'!BG380</f>
        <v>67.932906766666662</v>
      </c>
      <c r="AA10" s="20">
        <f>'[2]Soy Complex'!BH380</f>
        <v>61.691752766666667</v>
      </c>
      <c r="AB10" s="20">
        <f>'[2]Soy Complex'!BI380</f>
        <v>74.503591033333308</v>
      </c>
      <c r="AC10" s="20">
        <f>'[2]Soy Complex'!BJ380</f>
        <v>66.03743503333331</v>
      </c>
      <c r="AD10" s="20">
        <f>'[2]Soy Complex'!BK380</f>
        <v>72.06226999999997</v>
      </c>
      <c r="AE10" s="20">
        <f>'[2]Soy Complex'!BL380</f>
        <v>73.40634651612902</v>
      </c>
      <c r="AF10" s="20">
        <f>'[2]Soy Complex'!BM380</f>
        <v>78.217087591086667</v>
      </c>
      <c r="AG10" s="20">
        <f>'[2]Soy Complex'!BN380</f>
        <v>73.509723892792593</v>
      </c>
    </row>
    <row r="11" spans="1:33" ht="12.75">
      <c r="A11" s="19" t="s">
        <v>37</v>
      </c>
      <c r="B11" s="20">
        <f>'[2]Soy Complex'!AI381</f>
        <v>4.84</v>
      </c>
      <c r="C11" s="20">
        <f>'[2]Soy Complex'!AJ381</f>
        <v>37.961331428464526</v>
      </c>
      <c r="D11" s="20">
        <f>'[2]Soy Complex'!AK381</f>
        <v>32.276826490161298</v>
      </c>
      <c r="E11" s="20">
        <f>'[2]Soy Complex'!AL381</f>
        <v>43.288641895096781</v>
      </c>
      <c r="F11" s="20">
        <f>'[2]Soy Complex'!AM381</f>
        <v>43.516345583909683</v>
      </c>
      <c r="G11" s="20">
        <f>'[2]Soy Complex'!AN381</f>
        <v>46.299475105548382</v>
      </c>
      <c r="H11" s="20">
        <f>'[2]Soy Complex'!AO381</f>
        <v>45.17645879851613</v>
      </c>
      <c r="I11" s="20">
        <f>'[2]Soy Complex'!AP381</f>
        <v>50.411271094696751</v>
      </c>
      <c r="J11" s="20">
        <f>'[2]Soy Complex'!AQ381</f>
        <v>51.412466471877437</v>
      </c>
      <c r="K11" s="20">
        <f>'[2]Soy Complex'!AR381</f>
        <v>52.230721176864513</v>
      </c>
      <c r="L11" s="20">
        <f>'[2]Soy Complex'!AS381</f>
        <v>45.391190739599992</v>
      </c>
      <c r="M11" s="20">
        <f>'[2]Soy Complex'!AT381</f>
        <v>46.326750989935491</v>
      </c>
      <c r="N11" s="20">
        <f>'[2]Soy Complex'!AU381</f>
        <v>49.878363642387058</v>
      </c>
      <c r="O11" s="20">
        <f>'[2]Soy Complex'!AV381</f>
        <v>60.197971386193544</v>
      </c>
      <c r="P11" s="20">
        <f>'[2]Soy Complex'!AW381</f>
        <v>55.949405419548398</v>
      </c>
      <c r="Q11" s="20">
        <f>'[2]Soy Complex'!AX381</f>
        <v>50.276442210645165</v>
      </c>
      <c r="R11" s="20">
        <f>'[2]Soy Complex'!AY381</f>
        <v>46.773426844645165</v>
      </c>
      <c r="S11" s="20">
        <f>'[2]Soy Complex'!AZ381</f>
        <v>49.669968199741895</v>
      </c>
      <c r="T11" s="20">
        <f>'[2]Soy Complex'!BA381</f>
        <v>50.664459619501102</v>
      </c>
      <c r="U11" s="20">
        <f>'[2]Soy Complex'!BB381</f>
        <v>55.561385003240623</v>
      </c>
      <c r="V11" s="20">
        <f>'[2]Soy Complex'!BC381</f>
        <v>57.278713674515572</v>
      </c>
      <c r="W11" s="20">
        <f>'[2]Soy Complex'!BD381</f>
        <v>56.758728354838709</v>
      </c>
      <c r="X11" s="20">
        <f>'[2]Soy Complex'!BE381</f>
        <v>65.037351032258044</v>
      </c>
      <c r="Y11" s="20">
        <f>'[2]Soy Complex'!BF381</f>
        <v>63.436861741935481</v>
      </c>
      <c r="Z11" s="20">
        <f>'[2]Soy Complex'!BG381</f>
        <v>64.426835516129046</v>
      </c>
      <c r="AA11" s="20">
        <f>'[2]Soy Complex'!BH381</f>
        <v>67.792890806451595</v>
      </c>
      <c r="AB11" s="20">
        <f>'[2]Soy Complex'!BI381</f>
        <v>74.129040193548391</v>
      </c>
      <c r="AC11" s="20">
        <f>'[2]Soy Complex'!BJ381</f>
        <v>67.860589933333316</v>
      </c>
      <c r="AD11" s="20">
        <f>'[2]Soy Complex'!BK381</f>
        <v>72.376582225806416</v>
      </c>
      <c r="AE11" s="20">
        <f>'[2]Soy Complex'!BL381</f>
        <v>73.391318903225809</v>
      </c>
      <c r="AF11" s="20">
        <f>'[2]Soy Complex'!BM381</f>
        <v>79.654744667035132</v>
      </c>
      <c r="AG11" s="20">
        <f>'[2]Soy Complex'!BN381</f>
        <v>70.397094408349616</v>
      </c>
    </row>
    <row r="12" spans="1:33" ht="12.75">
      <c r="A12" s="19" t="s">
        <v>38</v>
      </c>
      <c r="B12" s="20">
        <f>'[2]Soy Complex'!AI382</f>
        <v>4.87</v>
      </c>
      <c r="C12" s="20">
        <f>'[2]Soy Complex'!AJ382</f>
        <v>41.043905171716133</v>
      </c>
      <c r="D12" s="20">
        <f>'[2]Soy Complex'!AK382</f>
        <v>40.043213240638714</v>
      </c>
      <c r="E12" s="20">
        <f>'[2]Soy Complex'!AL382</f>
        <v>45.896165771696772</v>
      </c>
      <c r="F12" s="20">
        <f>'[2]Soy Complex'!AM382</f>
        <v>52.099141353580634</v>
      </c>
      <c r="G12" s="20">
        <f>'[2]Soy Complex'!AN382</f>
        <v>48.375464478406471</v>
      </c>
      <c r="H12" s="20">
        <f>'[2]Soy Complex'!AO382</f>
        <v>48.296156313683873</v>
      </c>
      <c r="I12" s="20">
        <f>'[2]Soy Complex'!AP382</f>
        <v>50.956826919412926</v>
      </c>
      <c r="J12" s="20">
        <f>'[2]Soy Complex'!AQ382</f>
        <v>47.934515483445161</v>
      </c>
      <c r="K12" s="20">
        <f>'[2]Soy Complex'!AR382</f>
        <v>51.01493323867097</v>
      </c>
      <c r="L12" s="20">
        <f>'[2]Soy Complex'!AS382</f>
        <v>48.900716836600004</v>
      </c>
      <c r="M12" s="20">
        <f>'[2]Soy Complex'!AT382</f>
        <v>56.418283890645164</v>
      </c>
      <c r="N12" s="20">
        <f>'[2]Soy Complex'!AU382</f>
        <v>54.845539314193545</v>
      </c>
      <c r="O12" s="20">
        <f>'[2]Soy Complex'!AV382</f>
        <v>60.287017805806464</v>
      </c>
      <c r="P12" s="20">
        <f>'[2]Soy Complex'!AW382</f>
        <v>56.211522831548365</v>
      </c>
      <c r="Q12" s="20">
        <f>'[2]Soy Complex'!AX382</f>
        <v>54.584011673548396</v>
      </c>
      <c r="R12" s="20">
        <f>'[2]Soy Complex'!AY382</f>
        <v>54.28571458845159</v>
      </c>
      <c r="S12" s="20">
        <f>'[2]Soy Complex'!AZ382</f>
        <v>56.251049378717902</v>
      </c>
      <c r="T12" s="20">
        <f>'[2]Soy Complex'!BA382</f>
        <v>57.412574155775793</v>
      </c>
      <c r="U12" s="20">
        <f>'[2]Soy Complex'!BB382</f>
        <v>60.685280932695107</v>
      </c>
      <c r="V12" s="20">
        <f>'[2]Soy Complex'!BC382</f>
        <v>59.76363231053908</v>
      </c>
      <c r="W12" s="20">
        <f>'[2]Soy Complex'!BD382</f>
        <v>58.441420322580633</v>
      </c>
      <c r="X12" s="20">
        <f>'[2]Soy Complex'!BE382</f>
        <v>61.169066548387107</v>
      </c>
      <c r="Y12" s="20">
        <f>'[2]Soy Complex'!BF382</f>
        <v>63.605589451612907</v>
      </c>
      <c r="Z12" s="20">
        <f>'[2]Soy Complex'!BG382</f>
        <v>68.953925612903191</v>
      </c>
      <c r="AA12" s="20">
        <f>'[2]Soy Complex'!BH382</f>
        <v>74.718401774193538</v>
      </c>
      <c r="AB12" s="20">
        <f>'[2]Soy Complex'!BI382</f>
        <v>71.414018419354846</v>
      </c>
      <c r="AC12" s="20">
        <f>'[2]Soy Complex'!BJ382</f>
        <v>63.964323666666672</v>
      </c>
      <c r="AD12" s="20">
        <f>'[2]Soy Complex'!BK382</f>
        <v>73.545274677419371</v>
      </c>
      <c r="AE12" s="20">
        <f>'[2]Soy Complex'!BL382</f>
        <v>78.208939483870978</v>
      </c>
      <c r="AF12" s="20">
        <f>'[2]Soy Complex'!BM382</f>
        <v>77.145348393508613</v>
      </c>
      <c r="AG12" s="20">
        <f>'[2]Soy Complex'!BN382</f>
        <v>78.839284898554808</v>
      </c>
    </row>
    <row r="13" spans="1:33" ht="12.75">
      <c r="A13" s="19" t="s">
        <v>39</v>
      </c>
      <c r="B13" s="20">
        <f>'[2]Soy Complex'!AI383</f>
        <v>4.9000000000000004</v>
      </c>
      <c r="C13" s="20">
        <f>'[2]Soy Complex'!AJ383</f>
        <v>39.11873412470667</v>
      </c>
      <c r="D13" s="20">
        <f>'[2]Soy Complex'!AK383</f>
        <v>40.802219081386674</v>
      </c>
      <c r="E13" s="20">
        <f>'[2]Soy Complex'!AL383</f>
        <v>47.164483577139997</v>
      </c>
      <c r="F13" s="20">
        <f>'[2]Soy Complex'!AM383</f>
        <v>49.572673895086652</v>
      </c>
      <c r="G13" s="20">
        <f>'[2]Soy Complex'!AN383</f>
        <v>54.858514508246657</v>
      </c>
      <c r="H13" s="20">
        <f>'[2]Soy Complex'!AO383</f>
        <v>49.877983763826663</v>
      </c>
      <c r="I13" s="20">
        <f>'[2]Soy Complex'!AP383</f>
        <v>45.472535609733313</v>
      </c>
      <c r="J13" s="20">
        <f>'[2]Soy Complex'!AQ383</f>
        <v>52.667806189213337</v>
      </c>
      <c r="K13" s="20">
        <f>'[2]Soy Complex'!AR383</f>
        <v>53.93227269023334</v>
      </c>
      <c r="L13" s="20">
        <f>'[2]Soy Complex'!AS383</f>
        <v>49.938080086846668</v>
      </c>
      <c r="M13" s="20">
        <f>'[2]Soy Complex'!AT383</f>
        <v>52.164080223399999</v>
      </c>
      <c r="N13" s="20">
        <f>'[2]Soy Complex'!AU383</f>
        <v>58.246707204133386</v>
      </c>
      <c r="O13" s="20">
        <f>'[2]Soy Complex'!AV383</f>
        <v>59.84645329633333</v>
      </c>
      <c r="P13" s="20">
        <f>'[2]Soy Complex'!AW383</f>
        <v>51.116543135133341</v>
      </c>
      <c r="Q13" s="20">
        <f>'[2]Soy Complex'!AX383</f>
        <v>52.71239710506665</v>
      </c>
      <c r="R13" s="20">
        <f>'[2]Soy Complex'!AY383</f>
        <v>47.041306117333342</v>
      </c>
      <c r="S13" s="20">
        <f>'[2]Soy Complex'!AZ383</f>
        <v>59.268104638079826</v>
      </c>
      <c r="T13" s="20">
        <f>'[2]Soy Complex'!BA383</f>
        <v>53.43230261653396</v>
      </c>
      <c r="U13" s="20">
        <f>'[2]Soy Complex'!BB383</f>
        <v>56.816385787262348</v>
      </c>
      <c r="V13" s="20">
        <f>'[2]Soy Complex'!BC383</f>
        <v>52.168053335158973</v>
      </c>
      <c r="W13" s="20">
        <f>'[2]Soy Complex'!BD383</f>
        <v>56.329597966666675</v>
      </c>
      <c r="X13" s="20">
        <f>'[2]Soy Complex'!BE383</f>
        <v>64.531152733333343</v>
      </c>
      <c r="Y13" s="20">
        <f>'[2]Soy Complex'!BF383</f>
        <v>60.641257100000011</v>
      </c>
      <c r="Z13" s="20">
        <f>'[2]Soy Complex'!BG383</f>
        <v>72.537940533333327</v>
      </c>
      <c r="AA13" s="20">
        <f>'[2]Soy Complex'!BH383</f>
        <v>65.224831499999979</v>
      </c>
      <c r="AB13" s="20">
        <f>'[2]Soy Complex'!BI383</f>
        <v>69.362962400000015</v>
      </c>
      <c r="AC13" s="20">
        <f>'[2]Soy Complex'!BJ383</f>
        <v>67.513724933333336</v>
      </c>
      <c r="AD13" s="20">
        <f>'[2]Soy Complex'!BK383</f>
        <v>70.475290396534547</v>
      </c>
      <c r="AE13" s="20">
        <f>'[2]Soy Complex'!BL383</f>
        <v>75.737555466666677</v>
      </c>
      <c r="AF13" s="20">
        <f>'[2]Soy Complex'!BM383</f>
        <v>78.860044809606819</v>
      </c>
      <c r="AG13" s="20">
        <f>'[2]Soy Complex'!BN383</f>
        <v>84.709902788461022</v>
      </c>
    </row>
    <row r="14" spans="1:33">
      <c r="A14" s="19"/>
      <c r="B14" s="20"/>
      <c r="AG14" s="20"/>
    </row>
    <row r="15" spans="1:33">
      <c r="A15" s="19"/>
      <c r="B15" s="20"/>
      <c r="AG15" s="20"/>
    </row>
    <row r="16" spans="1:33">
      <c r="A16" s="19"/>
      <c r="B16" s="20"/>
      <c r="AG16" s="20"/>
    </row>
    <row r="17" spans="1:33">
      <c r="A17" s="19"/>
      <c r="B17" s="20"/>
      <c r="AG17" s="20"/>
    </row>
    <row r="18" spans="1:33">
      <c r="A18" s="19"/>
      <c r="B18" s="20"/>
      <c r="AG18" s="20"/>
    </row>
    <row r="19" spans="1:33">
      <c r="A19" s="19"/>
      <c r="B19" s="20"/>
      <c r="AG19" s="20"/>
    </row>
    <row r="20" spans="1:33">
      <c r="A20" s="19"/>
      <c r="B20" s="20"/>
      <c r="AG20" s="20"/>
    </row>
    <row r="21" spans="1:33">
      <c r="A21" s="19"/>
      <c r="B21" s="20"/>
      <c r="AG21" s="20"/>
    </row>
    <row r="22" spans="1:33">
      <c r="A22" s="19"/>
      <c r="B22" s="20"/>
      <c r="AG22" s="20"/>
    </row>
    <row r="23" spans="1:33">
      <c r="A23" s="19"/>
      <c r="B23" s="20"/>
      <c r="AG23" s="20"/>
    </row>
    <row r="24" spans="1:33">
      <c r="A24" s="19"/>
      <c r="B24" s="20"/>
      <c r="AG24" s="20"/>
    </row>
    <row r="25" spans="1:33">
      <c r="A25" s="19"/>
      <c r="B25" s="20"/>
      <c r="AG25" s="20"/>
    </row>
    <row r="26" spans="1:33">
      <c r="A26" s="19"/>
      <c r="B26" s="20"/>
      <c r="AG26" s="20"/>
    </row>
    <row r="27" spans="1:33">
      <c r="A27" s="19"/>
      <c r="B27" s="20"/>
      <c r="AG27" s="20"/>
    </row>
    <row r="28" spans="1:33">
      <c r="A28" s="19"/>
      <c r="B28" s="20"/>
      <c r="AG28" s="20"/>
    </row>
    <row r="29" spans="1:33">
      <c r="A29" s="19"/>
      <c r="B29" s="20"/>
      <c r="AG29" s="20"/>
    </row>
    <row r="30" spans="1:33">
      <c r="A30" s="19"/>
      <c r="B30" s="20"/>
      <c r="AG30" s="20"/>
    </row>
    <row r="31" spans="1:33">
      <c r="A31" s="19"/>
      <c r="B31" s="20"/>
      <c r="AG31" s="20"/>
    </row>
    <row r="32" spans="1:33">
      <c r="A32" s="19"/>
      <c r="B32" s="20"/>
      <c r="AG32" s="20"/>
    </row>
    <row r="33" spans="1:33">
      <c r="A33" s="19"/>
      <c r="B33" s="20"/>
      <c r="AG33" s="20"/>
    </row>
    <row r="34" spans="1:33">
      <c r="A34" s="19"/>
      <c r="B34" s="20"/>
      <c r="AG34" s="20"/>
    </row>
    <row r="35" spans="1:33">
      <c r="A35" s="19"/>
      <c r="B35" s="20"/>
      <c r="AG35" s="20"/>
    </row>
    <row r="36" spans="1:33">
      <c r="A36" s="19"/>
      <c r="B36" s="20"/>
      <c r="AG36" s="20"/>
    </row>
    <row r="37" spans="1:33">
      <c r="A37" s="19"/>
      <c r="B37" s="20"/>
      <c r="AG37" s="20"/>
    </row>
    <row r="38" spans="1:33">
      <c r="A38" s="19"/>
      <c r="B38" s="20"/>
      <c r="AG38" s="20"/>
    </row>
    <row r="39" spans="1:33">
      <c r="A39" s="19"/>
      <c r="B39" s="20"/>
      <c r="AG39" s="20"/>
    </row>
    <row r="40" spans="1:33">
      <c r="A40" s="19"/>
      <c r="B40" s="20"/>
      <c r="AG40" s="20"/>
    </row>
    <row r="41" spans="1:33">
      <c r="A41" s="19"/>
      <c r="B41" s="20"/>
      <c r="AG41" s="20"/>
    </row>
    <row r="42" spans="1:33">
      <c r="A42" s="19"/>
      <c r="B42" s="20"/>
      <c r="AG42" s="20"/>
    </row>
    <row r="43" spans="1:33">
      <c r="A43" s="19"/>
      <c r="B43" s="20"/>
      <c r="AG43" s="20"/>
    </row>
    <row r="44" spans="1:33">
      <c r="A44" s="19"/>
      <c r="B44" s="20"/>
      <c r="AG44" s="20"/>
    </row>
    <row r="45" spans="1:33">
      <c r="A45" s="19"/>
      <c r="B45" s="20"/>
      <c r="AG45" s="20"/>
    </row>
    <row r="46" spans="1:33">
      <c r="A46" s="19"/>
      <c r="B46" s="20"/>
      <c r="AG46" s="20"/>
    </row>
    <row r="47" spans="1:33">
      <c r="A47" s="19"/>
      <c r="B47" s="20"/>
      <c r="AG47" s="20"/>
    </row>
    <row r="48" spans="1:33">
      <c r="A48" s="19"/>
      <c r="B48" s="20"/>
      <c r="AG48" s="20"/>
    </row>
    <row r="49" spans="1:33">
      <c r="A49" s="19"/>
      <c r="B49" s="20"/>
      <c r="AG49" s="20"/>
    </row>
    <row r="50" spans="1:33">
      <c r="A50" s="19"/>
      <c r="B50" s="20"/>
      <c r="AG50" s="20"/>
    </row>
    <row r="51" spans="1:33">
      <c r="A51" s="19"/>
      <c r="B51" s="20"/>
      <c r="AG51" s="20"/>
    </row>
    <row r="52" spans="1:33">
      <c r="A52" s="19"/>
      <c r="B52" s="20"/>
      <c r="AG52" s="20"/>
    </row>
    <row r="53" spans="1:33">
      <c r="A53" s="19"/>
      <c r="B53" s="20"/>
      <c r="AG53" s="20"/>
    </row>
    <row r="54" spans="1:33">
      <c r="A54" s="19"/>
      <c r="B54" s="20"/>
      <c r="AG54" s="20"/>
    </row>
    <row r="55" spans="1:33">
      <c r="A55" s="19"/>
      <c r="B55" s="20"/>
      <c r="AG55" s="20"/>
    </row>
    <row r="56" spans="1:33">
      <c r="A56" s="19"/>
      <c r="B56" s="20"/>
      <c r="AG56" s="20"/>
    </row>
    <row r="57" spans="1:33">
      <c r="A57" s="19"/>
      <c r="B57" s="20"/>
      <c r="AG57" s="20"/>
    </row>
    <row r="58" spans="1:33">
      <c r="A58" s="19"/>
      <c r="B58" s="20"/>
      <c r="AG58" s="20"/>
    </row>
    <row r="59" spans="1:33">
      <c r="A59" s="19"/>
      <c r="B59" s="20"/>
      <c r="AG59" s="20"/>
    </row>
    <row r="60" spans="1:33">
      <c r="A60" s="19"/>
      <c r="B60" s="20"/>
      <c r="AG60" s="20"/>
    </row>
    <row r="61" spans="1:33">
      <c r="A61" s="19"/>
      <c r="B61" s="20"/>
      <c r="AG61" s="20"/>
    </row>
    <row r="62" spans="1:33">
      <c r="A62" s="19"/>
      <c r="B62" s="20"/>
      <c r="AG62" s="20"/>
    </row>
    <row r="63" spans="1:33">
      <c r="A63" s="19"/>
      <c r="B63" s="20"/>
      <c r="AG63" s="20"/>
    </row>
    <row r="64" spans="1:33">
      <c r="A64" s="19"/>
      <c r="B64" s="20"/>
      <c r="AG64" s="20"/>
    </row>
    <row r="65" spans="1:33">
      <c r="A65" s="19"/>
      <c r="B65" s="20"/>
      <c r="AG65" s="20"/>
    </row>
    <row r="66" spans="1:33">
      <c r="A66" s="19"/>
      <c r="B66" s="20"/>
      <c r="AG66" s="20"/>
    </row>
    <row r="67" spans="1:33">
      <c r="A67" s="19"/>
      <c r="B67" s="20"/>
      <c r="AG67" s="20"/>
    </row>
    <row r="68" spans="1:33">
      <c r="A68" s="19"/>
      <c r="B68" s="20"/>
      <c r="AG68" s="20"/>
    </row>
    <row r="69" spans="1:33">
      <c r="A69" s="19"/>
      <c r="B69" s="20"/>
      <c r="AG69" s="20"/>
    </row>
    <row r="70" spans="1:33">
      <c r="A70" s="19"/>
      <c r="B70" s="20"/>
      <c r="AG70" s="20"/>
    </row>
    <row r="71" spans="1:33">
      <c r="A71" s="19"/>
      <c r="B71" s="20"/>
      <c r="AG71" s="20"/>
    </row>
    <row r="72" spans="1:33">
      <c r="A72" s="19"/>
      <c r="B72" s="20"/>
      <c r="AG72" s="20"/>
    </row>
    <row r="73" spans="1:33">
      <c r="A73" s="19"/>
      <c r="B73" s="20"/>
      <c r="AG73" s="20"/>
    </row>
    <row r="74" spans="1:33">
      <c r="A74" s="19"/>
      <c r="B74" s="20"/>
      <c r="AG74" s="20"/>
    </row>
    <row r="75" spans="1:33">
      <c r="A75" s="19"/>
      <c r="B75" s="20"/>
      <c r="AG75" s="20"/>
    </row>
    <row r="76" spans="1:33">
      <c r="A76" s="19"/>
      <c r="B76" s="20"/>
      <c r="AG76" s="20"/>
    </row>
    <row r="77" spans="1:33">
      <c r="A77" s="19"/>
      <c r="B77" s="20"/>
      <c r="AG77" s="20"/>
    </row>
    <row r="78" spans="1:33">
      <c r="A78" s="19"/>
      <c r="B78" s="20"/>
      <c r="AG78" s="20"/>
    </row>
    <row r="79" spans="1:33">
      <c r="A79" s="19"/>
      <c r="B79" s="20"/>
      <c r="AG79" s="20"/>
    </row>
    <row r="80" spans="1:33">
      <c r="A80" s="19"/>
      <c r="B80" s="20"/>
      <c r="AG80" s="20"/>
    </row>
    <row r="81" spans="1:33">
      <c r="A81" s="19"/>
      <c r="B81" s="20"/>
      <c r="AG81" s="20"/>
    </row>
    <row r="82" spans="1:33">
      <c r="A82" s="19"/>
      <c r="B82" s="20"/>
      <c r="AG82" s="20"/>
    </row>
    <row r="83" spans="1:33">
      <c r="A83" s="19"/>
      <c r="B83" s="20"/>
      <c r="AG83" s="20"/>
    </row>
    <row r="84" spans="1:33">
      <c r="A84" s="19"/>
      <c r="B84" s="20"/>
      <c r="AG84" s="20"/>
    </row>
    <row r="85" spans="1:33">
      <c r="A85" s="19"/>
      <c r="B85" s="20"/>
      <c r="AG85" s="20"/>
    </row>
    <row r="86" spans="1:33">
      <c r="A86" s="19"/>
      <c r="B86" s="20"/>
      <c r="AG86" s="20"/>
    </row>
    <row r="87" spans="1:33">
      <c r="A87" s="19"/>
      <c r="B87" s="20"/>
      <c r="AG87" s="20"/>
    </row>
    <row r="88" spans="1:33">
      <c r="A88" s="19"/>
      <c r="B88" s="20"/>
      <c r="AG88" s="20"/>
    </row>
    <row r="89" spans="1:33">
      <c r="A89" s="19"/>
      <c r="B89" s="20"/>
      <c r="AG89" s="20"/>
    </row>
    <row r="90" spans="1:33">
      <c r="A90" s="19"/>
      <c r="B90" s="20"/>
      <c r="AG90" s="20"/>
    </row>
    <row r="91" spans="1:33">
      <c r="A91" s="19"/>
      <c r="B91" s="20"/>
      <c r="AG91" s="20"/>
    </row>
    <row r="92" spans="1:33">
      <c r="A92" s="19"/>
      <c r="B92" s="20"/>
      <c r="AG92" s="20"/>
    </row>
    <row r="93" spans="1:33">
      <c r="A93" s="19"/>
      <c r="B93" s="20"/>
      <c r="AG93" s="20"/>
    </row>
    <row r="94" spans="1:33">
      <c r="A94" s="19"/>
      <c r="B94" s="20"/>
      <c r="AG94" s="20"/>
    </row>
    <row r="95" spans="1:33">
      <c r="A95" s="19"/>
      <c r="B95" s="20"/>
      <c r="AG95" s="20"/>
    </row>
    <row r="96" spans="1:33">
      <c r="A96" s="19"/>
      <c r="B96" s="20"/>
      <c r="AG96" s="20"/>
    </row>
    <row r="97" spans="1:33">
      <c r="A97" s="19"/>
      <c r="B97" s="20"/>
      <c r="AG97" s="20"/>
    </row>
    <row r="98" spans="1:33">
      <c r="A98" s="19"/>
      <c r="B98" s="20"/>
      <c r="AG98" s="20"/>
    </row>
    <row r="99" spans="1:33">
      <c r="A99" s="19"/>
      <c r="B99" s="20"/>
      <c r="AG99" s="20"/>
    </row>
    <row r="100" spans="1:33">
      <c r="A100" s="19"/>
      <c r="B100" s="20"/>
      <c r="AG100" s="20"/>
    </row>
    <row r="101" spans="1:33">
      <c r="A101" s="19"/>
      <c r="B101" s="20"/>
      <c r="AG101" s="20"/>
    </row>
    <row r="102" spans="1:33">
      <c r="A102" s="19"/>
      <c r="B102" s="20"/>
      <c r="AG102" s="20"/>
    </row>
    <row r="103" spans="1:33">
      <c r="A103" s="19"/>
      <c r="B103" s="20"/>
      <c r="AG103" s="20"/>
    </row>
    <row r="104" spans="1:33">
      <c r="A104" s="19"/>
      <c r="B104" s="20"/>
      <c r="AG104" s="20"/>
    </row>
    <row r="105" spans="1:33">
      <c r="A105" s="19"/>
      <c r="B105" s="20"/>
      <c r="AG105" s="20"/>
    </row>
    <row r="106" spans="1:33">
      <c r="A106" s="19"/>
      <c r="B106" s="20"/>
      <c r="AG106" s="20"/>
    </row>
    <row r="107" spans="1:33">
      <c r="A107" s="19"/>
      <c r="B107" s="20"/>
      <c r="AG107" s="20"/>
    </row>
    <row r="108" spans="1:33">
      <c r="A108" s="19"/>
      <c r="B108" s="20"/>
      <c r="AG108" s="20"/>
    </row>
    <row r="109" spans="1:33">
      <c r="A109" s="19"/>
      <c r="B109" s="20"/>
      <c r="AG109" s="20"/>
    </row>
    <row r="110" spans="1:33">
      <c r="A110" s="19"/>
      <c r="B110" s="20"/>
      <c r="AG110" s="20"/>
    </row>
    <row r="111" spans="1:33">
      <c r="A111" s="19"/>
      <c r="B111" s="20"/>
      <c r="AG111" s="20"/>
    </row>
    <row r="112" spans="1:33">
      <c r="A112" s="19"/>
      <c r="B112" s="20"/>
      <c r="AG112" s="20"/>
    </row>
    <row r="113" spans="1:33">
      <c r="A113" s="19"/>
      <c r="B113" s="20"/>
      <c r="AG113" s="20"/>
    </row>
    <row r="114" spans="1:33">
      <c r="A114" s="19"/>
      <c r="B114" s="20"/>
      <c r="AG114" s="20"/>
    </row>
    <row r="115" spans="1:33">
      <c r="A115" s="19"/>
      <c r="B115" s="20"/>
      <c r="AG115" s="20"/>
    </row>
    <row r="116" spans="1:33">
      <c r="A116" s="19"/>
      <c r="B116" s="20"/>
      <c r="AG116" s="20"/>
    </row>
    <row r="117" spans="1:33">
      <c r="A117" s="19"/>
      <c r="B117" s="20"/>
      <c r="AG117" s="20"/>
    </row>
    <row r="118" spans="1:33">
      <c r="A118" s="19"/>
      <c r="B118" s="20"/>
      <c r="AG118" s="20"/>
    </row>
    <row r="119" spans="1:33">
      <c r="A119" s="19"/>
      <c r="B119" s="20"/>
      <c r="AG119" s="20"/>
    </row>
    <row r="120" spans="1:33">
      <c r="A120" s="19"/>
      <c r="B120" s="20"/>
      <c r="AG120" s="20"/>
    </row>
    <row r="121" spans="1:33">
      <c r="A121" s="19"/>
      <c r="B121" s="20"/>
      <c r="AG121" s="20"/>
    </row>
    <row r="122" spans="1:33">
      <c r="A122" s="19"/>
      <c r="B122" s="20"/>
      <c r="AG122" s="20"/>
    </row>
    <row r="123" spans="1:33">
      <c r="A123" s="19"/>
      <c r="B123" s="20"/>
      <c r="AG123" s="20"/>
    </row>
    <row r="124" spans="1:33">
      <c r="A124" s="19"/>
      <c r="B124" s="20"/>
      <c r="AG124" s="20"/>
    </row>
    <row r="125" spans="1:33">
      <c r="A125" s="19"/>
      <c r="B125" s="20"/>
      <c r="AG125" s="20"/>
    </row>
    <row r="126" spans="1:33">
      <c r="A126" s="19"/>
      <c r="B126" s="20"/>
      <c r="AG126" s="20"/>
    </row>
    <row r="127" spans="1:33">
      <c r="A127" s="19"/>
      <c r="B127" s="20"/>
      <c r="AG127" s="20"/>
    </row>
    <row r="128" spans="1:33">
      <c r="A128" s="19"/>
      <c r="B128" s="20"/>
      <c r="AG128" s="20"/>
    </row>
    <row r="129" spans="1:33">
      <c r="A129" s="19"/>
      <c r="B129" s="20"/>
      <c r="AG129" s="20"/>
    </row>
    <row r="130" spans="1:33">
      <c r="A130" s="19"/>
      <c r="B130" s="20"/>
      <c r="AG130" s="20"/>
    </row>
    <row r="131" spans="1:33">
      <c r="A131" s="19"/>
      <c r="B131" s="20"/>
      <c r="AG131" s="20"/>
    </row>
    <row r="132" spans="1:33">
      <c r="A132" s="19"/>
      <c r="B132" s="20"/>
      <c r="AG132" s="20"/>
    </row>
    <row r="133" spans="1:33">
      <c r="A133" s="19"/>
      <c r="B133" s="20"/>
      <c r="AG133" s="20"/>
    </row>
    <row r="134" spans="1:33">
      <c r="A134" s="19"/>
      <c r="B134" s="20"/>
      <c r="AG134" s="20"/>
    </row>
    <row r="135" spans="1:33">
      <c r="A135" s="19"/>
      <c r="B135" s="20"/>
      <c r="AG135" s="20"/>
    </row>
    <row r="136" spans="1:33">
      <c r="A136" s="19"/>
      <c r="B136" s="20"/>
      <c r="AG136" s="20"/>
    </row>
    <row r="137" spans="1:33">
      <c r="A137" s="19"/>
      <c r="B137" s="20"/>
      <c r="AG137" s="20"/>
    </row>
    <row r="138" spans="1:33">
      <c r="A138" s="19"/>
      <c r="B138" s="20"/>
      <c r="AG138" s="20"/>
    </row>
    <row r="139" spans="1:33">
      <c r="A139" s="19"/>
      <c r="B139" s="20"/>
      <c r="AG139" s="20"/>
    </row>
    <row r="140" spans="1:33">
      <c r="A140" s="19"/>
      <c r="B140" s="20"/>
      <c r="AG140" s="20"/>
    </row>
    <row r="141" spans="1:33">
      <c r="A141" s="19"/>
      <c r="B141" s="20"/>
      <c r="AG141" s="20"/>
    </row>
    <row r="142" spans="1:33">
      <c r="A142" s="19"/>
      <c r="B142" s="20"/>
      <c r="AG142" s="20"/>
    </row>
    <row r="143" spans="1:33">
      <c r="A143" s="19"/>
      <c r="B143" s="20"/>
      <c r="AG143" s="20"/>
    </row>
    <row r="144" spans="1:33">
      <c r="A144" s="19"/>
      <c r="B144" s="20"/>
      <c r="AG144" s="20"/>
    </row>
    <row r="145" spans="1:33">
      <c r="A145" s="19"/>
      <c r="B145" s="20"/>
      <c r="AG145" s="20"/>
    </row>
    <row r="146" spans="1:33">
      <c r="A146" s="19"/>
      <c r="B146" s="20"/>
      <c r="AG146" s="20"/>
    </row>
    <row r="147" spans="1:33">
      <c r="A147" s="19"/>
      <c r="B147" s="20"/>
      <c r="AG147" s="20"/>
    </row>
    <row r="148" spans="1:33">
      <c r="A148" s="19"/>
      <c r="B148" s="20"/>
      <c r="AG148" s="20"/>
    </row>
    <row r="149" spans="1:33">
      <c r="A149" s="19"/>
      <c r="B149" s="20"/>
      <c r="AG149" s="20"/>
    </row>
    <row r="150" spans="1:33">
      <c r="A150" s="19"/>
      <c r="B150" s="20"/>
      <c r="AG150" s="20"/>
    </row>
    <row r="151" spans="1:33">
      <c r="A151" s="19"/>
      <c r="B151" s="20"/>
      <c r="AG151" s="20"/>
    </row>
    <row r="152" spans="1:33">
      <c r="A152" s="19"/>
      <c r="B152" s="20"/>
      <c r="AG152" s="20"/>
    </row>
    <row r="153" spans="1:33">
      <c r="A153" s="19"/>
      <c r="B153" s="20"/>
      <c r="AG153" s="20"/>
    </row>
    <row r="154" spans="1:33">
      <c r="A154" s="19"/>
      <c r="B154" s="20"/>
      <c r="AG154" s="20"/>
    </row>
    <row r="155" spans="1:33">
      <c r="A155" s="19"/>
      <c r="B155" s="20"/>
      <c r="AG155" s="20"/>
    </row>
    <row r="156" spans="1:33">
      <c r="A156" s="19"/>
      <c r="B156" s="20"/>
      <c r="AG156" s="20"/>
    </row>
    <row r="157" spans="1:33">
      <c r="A157" s="19"/>
      <c r="B157" s="20"/>
      <c r="AG157" s="20"/>
    </row>
    <row r="158" spans="1:33">
      <c r="A158" s="19"/>
      <c r="B158" s="20"/>
      <c r="AG158" s="20"/>
    </row>
    <row r="159" spans="1:33">
      <c r="A159" s="19"/>
      <c r="B159" s="20"/>
      <c r="AG159" s="20"/>
    </row>
    <row r="160" spans="1:33">
      <c r="A160" s="19"/>
      <c r="B160" s="20"/>
      <c r="AG160" s="20"/>
    </row>
    <row r="161" spans="1:33">
      <c r="A161" s="19"/>
      <c r="B161" s="20"/>
      <c r="AG161" s="20"/>
    </row>
    <row r="162" spans="1:33">
      <c r="A162" s="19"/>
      <c r="B162" s="20"/>
      <c r="AG162" s="20"/>
    </row>
    <row r="163" spans="1:33">
      <c r="A163" s="19"/>
      <c r="B163" s="20"/>
      <c r="AG163" s="20"/>
    </row>
    <row r="164" spans="1:33">
      <c r="A164" s="19"/>
      <c r="B164" s="20"/>
      <c r="AG164" s="20"/>
    </row>
    <row r="165" spans="1:33">
      <c r="A165" s="19"/>
      <c r="B165" s="20"/>
      <c r="AG165" s="20"/>
    </row>
    <row r="166" spans="1:33">
      <c r="A166" s="19"/>
      <c r="B166" s="20"/>
      <c r="AG166" s="20"/>
    </row>
    <row r="167" spans="1:33">
      <c r="A167" s="19"/>
      <c r="B167" s="20"/>
      <c r="AG167" s="20"/>
    </row>
    <row r="168" spans="1:33">
      <c r="A168" s="19"/>
      <c r="B168" s="20"/>
      <c r="AG168" s="20"/>
    </row>
    <row r="169" spans="1:33">
      <c r="A169" s="19"/>
      <c r="B169" s="20"/>
      <c r="AG169" s="20"/>
    </row>
    <row r="170" spans="1:33">
      <c r="A170" s="19"/>
      <c r="B170" s="20"/>
      <c r="AG170" s="20"/>
    </row>
    <row r="171" spans="1:33">
      <c r="A171" s="19"/>
      <c r="B171" s="20"/>
      <c r="AG171" s="20"/>
    </row>
    <row r="172" spans="1:33">
      <c r="A172" s="19"/>
      <c r="B172" s="20"/>
      <c r="AG172" s="20"/>
    </row>
    <row r="173" spans="1:33">
      <c r="A173" s="19"/>
      <c r="B173" s="20"/>
      <c r="AG173" s="20"/>
    </row>
    <row r="174" spans="1:33">
      <c r="A174" s="19"/>
      <c r="B174" s="20"/>
      <c r="AG174" s="20"/>
    </row>
    <row r="175" spans="1:33">
      <c r="A175" s="19"/>
      <c r="B175" s="20"/>
      <c r="AG175" s="20"/>
    </row>
    <row r="176" spans="1:33">
      <c r="A176" s="19"/>
      <c r="B176" s="20"/>
      <c r="AG176" s="20"/>
    </row>
    <row r="177" spans="1:33">
      <c r="A177" s="19"/>
      <c r="B177" s="20"/>
      <c r="AG177" s="20"/>
    </row>
    <row r="178" spans="1:33">
      <c r="A178" s="19"/>
      <c r="B178" s="20"/>
      <c r="AG178" s="20"/>
    </row>
    <row r="179" spans="1:33">
      <c r="A179" s="19"/>
      <c r="B179" s="20"/>
      <c r="AG179" s="20"/>
    </row>
    <row r="180" spans="1:33">
      <c r="A180" s="19"/>
      <c r="B180" s="20"/>
      <c r="AG180" s="20"/>
    </row>
    <row r="181" spans="1:33">
      <c r="A181" s="19"/>
      <c r="B181" s="20"/>
      <c r="AG181" s="20"/>
    </row>
    <row r="182" spans="1:33">
      <c r="A182" s="19"/>
      <c r="B182" s="20"/>
      <c r="AG182" s="20"/>
    </row>
    <row r="183" spans="1:33">
      <c r="A183" s="19"/>
      <c r="B183" s="20"/>
      <c r="AG183" s="20"/>
    </row>
    <row r="184" spans="1:33">
      <c r="A184" s="19"/>
      <c r="B184" s="20"/>
      <c r="AG184" s="20"/>
    </row>
    <row r="185" spans="1:33">
      <c r="A185" s="19"/>
      <c r="B185" s="20"/>
      <c r="AG185" s="20"/>
    </row>
    <row r="186" spans="1:33">
      <c r="A186" s="19"/>
      <c r="B186" s="20"/>
      <c r="AG186" s="20"/>
    </row>
    <row r="187" spans="1:33">
      <c r="A187" s="19"/>
      <c r="B187" s="20"/>
      <c r="AG187" s="20"/>
    </row>
    <row r="188" spans="1:33">
      <c r="A188" s="19"/>
      <c r="B188" s="20"/>
      <c r="AG188" s="20"/>
    </row>
    <row r="189" spans="1:33">
      <c r="A189" s="19"/>
      <c r="B189" s="20"/>
      <c r="AG189" s="20"/>
    </row>
    <row r="190" spans="1:33">
      <c r="A190" s="19"/>
      <c r="B190" s="20"/>
      <c r="AG190" s="20"/>
    </row>
    <row r="191" spans="1:33">
      <c r="A191" s="19"/>
      <c r="B191" s="20"/>
      <c r="AG191" s="20"/>
    </row>
    <row r="192" spans="1:33">
      <c r="A192" s="19"/>
      <c r="B192" s="20"/>
      <c r="AG192" s="20"/>
    </row>
    <row r="193" spans="1:33">
      <c r="A193" s="19"/>
      <c r="B193" s="20"/>
      <c r="AG193" s="20"/>
    </row>
    <row r="194" spans="1:33">
      <c r="A194" s="19"/>
      <c r="B194" s="20"/>
      <c r="AG194" s="20"/>
    </row>
    <row r="195" spans="1:33">
      <c r="A195" s="19"/>
      <c r="B195" s="20"/>
      <c r="AG195" s="20"/>
    </row>
    <row r="196" spans="1:33">
      <c r="A196" s="19"/>
      <c r="B196" s="20"/>
      <c r="AG196" s="20"/>
    </row>
    <row r="197" spans="1:33">
      <c r="A197" s="19"/>
      <c r="B197" s="20"/>
      <c r="AG197" s="20"/>
    </row>
    <row r="198" spans="1:33">
      <c r="A198" s="19"/>
      <c r="B198" s="20"/>
      <c r="AG198" s="20"/>
    </row>
    <row r="199" spans="1:33">
      <c r="A199" s="19"/>
      <c r="B199" s="20"/>
      <c r="AG199" s="20"/>
    </row>
    <row r="200" spans="1:33">
      <c r="A200" s="19"/>
      <c r="B200" s="20"/>
      <c r="AG200" s="20"/>
    </row>
    <row r="201" spans="1:33">
      <c r="A201" s="19"/>
      <c r="B201" s="20"/>
      <c r="AG201" s="20"/>
    </row>
    <row r="202" spans="1:33">
      <c r="A202" s="19"/>
      <c r="B202" s="20"/>
      <c r="AG202" s="20"/>
    </row>
    <row r="203" spans="1:33">
      <c r="A203" s="19"/>
      <c r="B203" s="20"/>
      <c r="AG203" s="20"/>
    </row>
    <row r="204" spans="1:33">
      <c r="A204" s="19"/>
      <c r="B204" s="20"/>
      <c r="AG204" s="20"/>
    </row>
    <row r="205" spans="1:33">
      <c r="A205" s="19"/>
      <c r="B205" s="20"/>
      <c r="AG205" s="20"/>
    </row>
    <row r="206" spans="1:33">
      <c r="A206" s="19"/>
      <c r="B206" s="20"/>
      <c r="AG206" s="20"/>
    </row>
    <row r="207" spans="1:33">
      <c r="A207" s="19"/>
      <c r="B207" s="20"/>
      <c r="AG207" s="20"/>
    </row>
    <row r="208" spans="1:33">
      <c r="A208" s="19"/>
      <c r="B208" s="20"/>
      <c r="AG208" s="20"/>
    </row>
    <row r="209" spans="1:33">
      <c r="A209" s="19"/>
      <c r="B209" s="20"/>
      <c r="AG209" s="20"/>
    </row>
    <row r="210" spans="1:33">
      <c r="A210" s="19"/>
      <c r="B210" s="20"/>
      <c r="AG210" s="20"/>
    </row>
    <row r="211" spans="1:33">
      <c r="A211" s="19"/>
      <c r="B211" s="20"/>
      <c r="AG211" s="20"/>
    </row>
    <row r="212" spans="1:33">
      <c r="A212" s="19"/>
      <c r="B212" s="20"/>
      <c r="AG212" s="20"/>
    </row>
    <row r="213" spans="1:33">
      <c r="A213" s="19"/>
      <c r="B213" s="20"/>
      <c r="AG213" s="20"/>
    </row>
    <row r="214" spans="1:33">
      <c r="A214" s="19"/>
      <c r="B214" s="20"/>
      <c r="AG214" s="20"/>
    </row>
    <row r="215" spans="1:33">
      <c r="A215" s="19"/>
      <c r="B215" s="20"/>
      <c r="AG215" s="20"/>
    </row>
    <row r="216" spans="1:33">
      <c r="A216" s="19"/>
      <c r="B216" s="20"/>
      <c r="AG216" s="20"/>
    </row>
    <row r="217" spans="1:33">
      <c r="A217" s="19"/>
      <c r="B217" s="20"/>
      <c r="AG217" s="20"/>
    </row>
    <row r="218" spans="1:33">
      <c r="A218" s="19"/>
      <c r="B218" s="20"/>
      <c r="AG218" s="20"/>
    </row>
    <row r="219" spans="1:33">
      <c r="A219" s="19"/>
      <c r="B219" s="20"/>
      <c r="AG219" s="20"/>
    </row>
    <row r="220" spans="1:33">
      <c r="A220" s="19"/>
      <c r="B220" s="20"/>
      <c r="AG220" s="20"/>
    </row>
    <row r="221" spans="1:33">
      <c r="A221" s="19"/>
      <c r="B221" s="20"/>
      <c r="AG221" s="20"/>
    </row>
    <row r="222" spans="1:33">
      <c r="A222" s="19"/>
      <c r="B222" s="20"/>
      <c r="AG222" s="20"/>
    </row>
    <row r="223" spans="1:33">
      <c r="A223" s="19"/>
      <c r="B223" s="20"/>
      <c r="AG223" s="20"/>
    </row>
    <row r="224" spans="1:33">
      <c r="A224" s="19"/>
      <c r="B224" s="20"/>
      <c r="AG224" s="20"/>
    </row>
    <row r="225" spans="1:33">
      <c r="A225" s="19"/>
      <c r="B225" s="20"/>
      <c r="AG225" s="20"/>
    </row>
    <row r="226" spans="1:33">
      <c r="A226" s="19"/>
      <c r="B226" s="20"/>
      <c r="AG226" s="20"/>
    </row>
    <row r="227" spans="1:33">
      <c r="A227" s="19"/>
      <c r="B227" s="20"/>
      <c r="AG227" s="20"/>
    </row>
    <row r="228" spans="1:33">
      <c r="A228" s="19"/>
      <c r="B228" s="20"/>
      <c r="AG228" s="20"/>
    </row>
    <row r="229" spans="1:33">
      <c r="A229" s="19"/>
      <c r="B229" s="20"/>
      <c r="AG229" s="20"/>
    </row>
    <row r="230" spans="1:33">
      <c r="A230" s="19"/>
      <c r="B230" s="20"/>
      <c r="AG230" s="20"/>
    </row>
    <row r="231" spans="1:33">
      <c r="A231" s="19"/>
      <c r="B231" s="20"/>
      <c r="AG231" s="20"/>
    </row>
    <row r="232" spans="1:33">
      <c r="A232" s="19"/>
      <c r="B232" s="20"/>
      <c r="AG232" s="20"/>
    </row>
    <row r="233" spans="1:33">
      <c r="A233" s="19"/>
      <c r="B233" s="20"/>
      <c r="AG233" s="20"/>
    </row>
    <row r="234" spans="1:33">
      <c r="A234" s="19"/>
      <c r="B234" s="20"/>
      <c r="AG234" s="20"/>
    </row>
    <row r="235" spans="1:33">
      <c r="A235" s="19"/>
      <c r="B235" s="20"/>
      <c r="AG235" s="20"/>
    </row>
    <row r="236" spans="1:33">
      <c r="A236" s="19"/>
      <c r="B236" s="20"/>
      <c r="AG236" s="20"/>
    </row>
    <row r="237" spans="1:33">
      <c r="A237" s="19"/>
      <c r="B237" s="20"/>
      <c r="AG237" s="20"/>
    </row>
    <row r="238" spans="1:33">
      <c r="A238" s="19"/>
      <c r="B238" s="20"/>
      <c r="AG238" s="20"/>
    </row>
    <row r="239" spans="1:33">
      <c r="A239" s="19"/>
      <c r="B239" s="20"/>
      <c r="AG239" s="20"/>
    </row>
    <row r="240" spans="1:33">
      <c r="A240" s="19"/>
      <c r="B240" s="20"/>
      <c r="AG240" s="20"/>
    </row>
    <row r="241" spans="1:33">
      <c r="A241" s="19"/>
      <c r="B241" s="20"/>
      <c r="AG241" s="20"/>
    </row>
    <row r="242" spans="1:33">
      <c r="A242" s="19"/>
      <c r="B242" s="20"/>
      <c r="AG242" s="20"/>
    </row>
    <row r="243" spans="1:33">
      <c r="A243" s="19"/>
      <c r="B243" s="20"/>
      <c r="AG243" s="20"/>
    </row>
    <row r="244" spans="1:33">
      <c r="A244" s="19"/>
      <c r="B244" s="20"/>
      <c r="AG244" s="20"/>
    </row>
    <row r="245" spans="1:33">
      <c r="A245" s="19"/>
      <c r="B245" s="20"/>
      <c r="AG245" s="20"/>
    </row>
    <row r="246" spans="1:33">
      <c r="A246" s="19"/>
      <c r="B246" s="20"/>
      <c r="AG246" s="20"/>
    </row>
    <row r="247" spans="1:33">
      <c r="A247" s="19"/>
      <c r="B247" s="20"/>
      <c r="AG247" s="20"/>
    </row>
    <row r="248" spans="1:33">
      <c r="A248" s="19"/>
      <c r="B248" s="20"/>
      <c r="AG248" s="20"/>
    </row>
    <row r="249" spans="1:33">
      <c r="A249" s="19"/>
      <c r="B249" s="20"/>
      <c r="AG249" s="20"/>
    </row>
    <row r="250" spans="1:33">
      <c r="A250" s="19"/>
      <c r="B250" s="20"/>
      <c r="AG250" s="20"/>
    </row>
    <row r="251" spans="1:33">
      <c r="A251" s="19"/>
      <c r="B251" s="20"/>
      <c r="AG251" s="20"/>
    </row>
    <row r="252" spans="1:33">
      <c r="A252" s="19"/>
      <c r="B252" s="20"/>
      <c r="AG252" s="20"/>
    </row>
    <row r="253" spans="1:33">
      <c r="A253" s="19"/>
      <c r="B253" s="20"/>
      <c r="AG253" s="20"/>
    </row>
    <row r="254" spans="1:33">
      <c r="A254" s="19"/>
      <c r="B254" s="20"/>
      <c r="AG254" s="20"/>
    </row>
    <row r="255" spans="1:33">
      <c r="A255" s="19"/>
      <c r="B255" s="20"/>
      <c r="AG255" s="20"/>
    </row>
    <row r="256" spans="1:33">
      <c r="A256" s="19"/>
      <c r="B256" s="20"/>
      <c r="AG256" s="20"/>
    </row>
    <row r="257" spans="1:33">
      <c r="A257" s="19"/>
      <c r="B257" s="20"/>
      <c r="AG257" s="20"/>
    </row>
    <row r="258" spans="1:33">
      <c r="A258" s="19"/>
      <c r="B258" s="20"/>
      <c r="AG258" s="20"/>
    </row>
    <row r="259" spans="1:33">
      <c r="A259" s="19"/>
      <c r="B259" s="20"/>
      <c r="AG259" s="20"/>
    </row>
    <row r="260" spans="1:33">
      <c r="A260" s="19"/>
      <c r="B260" s="20"/>
      <c r="AG260" s="20"/>
    </row>
    <row r="261" spans="1:33">
      <c r="A261" s="19"/>
      <c r="B261" s="20"/>
      <c r="AG261" s="20"/>
    </row>
    <row r="262" spans="1:33">
      <c r="A262" s="19"/>
      <c r="B262" s="20"/>
      <c r="AG262" s="20"/>
    </row>
    <row r="263" spans="1:33">
      <c r="A263" s="19"/>
      <c r="B263" s="20"/>
      <c r="AG263" s="20"/>
    </row>
    <row r="264" spans="1:33">
      <c r="A264" s="19"/>
      <c r="B264" s="20"/>
      <c r="AG264" s="20"/>
    </row>
    <row r="265" spans="1:33">
      <c r="A265" s="19"/>
      <c r="B265" s="20"/>
      <c r="AG265" s="20"/>
    </row>
    <row r="266" spans="1:33">
      <c r="A266" s="19"/>
      <c r="B266" s="20"/>
      <c r="AG266" s="20"/>
    </row>
    <row r="267" spans="1:33">
      <c r="A267" s="19"/>
      <c r="B267" s="20"/>
      <c r="AG267" s="20"/>
    </row>
    <row r="268" spans="1:33">
      <c r="A268" s="19"/>
      <c r="B268" s="20"/>
      <c r="AG268" s="20"/>
    </row>
    <row r="269" spans="1:33">
      <c r="A269" s="19"/>
      <c r="B269" s="20"/>
      <c r="AG269" s="20"/>
    </row>
    <row r="270" spans="1:33">
      <c r="A270" s="19"/>
      <c r="B270" s="20"/>
      <c r="AG270" s="20"/>
    </row>
    <row r="271" spans="1:33">
      <c r="A271" s="19"/>
      <c r="B271" s="20"/>
      <c r="AG271" s="20"/>
    </row>
    <row r="272" spans="1:33">
      <c r="A272" s="19"/>
      <c r="B272" s="20"/>
      <c r="AG272" s="20"/>
    </row>
    <row r="273" spans="1:33">
      <c r="A273" s="19"/>
      <c r="B273" s="20"/>
      <c r="AG273" s="20"/>
    </row>
    <row r="274" spans="1:33">
      <c r="A274" s="19"/>
      <c r="B274" s="20"/>
      <c r="AG274" s="20"/>
    </row>
    <row r="275" spans="1:33">
      <c r="A275" s="19"/>
      <c r="B275" s="20"/>
      <c r="AG275" s="20"/>
    </row>
    <row r="276" spans="1:33">
      <c r="A276" s="19"/>
      <c r="B276" s="20"/>
      <c r="AG276" s="20"/>
    </row>
    <row r="277" spans="1:33">
      <c r="A277" s="19"/>
      <c r="B277" s="20"/>
      <c r="AG277" s="20"/>
    </row>
    <row r="278" spans="1:33">
      <c r="A278" s="19"/>
      <c r="B278" s="20"/>
      <c r="AG278" s="20"/>
    </row>
    <row r="279" spans="1:33">
      <c r="A279" s="19"/>
      <c r="B279" s="20"/>
      <c r="AG279" s="20"/>
    </row>
    <row r="280" spans="1:33">
      <c r="A280" s="19"/>
      <c r="B280" s="20"/>
      <c r="AG280" s="20"/>
    </row>
    <row r="281" spans="1:33">
      <c r="A281" s="19"/>
      <c r="B281" s="20"/>
      <c r="AG281" s="20"/>
    </row>
    <row r="282" spans="1:33">
      <c r="A282" s="19"/>
      <c r="B282" s="20"/>
      <c r="AG282" s="20"/>
    </row>
    <row r="283" spans="1:33">
      <c r="A283" s="19"/>
      <c r="B283" s="20"/>
      <c r="AG283" s="20"/>
    </row>
    <row r="284" spans="1:33">
      <c r="A284" s="19"/>
      <c r="B284" s="20"/>
      <c r="AG284" s="20"/>
    </row>
    <row r="285" spans="1:33">
      <c r="A285" s="19"/>
      <c r="B285" s="20"/>
      <c r="AG285" s="20"/>
    </row>
    <row r="286" spans="1:33">
      <c r="A286" s="19"/>
      <c r="B286" s="20"/>
      <c r="AG286" s="20"/>
    </row>
    <row r="287" spans="1:33">
      <c r="A287" s="19"/>
      <c r="B287" s="20"/>
      <c r="AG287" s="20"/>
    </row>
    <row r="288" spans="1:33">
      <c r="A288" s="19"/>
      <c r="B288" s="20"/>
      <c r="AG288" s="20"/>
    </row>
    <row r="289" spans="1:33">
      <c r="A289" s="19"/>
      <c r="B289" s="20"/>
      <c r="AG289" s="20"/>
    </row>
    <row r="290" spans="1:33">
      <c r="A290" s="19"/>
      <c r="B290" s="20"/>
      <c r="AG290" s="20"/>
    </row>
    <row r="291" spans="1:33">
      <c r="A291" s="19"/>
      <c r="B291" s="20"/>
      <c r="AG291" s="20"/>
    </row>
    <row r="292" spans="1:33">
      <c r="A292" s="19"/>
      <c r="B292" s="20"/>
      <c r="AG292" s="20"/>
    </row>
    <row r="293" spans="1:33">
      <c r="A293" s="19"/>
      <c r="B293" s="20"/>
      <c r="AG293" s="20"/>
    </row>
    <row r="294" spans="1:33">
      <c r="A294" s="19"/>
      <c r="B294" s="20"/>
      <c r="AG294" s="20"/>
    </row>
    <row r="295" spans="1:33">
      <c r="A295" s="19"/>
      <c r="B295" s="20"/>
      <c r="AG295" s="20"/>
    </row>
    <row r="296" spans="1:33">
      <c r="A296" s="19"/>
      <c r="B296" s="20"/>
      <c r="AG296" s="20"/>
    </row>
    <row r="297" spans="1:33">
      <c r="A297" s="19"/>
      <c r="B297" s="20"/>
      <c r="AG297" s="20"/>
    </row>
    <row r="298" spans="1:33">
      <c r="A298" s="19"/>
      <c r="B298" s="20"/>
      <c r="AG298" s="20"/>
    </row>
    <row r="299" spans="1:33">
      <c r="A299" s="19"/>
      <c r="B299" s="20"/>
      <c r="AG299" s="20"/>
    </row>
    <row r="300" spans="1:33">
      <c r="A300" s="19"/>
      <c r="B300" s="20"/>
      <c r="AG300" s="20"/>
    </row>
    <row r="301" spans="1:33">
      <c r="A301" s="19"/>
      <c r="B301" s="20"/>
      <c r="AG301" s="20"/>
    </row>
    <row r="302" spans="1:33">
      <c r="A302" s="19"/>
      <c r="B302" s="20"/>
      <c r="AG302" s="20"/>
    </row>
    <row r="303" spans="1:33">
      <c r="A303" s="19"/>
      <c r="B303" s="20"/>
      <c r="AG303" s="20"/>
    </row>
    <row r="304" spans="1:33">
      <c r="A304" s="19"/>
      <c r="B304" s="20"/>
      <c r="AG304" s="20"/>
    </row>
    <row r="305" spans="1:33">
      <c r="A305" s="19"/>
      <c r="B305" s="20"/>
      <c r="AG305" s="20"/>
    </row>
    <row r="306" spans="1:33">
      <c r="A306" s="19"/>
      <c r="B306" s="20"/>
      <c r="AG306" s="20"/>
    </row>
    <row r="307" spans="1:33">
      <c r="A307" s="19"/>
      <c r="B307" s="20"/>
      <c r="AG307" s="20"/>
    </row>
    <row r="308" spans="1:33">
      <c r="A308" s="19"/>
      <c r="B308" s="20"/>
      <c r="AG308" s="20"/>
    </row>
    <row r="309" spans="1:33">
      <c r="A309" s="19"/>
      <c r="B309" s="20"/>
      <c r="AG309" s="20"/>
    </row>
    <row r="310" spans="1:33">
      <c r="A310" s="19"/>
      <c r="B310" s="20"/>
      <c r="AG310" s="20"/>
    </row>
    <row r="311" spans="1:33">
      <c r="A311" s="19"/>
      <c r="B311" s="20"/>
      <c r="AG311" s="20"/>
    </row>
    <row r="312" spans="1:33">
      <c r="A312" s="19"/>
      <c r="B312" s="20"/>
      <c r="AG312" s="20"/>
    </row>
    <row r="313" spans="1:33">
      <c r="A313" s="19"/>
      <c r="B313" s="20"/>
      <c r="AG313" s="20"/>
    </row>
    <row r="314" spans="1:33">
      <c r="A314" s="19"/>
      <c r="B314" s="20"/>
      <c r="AG314" s="20"/>
    </row>
    <row r="315" spans="1:33">
      <c r="A315" s="19"/>
      <c r="B315" s="20"/>
      <c r="AG315" s="20"/>
    </row>
    <row r="316" spans="1:33">
      <c r="A316" s="19"/>
      <c r="B316" s="20"/>
      <c r="AG316" s="20"/>
    </row>
    <row r="317" spans="1:33">
      <c r="A317" s="19"/>
      <c r="B317" s="20"/>
      <c r="AG317" s="20"/>
    </row>
    <row r="318" spans="1:33">
      <c r="A318" s="19"/>
      <c r="B318" s="20"/>
      <c r="AG318" s="20"/>
    </row>
    <row r="319" spans="1:33">
      <c r="A319" s="19"/>
      <c r="B319" s="20"/>
      <c r="AG319" s="20"/>
    </row>
    <row r="320" spans="1:33">
      <c r="A320" s="19"/>
      <c r="B320" s="20"/>
      <c r="AG320" s="20"/>
    </row>
    <row r="321" spans="1:35">
      <c r="A321" s="19"/>
      <c r="B321" s="20"/>
      <c r="AG321" s="20"/>
      <c r="AH321" s="20"/>
      <c r="AI321" s="20"/>
    </row>
    <row r="322" spans="1:35">
      <c r="A322" s="19"/>
      <c r="B322" s="20"/>
      <c r="AG322" s="20"/>
      <c r="AH322" s="20"/>
      <c r="AI322" s="20"/>
    </row>
    <row r="323" spans="1:35">
      <c r="A323" s="19"/>
      <c r="B323" s="20"/>
      <c r="AG323" s="20"/>
      <c r="AH323" s="20"/>
      <c r="AI323" s="20"/>
    </row>
    <row r="324" spans="1:35">
      <c r="A324" s="19"/>
      <c r="B324" s="20"/>
      <c r="AG324" s="20"/>
      <c r="AH324" s="20"/>
      <c r="AI324" s="20"/>
    </row>
    <row r="325" spans="1:35">
      <c r="A325" s="19"/>
      <c r="B325" s="20"/>
      <c r="AG325" s="20"/>
      <c r="AH325" s="20"/>
      <c r="AI325" s="20"/>
    </row>
    <row r="326" spans="1:35">
      <c r="A326" s="19"/>
      <c r="B326" s="20"/>
      <c r="AG326" s="20"/>
      <c r="AH326" s="20"/>
      <c r="AI326" s="20"/>
    </row>
    <row r="327" spans="1:35">
      <c r="A327" s="19"/>
      <c r="B327" s="20"/>
      <c r="AG327" s="20"/>
      <c r="AH327" s="20"/>
      <c r="AI327" s="20"/>
    </row>
    <row r="328" spans="1:35">
      <c r="A328" s="19"/>
      <c r="B328" s="20"/>
      <c r="AG328" s="20"/>
      <c r="AH328" s="20"/>
      <c r="AI328" s="20"/>
    </row>
    <row r="329" spans="1:35">
      <c r="A329" s="19"/>
      <c r="B329" s="20"/>
      <c r="AG329" s="20"/>
      <c r="AH329" s="20"/>
      <c r="AI329" s="20"/>
    </row>
    <row r="330" spans="1:35">
      <c r="A330" s="19"/>
      <c r="B330" s="20"/>
      <c r="AG330" s="20"/>
      <c r="AH330" s="20"/>
      <c r="AI330" s="20"/>
    </row>
    <row r="331" spans="1:35">
      <c r="A331" s="19"/>
      <c r="B331" s="20"/>
      <c r="AG331" s="20"/>
      <c r="AH331" s="20"/>
      <c r="AI331" s="20"/>
    </row>
    <row r="332" spans="1:35">
      <c r="A332" s="19"/>
      <c r="B332" s="20"/>
      <c r="AG332" s="20"/>
      <c r="AH332" s="20"/>
      <c r="AI332" s="20"/>
    </row>
    <row r="333" spans="1:35">
      <c r="A333" s="19"/>
      <c r="B333" s="20"/>
      <c r="AG333" s="20"/>
      <c r="AH333" s="20"/>
      <c r="AI333" s="20"/>
    </row>
    <row r="334" spans="1:35">
      <c r="A334" s="19"/>
      <c r="B334" s="20"/>
      <c r="AG334" s="20"/>
      <c r="AH334" s="20"/>
      <c r="AI334" s="20"/>
    </row>
    <row r="335" spans="1:35">
      <c r="A335" s="19"/>
      <c r="B335" s="20"/>
      <c r="AG335" s="20"/>
      <c r="AH335" s="20"/>
      <c r="AI335" s="20"/>
    </row>
    <row r="336" spans="1:35">
      <c r="A336" s="19"/>
      <c r="B336" s="20"/>
      <c r="AG336" s="20"/>
      <c r="AH336" s="20"/>
      <c r="AI336" s="20"/>
    </row>
    <row r="337" spans="1:35">
      <c r="A337" s="19"/>
      <c r="B337" s="20"/>
      <c r="AG337" s="20"/>
      <c r="AH337" s="20"/>
      <c r="AI337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60CD-55A1-45D6-AEAE-27B421A8290F}">
  <dimension ref="A1:AG337"/>
  <sheetViews>
    <sheetView zoomScale="85" zoomScaleNormal="85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5"/>
  <cols>
    <col min="1" max="1" width="9.140625" style="10"/>
    <col min="2" max="2" width="9.28515625" style="10" customWidth="1"/>
    <col min="3" max="5" width="9.28515625" customWidth="1"/>
    <col min="6" max="30" width="9.28515625" style="10" customWidth="1"/>
    <col min="31" max="16384" width="9.140625" style="10"/>
  </cols>
  <sheetData>
    <row r="1" spans="1:33" ht="12.75">
      <c r="A1" s="10" t="s">
        <v>42</v>
      </c>
      <c r="B1" s="20">
        <f>'[2]Soy Complex'!AI498</f>
        <v>5.69</v>
      </c>
      <c r="C1" s="20" t="str">
        <f>'[2]Soy Complex'!AJ498</f>
        <v xml:space="preserve">94/95 </v>
      </c>
      <c r="D1" s="20" t="str">
        <f>'[2]Soy Complex'!AK498</f>
        <v xml:space="preserve">95/96 </v>
      </c>
      <c r="E1" s="20" t="str">
        <f>'[2]Soy Complex'!AL498</f>
        <v xml:space="preserve">96/97 </v>
      </c>
      <c r="F1" s="20" t="str">
        <f>'[2]Soy Complex'!AM498</f>
        <v xml:space="preserve">97/98 </v>
      </c>
      <c r="G1" s="20" t="str">
        <f>'[2]Soy Complex'!AN498</f>
        <v xml:space="preserve">98/99 </v>
      </c>
      <c r="H1" s="20" t="str">
        <f>'[2]Soy Complex'!AO498</f>
        <v xml:space="preserve">99/00 </v>
      </c>
      <c r="I1" s="20" t="str">
        <f>'[2]Soy Complex'!AP498</f>
        <v xml:space="preserve">00/01 </v>
      </c>
      <c r="J1" s="20" t="str">
        <f>'[2]Soy Complex'!AQ498</f>
        <v xml:space="preserve">01/02 </v>
      </c>
      <c r="K1" s="20" t="str">
        <f>'[2]Soy Complex'!AR498</f>
        <v xml:space="preserve">02/03 </v>
      </c>
      <c r="L1" s="20" t="str">
        <f>'[2]Soy Complex'!AS498</f>
        <v xml:space="preserve">03/04 </v>
      </c>
      <c r="M1" s="20" t="str">
        <f>'[2]Soy Complex'!AT498</f>
        <v xml:space="preserve">04/05 </v>
      </c>
      <c r="N1" s="20" t="str">
        <f>'[2]Soy Complex'!AU498</f>
        <v xml:space="preserve">05/06 </v>
      </c>
      <c r="O1" s="20" t="str">
        <f>'[2]Soy Complex'!AV498</f>
        <v xml:space="preserve">06/07 </v>
      </c>
      <c r="P1" s="20" t="str">
        <f>'[2]Soy Complex'!AW498</f>
        <v xml:space="preserve">07/08 </v>
      </c>
      <c r="Q1" s="20" t="str">
        <f>'[2]Soy Complex'!AX498</f>
        <v xml:space="preserve">08/09 </v>
      </c>
      <c r="R1" s="20" t="str">
        <f>'[2]Soy Complex'!AY498</f>
        <v xml:space="preserve">09/10 </v>
      </c>
      <c r="S1" s="20" t="str">
        <f>'[2]Soy Complex'!AZ498</f>
        <v xml:space="preserve">10/11 </v>
      </c>
      <c r="T1" s="20" t="str">
        <f>'[2]Soy Complex'!BA498</f>
        <v xml:space="preserve">11/12 </v>
      </c>
      <c r="U1" s="20" t="str">
        <f>'[2]Soy Complex'!BB498</f>
        <v xml:space="preserve">12/13 </v>
      </c>
      <c r="V1" s="20" t="str">
        <f>'[2]Soy Complex'!BC498</f>
        <v xml:space="preserve">13/14 </v>
      </c>
      <c r="W1" s="20" t="str">
        <f>'[2]Soy Complex'!BD498</f>
        <v xml:space="preserve">14/15 </v>
      </c>
      <c r="X1" s="20" t="str">
        <f>'[2]Soy Complex'!BE498</f>
        <v xml:space="preserve">15/16 </v>
      </c>
      <c r="Y1" s="20" t="str">
        <f>'[2]Soy Complex'!BF498</f>
        <v xml:space="preserve">16/17 </v>
      </c>
      <c r="Z1" s="20" t="str">
        <f>'[2]Soy Complex'!BG498</f>
        <v xml:space="preserve">17/18 </v>
      </c>
      <c r="AA1" s="20" t="str">
        <f>'[2]Soy Complex'!BH498</f>
        <v xml:space="preserve">18/19 </v>
      </c>
      <c r="AB1" s="20" t="str">
        <f>'[2]Soy Complex'!BI498</f>
        <v>19/20</v>
      </c>
      <c r="AC1" s="20" t="str">
        <f>'[2]Soy Complex'!BJ498</f>
        <v>20/21</v>
      </c>
      <c r="AD1" s="20" t="str">
        <f>'[2]Soy Complex'!BK498</f>
        <v xml:space="preserve">21/22 </v>
      </c>
      <c r="AE1" s="20" t="str">
        <f>'[2]Soy Complex'!BL498</f>
        <v xml:space="preserve">22/23 </v>
      </c>
      <c r="AF1" s="20" t="str">
        <f>'[2]Soy Complex'!BM498</f>
        <v xml:space="preserve">23/24 </v>
      </c>
      <c r="AG1" s="20" t="str">
        <f>'[2]Soy Complex'!BN498</f>
        <v xml:space="preserve">24/25 </v>
      </c>
    </row>
    <row r="2" spans="1:33" ht="12.75">
      <c r="A2" s="19" t="s">
        <v>28</v>
      </c>
      <c r="B2" s="20">
        <f>'[2]Soy Complex'!AI499</f>
        <v>5.74</v>
      </c>
      <c r="C2" s="20">
        <f>'[2]Soy Complex'!AJ499</f>
        <v>117.69798022465186</v>
      </c>
      <c r="D2" s="20">
        <f>'[2]Soy Complex'!AK499</f>
        <v>28.588965955561321</v>
      </c>
      <c r="E2" s="20">
        <f>'[2]Soy Complex'!AL499</f>
        <v>43.203685627794592</v>
      </c>
      <c r="F2" s="20">
        <f>'[2]Soy Complex'!AM499</f>
        <v>29.731936222469187</v>
      </c>
      <c r="G2" s="20">
        <f>'[2]Soy Complex'!AN499</f>
        <v>27.924312946444797</v>
      </c>
      <c r="H2" s="20">
        <f>'[2]Soy Complex'!AO499</f>
        <v>31.382716899583283</v>
      </c>
      <c r="I2" s="20">
        <f>'[2]Soy Complex'!AP499</f>
        <v>39.628190033251137</v>
      </c>
      <c r="J2" s="20">
        <f>'[2]Soy Complex'!AQ499</f>
        <v>43.790662995832243</v>
      </c>
      <c r="K2" s="20">
        <f>'[2]Soy Complex'!AR499</f>
        <v>39.846527564558848</v>
      </c>
      <c r="L2" s="20">
        <f>'[2]Soy Complex'!AS499</f>
        <v>25.579058608995073</v>
      </c>
      <c r="M2" s="20">
        <f>'[2]Soy Complex'!AT499</f>
        <v>25.109827260528846</v>
      </c>
      <c r="N2" s="20">
        <f>'[2]Soy Complex'!AU499</f>
        <v>35.444644989447809</v>
      </c>
      <c r="O2" s="20">
        <f>'[2]Soy Complex'!AV499</f>
        <v>53.678485249150754</v>
      </c>
      <c r="P2" s="20">
        <f>'[2]Soy Complex'!AW499</f>
        <v>57.688442150828308</v>
      </c>
      <c r="Q2" s="20">
        <f>'[2]Soy Complex'!AX499</f>
        <v>40.744527959794638</v>
      </c>
      <c r="R2" s="20">
        <f>'[2]Soy Complex'!AY499</f>
        <v>46.24339810199502</v>
      </c>
      <c r="S2" s="20">
        <f>'[2]Soy Complex'!AZ499</f>
        <v>53.064535118766806</v>
      </c>
      <c r="T2" s="20">
        <f>'[2]Soy Complex'!BA499</f>
        <v>39.984461687026617</v>
      </c>
      <c r="U2" s="20">
        <f>'[2]Soy Complex'!BB499</f>
        <v>48.964793012620966</v>
      </c>
      <c r="V2" s="20">
        <f>'[2]Soy Complex'!BC499</f>
        <v>27.727185170222551</v>
      </c>
      <c r="W2" s="20">
        <f>'[2]Soy Complex'!BD499</f>
        <v>20.045222241303954</v>
      </c>
      <c r="X2" s="20">
        <f>'[2]Soy Complex'!BE499</f>
        <v>31.316797955266001</v>
      </c>
      <c r="Y2" s="20">
        <f>'[2]Soy Complex'!BF499</f>
        <v>28.768678094275472</v>
      </c>
      <c r="Z2" s="20">
        <f>'[2]Soy Complex'!BG499</f>
        <v>23.625378130774202</v>
      </c>
      <c r="AA2" s="20">
        <f>'[2]Soy Complex'!BH499</f>
        <v>29.978690417988499</v>
      </c>
      <c r="AB2" s="20">
        <f>'[2]Soy Complex'!BI499</f>
        <v>26.442909073749451</v>
      </c>
      <c r="AC2" s="20">
        <f>'[2]Soy Complex'!BJ499</f>
        <v>27.887987400178247</v>
      </c>
      <c r="AD2" s="20">
        <f>'[2]Soy Complex'!BK499</f>
        <v>34.756941967484877</v>
      </c>
      <c r="AE2" s="20">
        <f>'[2]Soy Complex'!BL499</f>
        <v>28.649972430637323</v>
      </c>
      <c r="AF2" s="20">
        <f>'[2]Soy Complex'!BM499</f>
        <v>18.558599021006067</v>
      </c>
      <c r="AG2" s="20">
        <f>'[2]Soy Complex'!BN499</f>
        <v>19.316578638755633</v>
      </c>
    </row>
    <row r="3" spans="1:33" ht="12.75">
      <c r="A3" s="19" t="s">
        <v>29</v>
      </c>
      <c r="B3" s="20">
        <f>'[2]Soy Complex'!AI500</f>
        <v>5.76</v>
      </c>
      <c r="C3" s="20">
        <f>'[2]Soy Complex'!AJ500</f>
        <v>22.480050999093059</v>
      </c>
      <c r="D3" s="20">
        <f>'[2]Soy Complex'!AK500</f>
        <v>23.811524944777894</v>
      </c>
      <c r="E3" s="20">
        <f>'[2]Soy Complex'!AL500</f>
        <v>37.336844423581134</v>
      </c>
      <c r="F3" s="20">
        <f>'[2]Soy Complex'!AM500</f>
        <v>28.86937435875166</v>
      </c>
      <c r="G3" s="20">
        <f>'[2]Soy Complex'!AN500</f>
        <v>26.103282959714399</v>
      </c>
      <c r="H3" s="20">
        <f>'[2]Soy Complex'!AO500</f>
        <v>32.068321319644134</v>
      </c>
      <c r="I3" s="20">
        <f>'[2]Soy Complex'!AP500</f>
        <v>43.450559964357126</v>
      </c>
      <c r="J3" s="20">
        <f>'[2]Soy Complex'!AQ500</f>
        <v>51.805659520167147</v>
      </c>
      <c r="K3" s="20">
        <f>'[2]Soy Complex'!AR500</f>
        <v>43.914239184914244</v>
      </c>
      <c r="L3" s="20">
        <f>'[2]Soy Complex'!AS500</f>
        <v>29.708952987318806</v>
      </c>
      <c r="M3" s="20">
        <f>'[2]Soy Complex'!AT500</f>
        <v>20.213437600761537</v>
      </c>
      <c r="N3" s="20">
        <f>'[2]Soy Complex'!AU500</f>
        <v>31.031196494400685</v>
      </c>
      <c r="O3" s="20">
        <f>'[2]Soy Complex'!AV500</f>
        <v>59.697825052532302</v>
      </c>
      <c r="P3" s="20">
        <f>'[2]Soy Complex'!AW500</f>
        <v>53.976677319404054</v>
      </c>
      <c r="Q3" s="20">
        <f>'[2]Soy Complex'!AX500</f>
        <v>50.326174584427761</v>
      </c>
      <c r="R3" s="20">
        <f>'[2]Soy Complex'!AY500</f>
        <v>53.322261336366928</v>
      </c>
      <c r="S3" s="20">
        <f>'[2]Soy Complex'!AZ500</f>
        <v>58.279145546357725</v>
      </c>
      <c r="T3" s="20">
        <f>'[2]Soy Complex'!BA500</f>
        <v>39.917633206451143</v>
      </c>
      <c r="U3" s="20">
        <f>'[2]Soy Complex'!BB500</f>
        <v>52.041316331961561</v>
      </c>
      <c r="V3" s="20">
        <f>'[2]Soy Complex'!BC500</f>
        <v>30.223632420154441</v>
      </c>
      <c r="W3" s="20">
        <f>'[2]Soy Complex'!BD500</f>
        <v>20.238114553764419</v>
      </c>
      <c r="X3" s="20">
        <f>'[2]Soy Complex'!BE500</f>
        <v>31.133282044488059</v>
      </c>
      <c r="Y3" s="20">
        <f>'[2]Soy Complex'!BF500</f>
        <v>26.520449568392962</v>
      </c>
      <c r="Z3" s="20">
        <f>'[2]Soy Complex'!BG500</f>
        <v>26.213908236365775</v>
      </c>
      <c r="AA3" s="20">
        <f>'[2]Soy Complex'!BH500</f>
        <v>25.423264775247365</v>
      </c>
      <c r="AB3" s="20">
        <f>'[2]Soy Complex'!BI500</f>
        <v>27.237047334012381</v>
      </c>
      <c r="AC3" s="20">
        <f>'[2]Soy Complex'!BJ500</f>
        <v>30.550977802114293</v>
      </c>
      <c r="AD3" s="20">
        <f>'[2]Soy Complex'!BK500</f>
        <v>32.080732207669392</v>
      </c>
      <c r="AE3" s="20">
        <f>'[2]Soy Complex'!BL500</f>
        <v>28.707509342449807</v>
      </c>
      <c r="AF3" s="20">
        <f>'[2]Soy Complex'!BM500</f>
        <v>20.980613917274209</v>
      </c>
      <c r="AG3" s="20">
        <f>'[2]Soy Complex'!BN500</f>
        <v>19.319106950939233</v>
      </c>
    </row>
    <row r="4" spans="1:33" ht="12.75">
      <c r="A4" s="19" t="s">
        <v>30</v>
      </c>
      <c r="B4" s="20">
        <f>'[2]Soy Complex'!AI501</f>
        <v>5.77</v>
      </c>
      <c r="C4" s="20">
        <f>'[2]Soy Complex'!AJ501</f>
        <v>23.91369919799649</v>
      </c>
      <c r="D4" s="20">
        <f>'[2]Soy Complex'!AK501</f>
        <v>39.302604158142238</v>
      </c>
      <c r="E4" s="20">
        <f>'[2]Soy Complex'!AL501</f>
        <v>46.673265210724466</v>
      </c>
      <c r="F4" s="20">
        <f>'[2]Soy Complex'!AM501</f>
        <v>33.758850889768297</v>
      </c>
      <c r="G4" s="20">
        <f>'[2]Soy Complex'!AN501</f>
        <v>23.81507192724456</v>
      </c>
      <c r="H4" s="20">
        <f>'[2]Soy Complex'!AO501</f>
        <v>37.541192307380811</v>
      </c>
      <c r="I4" s="20">
        <f>'[2]Soy Complex'!AP501</f>
        <v>47.691782239616572</v>
      </c>
      <c r="J4" s="20">
        <f>'[2]Soy Complex'!AQ501</f>
        <v>50.851266613189132</v>
      </c>
      <c r="K4" s="20">
        <f>'[2]Soy Complex'!AR501</f>
        <v>45.662080015367806</v>
      </c>
      <c r="L4" s="20">
        <f>'[2]Soy Complex'!AS501</f>
        <v>31.937882152351342</v>
      </c>
      <c r="M4" s="20">
        <f>'[2]Soy Complex'!AT501</f>
        <v>25.996024925805191</v>
      </c>
      <c r="N4" s="20">
        <f>'[2]Soy Complex'!AU501</f>
        <v>49.187791420519908</v>
      </c>
      <c r="O4" s="20">
        <f>'[2]Soy Complex'!AV501</f>
        <v>57.865215049519989</v>
      </c>
      <c r="P4" s="20">
        <f>'[2]Soy Complex'!AW501</f>
        <v>55.18734206293793</v>
      </c>
      <c r="Q4" s="20">
        <f>'[2]Soy Complex'!AX501</f>
        <v>54.722100289357712</v>
      </c>
      <c r="R4" s="20">
        <f>'[2]Soy Complex'!AY501</f>
        <v>55.858822146380831</v>
      </c>
      <c r="S4" s="20">
        <f>'[2]Soy Complex'!AZ501</f>
        <v>69.861360961171329</v>
      </c>
      <c r="T4" s="20">
        <f>'[2]Soy Complex'!BA501</f>
        <v>44.754752135094492</v>
      </c>
      <c r="U4" s="20">
        <f>'[2]Soy Complex'!BB501</f>
        <v>58.216303280395273</v>
      </c>
      <c r="V4" s="20">
        <f>'[2]Soy Complex'!BC501</f>
        <v>36.511865743036033</v>
      </c>
      <c r="W4" s="20">
        <f>'[2]Soy Complex'!BD501</f>
        <v>21.866198966041367</v>
      </c>
      <c r="X4" s="20">
        <f>'[2]Soy Complex'!BE501</f>
        <v>31.442753100720779</v>
      </c>
      <c r="Y4" s="20">
        <f>'[2]Soy Complex'!BF501</f>
        <v>30.450891210399416</v>
      </c>
      <c r="Z4" s="20">
        <f>'[2]Soy Complex'!BG501</f>
        <v>33.851087096671606</v>
      </c>
      <c r="AA4" s="20">
        <f>'[2]Soy Complex'!BH501</f>
        <v>28.263058268621975</v>
      </c>
      <c r="AB4" s="20">
        <f>'[2]Soy Complex'!BI501</f>
        <v>34.954809580014704</v>
      </c>
      <c r="AC4" s="20">
        <f>'[2]Soy Complex'!BJ501</f>
        <v>28.887551934828593</v>
      </c>
      <c r="AD4" s="20">
        <f>'[2]Soy Complex'!BK501</f>
        <v>33.296658753914144</v>
      </c>
      <c r="AE4" s="20">
        <f>'[2]Soy Complex'!BL501</f>
        <v>35.319978872839179</v>
      </c>
      <c r="AF4" s="20">
        <f>'[2]Soy Complex'!BM501</f>
        <v>25.784117072567138</v>
      </c>
      <c r="AG4" s="20">
        <f>'[2]Soy Complex'!BN501</f>
        <v>20.735832289412425</v>
      </c>
    </row>
    <row r="5" spans="1:33" ht="12.75">
      <c r="A5" s="19" t="s">
        <v>31</v>
      </c>
      <c r="B5" s="20">
        <f>'[2]Soy Complex'!AI502</f>
        <v>5.69</v>
      </c>
      <c r="C5" s="20">
        <f>'[2]Soy Complex'!AJ502</f>
        <v>25.783149578432482</v>
      </c>
      <c r="D5" s="20">
        <f>'[2]Soy Complex'!AK502</f>
        <v>36.897642927693717</v>
      </c>
      <c r="E5" s="20">
        <f>'[2]Soy Complex'!AL502</f>
        <v>50.396297056471333</v>
      </c>
      <c r="F5" s="20">
        <f>'[2]Soy Complex'!AM502</f>
        <v>35.036268004180378</v>
      </c>
      <c r="G5" s="20">
        <f>'[2]Soy Complex'!AN502</f>
        <v>34.866643788603639</v>
      </c>
      <c r="H5" s="20">
        <f>'[2]Soy Complex'!AO502</f>
        <v>44.598596454056526</v>
      </c>
      <c r="I5" s="20">
        <f>'[2]Soy Complex'!AP502</f>
        <v>50.925117519868685</v>
      </c>
      <c r="J5" s="20">
        <f>'[2]Soy Complex'!AQ502</f>
        <v>59.993422133152229</v>
      </c>
      <c r="K5" s="20">
        <f>'[2]Soy Complex'!AR502</f>
        <v>45.83546246831385</v>
      </c>
      <c r="L5" s="20">
        <f>'[2]Soy Complex'!AS502</f>
        <v>48.367876557596226</v>
      </c>
      <c r="M5" s="20">
        <f>'[2]Soy Complex'!AT502</f>
        <v>33.749621354832783</v>
      </c>
      <c r="N5" s="20">
        <f>'[2]Soy Complex'!AU502</f>
        <v>51.463623124995827</v>
      </c>
      <c r="O5" s="20">
        <f>'[2]Soy Complex'!AV502</f>
        <v>62.785031713570525</v>
      </c>
      <c r="P5" s="20">
        <f>'[2]Soy Complex'!AW502</f>
        <v>61.413453740427634</v>
      </c>
      <c r="Q5" s="20">
        <f>'[2]Soy Complex'!AX502</f>
        <v>73.530958962779309</v>
      </c>
      <c r="R5" s="20">
        <f>'[2]Soy Complex'!AY502</f>
        <v>55.87963462877169</v>
      </c>
      <c r="S5" s="20">
        <f>'[2]Soy Complex'!AZ502</f>
        <v>57.109874481265621</v>
      </c>
      <c r="T5" s="20">
        <f>'[2]Soy Complex'!BA502</f>
        <v>54.506710721656205</v>
      </c>
      <c r="U5" s="20">
        <f>'[2]Soy Complex'!BB502</f>
        <v>66.751261482457281</v>
      </c>
      <c r="V5" s="20">
        <f>'[2]Soy Complex'!BC502</f>
        <v>39.998258391140418</v>
      </c>
      <c r="W5" s="20">
        <f>'[2]Soy Complex'!BD502</f>
        <v>27.681449278184886</v>
      </c>
      <c r="X5" s="20">
        <f>'[2]Soy Complex'!BE502</f>
        <v>37.529121798357927</v>
      </c>
      <c r="Y5" s="20">
        <f>'[2]Soy Complex'!BF502</f>
        <v>37.610268111323869</v>
      </c>
      <c r="Z5" s="20">
        <f>'[2]Soy Complex'!BG502</f>
        <v>40.166307906471381</v>
      </c>
      <c r="AA5" s="20">
        <f>'[2]Soy Complex'!BH502</f>
        <v>29.767643797703794</v>
      </c>
      <c r="AB5" s="20">
        <f>'[2]Soy Complex'!BI502</f>
        <v>37.162531129591976</v>
      </c>
      <c r="AC5" s="20">
        <f>'[2]Soy Complex'!BJ502</f>
        <v>33.522340780771074</v>
      </c>
      <c r="AD5" s="20">
        <f>'[2]Soy Complex'!BK502</f>
        <v>34.296142030821386</v>
      </c>
      <c r="AE5" s="20">
        <f>'[2]Soy Complex'!BL502</f>
        <v>32.796835809331583</v>
      </c>
      <c r="AF5" s="20">
        <f>'[2]Soy Complex'!BM502</f>
        <v>29.467215182662088</v>
      </c>
      <c r="AG5" s="20">
        <f>'[2]Soy Complex'!BN502</f>
        <v>30.034018175682011</v>
      </c>
    </row>
    <row r="6" spans="1:33" ht="12.75">
      <c r="A6" s="19" t="s">
        <v>32</v>
      </c>
      <c r="B6" s="20">
        <f>'[2]Soy Complex'!AI503</f>
        <v>5.64</v>
      </c>
      <c r="C6" s="20">
        <f>'[2]Soy Complex'!AJ503</f>
        <v>24.716101451394636</v>
      </c>
      <c r="D6" s="20">
        <f>'[2]Soy Complex'!AK503</f>
        <v>35.655571339878122</v>
      </c>
      <c r="E6" s="20">
        <f>'[2]Soy Complex'!AL503</f>
        <v>46.738189422247899</v>
      </c>
      <c r="F6" s="20">
        <f>'[2]Soy Complex'!AM503</f>
        <v>29.232549704280068</v>
      </c>
      <c r="G6" s="20">
        <f>'[2]Soy Complex'!AN503</f>
        <v>33.581310967796455</v>
      </c>
      <c r="H6" s="20">
        <f>'[2]Soy Complex'!AO503</f>
        <v>43.99077103742578</v>
      </c>
      <c r="I6" s="20">
        <f>'[2]Soy Complex'!AP503</f>
        <v>52.123308355711259</v>
      </c>
      <c r="J6" s="20">
        <f>'[2]Soy Complex'!AQ503</f>
        <v>46.989909944176723</v>
      </c>
      <c r="K6" s="20">
        <f>'[2]Soy Complex'!AR503</f>
        <v>39.744312688535175</v>
      </c>
      <c r="L6" s="20">
        <f>'[2]Soy Complex'!AS503</f>
        <v>40.87665336884713</v>
      </c>
      <c r="M6" s="20">
        <f>'[2]Soy Complex'!AT503</f>
        <v>31.169544438700349</v>
      </c>
      <c r="N6" s="20">
        <f>'[2]Soy Complex'!AU503</f>
        <v>59.496295985494285</v>
      </c>
      <c r="O6" s="20">
        <f>'[2]Soy Complex'!AV503</f>
        <v>68.020941728768037</v>
      </c>
      <c r="P6" s="20">
        <f>'[2]Soy Complex'!AW503</f>
        <v>52.113257748323441</v>
      </c>
      <c r="Q6" s="20">
        <f>'[2]Soy Complex'!AX503</f>
        <v>61.849176183300322</v>
      </c>
      <c r="R6" s="20">
        <f>'[2]Soy Complex'!AY503</f>
        <v>56.617870014116221</v>
      </c>
      <c r="S6" s="20">
        <f>'[2]Soy Complex'!AZ503</f>
        <v>60.736708294486711</v>
      </c>
      <c r="T6" s="20">
        <f>'[2]Soy Complex'!BA503</f>
        <v>51.9525888107081</v>
      </c>
      <c r="U6" s="20">
        <f>'[2]Soy Complex'!BB503</f>
        <v>52.977257007348435</v>
      </c>
      <c r="V6" s="20">
        <f>'[2]Soy Complex'!BC503</f>
        <v>39.088293018919529</v>
      </c>
      <c r="W6" s="20">
        <f>'[2]Soy Complex'!BD503</f>
        <v>27.34387728847884</v>
      </c>
      <c r="X6" s="20">
        <f>'[2]Soy Complex'!BE503</f>
        <v>39.970456291825464</v>
      </c>
      <c r="Y6" s="20">
        <f>'[2]Soy Complex'!BF503</f>
        <v>36.663072862325244</v>
      </c>
      <c r="Z6" s="20">
        <f>'[2]Soy Complex'!BG503</f>
        <v>38.909928558694212</v>
      </c>
      <c r="AA6" s="20">
        <f>'[2]Soy Complex'!BH503</f>
        <v>33.728206721586098</v>
      </c>
      <c r="AB6" s="20">
        <f>'[2]Soy Complex'!BI503</f>
        <v>34.348911756388802</v>
      </c>
      <c r="AC6" s="20">
        <f>'[2]Soy Complex'!BJ503</f>
        <v>33.177958574476378</v>
      </c>
      <c r="AD6" s="20">
        <f>'[2]Soy Complex'!BK503</f>
        <v>35.579617790414808</v>
      </c>
      <c r="AE6" s="20">
        <f>'[2]Soy Complex'!BL503</f>
        <v>31.275442895033752</v>
      </c>
      <c r="AF6" s="20">
        <f>'[2]Soy Complex'!BM503</f>
        <v>30.160809312057591</v>
      </c>
      <c r="AG6" s="20">
        <f>'[2]Soy Complex'!BN503</f>
        <v>31.340277029135674</v>
      </c>
    </row>
    <row r="7" spans="1:33" ht="12.75">
      <c r="A7" s="19" t="s">
        <v>33</v>
      </c>
      <c r="B7" s="20">
        <f>'[2]Soy Complex'!AI504</f>
        <v>5.74</v>
      </c>
      <c r="C7" s="20">
        <f>'[2]Soy Complex'!AJ504</f>
        <v>22.038057333187275</v>
      </c>
      <c r="D7" s="20">
        <f>'[2]Soy Complex'!AK504</f>
        <v>43.804930854818515</v>
      </c>
      <c r="E7" s="20">
        <f>'[2]Soy Complex'!AL504</f>
        <v>46.525480784075711</v>
      </c>
      <c r="F7" s="20">
        <f>'[2]Soy Complex'!AM504</f>
        <v>33.998096123689116</v>
      </c>
      <c r="G7" s="20">
        <f>'[2]Soy Complex'!AN504</f>
        <v>35.805292638467641</v>
      </c>
      <c r="H7" s="20">
        <f>'[2]Soy Complex'!AO504</f>
        <v>43.746732972609621</v>
      </c>
      <c r="I7" s="20">
        <f>'[2]Soy Complex'!AP504</f>
        <v>49.879573140771619</v>
      </c>
      <c r="J7" s="20">
        <f>'[2]Soy Complex'!AQ504</f>
        <v>58.322304925399813</v>
      </c>
      <c r="K7" s="20">
        <f>'[2]Soy Complex'!AR504</f>
        <v>42.40636650923318</v>
      </c>
      <c r="L7" s="20">
        <f>'[2]Soy Complex'!AS504</f>
        <v>35.820585794450608</v>
      </c>
      <c r="M7" s="20">
        <f>'[2]Soy Complex'!AT504</f>
        <v>36.914349701595434</v>
      </c>
      <c r="N7" s="20">
        <f>'[2]Soy Complex'!AU504</f>
        <v>48.462440315628207</v>
      </c>
      <c r="O7" s="20">
        <f>'[2]Soy Complex'!AV504</f>
        <v>65.36418562712737</v>
      </c>
      <c r="P7" s="20">
        <f>'[2]Soy Complex'!AW504</f>
        <v>47.135670326339493</v>
      </c>
      <c r="Q7" s="20">
        <f>'[2]Soy Complex'!AX504</f>
        <v>62.669521126380737</v>
      </c>
      <c r="R7" s="20">
        <f>'[2]Soy Complex'!AY504</f>
        <v>60.143278924424266</v>
      </c>
      <c r="S7" s="20">
        <f>'[2]Soy Complex'!AZ504</f>
        <v>65.95949240882085</v>
      </c>
      <c r="T7" s="20">
        <f>'[2]Soy Complex'!BA504</f>
        <v>58.309058392940216</v>
      </c>
      <c r="U7" s="20">
        <f>'[2]Soy Complex'!BB504</f>
        <v>60.387403233532595</v>
      </c>
      <c r="V7" s="20">
        <f>'[2]Soy Complex'!BC504</f>
        <v>44.997280898532999</v>
      </c>
      <c r="W7" s="20">
        <f>'[2]Soy Complex'!BD504</f>
        <v>30.21095565424195</v>
      </c>
      <c r="X7" s="20">
        <f>'[2]Soy Complex'!BE504</f>
        <v>37.604917511286686</v>
      </c>
      <c r="Y7" s="20">
        <f>'[2]Soy Complex'!BF504</f>
        <v>41.23833069646048</v>
      </c>
      <c r="Z7" s="20">
        <f>'[2]Soy Complex'!BG504</f>
        <v>36.410938204004047</v>
      </c>
      <c r="AA7" s="20">
        <f>'[2]Soy Complex'!BH504</f>
        <v>33.914199486535537</v>
      </c>
      <c r="AB7" s="20">
        <f>'[2]Soy Complex'!BI504</f>
        <v>31.702404989168599</v>
      </c>
      <c r="AC7" s="20">
        <f>'[2]Soy Complex'!BJ504</f>
        <v>30.20627199714372</v>
      </c>
      <c r="AD7" s="20">
        <f>'[2]Soy Complex'!BK504</f>
        <v>31.020369182239087</v>
      </c>
      <c r="AE7" s="20">
        <f>'[2]Soy Complex'!BL504</f>
        <v>31.503776126862931</v>
      </c>
      <c r="AF7" s="20">
        <f>'[2]Soy Complex'!BM504</f>
        <v>32.866548327637219</v>
      </c>
      <c r="AG7" s="20">
        <f>'[2]Soy Complex'!BN504</f>
        <v>32.201987658789164</v>
      </c>
    </row>
    <row r="8" spans="1:33" ht="12.75">
      <c r="A8" s="19" t="s">
        <v>34</v>
      </c>
      <c r="B8" s="20">
        <f>'[2]Soy Complex'!AI505</f>
        <v>5.67</v>
      </c>
      <c r="C8" s="20">
        <f>'[2]Soy Complex'!AJ505</f>
        <v>25.051403688989037</v>
      </c>
      <c r="D8" s="20">
        <f>'[2]Soy Complex'!AK505</f>
        <v>44.484174050451116</v>
      </c>
      <c r="E8" s="20">
        <f>'[2]Soy Complex'!AL505</f>
        <v>51.309006426244437</v>
      </c>
      <c r="F8" s="20">
        <f>'[2]Soy Complex'!AM505</f>
        <v>38.874821926008806</v>
      </c>
      <c r="G8" s="20">
        <f>'[2]Soy Complex'!AN505</f>
        <v>32.087903648064923</v>
      </c>
      <c r="H8" s="20">
        <f>'[2]Soy Complex'!AO505</f>
        <v>46.2423056980887</v>
      </c>
      <c r="I8" s="20">
        <f>'[2]Soy Complex'!AP505</f>
        <v>50.884399939212244</v>
      </c>
      <c r="J8" s="20">
        <f>'[2]Soy Complex'!AQ505</f>
        <v>49.970835451149135</v>
      </c>
      <c r="K8" s="20">
        <f>'[2]Soy Complex'!AR505</f>
        <v>40.030822520409501</v>
      </c>
      <c r="L8" s="20">
        <f>'[2]Soy Complex'!AS505</f>
        <v>33.342573297008272</v>
      </c>
      <c r="M8" s="20">
        <f>'[2]Soy Complex'!AT505</f>
        <v>33.751815893939266</v>
      </c>
      <c r="N8" s="20">
        <f>'[2]Soy Complex'!AU505</f>
        <v>58.095460224460616</v>
      </c>
      <c r="O8" s="20">
        <f>'[2]Soy Complex'!AV505</f>
        <v>62.254812846140005</v>
      </c>
      <c r="P8" s="20">
        <f>'[2]Soy Complex'!AW505</f>
        <v>46.871714543755928</v>
      </c>
      <c r="Q8" s="20">
        <f>'[2]Soy Complex'!AX505</f>
        <v>64.778497363557079</v>
      </c>
      <c r="R8" s="20">
        <f>'[2]Soy Complex'!AY505</f>
        <v>71.677910754948357</v>
      </c>
      <c r="S8" s="20">
        <f>'[2]Soy Complex'!AZ505</f>
        <v>63.207319099088089</v>
      </c>
      <c r="T8" s="20">
        <f>'[2]Soy Complex'!BA505</f>
        <v>56.78803088190584</v>
      </c>
      <c r="U8" s="20">
        <f>'[2]Soy Complex'!BB505</f>
        <v>59.132727793364587</v>
      </c>
      <c r="V8" s="20">
        <f>'[2]Soy Complex'!BC505</f>
        <v>48.273593791618275</v>
      </c>
      <c r="W8" s="20">
        <f>'[2]Soy Complex'!BD505</f>
        <v>30.151645306776619</v>
      </c>
      <c r="X8" s="20">
        <f>'[2]Soy Complex'!BE505</f>
        <v>40.926135387698658</v>
      </c>
      <c r="Y8" s="20">
        <f>'[2]Soy Complex'!BF505</f>
        <v>35.861514631518858</v>
      </c>
      <c r="Z8" s="20">
        <f>'[2]Soy Complex'!BG505</f>
        <v>46.110589559075095</v>
      </c>
      <c r="AA8" s="20">
        <f>'[2]Soy Complex'!BH505</f>
        <v>35.107219660825464</v>
      </c>
      <c r="AB8" s="20">
        <f>'[2]Soy Complex'!BI505</f>
        <v>42.172576395270063</v>
      </c>
      <c r="AC8" s="20">
        <f>'[2]Soy Complex'!BJ505</f>
        <v>31.406250584336366</v>
      </c>
      <c r="AD8" s="20">
        <f>'[2]Soy Complex'!BK505</f>
        <v>33.419468468947734</v>
      </c>
      <c r="AE8" s="20">
        <f>'[2]Soy Complex'!BL505</f>
        <v>35.958201423088923</v>
      </c>
      <c r="AF8" s="20">
        <f>'[2]Soy Complex'!BM505</f>
        <v>31.360322735169831</v>
      </c>
      <c r="AG8" s="20">
        <f>'[2]Soy Complex'!BN505</f>
        <v>34.301539574376704</v>
      </c>
    </row>
    <row r="9" spans="1:33" ht="12.75">
      <c r="A9" s="19" t="s">
        <v>35</v>
      </c>
      <c r="B9" s="20">
        <f>'[2]Soy Complex'!AI506</f>
        <v>5.68</v>
      </c>
      <c r="C9" s="20">
        <f>'[2]Soy Complex'!AJ506</f>
        <v>28.36013617188426</v>
      </c>
      <c r="D9" s="20">
        <f>'[2]Soy Complex'!AK506</f>
        <v>45.518278868481566</v>
      </c>
      <c r="E9" s="20">
        <f>'[2]Soy Complex'!AL506</f>
        <v>53.408280524005086</v>
      </c>
      <c r="F9" s="20">
        <f>'[2]Soy Complex'!AM506</f>
        <v>40.475728469944627</v>
      </c>
      <c r="G9" s="20">
        <f>'[2]Soy Complex'!AN506</f>
        <v>41.060237381181125</v>
      </c>
      <c r="H9" s="20">
        <f>'[2]Soy Complex'!AO506</f>
        <v>40.402059974458794</v>
      </c>
      <c r="I9" s="20">
        <f>'[2]Soy Complex'!AP506</f>
        <v>62.577852915882012</v>
      </c>
      <c r="J9" s="20">
        <f>'[2]Soy Complex'!AQ506</f>
        <v>60.362173999162088</v>
      </c>
      <c r="K9" s="20">
        <f>'[2]Soy Complex'!AR506</f>
        <v>40.870565995263732</v>
      </c>
      <c r="L9" s="20">
        <f>'[2]Soy Complex'!AS506</f>
        <v>36.488295402287903</v>
      </c>
      <c r="M9" s="20">
        <f>'[2]Soy Complex'!AT506</f>
        <v>38.259860524103267</v>
      </c>
      <c r="N9" s="20">
        <f>'[2]Soy Complex'!AU506</f>
        <v>59.28660968353973</v>
      </c>
      <c r="O9" s="20">
        <f>'[2]Soy Complex'!AV506</f>
        <v>60.947751728931685</v>
      </c>
      <c r="P9" s="20">
        <f>'[2]Soy Complex'!AW506</f>
        <v>54.55513182357771</v>
      </c>
      <c r="Q9" s="20">
        <f>'[2]Soy Complex'!AX506</f>
        <v>63.624312268029044</v>
      </c>
      <c r="R9" s="20">
        <f>'[2]Soy Complex'!AY506</f>
        <v>78.820946800145819</v>
      </c>
      <c r="S9" s="20">
        <f>'[2]Soy Complex'!AZ506</f>
        <v>59.042174251071309</v>
      </c>
      <c r="T9" s="20">
        <f>'[2]Soy Complex'!BA506</f>
        <v>49.351228342468907</v>
      </c>
      <c r="U9" s="20">
        <f>'[2]Soy Complex'!BB506</f>
        <v>53.256192629388337</v>
      </c>
      <c r="V9" s="20">
        <f>'[2]Soy Complex'!BC506</f>
        <v>43.523279574861043</v>
      </c>
      <c r="W9" s="20">
        <f>'[2]Soy Complex'!BD506</f>
        <v>50.063554723690345</v>
      </c>
      <c r="X9" s="20">
        <f>'[2]Soy Complex'!BE506</f>
        <v>41.030092243619912</v>
      </c>
      <c r="Y9" s="20">
        <f>'[2]Soy Complex'!BF506</f>
        <v>38.19939512346059</v>
      </c>
      <c r="Z9" s="20">
        <f>'[2]Soy Complex'!BG506</f>
        <v>31.785997101711043</v>
      </c>
      <c r="AA9" s="20">
        <f>'[2]Soy Complex'!BH506</f>
        <v>28.587773257271305</v>
      </c>
      <c r="AB9" s="20">
        <f>'[2]Soy Complex'!BI506</f>
        <v>33.886026186267216</v>
      </c>
      <c r="AC9" s="20">
        <f>'[2]Soy Complex'!BJ506</f>
        <v>31.843451970934296</v>
      </c>
      <c r="AD9" s="20">
        <f>'[2]Soy Complex'!BK506</f>
        <v>33.240463757182518</v>
      </c>
      <c r="AE9" s="20">
        <f>'[2]Soy Complex'!BL506</f>
        <v>30.366726116286028</v>
      </c>
      <c r="AF9" s="20">
        <f>'[2]Soy Complex'!BM506</f>
        <v>27.285903720224066</v>
      </c>
      <c r="AG9" s="20">
        <f>'[2]Soy Complex'!BN506</f>
        <v>34.471629400879195</v>
      </c>
    </row>
    <row r="10" spans="1:33" ht="12.75">
      <c r="A10" s="19" t="s">
        <v>36</v>
      </c>
      <c r="B10" s="20">
        <f>'[2]Soy Complex'!AI507</f>
        <v>5.74</v>
      </c>
      <c r="C10" s="20">
        <f>'[2]Soy Complex'!AJ507</f>
        <v>27.711194475707167</v>
      </c>
      <c r="D10" s="20">
        <f>'[2]Soy Complex'!AK507</f>
        <v>51.421012210485941</v>
      </c>
      <c r="E10" s="20">
        <f>'[2]Soy Complex'!AL507</f>
        <v>53.141034654882105</v>
      </c>
      <c r="F10" s="20">
        <f>'[2]Soy Complex'!AM507</f>
        <v>34.54634145979972</v>
      </c>
      <c r="G10" s="20">
        <f>'[2]Soy Complex'!AN507</f>
        <v>32.679476432801799</v>
      </c>
      <c r="H10" s="20">
        <f>'[2]Soy Complex'!AO507</f>
        <v>46.207179884571566</v>
      </c>
      <c r="I10" s="20">
        <f>'[2]Soy Complex'!AP507</f>
        <v>60.680853517039139</v>
      </c>
      <c r="J10" s="20">
        <f>'[2]Soy Complex'!AQ507</f>
        <v>45.809355455901951</v>
      </c>
      <c r="K10" s="20">
        <f>'[2]Soy Complex'!AR507</f>
        <v>38.060419018881156</v>
      </c>
      <c r="L10" s="20">
        <f>'[2]Soy Complex'!AS507</f>
        <v>30.466956552054516</v>
      </c>
      <c r="M10" s="20">
        <f>'[2]Soy Complex'!AT507</f>
        <v>35.60522545904076</v>
      </c>
      <c r="N10" s="20">
        <f>'[2]Soy Complex'!AU507</f>
        <v>58.458413046677499</v>
      </c>
      <c r="O10" s="20">
        <f>'[2]Soy Complex'!AV507</f>
        <v>65.654403124436413</v>
      </c>
      <c r="P10" s="20">
        <f>'[2]Soy Complex'!AW507</f>
        <v>50.726754391745146</v>
      </c>
      <c r="Q10" s="20">
        <f>'[2]Soy Complex'!AX507</f>
        <v>74.722419632336738</v>
      </c>
      <c r="R10" s="20">
        <f>'[2]Soy Complex'!AY507</f>
        <v>78.653406959098263</v>
      </c>
      <c r="S10" s="20">
        <f>'[2]Soy Complex'!AZ507</f>
        <v>64.153663660253102</v>
      </c>
      <c r="T10" s="20">
        <f>'[2]Soy Complex'!BA507</f>
        <v>51.434410747697449</v>
      </c>
      <c r="U10" s="20">
        <f>'[2]Soy Complex'!BB507</f>
        <v>49.075044040466814</v>
      </c>
      <c r="V10" s="20">
        <f>'[2]Soy Complex'!BC507</f>
        <v>41.381849319332204</v>
      </c>
      <c r="W10" s="20">
        <f>'[2]Soy Complex'!BD507</f>
        <v>35.998307688484374</v>
      </c>
      <c r="X10" s="20">
        <f>'[2]Soy Complex'!BE507</f>
        <v>39.405158756226022</v>
      </c>
      <c r="Y10" s="20">
        <f>'[2]Soy Complex'!BF507</f>
        <v>34.08112006091006</v>
      </c>
      <c r="Z10" s="20">
        <f>'[2]Soy Complex'!BG507</f>
        <v>33.927710585334822</v>
      </c>
      <c r="AA10" s="20">
        <f>'[2]Soy Complex'!BH507</f>
        <v>32.652986982215111</v>
      </c>
      <c r="AB10" s="20">
        <f>'[2]Soy Complex'!BI507</f>
        <v>30.479215411026658</v>
      </c>
      <c r="AC10" s="20">
        <f>'[2]Soy Complex'!BJ507</f>
        <v>31.810048330006545</v>
      </c>
      <c r="AD10" s="20">
        <f>'[2]Soy Complex'!BK507</f>
        <v>32.131988070872609</v>
      </c>
      <c r="AE10" s="20">
        <f>'[2]Soy Complex'!BL507</f>
        <v>30.011505878663279</v>
      </c>
      <c r="AF10" s="20">
        <f>'[2]Soy Complex'!BM507</f>
        <v>27.171901504578553</v>
      </c>
      <c r="AG10" s="20">
        <f>'[2]Soy Complex'!BN507</f>
        <v>35.481746134949695</v>
      </c>
    </row>
    <row r="11" spans="1:33" ht="12.75">
      <c r="A11" s="19" t="s">
        <v>37</v>
      </c>
      <c r="B11" s="20">
        <f>'[2]Soy Complex'!AI508</f>
        <v>5.7</v>
      </c>
      <c r="C11" s="20">
        <f>'[2]Soy Complex'!AJ508</f>
        <v>30.083244107283729</v>
      </c>
      <c r="D11" s="20">
        <f>'[2]Soy Complex'!AK508</f>
        <v>66.812640352277185</v>
      </c>
      <c r="E11" s="20">
        <f>'[2]Soy Complex'!AL508</f>
        <v>45.695589267817972</v>
      </c>
      <c r="F11" s="20">
        <f>'[2]Soy Complex'!AM508</f>
        <v>40.883488172725343</v>
      </c>
      <c r="G11" s="20">
        <f>'[2]Soy Complex'!AN508</f>
        <v>36.095441604687409</v>
      </c>
      <c r="H11" s="20">
        <f>'[2]Soy Complex'!AO508</f>
        <v>46.935949748891055</v>
      </c>
      <c r="I11" s="20">
        <f>'[2]Soy Complex'!AP508</f>
        <v>54.431775680591116</v>
      </c>
      <c r="J11" s="20">
        <f>'[2]Soy Complex'!AQ508</f>
        <v>49.198184284420186</v>
      </c>
      <c r="K11" s="20">
        <f>'[2]Soy Complex'!AR508</f>
        <v>34.37823486908615</v>
      </c>
      <c r="L11" s="20">
        <f>'[2]Soy Complex'!AS508</f>
        <v>31.098545268355299</v>
      </c>
      <c r="M11" s="20">
        <f>'[2]Soy Complex'!AT508</f>
        <v>42.931998413445605</v>
      </c>
      <c r="N11" s="20">
        <f>'[2]Soy Complex'!AU508</f>
        <v>65.042871559704182</v>
      </c>
      <c r="O11" s="20">
        <f>'[2]Soy Complex'!AV508</f>
        <v>56.47532502697797</v>
      </c>
      <c r="P11" s="20">
        <f>'[2]Soy Complex'!AW508</f>
        <v>49.923676204503003</v>
      </c>
      <c r="Q11" s="20">
        <f>'[2]Soy Complex'!AX508</f>
        <v>68.598728317926913</v>
      </c>
      <c r="R11" s="20">
        <f>'[2]Soy Complex'!AY508</f>
        <v>76.839954702003311</v>
      </c>
      <c r="S11" s="20">
        <f>'[2]Soy Complex'!AZ508</f>
        <v>62.992812627092817</v>
      </c>
      <c r="T11" s="20">
        <f>'[2]Soy Complex'!BA508</f>
        <v>57.483618003258414</v>
      </c>
      <c r="U11" s="20">
        <f>'[2]Soy Complex'!BB508</f>
        <v>45.816467432917001</v>
      </c>
      <c r="V11" s="20">
        <f>'[2]Soy Complex'!BC508</f>
        <v>34.452033131898723</v>
      </c>
      <c r="W11" s="20">
        <f>'[2]Soy Complex'!BD508</f>
        <v>37.817143939184355</v>
      </c>
      <c r="X11" s="20">
        <f>'[2]Soy Complex'!BE508</f>
        <v>34.046251344119703</v>
      </c>
      <c r="Y11" s="20">
        <f>'[2]Soy Complex'!BF508</f>
        <v>31.535261125276531</v>
      </c>
      <c r="Z11" s="20">
        <f>'[2]Soy Complex'!BG508</f>
        <v>36.997719675417891</v>
      </c>
      <c r="AA11" s="20">
        <f>'[2]Soy Complex'!BH508</f>
        <v>30.084290192356104</v>
      </c>
      <c r="AB11" s="20">
        <f>'[2]Soy Complex'!BI508</f>
        <v>28.642270214970203</v>
      </c>
      <c r="AC11" s="20">
        <f>'[2]Soy Complex'!BJ508</f>
        <v>30.505349305593871</v>
      </c>
      <c r="AD11" s="20">
        <f>'[2]Soy Complex'!BK508</f>
        <v>31.319439662512238</v>
      </c>
      <c r="AE11" s="20">
        <f>'[2]Soy Complex'!BL508</f>
        <v>29.10701199983621</v>
      </c>
      <c r="AF11" s="20">
        <f>'[2]Soy Complex'!BM508</f>
        <v>25.215509865681934</v>
      </c>
      <c r="AG11" s="20">
        <f>'[2]Soy Complex'!BN508</f>
        <v>39.614467875320564</v>
      </c>
    </row>
    <row r="12" spans="1:33" ht="12.75">
      <c r="A12" s="19" t="s">
        <v>38</v>
      </c>
      <c r="B12" s="20">
        <f>'[2]Soy Complex'!AI509</f>
        <v>5.73</v>
      </c>
      <c r="C12" s="20">
        <f>'[2]Soy Complex'!AJ509</f>
        <v>26.800568693400638</v>
      </c>
      <c r="D12" s="20">
        <f>'[2]Soy Complex'!AK509</f>
        <v>52.228575849589859</v>
      </c>
      <c r="E12" s="20">
        <f>'[2]Soy Complex'!AL509</f>
        <v>37.037952330394745</v>
      </c>
      <c r="F12" s="20">
        <f>'[2]Soy Complex'!AM509</f>
        <v>27.891054674745273</v>
      </c>
      <c r="G12" s="20">
        <f>'[2]Soy Complex'!AN509</f>
        <v>33.711304223816725</v>
      </c>
      <c r="H12" s="20">
        <f>'[2]Soy Complex'!AO509</f>
        <v>41.785933996329362</v>
      </c>
      <c r="I12" s="20">
        <f>'[2]Soy Complex'!AP509</f>
        <v>52.503269173943757</v>
      </c>
      <c r="J12" s="20">
        <f>'[2]Soy Complex'!AQ509</f>
        <v>52.607436928634598</v>
      </c>
      <c r="K12" s="20">
        <f>'[2]Soy Complex'!AR509</f>
        <v>32.498327347476724</v>
      </c>
      <c r="L12" s="20">
        <f>'[2]Soy Complex'!AS509</f>
        <v>24.134615530148487</v>
      </c>
      <c r="M12" s="20">
        <f>'[2]Soy Complex'!AT509</f>
        <v>30.612416417124912</v>
      </c>
      <c r="N12" s="20">
        <f>'[2]Soy Complex'!AU509</f>
        <v>58.455109386996497</v>
      </c>
      <c r="O12" s="20">
        <f>'[2]Soy Complex'!AV509</f>
        <v>53.086055945062149</v>
      </c>
      <c r="P12" s="20">
        <f>'[2]Soy Complex'!AW509</f>
        <v>45.673909381424245</v>
      </c>
      <c r="Q12" s="20">
        <f>'[2]Soy Complex'!AX509</f>
        <v>57.416080348648087</v>
      </c>
      <c r="R12" s="20">
        <f>'[2]Soy Complex'!AY509</f>
        <v>61.486525972895116</v>
      </c>
      <c r="S12" s="20">
        <f>'[2]Soy Complex'!AZ509</f>
        <v>50.616319137040556</v>
      </c>
      <c r="T12" s="20">
        <f>'[2]Soy Complex'!BA509</f>
        <v>46.494544098966799</v>
      </c>
      <c r="U12" s="20">
        <f>'[2]Soy Complex'!BB509</f>
        <v>33.845987385287252</v>
      </c>
      <c r="V12" s="20">
        <f>'[2]Soy Complex'!BC509</f>
        <v>24.99528321621283</v>
      </c>
      <c r="W12" s="20">
        <f>'[2]Soy Complex'!BD509</f>
        <v>34.2175462020273</v>
      </c>
      <c r="X12" s="20">
        <f>'[2]Soy Complex'!BE509</f>
        <v>32.463189518009074</v>
      </c>
      <c r="Y12" s="20">
        <f>'[2]Soy Complex'!BF509</f>
        <v>28.461979766372455</v>
      </c>
      <c r="Z12" s="20">
        <f>'[2]Soy Complex'!BG509</f>
        <v>32.119984182387867</v>
      </c>
      <c r="AA12" s="20">
        <f>'[2]Soy Complex'!BH509</f>
        <v>24.172719933950894</v>
      </c>
      <c r="AB12" s="20">
        <f>'[2]Soy Complex'!BI509</f>
        <v>27.237047334012381</v>
      </c>
      <c r="AC12" s="20">
        <f>'[2]Soy Complex'!BJ509</f>
        <v>34.135294095790506</v>
      </c>
      <c r="AD12" s="20">
        <f>'[2]Soy Complex'!BK509</f>
        <v>28.604325828235751</v>
      </c>
      <c r="AE12" s="20">
        <f>'[2]Soy Complex'!BL509</f>
        <v>22.662153606692474</v>
      </c>
      <c r="AF12" s="20">
        <f>'[2]Soy Complex'!BM509</f>
        <v>21.121571603883098</v>
      </c>
      <c r="AG12" s="20">
        <f>'[2]Soy Complex'!BN509</f>
        <v>25.52967705998525</v>
      </c>
    </row>
    <row r="13" spans="1:33" ht="12.75">
      <c r="A13" s="19" t="s">
        <v>39</v>
      </c>
      <c r="B13" s="20">
        <f>'[2]Soy Complex'!AI510</f>
        <v>5.8</v>
      </c>
      <c r="C13" s="20">
        <f>'[2]Soy Complex'!AJ510</f>
        <v>29.057688737480934</v>
      </c>
      <c r="D13" s="20">
        <f>'[2]Soy Complex'!AK510</f>
        <v>49.394372300681887</v>
      </c>
      <c r="E13" s="20">
        <f>'[2]Soy Complex'!AL510</f>
        <v>32.229760292271543</v>
      </c>
      <c r="F13" s="20">
        <f>'[2]Soy Complex'!AM510</f>
        <v>27.886331145373529</v>
      </c>
      <c r="G13" s="20">
        <f>'[2]Soy Complex'!AN510</f>
        <v>27.69852617448436</v>
      </c>
      <c r="H13" s="20">
        <f>'[2]Soy Complex'!AO510</f>
        <v>39.967533760772405</v>
      </c>
      <c r="I13" s="20">
        <f>'[2]Soy Complex'!AP510</f>
        <v>60.849916612253502</v>
      </c>
      <c r="J13" s="20">
        <f>'[2]Soy Complex'!AQ510</f>
        <v>44.782575365424172</v>
      </c>
      <c r="K13" s="20">
        <f>'[2]Soy Complex'!AR510</f>
        <v>27.603138635572286</v>
      </c>
      <c r="L13" s="20">
        <f>'[2]Soy Complex'!AS510</f>
        <v>21.53867345579642</v>
      </c>
      <c r="M13" s="20">
        <f>'[2]Soy Complex'!AT510</f>
        <v>32.57222197196549</v>
      </c>
      <c r="N13" s="20">
        <f>'[2]Soy Complex'!AU510</f>
        <v>53.994434208579946</v>
      </c>
      <c r="O13" s="20">
        <f>'[2]Soy Complex'!AV510</f>
        <v>51.55192714133694</v>
      </c>
      <c r="P13" s="20">
        <f>'[2]Soy Complex'!AW510</f>
        <v>48.606573285514074</v>
      </c>
      <c r="Q13" s="20">
        <f>'[2]Soy Complex'!AX510</f>
        <v>54.266171851347131</v>
      </c>
      <c r="R13" s="20">
        <f>'[2]Soy Complex'!AY510</f>
        <v>72.399775454896869</v>
      </c>
      <c r="S13" s="20">
        <f>'[2]Soy Complex'!AZ510</f>
        <v>40.907493739322923</v>
      </c>
      <c r="T13" s="20">
        <f>'[2]Soy Complex'!BA510</f>
        <v>47.528012431132325</v>
      </c>
      <c r="U13" s="20">
        <f>'[2]Soy Complex'!BB510</f>
        <v>30.007451955707758</v>
      </c>
      <c r="V13" s="20">
        <f>'[2]Soy Complex'!BC510</f>
        <v>22.335793619402409</v>
      </c>
      <c r="W13" s="20">
        <f>'[2]Soy Complex'!BD510</f>
        <v>32.927946709252176</v>
      </c>
      <c r="X13" s="20">
        <f>'[2]Soy Complex'!BE510</f>
        <v>26.139514460101729</v>
      </c>
      <c r="Y13" s="20">
        <f>'[2]Soy Complex'!BF510</f>
        <v>28.21435573438994</v>
      </c>
      <c r="Z13" s="20">
        <f>'[2]Soy Complex'!BG510</f>
        <v>27.508831727625893</v>
      </c>
      <c r="AA13" s="20">
        <f>'[2]Soy Complex'!BH510</f>
        <v>27.218406842492197</v>
      </c>
      <c r="AB13" s="20">
        <f>'[2]Soy Complex'!BI510</f>
        <v>26.709859785342726</v>
      </c>
      <c r="AC13" s="20">
        <f>'[2]Soy Complex'!BJ510</f>
        <v>31.567403548011811</v>
      </c>
      <c r="AD13" s="20">
        <f>'[2]Soy Complex'!BK510</f>
        <v>28.253136507798057</v>
      </c>
      <c r="AE13" s="20">
        <f>'[2]Soy Complex'!BL510</f>
        <v>21.155105814118468</v>
      </c>
      <c r="AF13" s="20">
        <f>'[2]Soy Complex'!BM510</f>
        <v>19.031919188272688</v>
      </c>
      <c r="AG13" s="20">
        <f>'[2]Soy Complex'!BN510</f>
        <v>20.558083884119213</v>
      </c>
    </row>
    <row r="14" spans="1:33">
      <c r="A14" s="19"/>
      <c r="B14" s="20"/>
    </row>
    <row r="15" spans="1:33">
      <c r="A15" s="19"/>
      <c r="B15" s="20"/>
    </row>
    <row r="16" spans="1:33">
      <c r="A16" s="19"/>
      <c r="B16" s="20"/>
    </row>
    <row r="17" spans="1:2">
      <c r="A17" s="19"/>
      <c r="B17" s="20"/>
    </row>
    <row r="18" spans="1:2">
      <c r="A18" s="19"/>
      <c r="B18" s="20"/>
    </row>
    <row r="19" spans="1:2">
      <c r="A19" s="19"/>
      <c r="B19" s="20"/>
    </row>
    <row r="20" spans="1:2">
      <c r="A20" s="19"/>
      <c r="B20" s="20"/>
    </row>
    <row r="21" spans="1:2">
      <c r="A21" s="19"/>
      <c r="B21" s="20"/>
    </row>
    <row r="22" spans="1:2">
      <c r="A22" s="19"/>
      <c r="B22" s="20"/>
    </row>
    <row r="23" spans="1:2">
      <c r="A23" s="19"/>
      <c r="B23" s="20"/>
    </row>
    <row r="24" spans="1:2">
      <c r="A24" s="19"/>
      <c r="B24" s="20"/>
    </row>
    <row r="25" spans="1:2">
      <c r="A25" s="19"/>
      <c r="B25" s="20"/>
    </row>
    <row r="26" spans="1:2">
      <c r="A26" s="19"/>
      <c r="B26" s="20"/>
    </row>
    <row r="27" spans="1:2">
      <c r="A27" s="19"/>
      <c r="B27" s="20"/>
    </row>
    <row r="28" spans="1:2">
      <c r="A28" s="19"/>
      <c r="B28" s="20"/>
    </row>
    <row r="29" spans="1:2">
      <c r="A29" s="19"/>
      <c r="B29" s="20"/>
    </row>
    <row r="30" spans="1:2">
      <c r="A30" s="19"/>
      <c r="B30" s="20"/>
    </row>
    <row r="31" spans="1:2">
      <c r="A31" s="19"/>
      <c r="B31" s="20"/>
    </row>
    <row r="32" spans="1:2">
      <c r="A32" s="19"/>
      <c r="B32" s="20"/>
    </row>
    <row r="33" spans="1:2">
      <c r="A33" s="19"/>
      <c r="B33" s="20"/>
    </row>
    <row r="34" spans="1:2">
      <c r="A34" s="19"/>
      <c r="B34" s="20"/>
    </row>
    <row r="35" spans="1:2">
      <c r="A35" s="19"/>
      <c r="B35" s="20"/>
    </row>
    <row r="36" spans="1:2">
      <c r="A36" s="19"/>
      <c r="B36" s="20"/>
    </row>
    <row r="37" spans="1:2">
      <c r="A37" s="19"/>
      <c r="B37" s="20"/>
    </row>
    <row r="38" spans="1:2">
      <c r="A38" s="19"/>
      <c r="B38" s="20"/>
    </row>
    <row r="39" spans="1:2">
      <c r="A39" s="19"/>
      <c r="B39" s="20"/>
    </row>
    <row r="40" spans="1:2">
      <c r="A40" s="19"/>
      <c r="B40" s="20"/>
    </row>
    <row r="41" spans="1:2">
      <c r="A41" s="19"/>
      <c r="B41" s="20"/>
    </row>
    <row r="42" spans="1:2">
      <c r="A42" s="19"/>
      <c r="B42" s="20"/>
    </row>
    <row r="43" spans="1:2">
      <c r="A43" s="19"/>
      <c r="B43" s="20"/>
    </row>
    <row r="44" spans="1:2">
      <c r="A44" s="19"/>
      <c r="B44" s="20"/>
    </row>
    <row r="45" spans="1:2">
      <c r="A45" s="19"/>
      <c r="B45" s="20"/>
    </row>
    <row r="46" spans="1:2">
      <c r="A46" s="19"/>
      <c r="B46" s="20"/>
    </row>
    <row r="47" spans="1:2">
      <c r="A47" s="19"/>
      <c r="B47" s="20"/>
    </row>
    <row r="48" spans="1:2">
      <c r="A48" s="19"/>
      <c r="B48" s="20"/>
    </row>
    <row r="49" spans="1:2">
      <c r="A49" s="19"/>
      <c r="B49" s="20"/>
    </row>
    <row r="50" spans="1:2">
      <c r="A50" s="19"/>
      <c r="B50" s="20"/>
    </row>
    <row r="51" spans="1:2">
      <c r="A51" s="19"/>
      <c r="B51" s="20"/>
    </row>
    <row r="52" spans="1:2">
      <c r="A52" s="19"/>
      <c r="B52" s="20"/>
    </row>
    <row r="53" spans="1:2">
      <c r="A53" s="19"/>
      <c r="B53" s="20"/>
    </row>
    <row r="54" spans="1:2">
      <c r="A54" s="19"/>
      <c r="B54" s="20"/>
    </row>
    <row r="55" spans="1:2">
      <c r="A55" s="19"/>
      <c r="B55" s="20"/>
    </row>
    <row r="56" spans="1:2">
      <c r="A56" s="19"/>
      <c r="B56" s="20"/>
    </row>
    <row r="57" spans="1:2">
      <c r="A57" s="19"/>
      <c r="B57" s="20"/>
    </row>
    <row r="58" spans="1:2">
      <c r="A58" s="19"/>
      <c r="B58" s="20"/>
    </row>
    <row r="59" spans="1:2">
      <c r="A59" s="19"/>
      <c r="B59" s="20"/>
    </row>
    <row r="60" spans="1:2">
      <c r="A60" s="19"/>
      <c r="B60" s="20"/>
    </row>
    <row r="61" spans="1:2">
      <c r="A61" s="19"/>
      <c r="B61" s="20"/>
    </row>
    <row r="62" spans="1:2">
      <c r="A62" s="19"/>
      <c r="B62" s="20"/>
    </row>
    <row r="63" spans="1:2">
      <c r="A63" s="19"/>
      <c r="B63" s="20"/>
    </row>
    <row r="64" spans="1:2">
      <c r="A64" s="19"/>
      <c r="B64" s="20"/>
    </row>
    <row r="65" spans="1:2">
      <c r="A65" s="19"/>
      <c r="B65" s="20"/>
    </row>
    <row r="66" spans="1:2">
      <c r="A66" s="19"/>
      <c r="B66" s="20"/>
    </row>
    <row r="67" spans="1:2">
      <c r="A67" s="19"/>
      <c r="B67" s="20"/>
    </row>
    <row r="68" spans="1:2">
      <c r="A68" s="19"/>
      <c r="B68" s="20"/>
    </row>
    <row r="69" spans="1:2">
      <c r="A69" s="19"/>
      <c r="B69" s="20"/>
    </row>
    <row r="70" spans="1:2">
      <c r="A70" s="19"/>
      <c r="B70" s="20"/>
    </row>
    <row r="71" spans="1:2">
      <c r="A71" s="19"/>
      <c r="B71" s="20"/>
    </row>
    <row r="72" spans="1:2">
      <c r="A72" s="19"/>
      <c r="B72" s="20"/>
    </row>
    <row r="73" spans="1:2">
      <c r="A73" s="19"/>
      <c r="B73" s="20"/>
    </row>
    <row r="74" spans="1:2">
      <c r="A74" s="19"/>
      <c r="B74" s="20"/>
    </row>
    <row r="75" spans="1:2">
      <c r="A75" s="19"/>
      <c r="B75" s="20"/>
    </row>
    <row r="76" spans="1:2">
      <c r="A76" s="19"/>
      <c r="B76" s="20"/>
    </row>
    <row r="77" spans="1:2">
      <c r="A77" s="19"/>
      <c r="B77" s="20"/>
    </row>
    <row r="78" spans="1:2">
      <c r="A78" s="19"/>
      <c r="B78" s="20"/>
    </row>
    <row r="79" spans="1:2">
      <c r="A79" s="19"/>
      <c r="B79" s="20"/>
    </row>
    <row r="80" spans="1:2">
      <c r="A80" s="19"/>
      <c r="B80" s="20"/>
    </row>
    <row r="81" spans="1:2">
      <c r="A81" s="19"/>
      <c r="B81" s="20"/>
    </row>
    <row r="82" spans="1:2">
      <c r="A82" s="19"/>
      <c r="B82" s="20"/>
    </row>
    <row r="83" spans="1:2">
      <c r="A83" s="19"/>
      <c r="B83" s="20"/>
    </row>
    <row r="84" spans="1:2">
      <c r="A84" s="19"/>
      <c r="B84" s="20"/>
    </row>
    <row r="85" spans="1:2">
      <c r="A85" s="19"/>
      <c r="B85" s="20"/>
    </row>
    <row r="86" spans="1:2">
      <c r="A86" s="19"/>
      <c r="B86" s="20"/>
    </row>
    <row r="87" spans="1:2">
      <c r="A87" s="19"/>
      <c r="B87" s="20"/>
    </row>
    <row r="88" spans="1:2">
      <c r="A88" s="19"/>
      <c r="B88" s="20"/>
    </row>
    <row r="89" spans="1:2">
      <c r="A89" s="19"/>
      <c r="B89" s="20"/>
    </row>
    <row r="90" spans="1:2">
      <c r="A90" s="19"/>
      <c r="B90" s="20"/>
    </row>
    <row r="91" spans="1:2">
      <c r="A91" s="19"/>
      <c r="B91" s="20"/>
    </row>
    <row r="92" spans="1:2">
      <c r="A92" s="19"/>
      <c r="B92" s="20"/>
    </row>
    <row r="93" spans="1:2">
      <c r="A93" s="19"/>
      <c r="B93" s="20"/>
    </row>
    <row r="94" spans="1:2">
      <c r="A94" s="19"/>
      <c r="B94" s="20"/>
    </row>
    <row r="95" spans="1:2">
      <c r="A95" s="19"/>
      <c r="B95" s="20"/>
    </row>
    <row r="96" spans="1:2">
      <c r="A96" s="19"/>
      <c r="B96" s="20"/>
    </row>
    <row r="97" spans="1:2">
      <c r="A97" s="19"/>
      <c r="B97" s="20"/>
    </row>
    <row r="98" spans="1:2">
      <c r="A98" s="19"/>
      <c r="B98" s="20"/>
    </row>
    <row r="99" spans="1:2">
      <c r="A99" s="19"/>
      <c r="B99" s="20"/>
    </row>
    <row r="100" spans="1:2">
      <c r="A100" s="19"/>
      <c r="B100" s="20"/>
    </row>
    <row r="101" spans="1:2">
      <c r="A101" s="19"/>
      <c r="B101" s="20"/>
    </row>
    <row r="102" spans="1:2">
      <c r="A102" s="19"/>
      <c r="B102" s="20"/>
    </row>
    <row r="103" spans="1:2">
      <c r="A103" s="19"/>
      <c r="B103" s="20"/>
    </row>
    <row r="104" spans="1:2">
      <c r="A104" s="19"/>
      <c r="B104" s="20"/>
    </row>
    <row r="105" spans="1:2">
      <c r="A105" s="19"/>
      <c r="B105" s="20"/>
    </row>
    <row r="106" spans="1:2">
      <c r="A106" s="19"/>
      <c r="B106" s="20"/>
    </row>
    <row r="107" spans="1:2">
      <c r="A107" s="19"/>
      <c r="B107" s="20"/>
    </row>
    <row r="108" spans="1:2">
      <c r="A108" s="19"/>
      <c r="B108" s="20"/>
    </row>
    <row r="109" spans="1:2">
      <c r="A109" s="19"/>
      <c r="B109" s="20"/>
    </row>
    <row r="110" spans="1:2">
      <c r="A110" s="19"/>
      <c r="B110" s="20"/>
    </row>
    <row r="111" spans="1:2">
      <c r="A111" s="19"/>
      <c r="B111" s="20"/>
    </row>
    <row r="112" spans="1:2">
      <c r="A112" s="19"/>
      <c r="B112" s="20"/>
    </row>
    <row r="113" spans="1:2">
      <c r="A113" s="19"/>
      <c r="B113" s="20"/>
    </row>
    <row r="114" spans="1:2">
      <c r="A114" s="19"/>
      <c r="B114" s="20"/>
    </row>
    <row r="115" spans="1:2">
      <c r="A115" s="19"/>
      <c r="B115" s="20"/>
    </row>
    <row r="116" spans="1:2">
      <c r="A116" s="19"/>
      <c r="B116" s="20"/>
    </row>
    <row r="117" spans="1:2">
      <c r="A117" s="19"/>
      <c r="B117" s="20"/>
    </row>
    <row r="118" spans="1:2">
      <c r="A118" s="19"/>
      <c r="B118" s="20"/>
    </row>
    <row r="119" spans="1:2">
      <c r="A119" s="19"/>
      <c r="B119" s="20"/>
    </row>
    <row r="120" spans="1:2">
      <c r="A120" s="19"/>
      <c r="B120" s="20"/>
    </row>
    <row r="121" spans="1:2">
      <c r="A121" s="19"/>
      <c r="B121" s="20"/>
    </row>
    <row r="122" spans="1:2">
      <c r="A122" s="19"/>
      <c r="B122" s="20"/>
    </row>
    <row r="123" spans="1:2">
      <c r="A123" s="19"/>
      <c r="B123" s="20"/>
    </row>
    <row r="124" spans="1:2">
      <c r="A124" s="19"/>
      <c r="B124" s="20"/>
    </row>
    <row r="125" spans="1:2">
      <c r="A125" s="19"/>
      <c r="B125" s="20"/>
    </row>
    <row r="126" spans="1:2">
      <c r="A126" s="19"/>
      <c r="B126" s="20"/>
    </row>
    <row r="127" spans="1:2">
      <c r="A127" s="19"/>
      <c r="B127" s="20"/>
    </row>
    <row r="128" spans="1:2">
      <c r="A128" s="19"/>
      <c r="B128" s="20"/>
    </row>
    <row r="129" spans="1:2">
      <c r="A129" s="19"/>
      <c r="B129" s="20"/>
    </row>
    <row r="130" spans="1:2">
      <c r="A130" s="19"/>
      <c r="B130" s="20"/>
    </row>
    <row r="131" spans="1:2">
      <c r="A131" s="19"/>
      <c r="B131" s="20"/>
    </row>
    <row r="132" spans="1:2">
      <c r="A132" s="19"/>
      <c r="B132" s="20"/>
    </row>
    <row r="133" spans="1:2">
      <c r="A133" s="19"/>
      <c r="B133" s="20"/>
    </row>
    <row r="134" spans="1:2">
      <c r="A134" s="19"/>
      <c r="B134" s="20"/>
    </row>
    <row r="135" spans="1:2">
      <c r="A135" s="19"/>
      <c r="B135" s="20"/>
    </row>
    <row r="136" spans="1:2">
      <c r="A136" s="19"/>
      <c r="B136" s="20"/>
    </row>
    <row r="137" spans="1:2">
      <c r="A137" s="19"/>
      <c r="B137" s="20"/>
    </row>
    <row r="138" spans="1:2">
      <c r="A138" s="19"/>
      <c r="B138" s="20"/>
    </row>
    <row r="139" spans="1:2">
      <c r="A139" s="19"/>
      <c r="B139" s="20"/>
    </row>
    <row r="140" spans="1:2">
      <c r="A140" s="19"/>
      <c r="B140" s="20"/>
    </row>
    <row r="141" spans="1:2">
      <c r="A141" s="19"/>
      <c r="B141" s="20"/>
    </row>
    <row r="142" spans="1:2">
      <c r="A142" s="19"/>
      <c r="B142" s="20"/>
    </row>
    <row r="143" spans="1:2">
      <c r="A143" s="19"/>
      <c r="B143" s="20"/>
    </row>
    <row r="144" spans="1:2">
      <c r="A144" s="19"/>
      <c r="B144" s="20"/>
    </row>
    <row r="145" spans="1:2">
      <c r="A145" s="19"/>
      <c r="B145" s="20"/>
    </row>
    <row r="146" spans="1:2">
      <c r="A146" s="19"/>
      <c r="B146" s="20"/>
    </row>
    <row r="147" spans="1:2">
      <c r="A147" s="19"/>
      <c r="B147" s="20"/>
    </row>
    <row r="148" spans="1:2">
      <c r="A148" s="19"/>
      <c r="B148" s="20"/>
    </row>
    <row r="149" spans="1:2">
      <c r="A149" s="19"/>
      <c r="B149" s="20"/>
    </row>
    <row r="150" spans="1:2">
      <c r="A150" s="19"/>
      <c r="B150" s="20"/>
    </row>
    <row r="151" spans="1:2">
      <c r="A151" s="19"/>
      <c r="B151" s="20"/>
    </row>
    <row r="152" spans="1:2">
      <c r="A152" s="19"/>
      <c r="B152" s="20"/>
    </row>
    <row r="153" spans="1:2">
      <c r="A153" s="19"/>
      <c r="B153" s="20"/>
    </row>
    <row r="154" spans="1:2">
      <c r="A154" s="19"/>
      <c r="B154" s="20"/>
    </row>
    <row r="155" spans="1:2">
      <c r="A155" s="19"/>
      <c r="B155" s="20"/>
    </row>
    <row r="156" spans="1:2">
      <c r="A156" s="19"/>
      <c r="B156" s="20"/>
    </row>
    <row r="157" spans="1:2">
      <c r="A157" s="19"/>
      <c r="B157" s="20"/>
    </row>
    <row r="158" spans="1:2">
      <c r="A158" s="19"/>
      <c r="B158" s="20"/>
    </row>
    <row r="159" spans="1:2">
      <c r="A159" s="19"/>
      <c r="B159" s="20"/>
    </row>
    <row r="160" spans="1:2">
      <c r="A160" s="19"/>
      <c r="B160" s="20"/>
    </row>
    <row r="161" spans="1:2">
      <c r="A161" s="19"/>
      <c r="B161" s="20"/>
    </row>
    <row r="162" spans="1:2">
      <c r="A162" s="19"/>
      <c r="B162" s="20"/>
    </row>
    <row r="163" spans="1:2">
      <c r="A163" s="19"/>
      <c r="B163" s="20"/>
    </row>
    <row r="164" spans="1:2">
      <c r="A164" s="19"/>
      <c r="B164" s="20"/>
    </row>
    <row r="165" spans="1:2">
      <c r="A165" s="19"/>
      <c r="B165" s="20"/>
    </row>
    <row r="166" spans="1:2">
      <c r="A166" s="19"/>
      <c r="B166" s="20"/>
    </row>
    <row r="167" spans="1:2">
      <c r="A167" s="19"/>
      <c r="B167" s="20"/>
    </row>
    <row r="168" spans="1:2">
      <c r="A168" s="19"/>
      <c r="B168" s="20"/>
    </row>
    <row r="169" spans="1:2">
      <c r="A169" s="19"/>
      <c r="B169" s="20"/>
    </row>
    <row r="170" spans="1:2">
      <c r="A170" s="19"/>
      <c r="B170" s="20"/>
    </row>
    <row r="171" spans="1:2">
      <c r="A171" s="19"/>
      <c r="B171" s="20"/>
    </row>
    <row r="172" spans="1:2">
      <c r="A172" s="19"/>
      <c r="B172" s="20"/>
    </row>
    <row r="173" spans="1:2">
      <c r="A173" s="19"/>
      <c r="B173" s="20"/>
    </row>
    <row r="174" spans="1:2">
      <c r="A174" s="19"/>
      <c r="B174" s="20"/>
    </row>
    <row r="175" spans="1:2">
      <c r="A175" s="19"/>
      <c r="B175" s="20"/>
    </row>
    <row r="176" spans="1:2">
      <c r="A176" s="19"/>
      <c r="B176" s="20"/>
    </row>
    <row r="177" spans="1:2">
      <c r="A177" s="19"/>
      <c r="B177" s="20"/>
    </row>
    <row r="178" spans="1:2">
      <c r="A178" s="19"/>
      <c r="B178" s="20"/>
    </row>
    <row r="179" spans="1:2">
      <c r="A179" s="19"/>
      <c r="B179" s="20"/>
    </row>
    <row r="180" spans="1:2">
      <c r="A180" s="19"/>
      <c r="B180" s="20"/>
    </row>
    <row r="181" spans="1:2">
      <c r="A181" s="19"/>
      <c r="B181" s="20"/>
    </row>
    <row r="182" spans="1:2">
      <c r="A182" s="19"/>
      <c r="B182" s="20"/>
    </row>
    <row r="183" spans="1:2">
      <c r="A183" s="19"/>
      <c r="B183" s="20"/>
    </row>
    <row r="184" spans="1:2">
      <c r="A184" s="19"/>
      <c r="B184" s="20"/>
    </row>
    <row r="185" spans="1:2">
      <c r="A185" s="19"/>
      <c r="B185" s="20"/>
    </row>
    <row r="186" spans="1:2">
      <c r="A186" s="19"/>
      <c r="B186" s="20"/>
    </row>
    <row r="187" spans="1:2">
      <c r="A187" s="19"/>
      <c r="B187" s="20"/>
    </row>
    <row r="188" spans="1:2">
      <c r="A188" s="19"/>
      <c r="B188" s="20"/>
    </row>
    <row r="189" spans="1:2">
      <c r="A189" s="19"/>
      <c r="B189" s="20"/>
    </row>
    <row r="190" spans="1:2">
      <c r="A190" s="19"/>
      <c r="B190" s="20"/>
    </row>
    <row r="191" spans="1:2">
      <c r="A191" s="19"/>
      <c r="B191" s="20"/>
    </row>
    <row r="192" spans="1:2">
      <c r="A192" s="19"/>
      <c r="B192" s="20"/>
    </row>
    <row r="193" spans="1:2">
      <c r="A193" s="19"/>
      <c r="B193" s="20"/>
    </row>
    <row r="194" spans="1:2">
      <c r="A194" s="19"/>
      <c r="B194" s="20"/>
    </row>
    <row r="195" spans="1:2">
      <c r="A195" s="19"/>
      <c r="B195" s="20"/>
    </row>
    <row r="196" spans="1:2">
      <c r="A196" s="19"/>
      <c r="B196" s="20"/>
    </row>
    <row r="197" spans="1:2">
      <c r="A197" s="19"/>
      <c r="B197" s="20"/>
    </row>
    <row r="198" spans="1:2">
      <c r="A198" s="19"/>
      <c r="B198" s="20"/>
    </row>
    <row r="199" spans="1:2">
      <c r="A199" s="19"/>
      <c r="B199" s="20"/>
    </row>
    <row r="200" spans="1:2">
      <c r="A200" s="19"/>
      <c r="B200" s="20"/>
    </row>
    <row r="201" spans="1:2">
      <c r="A201" s="19"/>
      <c r="B201" s="20"/>
    </row>
    <row r="202" spans="1:2">
      <c r="A202" s="19"/>
      <c r="B202" s="20"/>
    </row>
    <row r="203" spans="1:2">
      <c r="A203" s="19"/>
      <c r="B203" s="20"/>
    </row>
    <row r="204" spans="1:2">
      <c r="A204" s="19"/>
      <c r="B204" s="20"/>
    </row>
    <row r="205" spans="1:2">
      <c r="A205" s="19"/>
      <c r="B205" s="20"/>
    </row>
    <row r="206" spans="1:2">
      <c r="A206" s="19"/>
      <c r="B206" s="20"/>
    </row>
    <row r="207" spans="1:2">
      <c r="A207" s="19"/>
      <c r="B207" s="20"/>
    </row>
    <row r="208" spans="1:2">
      <c r="A208" s="19"/>
      <c r="B208" s="20"/>
    </row>
    <row r="209" spans="1:2">
      <c r="A209" s="19"/>
      <c r="B209" s="20"/>
    </row>
    <row r="210" spans="1:2">
      <c r="A210" s="19"/>
      <c r="B210" s="20"/>
    </row>
    <row r="211" spans="1:2">
      <c r="A211" s="19"/>
      <c r="B211" s="20"/>
    </row>
    <row r="212" spans="1:2">
      <c r="A212" s="19"/>
      <c r="B212" s="20"/>
    </row>
    <row r="213" spans="1:2">
      <c r="A213" s="19"/>
      <c r="B213" s="20"/>
    </row>
    <row r="214" spans="1:2">
      <c r="A214" s="19"/>
      <c r="B214" s="20"/>
    </row>
    <row r="215" spans="1:2">
      <c r="A215" s="19"/>
      <c r="B215" s="20"/>
    </row>
    <row r="216" spans="1:2">
      <c r="A216" s="19"/>
      <c r="B216" s="20"/>
    </row>
    <row r="217" spans="1:2">
      <c r="A217" s="19"/>
      <c r="B217" s="20"/>
    </row>
    <row r="218" spans="1:2">
      <c r="A218" s="19"/>
      <c r="B218" s="20"/>
    </row>
    <row r="219" spans="1:2">
      <c r="A219" s="19"/>
      <c r="B219" s="20"/>
    </row>
    <row r="220" spans="1:2">
      <c r="A220" s="19"/>
      <c r="B220" s="20"/>
    </row>
    <row r="221" spans="1:2">
      <c r="A221" s="19"/>
      <c r="B221" s="20"/>
    </row>
    <row r="222" spans="1:2">
      <c r="A222" s="19"/>
      <c r="B222" s="20"/>
    </row>
    <row r="223" spans="1:2">
      <c r="A223" s="19"/>
      <c r="B223" s="20"/>
    </row>
    <row r="224" spans="1:2">
      <c r="A224" s="19"/>
      <c r="B224" s="20"/>
    </row>
    <row r="225" spans="1:2">
      <c r="A225" s="19"/>
      <c r="B225" s="20"/>
    </row>
    <row r="226" spans="1:2">
      <c r="A226" s="19"/>
      <c r="B226" s="20"/>
    </row>
    <row r="227" spans="1:2">
      <c r="A227" s="19"/>
      <c r="B227" s="20"/>
    </row>
    <row r="228" spans="1:2">
      <c r="A228" s="19"/>
      <c r="B228" s="20"/>
    </row>
    <row r="229" spans="1:2">
      <c r="A229" s="19"/>
      <c r="B229" s="20"/>
    </row>
    <row r="230" spans="1:2">
      <c r="A230" s="19"/>
      <c r="B230" s="20"/>
    </row>
    <row r="231" spans="1:2">
      <c r="A231" s="19"/>
      <c r="B231" s="20"/>
    </row>
    <row r="232" spans="1:2">
      <c r="A232" s="19"/>
      <c r="B232" s="20"/>
    </row>
    <row r="233" spans="1:2">
      <c r="A233" s="19"/>
      <c r="B233" s="20"/>
    </row>
    <row r="234" spans="1:2">
      <c r="A234" s="19"/>
      <c r="B234" s="20"/>
    </row>
    <row r="235" spans="1:2">
      <c r="A235" s="19"/>
      <c r="B235" s="20"/>
    </row>
    <row r="236" spans="1:2">
      <c r="A236" s="19"/>
      <c r="B236" s="20"/>
    </row>
    <row r="237" spans="1:2">
      <c r="A237" s="19"/>
      <c r="B237" s="20"/>
    </row>
    <row r="238" spans="1:2">
      <c r="A238" s="19"/>
      <c r="B238" s="20"/>
    </row>
    <row r="239" spans="1:2">
      <c r="A239" s="19"/>
      <c r="B239" s="20"/>
    </row>
    <row r="240" spans="1:2">
      <c r="A240" s="19"/>
      <c r="B240" s="20"/>
    </row>
    <row r="241" spans="1:2">
      <c r="A241" s="19"/>
      <c r="B241" s="20"/>
    </row>
    <row r="242" spans="1:2">
      <c r="A242" s="19"/>
      <c r="B242" s="20"/>
    </row>
    <row r="243" spans="1:2">
      <c r="A243" s="19"/>
      <c r="B243" s="20"/>
    </row>
    <row r="244" spans="1:2">
      <c r="A244" s="19"/>
      <c r="B244" s="20"/>
    </row>
    <row r="245" spans="1:2">
      <c r="A245" s="19"/>
      <c r="B245" s="20"/>
    </row>
    <row r="246" spans="1:2">
      <c r="A246" s="19"/>
      <c r="B246" s="20"/>
    </row>
    <row r="247" spans="1:2">
      <c r="A247" s="19"/>
      <c r="B247" s="20"/>
    </row>
    <row r="248" spans="1:2">
      <c r="A248" s="19"/>
      <c r="B248" s="20"/>
    </row>
    <row r="249" spans="1:2">
      <c r="A249" s="19"/>
      <c r="B249" s="20"/>
    </row>
    <row r="250" spans="1:2">
      <c r="A250" s="19"/>
      <c r="B250" s="20"/>
    </row>
    <row r="251" spans="1:2">
      <c r="A251" s="19"/>
      <c r="B251" s="20"/>
    </row>
    <row r="252" spans="1:2">
      <c r="A252" s="19"/>
      <c r="B252" s="20"/>
    </row>
    <row r="253" spans="1:2">
      <c r="A253" s="19"/>
      <c r="B253" s="20"/>
    </row>
    <row r="254" spans="1:2">
      <c r="A254" s="19"/>
      <c r="B254" s="20"/>
    </row>
    <row r="255" spans="1:2">
      <c r="A255" s="19"/>
      <c r="B255" s="20"/>
    </row>
    <row r="256" spans="1:2">
      <c r="A256" s="19"/>
      <c r="B256" s="20"/>
    </row>
    <row r="257" spans="1:2">
      <c r="A257" s="19"/>
      <c r="B257" s="20"/>
    </row>
    <row r="258" spans="1:2">
      <c r="A258" s="19"/>
      <c r="B258" s="20"/>
    </row>
    <row r="259" spans="1:2">
      <c r="A259" s="19"/>
      <c r="B259" s="20"/>
    </row>
    <row r="260" spans="1:2">
      <c r="A260" s="19"/>
      <c r="B260" s="20"/>
    </row>
    <row r="261" spans="1:2">
      <c r="A261" s="19"/>
      <c r="B261" s="20"/>
    </row>
    <row r="262" spans="1:2">
      <c r="A262" s="19"/>
      <c r="B262" s="20"/>
    </row>
    <row r="263" spans="1:2">
      <c r="A263" s="19"/>
      <c r="B263" s="20"/>
    </row>
    <row r="264" spans="1:2">
      <c r="A264" s="19"/>
      <c r="B264" s="20"/>
    </row>
    <row r="265" spans="1:2">
      <c r="A265" s="19"/>
      <c r="B265" s="20"/>
    </row>
    <row r="266" spans="1:2">
      <c r="A266" s="19"/>
      <c r="B266" s="20"/>
    </row>
    <row r="267" spans="1:2">
      <c r="A267" s="19"/>
      <c r="B267" s="20"/>
    </row>
    <row r="268" spans="1:2">
      <c r="A268" s="19"/>
      <c r="B268" s="20"/>
    </row>
    <row r="269" spans="1:2">
      <c r="A269" s="19"/>
      <c r="B269" s="20"/>
    </row>
    <row r="270" spans="1:2">
      <c r="A270" s="19"/>
      <c r="B270" s="20"/>
    </row>
    <row r="271" spans="1:2">
      <c r="A271" s="19"/>
      <c r="B271" s="20"/>
    </row>
    <row r="272" spans="1:2">
      <c r="A272" s="19"/>
      <c r="B272" s="20"/>
    </row>
    <row r="273" spans="1:2">
      <c r="A273" s="19"/>
      <c r="B273" s="20"/>
    </row>
    <row r="274" spans="1:2">
      <c r="A274" s="19"/>
      <c r="B274" s="20"/>
    </row>
    <row r="275" spans="1:2">
      <c r="A275" s="19"/>
      <c r="B275" s="20"/>
    </row>
    <row r="276" spans="1:2">
      <c r="A276" s="19"/>
      <c r="B276" s="20"/>
    </row>
    <row r="277" spans="1:2">
      <c r="A277" s="19"/>
      <c r="B277" s="20"/>
    </row>
    <row r="278" spans="1:2">
      <c r="A278" s="19"/>
      <c r="B278" s="20"/>
    </row>
    <row r="279" spans="1:2">
      <c r="A279" s="19"/>
      <c r="B279" s="20"/>
    </row>
    <row r="280" spans="1:2">
      <c r="A280" s="19"/>
      <c r="B280" s="20"/>
    </row>
    <row r="281" spans="1:2">
      <c r="A281" s="19"/>
      <c r="B281" s="20"/>
    </row>
    <row r="282" spans="1:2">
      <c r="A282" s="19"/>
      <c r="B282" s="20"/>
    </row>
    <row r="283" spans="1:2">
      <c r="A283" s="19"/>
      <c r="B283" s="20"/>
    </row>
    <row r="284" spans="1:2">
      <c r="A284" s="19"/>
      <c r="B284" s="20"/>
    </row>
    <row r="285" spans="1:2">
      <c r="A285" s="19"/>
      <c r="B285" s="20"/>
    </row>
    <row r="286" spans="1:2">
      <c r="A286" s="19"/>
      <c r="B286" s="20"/>
    </row>
    <row r="287" spans="1:2">
      <c r="A287" s="19"/>
      <c r="B287" s="20"/>
    </row>
    <row r="288" spans="1:2">
      <c r="A288" s="19"/>
      <c r="B288" s="20"/>
    </row>
    <row r="289" spans="1:2">
      <c r="A289" s="19"/>
      <c r="B289" s="20"/>
    </row>
    <row r="290" spans="1:2">
      <c r="A290" s="19"/>
      <c r="B290" s="20"/>
    </row>
    <row r="291" spans="1:2">
      <c r="A291" s="19"/>
      <c r="B291" s="20"/>
    </row>
    <row r="292" spans="1:2">
      <c r="A292" s="19"/>
      <c r="B292" s="20"/>
    </row>
    <row r="293" spans="1:2">
      <c r="A293" s="19"/>
      <c r="B293" s="20"/>
    </row>
    <row r="294" spans="1:2">
      <c r="A294" s="19"/>
      <c r="B294" s="20"/>
    </row>
    <row r="295" spans="1:2">
      <c r="A295" s="19"/>
      <c r="B295" s="20"/>
    </row>
    <row r="296" spans="1:2">
      <c r="A296" s="19"/>
      <c r="B296" s="20"/>
    </row>
    <row r="297" spans="1:2">
      <c r="A297" s="19"/>
      <c r="B297" s="20"/>
    </row>
    <row r="298" spans="1:2">
      <c r="A298" s="19"/>
      <c r="B298" s="20"/>
    </row>
    <row r="299" spans="1:2">
      <c r="A299" s="19"/>
      <c r="B299" s="20"/>
    </row>
    <row r="300" spans="1:2">
      <c r="A300" s="19"/>
      <c r="B300" s="20"/>
    </row>
    <row r="301" spans="1:2">
      <c r="A301" s="19"/>
      <c r="B301" s="20"/>
    </row>
    <row r="302" spans="1:2">
      <c r="A302" s="19"/>
      <c r="B302" s="20"/>
    </row>
    <row r="303" spans="1:2">
      <c r="A303" s="19"/>
      <c r="B303" s="20"/>
    </row>
    <row r="304" spans="1:2">
      <c r="A304" s="19"/>
      <c r="B304" s="20"/>
    </row>
    <row r="305" spans="1:2">
      <c r="A305" s="19"/>
      <c r="B305" s="20"/>
    </row>
    <row r="306" spans="1:2">
      <c r="A306" s="19"/>
      <c r="B306" s="20"/>
    </row>
    <row r="307" spans="1:2">
      <c r="A307" s="19"/>
      <c r="B307" s="20"/>
    </row>
    <row r="308" spans="1:2">
      <c r="A308" s="19"/>
      <c r="B308" s="20"/>
    </row>
    <row r="309" spans="1:2">
      <c r="A309" s="19"/>
      <c r="B309" s="20"/>
    </row>
    <row r="310" spans="1:2">
      <c r="A310" s="19"/>
      <c r="B310" s="20"/>
    </row>
    <row r="311" spans="1:2">
      <c r="A311" s="19"/>
      <c r="B311" s="20"/>
    </row>
    <row r="312" spans="1:2">
      <c r="A312" s="19"/>
      <c r="B312" s="20"/>
    </row>
    <row r="313" spans="1:2">
      <c r="A313" s="19"/>
      <c r="B313" s="20"/>
    </row>
    <row r="314" spans="1:2">
      <c r="A314" s="19"/>
      <c r="B314" s="20"/>
    </row>
    <row r="315" spans="1:2">
      <c r="A315" s="19"/>
      <c r="B315" s="20"/>
    </row>
    <row r="316" spans="1:2">
      <c r="A316" s="19"/>
      <c r="B316" s="20"/>
    </row>
    <row r="317" spans="1:2">
      <c r="A317" s="19"/>
      <c r="B317" s="20"/>
    </row>
    <row r="318" spans="1:2">
      <c r="A318" s="19"/>
      <c r="B318" s="20"/>
    </row>
    <row r="319" spans="1:2">
      <c r="A319" s="19"/>
      <c r="B319" s="20"/>
    </row>
    <row r="320" spans="1:2">
      <c r="A320" s="19"/>
      <c r="B320" s="20"/>
    </row>
    <row r="321" spans="1:2">
      <c r="A321" s="19"/>
      <c r="B321" s="20"/>
    </row>
    <row r="322" spans="1:2">
      <c r="A322" s="19"/>
      <c r="B322" s="20"/>
    </row>
    <row r="323" spans="1:2">
      <c r="A323" s="19"/>
      <c r="B323" s="20"/>
    </row>
    <row r="324" spans="1:2">
      <c r="A324" s="19"/>
      <c r="B324" s="20"/>
    </row>
    <row r="325" spans="1:2">
      <c r="A325" s="19"/>
      <c r="B325" s="20"/>
    </row>
    <row r="326" spans="1:2">
      <c r="A326" s="19"/>
      <c r="B326" s="20"/>
    </row>
    <row r="327" spans="1:2">
      <c r="A327" s="19"/>
      <c r="B327" s="20"/>
    </row>
    <row r="328" spans="1:2">
      <c r="A328" s="19"/>
      <c r="B328" s="20"/>
    </row>
    <row r="329" spans="1:2">
      <c r="A329" s="19"/>
      <c r="B329" s="20"/>
    </row>
    <row r="330" spans="1:2">
      <c r="A330" s="19"/>
      <c r="B330" s="20"/>
    </row>
    <row r="331" spans="1:2">
      <c r="A331" s="19"/>
      <c r="B331" s="20"/>
    </row>
    <row r="332" spans="1:2">
      <c r="A332" s="19"/>
      <c r="B332" s="20"/>
    </row>
    <row r="333" spans="1:2">
      <c r="A333" s="19"/>
      <c r="B333" s="20"/>
    </row>
    <row r="334" spans="1:2">
      <c r="A334" s="19"/>
      <c r="B334" s="20"/>
    </row>
    <row r="335" spans="1:2">
      <c r="A335" s="19"/>
      <c r="B335" s="20"/>
    </row>
    <row r="336" spans="1:2">
      <c r="A336" s="19"/>
      <c r="B336" s="20"/>
    </row>
    <row r="337" spans="1:2">
      <c r="A337" s="19"/>
      <c r="B337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E4C7-99BE-4A75-825D-EFDB27C21647}">
  <dimension ref="A1:AE373"/>
  <sheetViews>
    <sheetView zoomScale="85" zoomScaleNormal="85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5"/>
  <cols>
    <col min="1" max="3" width="9.140625" style="10"/>
    <col min="4" max="4" width="8.7109375" customWidth="1"/>
    <col min="5" max="16384" width="9.140625" style="10"/>
  </cols>
  <sheetData>
    <row r="1" spans="1:31" ht="12.75">
      <c r="A1" s="11"/>
      <c r="D1" s="10"/>
    </row>
    <row r="2" spans="1:31" ht="12.75">
      <c r="A2" s="19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24"/>
      <c r="AD2" s="24"/>
      <c r="AE2" s="24"/>
    </row>
    <row r="3" spans="1:31" ht="12.75">
      <c r="A3" s="19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4"/>
      <c r="AD3" s="24"/>
      <c r="AE3" s="24"/>
    </row>
    <row r="4" spans="1:31" ht="12.75">
      <c r="A4" s="1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24"/>
      <c r="AD4" s="24"/>
      <c r="AE4" s="24"/>
    </row>
    <row r="5" spans="1:31" ht="12.75">
      <c r="A5" s="19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24"/>
      <c r="AD5" s="24"/>
      <c r="AE5" s="24"/>
    </row>
    <row r="6" spans="1:31" ht="12.75">
      <c r="A6" s="1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24"/>
      <c r="AD6" s="24"/>
      <c r="AE6" s="24"/>
    </row>
    <row r="7" spans="1:31" ht="12.75">
      <c r="A7" s="19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24"/>
      <c r="AD7" s="24"/>
      <c r="AE7" s="24"/>
    </row>
    <row r="8" spans="1:31" ht="12.75">
      <c r="A8" s="19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24"/>
      <c r="AD8" s="24"/>
      <c r="AE8" s="24"/>
    </row>
    <row r="9" spans="1:31" ht="12.75">
      <c r="A9" s="19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24"/>
      <c r="AD9" s="24"/>
      <c r="AE9" s="24"/>
    </row>
    <row r="10" spans="1:31" ht="12.75">
      <c r="A10" s="19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24"/>
      <c r="AC10" s="24"/>
      <c r="AD10" s="24"/>
      <c r="AE10" s="24"/>
    </row>
    <row r="11" spans="1:31" ht="12.75">
      <c r="A11" s="1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24"/>
      <c r="AC11" s="24"/>
      <c r="AD11" s="24"/>
      <c r="AE11" s="24"/>
    </row>
    <row r="12" spans="1:31" ht="12.75">
      <c r="A12" s="19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4"/>
      <c r="AC12" s="24"/>
      <c r="AD12" s="24"/>
      <c r="AE12" s="24"/>
    </row>
    <row r="13" spans="1:31" ht="12.75">
      <c r="A13" s="19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24"/>
      <c r="AC13" s="24"/>
      <c r="AD13" s="24"/>
      <c r="AE13" s="24"/>
    </row>
    <row r="14" spans="1:31">
      <c r="A14" s="19"/>
    </row>
    <row r="15" spans="1:31">
      <c r="A15" s="19"/>
      <c r="E15" s="19"/>
    </row>
    <row r="16" spans="1:31">
      <c r="A16" s="19"/>
      <c r="E16" s="19"/>
    </row>
    <row r="17" spans="1:5">
      <c r="A17" s="19"/>
      <c r="E17" s="19"/>
    </row>
    <row r="18" spans="1:5">
      <c r="A18" s="19"/>
      <c r="E18" s="19"/>
    </row>
    <row r="19" spans="1:5">
      <c r="A19" s="11"/>
      <c r="E19" s="19"/>
    </row>
    <row r="20" spans="1:5">
      <c r="E20" s="19"/>
    </row>
    <row r="21" spans="1:5">
      <c r="E21" s="19"/>
    </row>
    <row r="22" spans="1:5">
      <c r="E22" s="19"/>
    </row>
    <row r="23" spans="1:5">
      <c r="E23" s="19"/>
    </row>
    <row r="24" spans="1:5">
      <c r="E24" s="19"/>
    </row>
    <row r="25" spans="1:5">
      <c r="E25" s="19"/>
    </row>
    <row r="26" spans="1:5">
      <c r="E26" s="19"/>
    </row>
    <row r="27" spans="1:5">
      <c r="E27" s="19"/>
    </row>
    <row r="28" spans="1:5">
      <c r="E28" s="19"/>
    </row>
    <row r="29" spans="1:5">
      <c r="E29" s="19"/>
    </row>
    <row r="30" spans="1:5">
      <c r="E30" s="19"/>
    </row>
    <row r="31" spans="1:5">
      <c r="E31" s="19"/>
    </row>
    <row r="32" spans="1:5">
      <c r="E32" s="19"/>
    </row>
    <row r="33" spans="1:5">
      <c r="E33" s="19"/>
    </row>
    <row r="34" spans="1:5">
      <c r="E34" s="19"/>
    </row>
    <row r="35" spans="1:5">
      <c r="E35" s="19"/>
    </row>
    <row r="36" spans="1:5">
      <c r="E36" s="19"/>
    </row>
    <row r="37" spans="1:5">
      <c r="E37" s="19"/>
    </row>
    <row r="38" spans="1:5">
      <c r="E38" s="19"/>
    </row>
    <row r="39" spans="1:5">
      <c r="E39" s="19"/>
    </row>
    <row r="40" spans="1:5">
      <c r="E40" s="19"/>
    </row>
    <row r="41" spans="1:5">
      <c r="E41" s="19"/>
    </row>
    <row r="42" spans="1:5">
      <c r="E42" s="19"/>
    </row>
    <row r="43" spans="1:5">
      <c r="E43" s="19"/>
    </row>
    <row r="44" spans="1:5">
      <c r="E44" s="19"/>
    </row>
    <row r="45" spans="1:5">
      <c r="E45" s="19"/>
    </row>
    <row r="46" spans="1:5">
      <c r="E46" s="19"/>
    </row>
    <row r="47" spans="1:5">
      <c r="A47" s="19"/>
      <c r="E47" s="19"/>
    </row>
    <row r="48" spans="1:5">
      <c r="A48" s="19"/>
      <c r="E48" s="19"/>
    </row>
    <row r="49" spans="1:5">
      <c r="A49" s="19"/>
      <c r="E49" s="19"/>
    </row>
    <row r="50" spans="1:5">
      <c r="A50" s="19"/>
      <c r="E50" s="19"/>
    </row>
    <row r="51" spans="1:5">
      <c r="A51" s="19"/>
      <c r="E51" s="19"/>
    </row>
    <row r="52" spans="1:5">
      <c r="A52" s="19"/>
      <c r="E52" s="19"/>
    </row>
    <row r="53" spans="1:5">
      <c r="A53" s="19"/>
      <c r="E53" s="19"/>
    </row>
    <row r="54" spans="1:5">
      <c r="A54" s="19"/>
      <c r="E54" s="19"/>
    </row>
    <row r="55" spans="1:5">
      <c r="A55" s="19"/>
      <c r="E55" s="19"/>
    </row>
    <row r="56" spans="1:5">
      <c r="A56" s="19"/>
      <c r="E56" s="19"/>
    </row>
    <row r="57" spans="1:5">
      <c r="A57" s="19"/>
      <c r="E57" s="19"/>
    </row>
    <row r="58" spans="1:5">
      <c r="A58" s="19"/>
      <c r="E58" s="19"/>
    </row>
    <row r="59" spans="1:5">
      <c r="A59" s="19"/>
      <c r="E59" s="19"/>
    </row>
    <row r="60" spans="1:5">
      <c r="A60" s="19"/>
      <c r="E60" s="19"/>
    </row>
    <row r="61" spans="1:5">
      <c r="A61" s="19"/>
      <c r="E61" s="19"/>
    </row>
    <row r="62" spans="1:5">
      <c r="A62" s="19"/>
      <c r="E62" s="19"/>
    </row>
    <row r="63" spans="1:5">
      <c r="A63" s="19"/>
      <c r="E63" s="19"/>
    </row>
    <row r="64" spans="1:5">
      <c r="A64" s="19"/>
      <c r="E64" s="19"/>
    </row>
    <row r="65" spans="1:5">
      <c r="A65" s="19"/>
      <c r="E65" s="19"/>
    </row>
    <row r="66" spans="1:5">
      <c r="A66" s="19"/>
      <c r="E66" s="19"/>
    </row>
    <row r="67" spans="1:5">
      <c r="A67" s="19"/>
      <c r="E67" s="19"/>
    </row>
    <row r="68" spans="1:5">
      <c r="A68" s="19"/>
      <c r="E68" s="19"/>
    </row>
    <row r="69" spans="1:5">
      <c r="A69" s="19"/>
      <c r="E69" s="19"/>
    </row>
    <row r="70" spans="1:5">
      <c r="A70" s="19"/>
      <c r="E70" s="19"/>
    </row>
    <row r="71" spans="1:5">
      <c r="A71" s="19"/>
      <c r="E71" s="19"/>
    </row>
    <row r="72" spans="1:5">
      <c r="A72" s="19"/>
      <c r="E72" s="19"/>
    </row>
    <row r="73" spans="1:5">
      <c r="A73" s="19"/>
      <c r="E73" s="19"/>
    </row>
    <row r="74" spans="1:5">
      <c r="A74" s="19"/>
      <c r="E74" s="19"/>
    </row>
    <row r="75" spans="1:5">
      <c r="A75" s="19"/>
      <c r="E75" s="19"/>
    </row>
    <row r="76" spans="1:5">
      <c r="A76" s="19"/>
      <c r="E76" s="19"/>
    </row>
    <row r="77" spans="1:5">
      <c r="A77" s="19"/>
      <c r="E77" s="19"/>
    </row>
    <row r="78" spans="1:5">
      <c r="A78" s="19"/>
      <c r="E78" s="19"/>
    </row>
    <row r="79" spans="1:5">
      <c r="A79" s="19"/>
      <c r="E79" s="19"/>
    </row>
    <row r="80" spans="1:5">
      <c r="A80" s="19"/>
      <c r="E80" s="19"/>
    </row>
    <row r="81" spans="1:5">
      <c r="A81" s="19"/>
      <c r="E81" s="19"/>
    </row>
    <row r="82" spans="1:5">
      <c r="A82" s="19"/>
      <c r="E82" s="19"/>
    </row>
    <row r="83" spans="1:5">
      <c r="A83" s="19"/>
      <c r="E83" s="19"/>
    </row>
    <row r="84" spans="1:5">
      <c r="A84" s="19"/>
      <c r="E84" s="19"/>
    </row>
    <row r="85" spans="1:5">
      <c r="A85" s="19"/>
      <c r="E85" s="19"/>
    </row>
    <row r="86" spans="1:5">
      <c r="A86" s="19"/>
      <c r="E86" s="19"/>
    </row>
    <row r="87" spans="1:5">
      <c r="A87" s="19"/>
      <c r="E87" s="19"/>
    </row>
    <row r="88" spans="1:5">
      <c r="A88" s="19"/>
      <c r="E88" s="19"/>
    </row>
    <row r="89" spans="1:5">
      <c r="A89" s="19"/>
      <c r="E89" s="19"/>
    </row>
    <row r="90" spans="1:5">
      <c r="A90" s="19"/>
      <c r="E90" s="19"/>
    </row>
    <row r="91" spans="1:5">
      <c r="A91" s="19"/>
      <c r="E91" s="19"/>
    </row>
    <row r="92" spans="1:5">
      <c r="A92" s="19"/>
      <c r="E92" s="19"/>
    </row>
    <row r="93" spans="1:5">
      <c r="A93" s="19"/>
      <c r="E93" s="19"/>
    </row>
    <row r="94" spans="1:5">
      <c r="A94" s="19"/>
      <c r="E94" s="19"/>
    </row>
    <row r="95" spans="1:5">
      <c r="A95" s="19"/>
      <c r="E95" s="19"/>
    </row>
    <row r="96" spans="1:5">
      <c r="A96" s="19"/>
      <c r="E96" s="19"/>
    </row>
    <row r="97" spans="1:5">
      <c r="A97" s="19"/>
      <c r="E97" s="19"/>
    </row>
    <row r="98" spans="1:5">
      <c r="A98" s="19"/>
      <c r="E98" s="19"/>
    </row>
    <row r="99" spans="1:5">
      <c r="A99" s="19"/>
      <c r="E99" s="19"/>
    </row>
    <row r="100" spans="1:5">
      <c r="A100" s="19"/>
      <c r="E100" s="19"/>
    </row>
    <row r="101" spans="1:5">
      <c r="A101" s="19"/>
      <c r="E101" s="19"/>
    </row>
    <row r="102" spans="1:5">
      <c r="A102" s="19"/>
      <c r="E102" s="19"/>
    </row>
    <row r="103" spans="1:5">
      <c r="A103" s="19"/>
      <c r="E103" s="19"/>
    </row>
    <row r="104" spans="1:5">
      <c r="A104" s="19"/>
      <c r="E104" s="19"/>
    </row>
    <row r="105" spans="1:5">
      <c r="A105" s="19"/>
      <c r="E105" s="19"/>
    </row>
    <row r="106" spans="1:5">
      <c r="A106" s="19"/>
      <c r="E106" s="19"/>
    </row>
    <row r="107" spans="1:5">
      <c r="A107" s="19"/>
      <c r="E107" s="19"/>
    </row>
    <row r="108" spans="1:5">
      <c r="A108" s="19"/>
      <c r="E108" s="19"/>
    </row>
    <row r="109" spans="1:5">
      <c r="A109" s="19"/>
      <c r="E109" s="19"/>
    </row>
    <row r="110" spans="1:5">
      <c r="A110" s="19"/>
      <c r="E110" s="19"/>
    </row>
    <row r="111" spans="1:5">
      <c r="A111" s="19"/>
      <c r="E111" s="19"/>
    </row>
    <row r="112" spans="1:5">
      <c r="A112" s="19"/>
      <c r="E112" s="19"/>
    </row>
    <row r="113" spans="1:5">
      <c r="A113" s="19"/>
      <c r="E113" s="19"/>
    </row>
    <row r="114" spans="1:5">
      <c r="A114" s="19"/>
      <c r="E114" s="19"/>
    </row>
    <row r="115" spans="1:5">
      <c r="A115" s="19"/>
      <c r="E115" s="19"/>
    </row>
    <row r="116" spans="1:5">
      <c r="A116" s="19"/>
      <c r="E116" s="19"/>
    </row>
    <row r="117" spans="1:5">
      <c r="A117" s="19"/>
      <c r="E117" s="19"/>
    </row>
    <row r="118" spans="1:5">
      <c r="A118" s="19"/>
      <c r="E118" s="19"/>
    </row>
    <row r="119" spans="1:5">
      <c r="A119" s="19"/>
      <c r="E119" s="19"/>
    </row>
    <row r="120" spans="1:5">
      <c r="A120" s="19"/>
      <c r="E120" s="19"/>
    </row>
    <row r="121" spans="1:5">
      <c r="A121" s="19"/>
      <c r="E121" s="19"/>
    </row>
    <row r="122" spans="1:5">
      <c r="A122" s="19"/>
      <c r="E122" s="19"/>
    </row>
    <row r="123" spans="1:5">
      <c r="A123" s="19"/>
      <c r="E123" s="19"/>
    </row>
    <row r="124" spans="1:5">
      <c r="A124" s="19"/>
      <c r="E124" s="19"/>
    </row>
    <row r="125" spans="1:5">
      <c r="A125" s="19"/>
      <c r="E125" s="19"/>
    </row>
    <row r="126" spans="1:5">
      <c r="A126" s="19"/>
      <c r="E126" s="19"/>
    </row>
    <row r="127" spans="1:5">
      <c r="A127" s="19"/>
      <c r="E127" s="19"/>
    </row>
    <row r="128" spans="1:5">
      <c r="A128" s="19"/>
      <c r="E128" s="19"/>
    </row>
    <row r="129" spans="1:5">
      <c r="A129" s="19"/>
      <c r="E129" s="19"/>
    </row>
    <row r="130" spans="1:5">
      <c r="A130" s="19"/>
      <c r="E130" s="19"/>
    </row>
    <row r="131" spans="1:5">
      <c r="A131" s="19"/>
      <c r="E131" s="19"/>
    </row>
    <row r="132" spans="1:5">
      <c r="A132" s="19"/>
      <c r="E132" s="19"/>
    </row>
    <row r="133" spans="1:5">
      <c r="A133" s="19"/>
      <c r="E133" s="19"/>
    </row>
    <row r="134" spans="1:5">
      <c r="A134" s="19"/>
      <c r="E134" s="19"/>
    </row>
    <row r="135" spans="1:5">
      <c r="A135" s="19"/>
      <c r="E135" s="19"/>
    </row>
    <row r="136" spans="1:5">
      <c r="A136" s="19"/>
      <c r="E136" s="19"/>
    </row>
    <row r="137" spans="1:5">
      <c r="A137" s="19"/>
      <c r="E137" s="19"/>
    </row>
    <row r="138" spans="1:5">
      <c r="A138" s="19"/>
      <c r="E138" s="19"/>
    </row>
    <row r="139" spans="1:5">
      <c r="A139" s="19"/>
      <c r="E139" s="19"/>
    </row>
    <row r="140" spans="1:5">
      <c r="A140" s="19"/>
      <c r="E140" s="19"/>
    </row>
    <row r="141" spans="1:5">
      <c r="A141" s="19"/>
      <c r="E141" s="19"/>
    </row>
    <row r="142" spans="1:5">
      <c r="A142" s="19"/>
      <c r="E142" s="19"/>
    </row>
    <row r="143" spans="1:5">
      <c r="A143" s="19"/>
      <c r="E143" s="19"/>
    </row>
    <row r="144" spans="1:5">
      <c r="A144" s="19"/>
      <c r="E144" s="19"/>
    </row>
    <row r="145" spans="1:5">
      <c r="A145" s="19"/>
      <c r="E145" s="19"/>
    </row>
    <row r="146" spans="1:5">
      <c r="A146" s="19"/>
      <c r="E146" s="19"/>
    </row>
    <row r="147" spans="1:5">
      <c r="A147" s="19"/>
      <c r="E147" s="19"/>
    </row>
    <row r="148" spans="1:5">
      <c r="A148" s="19"/>
      <c r="E148" s="19"/>
    </row>
    <row r="149" spans="1:5">
      <c r="A149" s="19"/>
      <c r="E149" s="19"/>
    </row>
    <row r="150" spans="1:5">
      <c r="A150" s="19"/>
      <c r="E150" s="19"/>
    </row>
    <row r="151" spans="1:5">
      <c r="A151" s="19"/>
      <c r="E151" s="19"/>
    </row>
    <row r="152" spans="1:5">
      <c r="A152" s="19"/>
      <c r="E152" s="19"/>
    </row>
    <row r="153" spans="1:5">
      <c r="A153" s="19"/>
      <c r="E153" s="19"/>
    </row>
    <row r="154" spans="1:5">
      <c r="A154" s="19"/>
      <c r="E154" s="19"/>
    </row>
    <row r="155" spans="1:5">
      <c r="A155" s="19"/>
      <c r="E155" s="19"/>
    </row>
    <row r="156" spans="1:5">
      <c r="A156" s="19"/>
      <c r="E156" s="19"/>
    </row>
    <row r="157" spans="1:5">
      <c r="A157" s="19"/>
      <c r="E157" s="19"/>
    </row>
    <row r="158" spans="1:5">
      <c r="A158" s="19"/>
      <c r="E158" s="19"/>
    </row>
    <row r="159" spans="1:5">
      <c r="A159" s="19"/>
      <c r="E159" s="19"/>
    </row>
    <row r="160" spans="1:5">
      <c r="A160" s="19"/>
      <c r="E160" s="19"/>
    </row>
    <row r="161" spans="1:5">
      <c r="A161" s="19"/>
      <c r="E161" s="19"/>
    </row>
    <row r="162" spans="1:5">
      <c r="A162" s="19"/>
      <c r="E162" s="19"/>
    </row>
    <row r="163" spans="1:5">
      <c r="A163" s="19"/>
      <c r="E163" s="19"/>
    </row>
    <row r="164" spans="1:5">
      <c r="A164" s="19"/>
      <c r="E164" s="19"/>
    </row>
    <row r="165" spans="1:5">
      <c r="A165" s="19"/>
      <c r="E165" s="19"/>
    </row>
    <row r="166" spans="1:5">
      <c r="A166" s="19"/>
      <c r="E166" s="19"/>
    </row>
    <row r="167" spans="1:5">
      <c r="A167" s="19"/>
      <c r="E167" s="19"/>
    </row>
    <row r="168" spans="1:5">
      <c r="A168" s="19"/>
      <c r="E168" s="19"/>
    </row>
    <row r="169" spans="1:5">
      <c r="A169" s="19"/>
      <c r="E169" s="19"/>
    </row>
    <row r="170" spans="1:5">
      <c r="A170" s="19"/>
      <c r="E170" s="19"/>
    </row>
    <row r="171" spans="1:5">
      <c r="A171" s="19"/>
      <c r="E171" s="19"/>
    </row>
    <row r="172" spans="1:5">
      <c r="A172" s="19"/>
      <c r="E172" s="19"/>
    </row>
    <row r="173" spans="1:5">
      <c r="A173" s="19"/>
      <c r="E173" s="19"/>
    </row>
    <row r="174" spans="1:5">
      <c r="A174" s="19"/>
      <c r="E174" s="19"/>
    </row>
    <row r="175" spans="1:5">
      <c r="A175" s="19"/>
      <c r="E175" s="19"/>
    </row>
    <row r="176" spans="1:5">
      <c r="A176" s="19"/>
      <c r="E176" s="19"/>
    </row>
    <row r="177" spans="1:5">
      <c r="A177" s="19"/>
      <c r="E177" s="19"/>
    </row>
    <row r="178" spans="1:5">
      <c r="A178" s="19"/>
      <c r="E178" s="19"/>
    </row>
    <row r="179" spans="1:5">
      <c r="A179" s="19"/>
      <c r="E179" s="19"/>
    </row>
    <row r="180" spans="1:5">
      <c r="A180" s="19"/>
      <c r="E180" s="19"/>
    </row>
    <row r="181" spans="1:5">
      <c r="A181" s="19"/>
      <c r="E181" s="19"/>
    </row>
    <row r="182" spans="1:5">
      <c r="A182" s="19"/>
      <c r="E182" s="19"/>
    </row>
    <row r="183" spans="1:5">
      <c r="A183" s="19"/>
      <c r="E183" s="19"/>
    </row>
    <row r="184" spans="1:5">
      <c r="A184" s="19"/>
      <c r="E184" s="19"/>
    </row>
    <row r="185" spans="1:5">
      <c r="A185" s="19"/>
      <c r="E185" s="19"/>
    </row>
    <row r="186" spans="1:5">
      <c r="A186" s="19"/>
      <c r="E186" s="19"/>
    </row>
    <row r="187" spans="1:5">
      <c r="A187" s="19"/>
      <c r="E187" s="19"/>
    </row>
    <row r="188" spans="1:5">
      <c r="A188" s="19"/>
      <c r="E188" s="19"/>
    </row>
    <row r="189" spans="1:5">
      <c r="A189" s="19"/>
      <c r="E189" s="19"/>
    </row>
    <row r="190" spans="1:5">
      <c r="A190" s="19"/>
      <c r="E190" s="19"/>
    </row>
    <row r="191" spans="1:5">
      <c r="A191" s="19"/>
      <c r="E191" s="19"/>
    </row>
    <row r="192" spans="1:5">
      <c r="A192" s="19"/>
      <c r="E192" s="19"/>
    </row>
    <row r="193" spans="1:5">
      <c r="A193" s="19"/>
      <c r="E193" s="19"/>
    </row>
    <row r="194" spans="1:5">
      <c r="A194" s="19"/>
      <c r="E194" s="19"/>
    </row>
    <row r="195" spans="1:5">
      <c r="A195" s="19"/>
      <c r="E195" s="19"/>
    </row>
    <row r="196" spans="1:5">
      <c r="A196" s="19"/>
      <c r="E196" s="19"/>
    </row>
    <row r="197" spans="1:5">
      <c r="A197" s="19"/>
      <c r="E197" s="19"/>
    </row>
    <row r="198" spans="1:5">
      <c r="A198" s="19"/>
      <c r="E198" s="19"/>
    </row>
    <row r="199" spans="1:5">
      <c r="A199" s="19"/>
      <c r="E199" s="19"/>
    </row>
    <row r="200" spans="1:5">
      <c r="A200" s="19"/>
      <c r="E200" s="19"/>
    </row>
    <row r="201" spans="1:5">
      <c r="A201" s="19"/>
      <c r="E201" s="19"/>
    </row>
    <row r="202" spans="1:5">
      <c r="A202" s="19"/>
      <c r="E202" s="19"/>
    </row>
    <row r="203" spans="1:5">
      <c r="A203" s="19"/>
      <c r="E203" s="19"/>
    </row>
    <row r="204" spans="1:5">
      <c r="A204" s="19"/>
      <c r="E204" s="19"/>
    </row>
    <row r="205" spans="1:5">
      <c r="A205" s="19"/>
      <c r="E205" s="19"/>
    </row>
    <row r="206" spans="1:5">
      <c r="A206" s="19"/>
      <c r="E206" s="19"/>
    </row>
    <row r="207" spans="1:5">
      <c r="A207" s="19"/>
      <c r="E207" s="19"/>
    </row>
    <row r="208" spans="1:5">
      <c r="A208" s="19"/>
      <c r="E208" s="19"/>
    </row>
    <row r="209" spans="1:5">
      <c r="A209" s="19"/>
      <c r="E209" s="19"/>
    </row>
    <row r="210" spans="1:5">
      <c r="A210" s="19"/>
      <c r="E210" s="19"/>
    </row>
    <row r="211" spans="1:5">
      <c r="A211" s="19"/>
      <c r="E211" s="19"/>
    </row>
    <row r="212" spans="1:5">
      <c r="A212" s="19"/>
      <c r="E212" s="19"/>
    </row>
    <row r="213" spans="1:5">
      <c r="A213" s="19"/>
      <c r="E213" s="19"/>
    </row>
    <row r="214" spans="1:5">
      <c r="A214" s="19"/>
      <c r="E214" s="19"/>
    </row>
    <row r="215" spans="1:5">
      <c r="A215" s="19"/>
      <c r="E215" s="19"/>
    </row>
    <row r="216" spans="1:5">
      <c r="A216" s="19"/>
      <c r="E216" s="19"/>
    </row>
    <row r="217" spans="1:5">
      <c r="A217" s="19"/>
      <c r="E217" s="19"/>
    </row>
    <row r="218" spans="1:5">
      <c r="A218" s="19"/>
      <c r="E218" s="19"/>
    </row>
    <row r="219" spans="1:5">
      <c r="A219" s="19"/>
      <c r="E219" s="19"/>
    </row>
    <row r="220" spans="1:5">
      <c r="A220" s="19"/>
      <c r="E220" s="19"/>
    </row>
    <row r="221" spans="1:5">
      <c r="A221" s="19"/>
      <c r="E221" s="19"/>
    </row>
    <row r="222" spans="1:5">
      <c r="A222" s="19"/>
      <c r="E222" s="19"/>
    </row>
    <row r="223" spans="1:5">
      <c r="A223" s="19"/>
      <c r="E223" s="19"/>
    </row>
    <row r="224" spans="1:5">
      <c r="A224" s="19"/>
      <c r="E224" s="19"/>
    </row>
    <row r="225" spans="1:5">
      <c r="A225" s="19"/>
      <c r="E225" s="19"/>
    </row>
    <row r="226" spans="1:5">
      <c r="A226" s="19"/>
      <c r="E226" s="19"/>
    </row>
    <row r="227" spans="1:5">
      <c r="A227" s="19"/>
      <c r="E227" s="19"/>
    </row>
    <row r="228" spans="1:5">
      <c r="A228" s="19"/>
      <c r="E228" s="19"/>
    </row>
    <row r="229" spans="1:5">
      <c r="A229" s="19"/>
      <c r="E229" s="19"/>
    </row>
    <row r="230" spans="1:5">
      <c r="A230" s="19"/>
      <c r="E230" s="19"/>
    </row>
    <row r="231" spans="1:5">
      <c r="A231" s="19"/>
      <c r="E231" s="19"/>
    </row>
    <row r="232" spans="1:5">
      <c r="A232" s="19"/>
      <c r="E232" s="19"/>
    </row>
    <row r="233" spans="1:5">
      <c r="A233" s="19"/>
      <c r="E233" s="19"/>
    </row>
    <row r="234" spans="1:5">
      <c r="A234" s="19"/>
      <c r="E234" s="19"/>
    </row>
    <row r="235" spans="1:5">
      <c r="A235" s="19"/>
      <c r="E235" s="19"/>
    </row>
    <row r="236" spans="1:5">
      <c r="A236" s="19"/>
      <c r="E236" s="19"/>
    </row>
    <row r="237" spans="1:5">
      <c r="A237" s="19"/>
      <c r="E237" s="19"/>
    </row>
    <row r="238" spans="1:5">
      <c r="A238" s="19"/>
      <c r="E238" s="19"/>
    </row>
    <row r="239" spans="1:5">
      <c r="A239" s="19"/>
      <c r="E239" s="19"/>
    </row>
    <row r="240" spans="1:5">
      <c r="A240" s="19"/>
      <c r="E240" s="19"/>
    </row>
    <row r="241" spans="1:5">
      <c r="A241" s="19"/>
      <c r="E241" s="19"/>
    </row>
    <row r="242" spans="1:5">
      <c r="A242" s="19"/>
      <c r="E242" s="19"/>
    </row>
    <row r="243" spans="1:5">
      <c r="A243" s="19"/>
      <c r="E243" s="19"/>
    </row>
    <row r="244" spans="1:5">
      <c r="A244" s="19"/>
      <c r="E244" s="19"/>
    </row>
    <row r="245" spans="1:5">
      <c r="A245" s="19"/>
      <c r="E245" s="19"/>
    </row>
    <row r="246" spans="1:5">
      <c r="A246" s="19"/>
      <c r="E246" s="19"/>
    </row>
    <row r="247" spans="1:5">
      <c r="A247" s="19"/>
      <c r="E247" s="19"/>
    </row>
    <row r="248" spans="1:5">
      <c r="A248" s="19"/>
      <c r="E248" s="19"/>
    </row>
    <row r="249" spans="1:5">
      <c r="A249" s="19"/>
      <c r="E249" s="19"/>
    </row>
    <row r="250" spans="1:5">
      <c r="A250" s="19"/>
      <c r="E250" s="19"/>
    </row>
    <row r="251" spans="1:5">
      <c r="A251" s="19"/>
      <c r="E251" s="19"/>
    </row>
    <row r="252" spans="1:5">
      <c r="A252" s="19"/>
      <c r="E252" s="19"/>
    </row>
    <row r="253" spans="1:5">
      <c r="A253" s="19"/>
      <c r="E253" s="19"/>
    </row>
    <row r="254" spans="1:5">
      <c r="A254" s="19"/>
      <c r="E254" s="19"/>
    </row>
    <row r="255" spans="1:5">
      <c r="A255" s="19"/>
      <c r="E255" s="19"/>
    </row>
    <row r="256" spans="1:5">
      <c r="A256" s="19"/>
      <c r="E256" s="19"/>
    </row>
    <row r="257" spans="1:5">
      <c r="A257" s="19"/>
      <c r="E257" s="19"/>
    </row>
    <row r="258" spans="1:5">
      <c r="A258" s="19"/>
      <c r="E258" s="19"/>
    </row>
    <row r="259" spans="1:5">
      <c r="A259" s="19"/>
      <c r="E259" s="19"/>
    </row>
    <row r="260" spans="1:5">
      <c r="A260" s="19"/>
      <c r="E260" s="19"/>
    </row>
    <row r="261" spans="1:5">
      <c r="A261" s="19"/>
      <c r="E261" s="19"/>
    </row>
    <row r="262" spans="1:5">
      <c r="A262" s="19"/>
      <c r="E262" s="19"/>
    </row>
    <row r="263" spans="1:5">
      <c r="A263" s="19"/>
      <c r="E263" s="19"/>
    </row>
    <row r="264" spans="1:5">
      <c r="A264" s="19"/>
      <c r="E264" s="19"/>
    </row>
    <row r="265" spans="1:5">
      <c r="A265" s="19"/>
      <c r="E265" s="19"/>
    </row>
    <row r="266" spans="1:5">
      <c r="A266" s="19"/>
      <c r="E266" s="19"/>
    </row>
    <row r="267" spans="1:5">
      <c r="A267" s="19"/>
      <c r="E267" s="19"/>
    </row>
    <row r="268" spans="1:5">
      <c r="A268" s="19"/>
      <c r="E268" s="19"/>
    </row>
    <row r="269" spans="1:5">
      <c r="A269" s="19"/>
      <c r="E269" s="19"/>
    </row>
    <row r="270" spans="1:5">
      <c r="A270" s="19"/>
      <c r="E270" s="19"/>
    </row>
    <row r="271" spans="1:5">
      <c r="A271" s="19"/>
      <c r="E271" s="19"/>
    </row>
    <row r="272" spans="1:5">
      <c r="A272" s="19"/>
      <c r="E272" s="19"/>
    </row>
    <row r="273" spans="1:5">
      <c r="A273" s="19"/>
      <c r="E273" s="19"/>
    </row>
    <row r="274" spans="1:5">
      <c r="A274" s="19"/>
      <c r="E274" s="19"/>
    </row>
    <row r="275" spans="1:5">
      <c r="A275" s="19"/>
      <c r="E275" s="19"/>
    </row>
    <row r="276" spans="1:5">
      <c r="A276" s="19"/>
      <c r="E276" s="19"/>
    </row>
    <row r="277" spans="1:5">
      <c r="A277" s="19"/>
      <c r="E277" s="19"/>
    </row>
    <row r="278" spans="1:5">
      <c r="A278" s="19"/>
      <c r="E278" s="19"/>
    </row>
    <row r="279" spans="1:5">
      <c r="A279" s="19"/>
      <c r="E279" s="19"/>
    </row>
    <row r="280" spans="1:5">
      <c r="A280" s="19"/>
      <c r="E280" s="19"/>
    </row>
    <row r="281" spans="1:5">
      <c r="A281" s="19"/>
      <c r="E281" s="19"/>
    </row>
    <row r="282" spans="1:5">
      <c r="A282" s="19"/>
      <c r="E282" s="19"/>
    </row>
    <row r="283" spans="1:5">
      <c r="A283" s="19"/>
      <c r="E283" s="19"/>
    </row>
    <row r="284" spans="1:5">
      <c r="A284" s="19"/>
      <c r="E284" s="19"/>
    </row>
    <row r="285" spans="1:5">
      <c r="A285" s="19"/>
      <c r="E285" s="19"/>
    </row>
    <row r="286" spans="1:5">
      <c r="A286" s="19"/>
      <c r="E286" s="19"/>
    </row>
    <row r="287" spans="1:5">
      <c r="A287" s="19"/>
      <c r="E287" s="19"/>
    </row>
    <row r="288" spans="1:5">
      <c r="A288" s="19"/>
      <c r="E288" s="19"/>
    </row>
    <row r="289" spans="1:5">
      <c r="A289" s="19"/>
      <c r="E289" s="19"/>
    </row>
    <row r="290" spans="1:5">
      <c r="A290" s="19"/>
      <c r="E290" s="19"/>
    </row>
    <row r="291" spans="1:5">
      <c r="A291" s="19"/>
      <c r="E291" s="19"/>
    </row>
    <row r="292" spans="1:5">
      <c r="A292" s="19"/>
    </row>
    <row r="293" spans="1:5">
      <c r="A293" s="19"/>
    </row>
    <row r="294" spans="1:5">
      <c r="A294" s="19"/>
    </row>
    <row r="295" spans="1:5">
      <c r="A295" s="19"/>
    </row>
    <row r="296" spans="1:5">
      <c r="A296" s="19"/>
    </row>
    <row r="297" spans="1:5">
      <c r="A297" s="19"/>
    </row>
    <row r="298" spans="1:5">
      <c r="A298" s="19"/>
    </row>
    <row r="299" spans="1:5">
      <c r="A299" s="19"/>
    </row>
    <row r="300" spans="1:5">
      <c r="A300" s="19"/>
    </row>
    <row r="301" spans="1:5">
      <c r="A301" s="19"/>
    </row>
    <row r="302" spans="1:5">
      <c r="A302" s="19"/>
    </row>
    <row r="303" spans="1:5">
      <c r="A303" s="19"/>
    </row>
    <row r="304" spans="1:5">
      <c r="A304" s="19"/>
    </row>
    <row r="305" spans="1:1">
      <c r="A305" s="19"/>
    </row>
    <row r="306" spans="1:1">
      <c r="A306" s="19"/>
    </row>
    <row r="307" spans="1:1">
      <c r="A307" s="19"/>
    </row>
    <row r="308" spans="1:1">
      <c r="A308" s="19"/>
    </row>
    <row r="309" spans="1:1">
      <c r="A309" s="19"/>
    </row>
    <row r="310" spans="1:1">
      <c r="A310" s="19"/>
    </row>
    <row r="311" spans="1:1">
      <c r="A311" s="19"/>
    </row>
    <row r="312" spans="1:1">
      <c r="A312" s="19"/>
    </row>
    <row r="313" spans="1:1">
      <c r="A313" s="19"/>
    </row>
    <row r="314" spans="1:1">
      <c r="A314" s="19"/>
    </row>
    <row r="315" spans="1:1">
      <c r="A315" s="19"/>
    </row>
    <row r="316" spans="1:1">
      <c r="A316" s="19"/>
    </row>
    <row r="317" spans="1:1">
      <c r="A317" s="19"/>
    </row>
    <row r="318" spans="1:1">
      <c r="A318" s="19"/>
    </row>
    <row r="319" spans="1:1">
      <c r="A319" s="19"/>
    </row>
    <row r="320" spans="1:1">
      <c r="A320" s="19"/>
    </row>
    <row r="321" spans="1:1">
      <c r="A321" s="19"/>
    </row>
    <row r="322" spans="1:1">
      <c r="A322" s="19"/>
    </row>
    <row r="323" spans="1:1">
      <c r="A323" s="19"/>
    </row>
    <row r="324" spans="1:1">
      <c r="A324" s="19"/>
    </row>
    <row r="325" spans="1:1">
      <c r="A325" s="19"/>
    </row>
    <row r="326" spans="1:1">
      <c r="A326" s="19"/>
    </row>
    <row r="327" spans="1:1">
      <c r="A327" s="19"/>
    </row>
    <row r="328" spans="1:1">
      <c r="A328" s="19"/>
    </row>
    <row r="329" spans="1:1">
      <c r="A329" s="19"/>
    </row>
    <row r="330" spans="1:1">
      <c r="A330" s="19"/>
    </row>
    <row r="331" spans="1:1">
      <c r="A331" s="19"/>
    </row>
    <row r="332" spans="1:1">
      <c r="A332" s="19"/>
    </row>
    <row r="333" spans="1:1">
      <c r="A333" s="19"/>
    </row>
    <row r="334" spans="1:1">
      <c r="A334" s="19"/>
    </row>
    <row r="335" spans="1:1">
      <c r="A335" s="19"/>
    </row>
    <row r="336" spans="1:1">
      <c r="A336" s="19"/>
    </row>
    <row r="337" spans="1:1">
      <c r="A337" s="19"/>
    </row>
    <row r="338" spans="1:1">
      <c r="A338" s="19"/>
    </row>
    <row r="339" spans="1:1">
      <c r="A339" s="19"/>
    </row>
    <row r="340" spans="1:1">
      <c r="A340" s="19"/>
    </row>
    <row r="341" spans="1:1">
      <c r="A341" s="19"/>
    </row>
    <row r="342" spans="1:1">
      <c r="A342" s="19"/>
    </row>
    <row r="343" spans="1:1">
      <c r="A343" s="19"/>
    </row>
    <row r="344" spans="1:1">
      <c r="A344" s="19"/>
    </row>
    <row r="345" spans="1:1">
      <c r="A345" s="19"/>
    </row>
    <row r="346" spans="1:1">
      <c r="A346" s="19"/>
    </row>
    <row r="347" spans="1:1">
      <c r="A347" s="19"/>
    </row>
    <row r="348" spans="1:1">
      <c r="A348" s="19"/>
    </row>
    <row r="349" spans="1:1">
      <c r="A349" s="19"/>
    </row>
    <row r="350" spans="1:1">
      <c r="A350" s="19"/>
    </row>
    <row r="351" spans="1:1">
      <c r="A351" s="19"/>
    </row>
    <row r="352" spans="1:1">
      <c r="A352" s="19"/>
    </row>
    <row r="353" spans="1:1">
      <c r="A353" s="19"/>
    </row>
    <row r="354" spans="1:1">
      <c r="A354" s="19"/>
    </row>
    <row r="355" spans="1:1">
      <c r="A355" s="19"/>
    </row>
    <row r="356" spans="1:1">
      <c r="A356" s="19"/>
    </row>
    <row r="357" spans="1:1">
      <c r="A357" s="19"/>
    </row>
    <row r="358" spans="1:1">
      <c r="A358" s="19"/>
    </row>
    <row r="359" spans="1:1">
      <c r="A359" s="19"/>
    </row>
    <row r="360" spans="1:1">
      <c r="A360" s="19"/>
    </row>
    <row r="361" spans="1:1">
      <c r="A361" s="19"/>
    </row>
    <row r="362" spans="1:1">
      <c r="A362" s="19"/>
    </row>
    <row r="363" spans="1:1">
      <c r="A363" s="19"/>
    </row>
    <row r="364" spans="1:1">
      <c r="A364" s="19"/>
    </row>
    <row r="365" spans="1:1">
      <c r="A365" s="19"/>
    </row>
    <row r="366" spans="1:1">
      <c r="A366" s="19"/>
    </row>
    <row r="367" spans="1:1">
      <c r="A367" s="19"/>
    </row>
    <row r="368" spans="1:1">
      <c r="A368" s="19"/>
    </row>
    <row r="369" spans="1:1">
      <c r="A369" s="19"/>
    </row>
    <row r="370" spans="1:1">
      <c r="A370" s="19"/>
    </row>
    <row r="371" spans="1:1">
      <c r="A371" s="19"/>
    </row>
    <row r="372" spans="1:1">
      <c r="A372" s="19"/>
    </row>
    <row r="373" spans="1:1">
      <c r="A373" s="1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98B2-0077-413F-A4C2-97967E8E81B2}">
  <dimension ref="A1:AG13"/>
  <sheetViews>
    <sheetView zoomScale="85" zoomScaleNormal="85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6384" width="9.140625" style="10"/>
  </cols>
  <sheetData>
    <row r="1" spans="1:33">
      <c r="A1" s="11" t="s">
        <v>43</v>
      </c>
      <c r="B1" s="23">
        <f>'[2]Soy Complex'!AI483</f>
        <v>5.19</v>
      </c>
      <c r="C1" s="23" t="str">
        <f>'[2]Soy Complex'!AJ483</f>
        <v xml:space="preserve">94/95 </v>
      </c>
      <c r="D1" s="23" t="str">
        <f>'[2]Soy Complex'!AK483</f>
        <v xml:space="preserve">95/96 </v>
      </c>
      <c r="E1" s="23" t="str">
        <f>'[2]Soy Complex'!AL483</f>
        <v xml:space="preserve">96/97 </v>
      </c>
      <c r="F1" s="23" t="str">
        <f>'[2]Soy Complex'!AM483</f>
        <v xml:space="preserve">97/98 </v>
      </c>
      <c r="G1" s="23" t="str">
        <f>'[2]Soy Complex'!AN483</f>
        <v xml:space="preserve">98/99 </v>
      </c>
      <c r="H1" s="23" t="str">
        <f>'[2]Soy Complex'!AO483</f>
        <v xml:space="preserve">99/00 </v>
      </c>
      <c r="I1" s="23" t="str">
        <f>'[2]Soy Complex'!AP483</f>
        <v xml:space="preserve">00/01 </v>
      </c>
      <c r="J1" s="23" t="str">
        <f>'[2]Soy Complex'!AQ483</f>
        <v xml:space="preserve">01/02 </v>
      </c>
      <c r="K1" s="23" t="str">
        <f>'[2]Soy Complex'!AR483</f>
        <v xml:space="preserve">02/03 </v>
      </c>
      <c r="L1" s="23" t="str">
        <f>'[2]Soy Complex'!AS483</f>
        <v xml:space="preserve">03/04 </v>
      </c>
      <c r="M1" s="23" t="str">
        <f>'[2]Soy Complex'!AT483</f>
        <v xml:space="preserve">04/05 </v>
      </c>
      <c r="N1" s="23" t="str">
        <f>'[2]Soy Complex'!AU483</f>
        <v xml:space="preserve">05/06 </v>
      </c>
      <c r="O1" s="23" t="str">
        <f>'[2]Soy Complex'!AV483</f>
        <v xml:space="preserve">06/07 </v>
      </c>
      <c r="P1" s="23" t="str">
        <f>'[2]Soy Complex'!AW483</f>
        <v xml:space="preserve">07/08 </v>
      </c>
      <c r="Q1" s="23" t="str">
        <f>'[2]Soy Complex'!AX483</f>
        <v xml:space="preserve">08/09 </v>
      </c>
      <c r="R1" s="23" t="str">
        <f>'[2]Soy Complex'!AY483</f>
        <v xml:space="preserve">09/10 </v>
      </c>
      <c r="S1" s="23" t="str">
        <f>'[2]Soy Complex'!AZ483</f>
        <v xml:space="preserve">10/11 </v>
      </c>
      <c r="T1" s="23" t="str">
        <f>'[2]Soy Complex'!BA483</f>
        <v xml:space="preserve">11/12 </v>
      </c>
      <c r="U1" s="23" t="str">
        <f>'[2]Soy Complex'!BB483</f>
        <v xml:space="preserve">12/13 </v>
      </c>
      <c r="V1" s="23" t="str">
        <f>'[2]Soy Complex'!BC483</f>
        <v xml:space="preserve">13/14 </v>
      </c>
      <c r="W1" s="23" t="str">
        <f>'[2]Soy Complex'!BD483</f>
        <v xml:space="preserve">14/15 </v>
      </c>
      <c r="X1" s="23" t="str">
        <f>'[2]Soy Complex'!BE483</f>
        <v xml:space="preserve">15/16 </v>
      </c>
      <c r="Y1" s="23" t="str">
        <f>'[2]Soy Complex'!BF483</f>
        <v xml:space="preserve">16/17 </v>
      </c>
      <c r="Z1" s="23" t="str">
        <f>'[2]Soy Complex'!BG483</f>
        <v xml:space="preserve">17/18 </v>
      </c>
      <c r="AA1" s="23" t="str">
        <f>'[2]Soy Complex'!BH483</f>
        <v xml:space="preserve">18/19 </v>
      </c>
      <c r="AB1" s="23" t="str">
        <f>'[2]Soy Complex'!BI483</f>
        <v>19/20</v>
      </c>
      <c r="AC1" s="23" t="str">
        <f>'[2]Soy Complex'!BJ483</f>
        <v>20/21</v>
      </c>
      <c r="AD1" s="23" t="str">
        <f>'[2]Soy Complex'!BK483</f>
        <v xml:space="preserve">21/22 </v>
      </c>
      <c r="AE1" s="23" t="str">
        <f>'[2]Soy Complex'!BL483</f>
        <v xml:space="preserve">22/23 </v>
      </c>
      <c r="AF1" s="23" t="str">
        <f>'[2]Soy Complex'!BM483</f>
        <v xml:space="preserve">23/24 </v>
      </c>
      <c r="AG1" s="23" t="str">
        <f>'[2]Soy Complex'!BN483</f>
        <v xml:space="preserve">24/25 </v>
      </c>
    </row>
    <row r="2" spans="1:33">
      <c r="A2" s="19" t="s">
        <v>28</v>
      </c>
      <c r="B2" s="23">
        <f>'[2]Soy Complex'!AI484</f>
        <v>5.23</v>
      </c>
      <c r="C2" s="23">
        <f>'[2]Soy Complex'!AJ484</f>
        <v>1055.5</v>
      </c>
      <c r="D2" s="23">
        <f>'[2]Soy Complex'!AK484</f>
        <v>1195.9000000000001</v>
      </c>
      <c r="E2" s="23">
        <f>'[2]Soy Complex'!AL484</f>
        <v>1992.9</v>
      </c>
      <c r="F2" s="23">
        <f>'[2]Soy Complex'!AM484</f>
        <v>1525.6</v>
      </c>
      <c r="G2" s="23">
        <f>'[2]Soy Complex'!AN484</f>
        <v>1416.7</v>
      </c>
      <c r="H2" s="23">
        <f>'[2]Soy Complex'!AO484</f>
        <v>1616.3999999999999</v>
      </c>
      <c r="I2" s="23">
        <f>'[2]Soy Complex'!AP484</f>
        <v>2060.7999999999997</v>
      </c>
      <c r="J2" s="23">
        <f>'[2]Soy Complex'!AQ484</f>
        <v>2606.64</v>
      </c>
      <c r="K2" s="23">
        <f>'[2]Soy Complex'!AR484</f>
        <v>2280.1</v>
      </c>
      <c r="L2" s="23">
        <f>'[2]Soy Complex'!AS484</f>
        <v>1411.8</v>
      </c>
      <c r="M2" s="23">
        <f>'[2]Soy Complex'!AT484</f>
        <v>1269.3999999999999</v>
      </c>
      <c r="N2" s="23">
        <f>'[2]Soy Complex'!AU484</f>
        <v>1883.5</v>
      </c>
      <c r="O2" s="23">
        <f>'[2]Soy Complex'!AV484</f>
        <v>3154</v>
      </c>
      <c r="P2" s="23">
        <f>'[2]Soy Complex'!AW484</f>
        <v>3224.9</v>
      </c>
      <c r="Q2" s="23">
        <f>'[2]Soy Complex'!AX484</f>
        <v>2388.5</v>
      </c>
      <c r="R2" s="23">
        <f>'[2]Soy Complex'!AY484</f>
        <v>2809.4</v>
      </c>
      <c r="S2" s="23">
        <f>'[2]Soy Complex'!AZ484</f>
        <v>3284.9630000000002</v>
      </c>
      <c r="T2" s="23">
        <f>'[2]Soy Complex'!BA484</f>
        <v>2327.7675913702137</v>
      </c>
      <c r="U2" s="23">
        <f>'[2]Soy Complex'!BB484</f>
        <v>2714.3718844797459</v>
      </c>
      <c r="V2" s="23">
        <f>'[2]Soy Complex'!BC484</f>
        <v>1708.941156499875</v>
      </c>
      <c r="W2" s="23">
        <f>'[2]Soy Complex'!BD484</f>
        <v>1198.6460217016729</v>
      </c>
      <c r="X2" s="23">
        <f>'[2]Soy Complex'!BE484</f>
        <v>1940.3690000000001</v>
      </c>
      <c r="Y2" s="23">
        <f>'[2]Soy Complex'!BF484</f>
        <v>1795.3109999999999</v>
      </c>
      <c r="Z2" s="23">
        <f>'[2]Soy Complex'!BG484</f>
        <v>1626.223</v>
      </c>
      <c r="AA2" s="23">
        <f>'[2]Soy Complex'!BH484</f>
        <v>2047.5509999999999</v>
      </c>
      <c r="AB2" s="23">
        <f>'[2]Soy Complex'!BI484</f>
        <v>1820.9580000000001</v>
      </c>
      <c r="AC2" s="23">
        <f>'[2]Soy Complex'!BJ484</f>
        <v>1968.011</v>
      </c>
      <c r="AD2" s="23">
        <f>'[2]Soy Complex'!BK484</f>
        <v>2386.337</v>
      </c>
      <c r="AE2" s="23">
        <f>'[2]Soy Complex'!BL484</f>
        <v>2093.623</v>
      </c>
      <c r="AF2" s="23">
        <f>'[2]Soy Complex'!BM484</f>
        <v>1506.6089999999999</v>
      </c>
      <c r="AG2" s="23">
        <f>'[2]Soy Complex'!BN484</f>
        <v>1573.835</v>
      </c>
    </row>
    <row r="3" spans="1:33">
      <c r="A3" s="19" t="s">
        <v>29</v>
      </c>
      <c r="B3" s="23">
        <f>'[2]Soy Complex'!AI485</f>
        <v>5.41</v>
      </c>
      <c r="C3" s="23">
        <f>'[2]Soy Complex'!AJ485</f>
        <v>1026.9000000000001</v>
      </c>
      <c r="D3" s="23">
        <f>'[2]Soy Complex'!AK485</f>
        <v>1132</v>
      </c>
      <c r="E3" s="23">
        <f>'[2]Soy Complex'!AL485</f>
        <v>1898.3999999999999</v>
      </c>
      <c r="F3" s="23">
        <f>'[2]Soy Complex'!AM485</f>
        <v>1525.5</v>
      </c>
      <c r="G3" s="23">
        <f>'[2]Soy Complex'!AN485</f>
        <v>1406.4</v>
      </c>
      <c r="H3" s="23">
        <f>'[2]Soy Complex'!AO485</f>
        <v>1663.6000000000001</v>
      </c>
      <c r="I3" s="23">
        <f>'[2]Soy Complex'!AP485</f>
        <v>2163.4</v>
      </c>
      <c r="J3" s="23">
        <f>'[2]Soy Complex'!AQ485</f>
        <v>2684.5409999999997</v>
      </c>
      <c r="K3" s="23">
        <f>'[2]Soy Complex'!AR485</f>
        <v>2326.0969999999998</v>
      </c>
      <c r="L3" s="23">
        <f>'[2]Soy Complex'!AS485</f>
        <v>1505.2</v>
      </c>
      <c r="M3" s="23">
        <f>'[2]Soy Complex'!AT485</f>
        <v>1191.2</v>
      </c>
      <c r="N3" s="23">
        <f>'[2]Soy Complex'!AU485</f>
        <v>1851.8</v>
      </c>
      <c r="O3" s="23">
        <f>'[2]Soy Complex'!AV485</f>
        <v>3247.8540000000003</v>
      </c>
      <c r="P3" s="23">
        <f>'[2]Soy Complex'!AW485</f>
        <v>3235.2</v>
      </c>
      <c r="Q3" s="23">
        <f>'[2]Soy Complex'!AX485</f>
        <v>2519</v>
      </c>
      <c r="R3" s="23">
        <f>'[2]Soy Complex'!AY485</f>
        <v>2990.5</v>
      </c>
      <c r="S3" s="23">
        <f>'[2]Soy Complex'!AZ485</f>
        <v>3349.4740000000002</v>
      </c>
      <c r="T3" s="23">
        <f>'[2]Soy Complex'!BA485</f>
        <v>2287.7774120485892</v>
      </c>
      <c r="U3" s="23">
        <f>'[2]Soy Complex'!BB485</f>
        <v>2940.665863224338</v>
      </c>
      <c r="V3" s="23">
        <f>'[2]Soy Complex'!BC485</f>
        <v>1831.9238677090229</v>
      </c>
      <c r="W3" s="23">
        <f>'[2]Soy Complex'!BD485</f>
        <v>1238.7598539262012</v>
      </c>
      <c r="X3" s="23">
        <f>'[2]Soy Complex'!BE485</f>
        <v>1965.8580000000002</v>
      </c>
      <c r="Y3" s="23">
        <f>'[2]Soy Complex'!BF485</f>
        <v>1780.711</v>
      </c>
      <c r="Z3" s="23">
        <f>'[2]Soy Complex'!BG485</f>
        <v>1690.5809999999999</v>
      </c>
      <c r="AA3" s="23">
        <f>'[2]Soy Complex'!BH485</f>
        <v>1900.2730000000001</v>
      </c>
      <c r="AB3" s="23">
        <f>'[2]Soy Complex'!BI485</f>
        <v>1880.3579999999999</v>
      </c>
      <c r="AC3" s="23">
        <f>'[2]Soy Complex'!BJ485</f>
        <v>2117.0970000000002</v>
      </c>
      <c r="AD3" s="23">
        <f>'[2]Soy Complex'!BK485</f>
        <v>2405.9629999999997</v>
      </c>
      <c r="AE3" s="23">
        <f>'[2]Soy Complex'!BL485</f>
        <v>2112.2809999999999</v>
      </c>
      <c r="AF3" s="23">
        <f>'[2]Soy Complex'!BM485</f>
        <v>1591.9059999999999</v>
      </c>
      <c r="AG3" s="23">
        <f>'[2]Soy Complex'!BN485</f>
        <v>1618.1489999999999</v>
      </c>
    </row>
    <row r="4" spans="1:33">
      <c r="A4" s="19" t="s">
        <v>30</v>
      </c>
      <c r="B4" s="23">
        <f>'[2]Soy Complex'!AI486</f>
        <v>5.42</v>
      </c>
      <c r="C4" s="23">
        <f>'[2]Soy Complex'!AJ486</f>
        <v>1058.3</v>
      </c>
      <c r="D4" s="23">
        <f>'[2]Soy Complex'!AK486</f>
        <v>1408.8999999999999</v>
      </c>
      <c r="E4" s="23">
        <f>'[2]Soy Complex'!AL486</f>
        <v>2027.1</v>
      </c>
      <c r="F4" s="23">
        <f>'[2]Soy Complex'!AM486</f>
        <v>1679.6</v>
      </c>
      <c r="G4" s="23">
        <f>'[2]Soy Complex'!AN486</f>
        <v>1312.9</v>
      </c>
      <c r="H4" s="23">
        <f>'[2]Soy Complex'!AO486</f>
        <v>1791.1</v>
      </c>
      <c r="I4" s="23">
        <f>'[2]Soy Complex'!AP486</f>
        <v>2271.6</v>
      </c>
      <c r="J4" s="23">
        <f>'[2]Soy Complex'!AQ486</f>
        <v>2723.7860000000001</v>
      </c>
      <c r="K4" s="23">
        <f>'[2]Soy Complex'!AR486</f>
        <v>2398</v>
      </c>
      <c r="L4" s="23">
        <f>'[2]Soy Complex'!AS486</f>
        <v>1579.7</v>
      </c>
      <c r="M4" s="23">
        <f>'[2]Soy Complex'!AT486</f>
        <v>1311.1</v>
      </c>
      <c r="N4" s="23">
        <f>'[2]Soy Complex'!AU486</f>
        <v>2190.5</v>
      </c>
      <c r="O4" s="23">
        <f>'[2]Soy Complex'!AV486</f>
        <v>3268.895</v>
      </c>
      <c r="P4" s="23">
        <f>'[2]Soy Complex'!AW486</f>
        <v>3277.1</v>
      </c>
      <c r="Q4" s="23">
        <f>'[2]Soy Complex'!AX486</f>
        <v>2629.6</v>
      </c>
      <c r="R4" s="23">
        <f>'[2]Soy Complex'!AY486</f>
        <v>3150.5</v>
      </c>
      <c r="S4" s="23">
        <f>'[2]Soy Complex'!AZ486</f>
        <v>3531.9409999999998</v>
      </c>
      <c r="T4" s="23">
        <f>'[2]Soy Complex'!BA486</f>
        <v>2380.0117672923511</v>
      </c>
      <c r="U4" s="23">
        <f>'[2]Soy Complex'!BB486</f>
        <v>3193.1976925862596</v>
      </c>
      <c r="V4" s="23">
        <f>'[2]Soy Complex'!BC486</f>
        <v>2064.6370070667335</v>
      </c>
      <c r="W4" s="23">
        <f>'[2]Soy Complex'!BD486</f>
        <v>1311.0290198338892</v>
      </c>
      <c r="X4" s="23">
        <f>'[2]Soy Complex'!BE486</f>
        <v>1972.51</v>
      </c>
      <c r="Y4" s="23">
        <f>'[2]Soy Complex'!BF486</f>
        <v>1872.27</v>
      </c>
      <c r="Z4" s="23">
        <f>'[2]Soy Complex'!BG486</f>
        <v>1950.674</v>
      </c>
      <c r="AA4" s="23">
        <f>'[2]Soy Complex'!BH486</f>
        <v>1945.848</v>
      </c>
      <c r="AB4" s="23">
        <f>'[2]Soy Complex'!BI486</f>
        <v>2134.0639999999999</v>
      </c>
      <c r="AC4" s="23">
        <f>'[2]Soy Complex'!BJ486</f>
        <v>2110.7860000000001</v>
      </c>
      <c r="AD4" s="23">
        <f>'[2]Soy Complex'!BK486</f>
        <v>2465.8910000000001</v>
      </c>
      <c r="AE4" s="23">
        <f>'[2]Soy Complex'!BL486</f>
        <v>2306.1469999999999</v>
      </c>
      <c r="AF4" s="23">
        <f>'[2]Soy Complex'!BM486</f>
        <v>1823.8340000000001</v>
      </c>
      <c r="AG4" s="23">
        <f>'[2]Soy Complex'!BN486</f>
        <v>1690.57</v>
      </c>
    </row>
    <row r="5" spans="1:33">
      <c r="A5" s="19" t="s">
        <v>31</v>
      </c>
      <c r="B5" s="23">
        <f>'[2]Soy Complex'!AI487</f>
        <v>5.44</v>
      </c>
      <c r="C5" s="23">
        <f>'[2]Soy Complex'!AJ487</f>
        <v>1116.8</v>
      </c>
      <c r="D5" s="23">
        <f>'[2]Soy Complex'!AK487</f>
        <v>1512.6000000000001</v>
      </c>
      <c r="E5" s="23">
        <f>'[2]Soy Complex'!AL487</f>
        <v>2172.3000000000002</v>
      </c>
      <c r="F5" s="23">
        <f>'[2]Soy Complex'!AM487</f>
        <v>1787.9</v>
      </c>
      <c r="G5" s="23">
        <f>'[2]Soy Complex'!AN487</f>
        <v>1505.6</v>
      </c>
      <c r="H5" s="23">
        <f>'[2]Soy Complex'!AO487</f>
        <v>1993.2</v>
      </c>
      <c r="I5" s="23">
        <f>'[2]Soy Complex'!AP487</f>
        <v>2436.7999999999997</v>
      </c>
      <c r="J5" s="23">
        <f>'[2]Soy Complex'!AQ487</f>
        <v>2923.7</v>
      </c>
      <c r="K5" s="23">
        <f>'[2]Soy Complex'!AR487</f>
        <v>2394.7999999999997</v>
      </c>
      <c r="L5" s="23">
        <f>'[2]Soy Complex'!AS487</f>
        <v>1950.8</v>
      </c>
      <c r="M5" s="23">
        <f>'[2]Soy Complex'!AT487</f>
        <v>1560</v>
      </c>
      <c r="N5" s="23">
        <f>'[2]Soy Complex'!AU487</f>
        <v>2470.556</v>
      </c>
      <c r="O5" s="23">
        <f>'[2]Soy Complex'!AV487</f>
        <v>3359.7</v>
      </c>
      <c r="P5" s="23">
        <f>'[2]Soy Complex'!AW487</f>
        <v>3408</v>
      </c>
      <c r="Q5" s="23">
        <f>'[2]Soy Complex'!AX487</f>
        <v>2992.3</v>
      </c>
      <c r="R5" s="23">
        <f>'[2]Soy Complex'!AY487</f>
        <v>3221.69</v>
      </c>
      <c r="S5" s="23">
        <f>'[2]Soy Complex'!AZ487</f>
        <v>3415.395</v>
      </c>
      <c r="T5" s="23">
        <f>'[2]Soy Complex'!BA487</f>
        <v>2612.8404445890633</v>
      </c>
      <c r="U5" s="23">
        <f>'[2]Soy Complex'!BB487</f>
        <v>3515.3513224728517</v>
      </c>
      <c r="V5" s="23">
        <f>'[2]Soy Complex'!BC487</f>
        <v>2234.1364419474753</v>
      </c>
      <c r="W5" s="23">
        <f>'[2]Soy Complex'!BD487</f>
        <v>1529.2622913757946</v>
      </c>
      <c r="X5" s="23">
        <f>'[2]Soy Complex'!BE487</f>
        <v>2110.797</v>
      </c>
      <c r="Y5" s="23">
        <f>'[2]Soy Complex'!BF487</f>
        <v>2125.6970000000001</v>
      </c>
      <c r="Z5" s="23">
        <f>'[2]Soy Complex'!BG487</f>
        <v>2239.7840000000001</v>
      </c>
      <c r="AA5" s="23">
        <f>'[2]Soy Complex'!BH487</f>
        <v>2004.7280000000001</v>
      </c>
      <c r="AB5" s="23">
        <f>'[2]Soy Complex'!BI487</f>
        <v>2355.8969999999999</v>
      </c>
      <c r="AC5" s="23">
        <f>'[2]Soy Complex'!BJ487</f>
        <v>2305.991</v>
      </c>
      <c r="AD5" s="23">
        <f>'[2]Soy Complex'!BK487</f>
        <v>2499.924</v>
      </c>
      <c r="AE5" s="23">
        <f>'[2]Soy Complex'!BL487</f>
        <v>2356.4009999999998</v>
      </c>
      <c r="AF5" s="23">
        <f>'[2]Soy Complex'!BM487</f>
        <v>2028.7650000000001</v>
      </c>
      <c r="AG5" s="23">
        <f>'[2]Soy Complex'!BN487</f>
        <v>2090.2280000000001</v>
      </c>
    </row>
    <row r="6" spans="1:33">
      <c r="A6" s="19" t="s">
        <v>32</v>
      </c>
      <c r="B6" s="23">
        <f>'[2]Soy Complex'!AI488</f>
        <v>5.39</v>
      </c>
      <c r="C6" s="23">
        <f>'[2]Soy Complex'!AJ488</f>
        <v>1128.8</v>
      </c>
      <c r="D6" s="23">
        <f>'[2]Soy Complex'!AK488</f>
        <v>1521.4</v>
      </c>
      <c r="E6" s="23">
        <f>'[2]Soy Complex'!AL488</f>
        <v>2203.1999999999998</v>
      </c>
      <c r="F6" s="23">
        <f>'[2]Soy Complex'!AM488</f>
        <v>1711.1999999999998</v>
      </c>
      <c r="G6" s="23">
        <f>'[2]Soy Complex'!AN488</f>
        <v>1607.6</v>
      </c>
      <c r="H6" s="23">
        <f>'[2]Soy Complex'!AO488</f>
        <v>2058.6999999999998</v>
      </c>
      <c r="I6" s="23">
        <f>'[2]Soy Complex'!AP488</f>
        <v>2522.7000000000003</v>
      </c>
      <c r="J6" s="23">
        <f>'[2]Soy Complex'!AQ488</f>
        <v>2801.7159999999999</v>
      </c>
      <c r="K6" s="23">
        <f>'[2]Soy Complex'!AR488</f>
        <v>2271.4</v>
      </c>
      <c r="L6" s="23">
        <f>'[2]Soy Complex'!AS488</f>
        <v>1998.3000000000002</v>
      </c>
      <c r="M6" s="23">
        <f>'[2]Soy Complex'!AT488</f>
        <v>1646.8</v>
      </c>
      <c r="N6" s="23">
        <f>'[2]Soy Complex'!AU488</f>
        <v>2762.5990000000002</v>
      </c>
      <c r="O6" s="23">
        <f>'[2]Soy Complex'!AV488</f>
        <v>3477.6</v>
      </c>
      <c r="P6" s="23">
        <f>'[2]Soy Complex'!AW488</f>
        <v>3278.3</v>
      </c>
      <c r="Q6" s="23">
        <f>'[2]Soy Complex'!AX488</f>
        <v>3124.1</v>
      </c>
      <c r="R6" s="23">
        <f>'[2]Soy Complex'!AY488</f>
        <v>3295.694</v>
      </c>
      <c r="S6" s="23">
        <f>'[2]Soy Complex'!AZ488</f>
        <v>3375.4670000000001</v>
      </c>
      <c r="T6" s="23">
        <f>'[2]Soy Complex'!BA488</f>
        <v>2732.6372815548293</v>
      </c>
      <c r="U6" s="23">
        <f>'[2]Soy Complex'!BB488</f>
        <v>3400.2319893782665</v>
      </c>
      <c r="V6" s="23">
        <f>'[2]Soy Complex'!BC488</f>
        <v>2306.9274872286078</v>
      </c>
      <c r="W6" s="23">
        <f>'[2]Soy Complex'!BD488</f>
        <v>1611.186929098244</v>
      </c>
      <c r="X6" s="23">
        <f>'[2]Soy Complex'!BE488</f>
        <v>2280.1770000000001</v>
      </c>
      <c r="Y6" s="23">
        <f>'[2]Soy Complex'!BF488</f>
        <v>2213.317</v>
      </c>
      <c r="Z6" s="23">
        <f>'[2]Soy Complex'!BG488</f>
        <v>2425.3819999999996</v>
      </c>
      <c r="AA6" s="23">
        <f>'[2]Soy Complex'!BH488</f>
        <v>2149.13</v>
      </c>
      <c r="AB6" s="23">
        <f>'[2]Soy Complex'!BI488</f>
        <v>2376.7980000000002</v>
      </c>
      <c r="AC6" s="23">
        <f>'[2]Soy Complex'!BJ488</f>
        <v>2305.9880000000003</v>
      </c>
      <c r="AD6" s="23">
        <f>'[2]Soy Complex'!BK488</f>
        <v>2566.107</v>
      </c>
      <c r="AE6" s="23">
        <f>'[2]Soy Complex'!BL488</f>
        <v>2363.797</v>
      </c>
      <c r="AF6" s="23">
        <f>'[2]Soy Complex'!BM488</f>
        <v>2148.2930000000001</v>
      </c>
      <c r="AG6" s="23">
        <f>'[2]Soy Complex'!BN488</f>
        <v>2331.1416664104295</v>
      </c>
    </row>
    <row r="7" spans="1:33">
      <c r="A7" s="19" t="s">
        <v>33</v>
      </c>
      <c r="B7" s="23">
        <f>'[2]Soy Complex'!AI489</f>
        <v>5.47</v>
      </c>
      <c r="C7" s="23">
        <f>'[2]Soy Complex'!AJ489</f>
        <v>1059.5</v>
      </c>
      <c r="D7" s="23">
        <f>'[2]Soy Complex'!AK489</f>
        <v>1653.6</v>
      </c>
      <c r="E7" s="23">
        <f>'[2]Soy Complex'!AL489</f>
        <v>2171.3000000000002</v>
      </c>
      <c r="F7" s="23">
        <f>'[2]Soy Complex'!AM489</f>
        <v>1762.6</v>
      </c>
      <c r="G7" s="23">
        <f>'[2]Soy Complex'!AN489</f>
        <v>1716.2</v>
      </c>
      <c r="H7" s="23">
        <f>'[2]Soy Complex'!AO489</f>
        <v>2076.6</v>
      </c>
      <c r="I7" s="23">
        <f>'[2]Soy Complex'!AP489</f>
        <v>2549.6</v>
      </c>
      <c r="J7" s="23">
        <f>'[2]Soy Complex'!AQ489</f>
        <v>2916.9</v>
      </c>
      <c r="K7" s="23">
        <f>'[2]Soy Complex'!AR489</f>
        <v>2257.6999999999998</v>
      </c>
      <c r="L7" s="23">
        <f>'[2]Soy Complex'!AS489</f>
        <v>1856.5</v>
      </c>
      <c r="M7" s="23">
        <f>'[2]Soy Complex'!AT489</f>
        <v>1812.6999999999998</v>
      </c>
      <c r="N7" s="23">
        <f>'[2]Soy Complex'!AU489</f>
        <v>2752.5320000000002</v>
      </c>
      <c r="O7" s="23">
        <f>'[2]Soy Complex'!AV489</f>
        <v>3558.3</v>
      </c>
      <c r="P7" s="23">
        <f>'[2]Soy Complex'!AW489</f>
        <v>3083.5</v>
      </c>
      <c r="Q7" s="23">
        <f>'[2]Soy Complex'!AX489</f>
        <v>3191.6</v>
      </c>
      <c r="R7" s="23">
        <f>'[2]Soy Complex'!AY489</f>
        <v>3317.6469999999999</v>
      </c>
      <c r="S7" s="23">
        <f>'[2]Soy Complex'!AZ489</f>
        <v>3409.7910000000002</v>
      </c>
      <c r="T7" s="23">
        <f>'[2]Soy Complex'!BA489</f>
        <v>2896.7146360427987</v>
      </c>
      <c r="U7" s="23">
        <f>'[2]Soy Complex'!BB489</f>
        <v>3389.0846134266562</v>
      </c>
      <c r="V7" s="23">
        <f>'[2]Soy Complex'!BC489</f>
        <v>2479.1759815064065</v>
      </c>
      <c r="W7" s="23">
        <f>'[2]Soy Complex'!BD489</f>
        <v>1740.0167165532621</v>
      </c>
      <c r="X7" s="23">
        <f>'[2]Soy Complex'!BE489</f>
        <v>2324.9259999999999</v>
      </c>
      <c r="Y7" s="23">
        <f>'[2]Soy Complex'!BF489</f>
        <v>2343.8359999999998</v>
      </c>
      <c r="Z7" s="23">
        <f>'[2]Soy Complex'!BG489</f>
        <v>2444.482</v>
      </c>
      <c r="AA7" s="23">
        <f>'[2]Soy Complex'!BH489</f>
        <v>2232.9290000000001</v>
      </c>
      <c r="AB7" s="23">
        <f>'[2]Soy Complex'!BI489</f>
        <v>2326.5940000000001</v>
      </c>
      <c r="AC7" s="23">
        <f>'[2]Soy Complex'!BJ489</f>
        <v>2245.2779999999998</v>
      </c>
      <c r="AD7" s="23">
        <f>'[2]Soy Complex'!BK489</f>
        <v>2433.7180000000003</v>
      </c>
      <c r="AE7" s="23">
        <f>'[2]Soy Complex'!BL489</f>
        <v>2387.5129999999999</v>
      </c>
      <c r="AF7" s="23">
        <f>'[2]Soy Complex'!BM489</f>
        <v>2369.12</v>
      </c>
      <c r="AG7" s="23">
        <f>'[2]Soy Complex'!BN489</f>
        <v>2428.9275210394899</v>
      </c>
    </row>
    <row r="8" spans="1:33">
      <c r="A8" s="19" t="s">
        <v>34</v>
      </c>
      <c r="B8" s="23">
        <f>'[2]Soy Complex'!AI490</f>
        <v>5.42</v>
      </c>
      <c r="C8" s="23">
        <f>'[2]Soy Complex'!AJ490</f>
        <v>1089.5999999999999</v>
      </c>
      <c r="D8" s="23">
        <f>'[2]Soy Complex'!AK490</f>
        <v>1747.3999999999999</v>
      </c>
      <c r="E8" s="23">
        <f>'[2]Soy Complex'!AL490</f>
        <v>2163.9</v>
      </c>
      <c r="F8" s="23">
        <f>'[2]Soy Complex'!AM490</f>
        <v>1857.6</v>
      </c>
      <c r="G8" s="23">
        <f>'[2]Soy Complex'!AN490</f>
        <v>1640.6000000000001</v>
      </c>
      <c r="H8" s="23">
        <f>'[2]Soy Complex'!AO490</f>
        <v>2092.9</v>
      </c>
      <c r="I8" s="23">
        <f>'[2]Soy Complex'!AP490</f>
        <v>2542.8620000000001</v>
      </c>
      <c r="J8" s="23">
        <f>'[2]Soy Complex'!AQ490</f>
        <v>2793.5170000000003</v>
      </c>
      <c r="K8" s="23">
        <f>'[2]Soy Complex'!AR490</f>
        <v>2120.6999999999998</v>
      </c>
      <c r="L8" s="23">
        <f>'[2]Soy Complex'!AS490</f>
        <v>1643.8</v>
      </c>
      <c r="M8" s="23">
        <f>'[2]Soy Complex'!AT490</f>
        <v>1797.1</v>
      </c>
      <c r="N8" s="23">
        <f>'[2]Soy Complex'!AU490</f>
        <v>2862.8009999999999</v>
      </c>
      <c r="O8" s="23">
        <f>'[2]Soy Complex'!AV490</f>
        <v>3500</v>
      </c>
      <c r="P8" s="23">
        <f>'[2]Soy Complex'!AW490</f>
        <v>2925.8</v>
      </c>
      <c r="Q8" s="23">
        <f>'[2]Soy Complex'!AX490</f>
        <v>3279.4</v>
      </c>
      <c r="R8" s="23">
        <f>'[2]Soy Complex'!AY490</f>
        <v>3414.7929999999997</v>
      </c>
      <c r="S8" s="23">
        <f>'[2]Soy Complex'!AZ490</f>
        <v>3342.0680000000002</v>
      </c>
      <c r="T8" s="23">
        <f>'[2]Soy Complex'!BA490</f>
        <v>2942.1764866720773</v>
      </c>
      <c r="U8" s="23">
        <f>'[2]Soy Complex'!BB490</f>
        <v>3253.9116756716899</v>
      </c>
      <c r="V8" s="23">
        <f>'[2]Soy Complex'!BC490</f>
        <v>2538.3951958385155</v>
      </c>
      <c r="W8" s="23">
        <f>'[2]Soy Complex'!BD490</f>
        <v>1777.6667879752056</v>
      </c>
      <c r="X8" s="23">
        <f>'[2]Soy Complex'!BE490</f>
        <v>2420.018</v>
      </c>
      <c r="Y8" s="23">
        <f>'[2]Soy Complex'!BF490</f>
        <v>2239.989</v>
      </c>
      <c r="Z8" s="23">
        <f>'[2]Soy Complex'!BG490</f>
        <v>2688.7759999999998</v>
      </c>
      <c r="AA8" s="23">
        <f>'[2]Soy Complex'!BH490</f>
        <v>2257.6060000000002</v>
      </c>
      <c r="AB8" s="23">
        <f>'[2]Soy Complex'!BI490</f>
        <v>2600.6010000000001</v>
      </c>
      <c r="AC8" s="23">
        <f>'[2]Soy Complex'!BJ490</f>
        <v>2177.5879999999997</v>
      </c>
      <c r="AD8" s="23">
        <f>'[2]Soy Complex'!BK490</f>
        <v>2424.192</v>
      </c>
      <c r="AE8" s="23">
        <f>'[2]Soy Complex'!BL490</f>
        <v>2539.6790000000001</v>
      </c>
      <c r="AF8" s="23">
        <f>'[2]Soy Complex'!BM490</f>
        <v>2311.3670000000002</v>
      </c>
      <c r="AG8" s="23">
        <f>'[2]Soy Complex'!BN490</f>
        <v>2541.6285581639154</v>
      </c>
    </row>
    <row r="9" spans="1:33">
      <c r="A9" s="19" t="s">
        <v>35</v>
      </c>
      <c r="B9" s="23">
        <f>'[2]Soy Complex'!AI491</f>
        <v>5.52</v>
      </c>
      <c r="C9" s="23">
        <f>'[2]Soy Complex'!AJ491</f>
        <v>1130.4000000000001</v>
      </c>
      <c r="D9" s="23">
        <f>'[2]Soy Complex'!AK491</f>
        <v>1758.9</v>
      </c>
      <c r="E9" s="23">
        <f>'[2]Soy Complex'!AL491</f>
        <v>2143.3000000000002</v>
      </c>
      <c r="F9" s="23">
        <f>'[2]Soy Complex'!AM491</f>
        <v>1857.1</v>
      </c>
      <c r="G9" s="23">
        <f>'[2]Soy Complex'!AN491</f>
        <v>1767.3</v>
      </c>
      <c r="H9" s="23">
        <f>'[2]Soy Complex'!AO491</f>
        <v>1978.3</v>
      </c>
      <c r="I9" s="23">
        <f>'[2]Soy Complex'!AP491</f>
        <v>2695.6</v>
      </c>
      <c r="J9" s="23">
        <f>'[2]Soy Complex'!AQ491</f>
        <v>2889.3999999999996</v>
      </c>
      <c r="K9" s="23">
        <f>'[2]Soy Complex'!AR491</f>
        <v>2052.6</v>
      </c>
      <c r="L9" s="23">
        <f>'[2]Soy Complex'!AS491</f>
        <v>1648.3999999999999</v>
      </c>
      <c r="M9" s="23">
        <f>'[2]Soy Complex'!AT491</f>
        <v>1888.7</v>
      </c>
      <c r="N9" s="23">
        <f>'[2]Soy Complex'!AU491</f>
        <v>3004.5170000000003</v>
      </c>
      <c r="O9" s="23">
        <f>'[2]Soy Complex'!AV491</f>
        <v>3468.7</v>
      </c>
      <c r="P9" s="23">
        <f>'[2]Soy Complex'!AW491</f>
        <v>2989</v>
      </c>
      <c r="Q9" s="23">
        <f>'[2]Soy Complex'!AX491</f>
        <v>3338.8</v>
      </c>
      <c r="R9" s="23">
        <f>'[2]Soy Complex'!AY491</f>
        <v>3521.9170000000004</v>
      </c>
      <c r="S9" s="23">
        <f>'[2]Soy Complex'!AZ491</f>
        <v>3177.3229999999999</v>
      </c>
      <c r="T9" s="23">
        <f>'[2]Soy Complex'!BA491</f>
        <v>2836.2383443071426</v>
      </c>
      <c r="U9" s="23">
        <f>'[2]Soy Complex'!BB491</f>
        <v>3028.3649691696969</v>
      </c>
      <c r="V9" s="23">
        <f>'[2]Soy Complex'!BC491</f>
        <v>2416.4836356221213</v>
      </c>
      <c r="W9" s="23">
        <f>'[2]Soy Complex'!BD491</f>
        <v>2189.3240000000001</v>
      </c>
      <c r="X9" s="23">
        <f>'[2]Soy Complex'!BE491</f>
        <v>2466.1379999999999</v>
      </c>
      <c r="Y9" s="23">
        <f>'[2]Soy Complex'!BF491</f>
        <v>2269.2550000000001</v>
      </c>
      <c r="Z9" s="23">
        <f>'[2]Soy Complex'!BG491</f>
        <v>2374.0610000000001</v>
      </c>
      <c r="AA9" s="23">
        <f>'[2]Soy Complex'!BH491</f>
        <v>2018.867</v>
      </c>
      <c r="AB9" s="23">
        <f>'[2]Soy Complex'!BI491</f>
        <v>2445.415</v>
      </c>
      <c r="AC9" s="23">
        <f>'[2]Soy Complex'!BJ491</f>
        <v>2146.9879999999998</v>
      </c>
      <c r="AD9" s="23">
        <f>'[2]Soy Complex'!BK491</f>
        <v>2384.373</v>
      </c>
      <c r="AE9" s="23">
        <f>'[2]Soy Complex'!BL491</f>
        <v>2386.2220000000002</v>
      </c>
      <c r="AF9" s="23">
        <f>'[2]Soy Complex'!BM491</f>
        <v>2186.8389999999999</v>
      </c>
      <c r="AG9" s="23">
        <f>'[2]Soy Complex'!BN491</f>
        <v>2581.2950783980905</v>
      </c>
    </row>
    <row r="10" spans="1:33">
      <c r="A10" s="19" t="s">
        <v>36</v>
      </c>
      <c r="B10" s="23">
        <f>'[2]Soy Complex'!AI492</f>
        <v>5.55</v>
      </c>
      <c r="C10" s="23">
        <f>'[2]Soy Complex'!AJ492</f>
        <v>1111.7</v>
      </c>
      <c r="D10" s="23">
        <f>'[2]Soy Complex'!AK492</f>
        <v>1888.5</v>
      </c>
      <c r="E10" s="23">
        <f>'[2]Soy Complex'!AL492</f>
        <v>2137.9</v>
      </c>
      <c r="F10" s="23">
        <f>'[2]Soy Complex'!AM492</f>
        <v>1712.6</v>
      </c>
      <c r="G10" s="23">
        <f>'[2]Soy Complex'!AN492</f>
        <v>1647.3999999999999</v>
      </c>
      <c r="H10" s="23">
        <f>'[2]Soy Complex'!AO492</f>
        <v>2028.3000000000002</v>
      </c>
      <c r="I10" s="23">
        <f>'[2]Soy Complex'!AP492</f>
        <v>2776.4290000000001</v>
      </c>
      <c r="J10" s="23">
        <f>'[2]Soy Complex'!AQ492</f>
        <v>2658.3420000000001</v>
      </c>
      <c r="K10" s="23">
        <f>'[2]Soy Complex'!AR492</f>
        <v>1928.5</v>
      </c>
      <c r="L10" s="23">
        <f>'[2]Soy Complex'!AS492</f>
        <v>1513.7</v>
      </c>
      <c r="M10" s="23">
        <f>'[2]Soy Complex'!AT492</f>
        <v>1838.1000000000001</v>
      </c>
      <c r="N10" s="23">
        <f>'[2]Soy Complex'!AU492</f>
        <v>3050.1829999999995</v>
      </c>
      <c r="O10" s="23">
        <f>'[2]Soy Complex'!AV492</f>
        <v>3549.8</v>
      </c>
      <c r="P10" s="23">
        <f>'[2]Soy Complex'!AW492</f>
        <v>2906</v>
      </c>
      <c r="Q10" s="23">
        <f>'[2]Soy Complex'!AX492</f>
        <v>3530.3</v>
      </c>
      <c r="R10" s="23">
        <f>'[2]Soy Complex'!AY492</f>
        <v>3597.482</v>
      </c>
      <c r="S10" s="23">
        <f>'[2]Soy Complex'!AZ492</f>
        <v>3153.0639999999999</v>
      </c>
      <c r="T10" s="23">
        <f>'[2]Soy Complex'!BA492</f>
        <v>2813.7371448155991</v>
      </c>
      <c r="U10" s="23">
        <f>'[2]Soy Complex'!BB492</f>
        <v>2803.3832644538384</v>
      </c>
      <c r="V10" s="23">
        <f>'[2]Soy Complex'!BC492</f>
        <v>2253.5990498781284</v>
      </c>
      <c r="W10" s="23">
        <f>'[2]Soy Complex'!BD492</f>
        <v>2153.2469999999998</v>
      </c>
      <c r="X10" s="23">
        <f>'[2]Soy Complex'!BE492</f>
        <v>2424.134</v>
      </c>
      <c r="Y10" s="23">
        <f>'[2]Soy Complex'!BF492</f>
        <v>2142.8779999999997</v>
      </c>
      <c r="Z10" s="23">
        <f>'[2]Soy Complex'!BG492</f>
        <v>2304.808</v>
      </c>
      <c r="AA10" s="23">
        <f>'[2]Soy Complex'!BH492</f>
        <v>2014.4199999999998</v>
      </c>
      <c r="AB10" s="23">
        <f>'[2]Soy Complex'!BI492</f>
        <v>2270.8110000000001</v>
      </c>
      <c r="AC10" s="23">
        <f>'[2]Soy Complex'!BJ492</f>
        <v>2100.654</v>
      </c>
      <c r="AD10" s="23">
        <f>'[2]Soy Complex'!BK492</f>
        <v>2315.5039999999999</v>
      </c>
      <c r="AE10" s="23">
        <f>'[2]Soy Complex'!BL492</f>
        <v>2203.0349999999999</v>
      </c>
      <c r="AF10" s="23">
        <f>'[2]Soy Complex'!BM492</f>
        <v>2125.3070000000002</v>
      </c>
      <c r="AG10" s="23">
        <f>'[2]Soy Complex'!BN492</f>
        <v>2608.2533616143128</v>
      </c>
    </row>
    <row r="11" spans="1:33">
      <c r="A11" s="19" t="s">
        <v>37</v>
      </c>
      <c r="B11" s="23">
        <f>'[2]Soy Complex'!AI493</f>
        <v>5.55</v>
      </c>
      <c r="C11" s="23">
        <f>'[2]Soy Complex'!AJ493</f>
        <v>1142</v>
      </c>
      <c r="D11" s="23">
        <f>'[2]Soy Complex'!AK493</f>
        <v>2156.5</v>
      </c>
      <c r="E11" s="23">
        <f>'[2]Soy Complex'!AL493</f>
        <v>1978.1</v>
      </c>
      <c r="F11" s="23">
        <f>'[2]Soy Complex'!AM493</f>
        <v>1779.1000000000001</v>
      </c>
      <c r="G11" s="23">
        <f>'[2]Soy Complex'!AN493</f>
        <v>1671.2</v>
      </c>
      <c r="H11" s="23">
        <f>'[2]Soy Complex'!AO493</f>
        <v>2120.4</v>
      </c>
      <c r="I11" s="23">
        <f>'[2]Soy Complex'!AP493</f>
        <v>2743.9750000000004</v>
      </c>
      <c r="J11" s="23">
        <f>'[2]Soy Complex'!AQ493</f>
        <v>2529.4</v>
      </c>
      <c r="K11" s="23">
        <f>'[2]Soy Complex'!AR493</f>
        <v>1795.6000000000001</v>
      </c>
      <c r="L11" s="23">
        <f>'[2]Soy Complex'!AS493</f>
        <v>1411.6000000000001</v>
      </c>
      <c r="M11" s="23">
        <f>'[2]Soy Complex'!AT493</f>
        <v>1988.9</v>
      </c>
      <c r="N11" s="23">
        <f>'[2]Soy Complex'!AU493</f>
        <v>3244.232</v>
      </c>
      <c r="O11" s="23">
        <f>'[2]Soy Complex'!AV493</f>
        <v>3399.7</v>
      </c>
      <c r="P11" s="23">
        <f>'[2]Soy Complex'!AW493</f>
        <v>2793.2</v>
      </c>
      <c r="Q11" s="23">
        <f>'[2]Soy Complex'!AX493</f>
        <v>3448.9</v>
      </c>
      <c r="R11" s="23">
        <f>'[2]Soy Complex'!AY493</f>
        <v>3594.0680000000002</v>
      </c>
      <c r="S11" s="23">
        <f>'[2]Soy Complex'!AZ493</f>
        <v>3128.8510000000001</v>
      </c>
      <c r="T11" s="23">
        <f>'[2]Soy Complex'!BA493</f>
        <v>2912.3764431089126</v>
      </c>
      <c r="U11" s="23">
        <f>'[2]Soy Complex'!BB493</f>
        <v>2545.6263865287369</v>
      </c>
      <c r="V11" s="23">
        <f>'[2]Soy Complex'!BC493</f>
        <v>1973.3681412669509</v>
      </c>
      <c r="W11" s="23">
        <f>'[2]Soy Complex'!BD493</f>
        <v>2146.453</v>
      </c>
      <c r="X11" s="23">
        <f>'[2]Soy Complex'!BE493</f>
        <v>2214.2780000000002</v>
      </c>
      <c r="Y11" s="23">
        <f>'[2]Soy Complex'!BF493</f>
        <v>2000.498</v>
      </c>
      <c r="Z11" s="23">
        <f>'[2]Soy Complex'!BG493</f>
        <v>2383.6459999999997</v>
      </c>
      <c r="AA11" s="23">
        <f>'[2]Soy Complex'!BH493</f>
        <v>2039.501</v>
      </c>
      <c r="AB11" s="23">
        <f>'[2]Soy Complex'!BI493</f>
        <v>2123.2240000000002</v>
      </c>
      <c r="AC11" s="23">
        <f>'[2]Soy Complex'!BJ493</f>
        <v>2070.1109999999999</v>
      </c>
      <c r="AD11" s="23">
        <f>'[2]Soy Complex'!BK493</f>
        <v>2266.7939999999999</v>
      </c>
      <c r="AE11" s="23">
        <f>'[2]Soy Complex'!BL493</f>
        <v>2136.2019999999998</v>
      </c>
      <c r="AF11" s="23">
        <f>'[2]Soy Complex'!BM493</f>
        <v>2008.5349999999999</v>
      </c>
      <c r="AG11" s="23">
        <f>'[2]Soy Complex'!BN493</f>
        <v>2788.7434349554746</v>
      </c>
    </row>
    <row r="12" spans="1:33">
      <c r="A12" s="19" t="s">
        <v>38</v>
      </c>
      <c r="B12" s="23">
        <f>'[2]Soy Complex'!AI494</f>
        <v>5.45</v>
      </c>
      <c r="C12" s="23">
        <f>'[2]Soy Complex'!AJ494</f>
        <v>1100</v>
      </c>
      <c r="D12" s="23">
        <f>'[2]Soy Complex'!AK494</f>
        <v>2091.4</v>
      </c>
      <c r="E12" s="23">
        <f>'[2]Soy Complex'!AL494</f>
        <v>1699.8999999999999</v>
      </c>
      <c r="F12" s="23">
        <f>'[2]Soy Complex'!AM494</f>
        <v>1453.1</v>
      </c>
      <c r="G12" s="23">
        <f>'[2]Soy Complex'!AN494</f>
        <v>1630.8</v>
      </c>
      <c r="H12" s="23">
        <f>'[2]Soy Complex'!AO494</f>
        <v>2018.1</v>
      </c>
      <c r="I12" s="23">
        <f>'[2]Soy Complex'!AP494</f>
        <v>2675.4</v>
      </c>
      <c r="J12" s="23">
        <f>'[2]Soy Complex'!AQ494</f>
        <v>2521.712</v>
      </c>
      <c r="K12" s="23">
        <f>'[2]Soy Complex'!AR494</f>
        <v>1657.9</v>
      </c>
      <c r="L12" s="23">
        <f>'[2]Soy Complex'!AS494</f>
        <v>1180.2</v>
      </c>
      <c r="M12" s="23">
        <f>'[2]Soy Complex'!AT494</f>
        <v>1727.1</v>
      </c>
      <c r="N12" s="23">
        <f>'[2]Soy Complex'!AU494</f>
        <v>3206.0020000000004</v>
      </c>
      <c r="O12" s="23">
        <f>'[2]Soy Complex'!AV494</f>
        <v>3200.4</v>
      </c>
      <c r="P12" s="23">
        <f>'[2]Soy Complex'!AW494</f>
        <v>2567.4</v>
      </c>
      <c r="Q12" s="23">
        <f>'[2]Soy Complex'!AX494</f>
        <v>3134</v>
      </c>
      <c r="R12" s="23">
        <f>'[2]Soy Complex'!AY494</f>
        <v>3337.84</v>
      </c>
      <c r="S12" s="23">
        <f>'[2]Soy Complex'!AZ494</f>
        <v>2847.2210671466123</v>
      </c>
      <c r="T12" s="23">
        <f>'[2]Soy Complex'!BA494</f>
        <v>2669.3714609209192</v>
      </c>
      <c r="U12" s="23">
        <f>'[2]Soy Complex'!BB494</f>
        <v>2053.9532529206117</v>
      </c>
      <c r="V12" s="23">
        <f>'[2]Soy Complex'!BC494</f>
        <v>1493.8089156315323</v>
      </c>
      <c r="W12" s="23">
        <f>'[2]Soy Complex'!BD494</f>
        <v>1999.7220000000002</v>
      </c>
      <c r="X12" s="23">
        <f>'[2]Soy Complex'!BE494</f>
        <v>1985.7429999999999</v>
      </c>
      <c r="Y12" s="23">
        <f>'[2]Soy Complex'!BF494</f>
        <v>1810.3409999999999</v>
      </c>
      <c r="Z12" s="23">
        <f>'[2]Soy Complex'!BG494</f>
        <v>2214.799</v>
      </c>
      <c r="AA12" s="23">
        <f>'[2]Soy Complex'!BH494</f>
        <v>1806.1469999999999</v>
      </c>
      <c r="AB12" s="23">
        <f>'[2]Soy Complex'!BI494</f>
        <v>1945.107</v>
      </c>
      <c r="AC12" s="23">
        <f>'[2]Soy Complex'!BJ494</f>
        <v>2183.4409999999998</v>
      </c>
      <c r="AD12" s="23">
        <f>'[2]Soy Complex'!BK494</f>
        <v>2103.7129999999997</v>
      </c>
      <c r="AE12" s="23">
        <f>'[2]Soy Complex'!BL494</f>
        <v>1772.383</v>
      </c>
      <c r="AF12" s="23">
        <f>'[2]Soy Complex'!BM494</f>
        <v>1629.431</v>
      </c>
      <c r="AG12" s="23">
        <f>'[2]Soy Complex'!BN494</f>
        <v>2012.7414831002761</v>
      </c>
    </row>
    <row r="13" spans="1:33">
      <c r="A13" s="19" t="s">
        <v>39</v>
      </c>
      <c r="B13" s="23">
        <f>'[2]Soy Complex'!AI495</f>
        <v>5.56</v>
      </c>
      <c r="C13" s="23">
        <f>'[2]Soy Complex'!AJ495</f>
        <v>1136.7</v>
      </c>
      <c r="D13" s="23">
        <f>'[2]Soy Complex'!AK495</f>
        <v>2015.3999999999999</v>
      </c>
      <c r="E13" s="23">
        <f>'[2]Soy Complex'!AL495</f>
        <v>1520.1</v>
      </c>
      <c r="F13" s="23">
        <f>'[2]Soy Complex'!AM495</f>
        <v>1382.4</v>
      </c>
      <c r="G13" s="23">
        <f>'[2]Soy Complex'!AN495</f>
        <v>1519.5</v>
      </c>
      <c r="H13" s="23">
        <f>'[2]Soy Complex'!AO495</f>
        <v>1993.5</v>
      </c>
      <c r="I13" s="23">
        <f>'[2]Soy Complex'!AP495</f>
        <v>2767</v>
      </c>
      <c r="J13" s="23">
        <f>'[2]Soy Complex'!AQ495</f>
        <v>2358.6</v>
      </c>
      <c r="K13" s="23">
        <f>'[2]Soy Complex'!AR495</f>
        <v>1488.7</v>
      </c>
      <c r="L13" s="23">
        <f>'[2]Soy Complex'!AS495</f>
        <v>1075.6000000000001</v>
      </c>
      <c r="M13" s="23">
        <f>'[2]Soy Complex'!AT495</f>
        <v>1699.1</v>
      </c>
      <c r="N13" s="23">
        <f>'[2]Soy Complex'!AU495</f>
        <v>3144.9979999999996</v>
      </c>
      <c r="O13" s="23">
        <f>'[2]Soy Complex'!AV495</f>
        <v>3085.2</v>
      </c>
      <c r="P13" s="23">
        <f>'[2]Soy Complex'!AW495</f>
        <v>2484.6</v>
      </c>
      <c r="Q13" s="23">
        <f>'[2]Soy Complex'!AX495</f>
        <v>2860.5</v>
      </c>
      <c r="R13" s="23">
        <f>'[2]Soy Complex'!AY495</f>
        <v>3405.78</v>
      </c>
      <c r="S13" s="23">
        <f>'[2]Soy Complex'!AZ495</f>
        <v>2424.5096194237863</v>
      </c>
      <c r="T13" s="23">
        <f>'[2]Soy Complex'!BA495</f>
        <v>2539.5311429826502</v>
      </c>
      <c r="U13" s="23">
        <f>'[2]Soy Complex'!BB495</f>
        <v>1704.9149668082321</v>
      </c>
      <c r="V13" s="23">
        <f>'[2]Soy Complex'!BC495</f>
        <v>1165.2148728200884</v>
      </c>
      <c r="W13" s="23">
        <f>'[2]Soy Complex'!BD495</f>
        <v>1854.818</v>
      </c>
      <c r="X13" s="23">
        <f>'[2]Soy Complex'!BE495</f>
        <v>1686.8130000000001</v>
      </c>
      <c r="Y13" s="23">
        <f>'[2]Soy Complex'!BF495</f>
        <v>1710.954</v>
      </c>
      <c r="Z13" s="23">
        <f>'[2]Soy Complex'!BG495</f>
        <v>1995.434</v>
      </c>
      <c r="AA13" s="23">
        <f>'[2]Soy Complex'!BH495</f>
        <v>1775.316</v>
      </c>
      <c r="AB13" s="23">
        <f>'[2]Soy Complex'!BI495</f>
        <v>1852.675</v>
      </c>
      <c r="AC13" s="23">
        <f>'[2]Soy Complex'!BJ495</f>
        <v>2131.2330000000002</v>
      </c>
      <c r="AD13" s="23">
        <f>'[2]Soy Complex'!BK495</f>
        <v>1991.1480000000001</v>
      </c>
      <c r="AE13" s="23">
        <f>'[2]Soy Complex'!BL495</f>
        <v>1602.2360000000001</v>
      </c>
      <c r="AF13" s="23">
        <f>'[2]Soy Complex'!BM495</f>
        <v>1500.8580000000002</v>
      </c>
      <c r="AG13" s="23">
        <f>'[2]Soy Complex'!BN495</f>
        <v>1741.4732873407656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AF2E-7B53-46BA-BA0E-CC4425B45585}">
  <dimension ref="A1:AB37"/>
  <sheetViews>
    <sheetView workbookViewId="0">
      <pane xSplit="1" ySplit="1" topLeftCell="F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140625" style="10"/>
    <col min="2" max="28" width="9.28515625" style="10" customWidth="1"/>
    <col min="29" max="16384" width="9.140625" style="10"/>
  </cols>
  <sheetData>
    <row r="1" spans="1:28" s="26" customFormat="1">
      <c r="A1" s="26" t="s">
        <v>0</v>
      </c>
      <c r="B1" s="23" t="str">
        <f>'NASS SBO Stocks'!G1</f>
        <v xml:space="preserve">98/99 </v>
      </c>
      <c r="C1" s="23" t="str">
        <f>'NASS SBO Stocks'!H1</f>
        <v xml:space="preserve">99/00 </v>
      </c>
      <c r="D1" s="23" t="str">
        <f>'NASS SBO Stocks'!I1</f>
        <v xml:space="preserve">00/01 </v>
      </c>
      <c r="E1" s="23" t="str">
        <f>'NASS SBO Stocks'!J1</f>
        <v xml:space="preserve">01/02 </v>
      </c>
      <c r="F1" s="23" t="str">
        <f>'NASS SBO Stocks'!K1</f>
        <v xml:space="preserve">02/03 </v>
      </c>
      <c r="G1" s="23" t="str">
        <f>'NASS SBO Stocks'!L1</f>
        <v xml:space="preserve">03/04 </v>
      </c>
      <c r="H1" s="23" t="str">
        <f>'NASS SBO Stocks'!M1</f>
        <v xml:space="preserve">04/05 </v>
      </c>
      <c r="I1" s="23" t="str">
        <f>'NASS SBO Stocks'!N1</f>
        <v xml:space="preserve">05/06 </v>
      </c>
      <c r="J1" s="23" t="str">
        <f>'NASS SBO Stocks'!O1</f>
        <v xml:space="preserve">06/07 </v>
      </c>
      <c r="K1" s="23" t="str">
        <f>'NASS SBO Stocks'!P1</f>
        <v xml:space="preserve">07/08 </v>
      </c>
      <c r="L1" s="23" t="str">
        <f>'NASS SBO Stocks'!Q1</f>
        <v xml:space="preserve">08/09 </v>
      </c>
      <c r="M1" s="23" t="str">
        <f>'NASS SBO Stocks'!R1</f>
        <v xml:space="preserve">09/10 </v>
      </c>
      <c r="N1" s="23" t="str">
        <f>'NASS SBO Stocks'!S1</f>
        <v xml:space="preserve">10/11 </v>
      </c>
      <c r="O1" s="23" t="str">
        <f>'NASS SBO Stocks'!T1</f>
        <v xml:space="preserve">11/12 </v>
      </c>
      <c r="P1" s="23" t="str">
        <f>'NASS SBO Stocks'!U1</f>
        <v xml:space="preserve">12/13 </v>
      </c>
      <c r="Q1" s="23" t="str">
        <f>'NASS SBO Stocks'!V1</f>
        <v xml:space="preserve">13/14 </v>
      </c>
      <c r="R1" s="23" t="str">
        <f>'NASS SBO Stocks'!W1</f>
        <v xml:space="preserve">14/15 </v>
      </c>
      <c r="S1" s="23" t="str">
        <f>'NASS SBO Stocks'!X1</f>
        <v xml:space="preserve">15/16 </v>
      </c>
      <c r="T1" s="23" t="str">
        <f>'NASS SBO Stocks'!Y1</f>
        <v xml:space="preserve">16/17 </v>
      </c>
      <c r="U1" s="23" t="str">
        <f>'NASS SBO Stocks'!Z1</f>
        <v xml:space="preserve">17/18 </v>
      </c>
      <c r="V1" s="23" t="str">
        <f>'NASS SBO Stocks'!AA1</f>
        <v xml:space="preserve">18/19 </v>
      </c>
      <c r="W1" s="23" t="str">
        <f>'NASS SBO Stocks'!AB1</f>
        <v>19/20</v>
      </c>
      <c r="X1" s="23" t="str">
        <f>'NASS SBO Stocks'!AC1</f>
        <v>20/21</v>
      </c>
      <c r="Y1" s="23" t="str">
        <f>'NASS SBO Stocks'!AD1</f>
        <v xml:space="preserve">21/22 </v>
      </c>
      <c r="Z1" s="23" t="str">
        <f>'NASS SBO Stocks'!AE1</f>
        <v xml:space="preserve">22/23 </v>
      </c>
      <c r="AA1" s="23" t="str">
        <f>'NASS SBO Stocks'!AF1</f>
        <v xml:space="preserve">23/24 </v>
      </c>
      <c r="AB1" s="23" t="str">
        <f>'NASS SBO Stocks'!AG1</f>
        <v xml:space="preserve">24/25 </v>
      </c>
    </row>
    <row r="2" spans="1:28">
      <c r="A2" s="27" t="s">
        <v>28</v>
      </c>
      <c r="B2" s="20">
        <f>'[5]US EIA'!$B3</f>
        <v>0</v>
      </c>
      <c r="C2" s="20">
        <f>'[5]US EIA'!$B15</f>
        <v>0</v>
      </c>
      <c r="D2" s="20">
        <f>'[5]US EIA'!$B27</f>
        <v>0</v>
      </c>
      <c r="E2" s="20">
        <f>'[5]US EIA'!$B39</f>
        <v>0</v>
      </c>
      <c r="F2" s="20">
        <f>'[5]US EIA'!$B51</f>
        <v>0</v>
      </c>
      <c r="G2" s="20">
        <f>'[5]US EIA'!$B63</f>
        <v>0</v>
      </c>
      <c r="H2" s="20">
        <f>'[5]US EIA'!$B75</f>
        <v>0</v>
      </c>
      <c r="I2" s="20">
        <f>'[5]US EIA'!$B87</f>
        <v>0.33790205455243555</v>
      </c>
      <c r="J2" s="20">
        <f>'[5]US EIA'!$B99</f>
        <v>0.5</v>
      </c>
      <c r="K2" s="20">
        <f>'[5]US EIA'!$B111</f>
        <v>51.8</v>
      </c>
      <c r="L2" s="20">
        <f>'[5]US EIA'!$B123</f>
        <v>94.2</v>
      </c>
      <c r="M2" s="20">
        <f>'[5]US EIA'!$B135</f>
        <v>65</v>
      </c>
      <c r="N2" s="20">
        <f>'[5]US EIA'!$B147</f>
        <v>10</v>
      </c>
      <c r="O2" s="20">
        <f>'[5]US EIA'!$B159</f>
        <v>69</v>
      </c>
      <c r="P2" s="20">
        <f>'[5]US EIA'!$B171</f>
        <v>16</v>
      </c>
      <c r="Q2" s="20">
        <f>'[5]US EIA'!$B183</f>
        <v>82</v>
      </c>
      <c r="R2" s="20">
        <f>'[5]US EIA'!$B195</f>
        <v>132.9</v>
      </c>
      <c r="S2" s="20">
        <f>'[5]US EIA'!$B207</f>
        <v>60</v>
      </c>
      <c r="T2" s="20">
        <f>'[5]US EIA'!$B219</f>
        <v>116.95</v>
      </c>
      <c r="U2" s="20">
        <f>'[5]US EIA'!$B231</f>
        <v>159.29</v>
      </c>
      <c r="V2" s="20">
        <f>'[5]US EIA'!$B243</f>
        <v>100.71</v>
      </c>
      <c r="W2" s="20">
        <f>'[5]US EIA'!$B255</f>
        <v>114.98</v>
      </c>
      <c r="X2" s="18">
        <f>'[5]US EIA'!$B267</f>
        <v>80.385273001550331</v>
      </c>
      <c r="Y2" s="18">
        <f>'[5]US EIA'!$B279</f>
        <v>115.738</v>
      </c>
      <c r="Z2" s="18">
        <f>'[5]US EIA'!$B291</f>
        <v>167.27600000000001</v>
      </c>
      <c r="AA2" s="18">
        <f>'[5]US EIA'!$B303</f>
        <v>165.429</v>
      </c>
      <c r="AB2" s="18">
        <f>'[5]US EIA'!$B315</f>
        <v>138.16900000000001</v>
      </c>
    </row>
    <row r="3" spans="1:28">
      <c r="A3" s="27" t="s">
        <v>29</v>
      </c>
      <c r="B3" s="20">
        <f>'[5]US EIA'!$B4</f>
        <v>0</v>
      </c>
      <c r="C3" s="20">
        <f>'[5]US EIA'!$B16</f>
        <v>0</v>
      </c>
      <c r="D3" s="20">
        <f>'[5]US EIA'!$B28</f>
        <v>0</v>
      </c>
      <c r="E3" s="20">
        <f>'[5]US EIA'!$B40</f>
        <v>0</v>
      </c>
      <c r="F3" s="20">
        <f>'[5]US EIA'!$B52</f>
        <v>0</v>
      </c>
      <c r="G3" s="20">
        <f>'[5]US EIA'!$B64</f>
        <v>0</v>
      </c>
      <c r="H3" s="20">
        <f>'[5]US EIA'!$B76</f>
        <v>0</v>
      </c>
      <c r="I3" s="20">
        <f>'[5]US EIA'!$B88</f>
        <v>0.33790205455243555</v>
      </c>
      <c r="J3" s="20">
        <f>'[5]US EIA'!$B100</f>
        <v>1</v>
      </c>
      <c r="K3" s="20">
        <f>'[5]US EIA'!$B112</f>
        <v>40</v>
      </c>
      <c r="L3" s="20">
        <f>'[5]US EIA'!$B124</f>
        <v>118.9</v>
      </c>
      <c r="M3" s="20">
        <f>'[5]US EIA'!$B136</f>
        <v>99</v>
      </c>
      <c r="N3" s="20">
        <f>'[5]US EIA'!$B148</f>
        <v>4</v>
      </c>
      <c r="O3" s="20">
        <f>'[5]US EIA'!$B160</f>
        <v>84</v>
      </c>
      <c r="P3" s="20">
        <f>'[5]US EIA'!$B172</f>
        <v>18</v>
      </c>
      <c r="Q3" s="20">
        <f>'[5]US EIA'!$B184</f>
        <v>80</v>
      </c>
      <c r="R3" s="20">
        <f>'[5]US EIA'!$B196</f>
        <v>121.03</v>
      </c>
      <c r="S3" s="20">
        <f>'[5]US EIA'!$B208</f>
        <v>40</v>
      </c>
      <c r="T3" s="20">
        <f>'[5]US EIA'!$B220</f>
        <v>98.44</v>
      </c>
      <c r="U3" s="20">
        <f>'[5]US EIA'!$B232</f>
        <v>140.78</v>
      </c>
      <c r="V3" s="20">
        <f>'[5]US EIA'!$B244</f>
        <v>75.10009765625</v>
      </c>
      <c r="W3" s="20">
        <f>'[5]US EIA'!$B256</f>
        <v>100.08</v>
      </c>
      <c r="X3" s="18">
        <f>'[5]US EIA'!$B268</f>
        <v>87.207244968589521</v>
      </c>
      <c r="Y3" s="18">
        <f>'[5]US EIA'!$B280</f>
        <v>132.672888</v>
      </c>
      <c r="Z3" s="18">
        <f>'[5]US EIA'!$B292</f>
        <v>113.45</v>
      </c>
      <c r="AA3" s="18">
        <f>'[5]US EIA'!$B304</f>
        <v>137.553</v>
      </c>
      <c r="AB3" s="18">
        <f>'[5]US EIA'!$B316</f>
        <v>133.52581860145111</v>
      </c>
    </row>
    <row r="4" spans="1:28">
      <c r="A4" s="27" t="s">
        <v>30</v>
      </c>
      <c r="B4" s="20">
        <f>'[5]US EIA'!$B5</f>
        <v>0</v>
      </c>
      <c r="C4" s="20">
        <f>'[5]US EIA'!$B17</f>
        <v>0</v>
      </c>
      <c r="D4" s="20">
        <f>'[5]US EIA'!$B29</f>
        <v>0</v>
      </c>
      <c r="E4" s="20">
        <f>'[5]US EIA'!$B41</f>
        <v>0</v>
      </c>
      <c r="F4" s="20">
        <f>'[5]US EIA'!$B53</f>
        <v>0</v>
      </c>
      <c r="G4" s="20">
        <f>'[5]US EIA'!$B65</f>
        <v>0</v>
      </c>
      <c r="H4" s="20">
        <f>'[5]US EIA'!$B77</f>
        <v>0</v>
      </c>
      <c r="I4" s="20">
        <f>'[5]US EIA'!$B89</f>
        <v>0.33790205455243555</v>
      </c>
      <c r="J4" s="20">
        <f>'[5]US EIA'!$B101</f>
        <v>1</v>
      </c>
      <c r="K4" s="20">
        <f>'[5]US EIA'!$B113</f>
        <v>44.2</v>
      </c>
      <c r="L4" s="20">
        <f>'[5]US EIA'!$B125</f>
        <v>24.1</v>
      </c>
      <c r="M4" s="20">
        <f>'[5]US EIA'!$B137</f>
        <v>85</v>
      </c>
      <c r="N4" s="20">
        <f>'[5]US EIA'!$B149</f>
        <v>8</v>
      </c>
      <c r="O4" s="20">
        <f>'[5]US EIA'!$B161</f>
        <v>71</v>
      </c>
      <c r="P4" s="20">
        <f>'[5]US EIA'!$B173</f>
        <v>16</v>
      </c>
      <c r="Q4" s="20">
        <f>'[5]US EIA'!$B185</f>
        <v>105</v>
      </c>
      <c r="R4" s="20">
        <f>'[5]US EIA'!$B197</f>
        <v>84.59</v>
      </c>
      <c r="S4" s="20">
        <f>'[5]US EIA'!$B209</f>
        <v>48</v>
      </c>
      <c r="T4" s="20">
        <f>'[5]US EIA'!$B221</f>
        <v>55.23</v>
      </c>
      <c r="U4" s="20">
        <f>'[5]US EIA'!$B233</f>
        <v>127.85</v>
      </c>
      <c r="V4" s="20">
        <f>'[5]US EIA'!$B245</f>
        <v>85.650146484375</v>
      </c>
      <c r="W4" s="20">
        <f>'[5]US EIA'!$B257</f>
        <v>99.18</v>
      </c>
      <c r="X4" s="18">
        <f>'[5]US EIA'!$B269</f>
        <v>75.634753488699971</v>
      </c>
      <c r="Y4" s="18">
        <f>'[5]US EIA'!$B281</f>
        <v>126.211</v>
      </c>
      <c r="Z4" s="18">
        <f>'[5]US EIA'!$B293</f>
        <v>119.591805422766</v>
      </c>
      <c r="AA4" s="18">
        <f>'[5]US EIA'!$B305</f>
        <v>150.333786</v>
      </c>
      <c r="AB4" s="18">
        <f>'[5]US EIA'!$B317</f>
        <v>127.72090783186732</v>
      </c>
    </row>
    <row r="5" spans="1:28">
      <c r="A5" s="27" t="s">
        <v>31</v>
      </c>
      <c r="B5" s="20">
        <f>'[5]US EIA'!$B6</f>
        <v>0</v>
      </c>
      <c r="C5" s="20">
        <f>'[5]US EIA'!$B18</f>
        <v>0</v>
      </c>
      <c r="D5" s="20">
        <f>'[5]US EIA'!$B30</f>
        <v>0</v>
      </c>
      <c r="E5" s="20">
        <f>'[5]US EIA'!$B42</f>
        <v>0</v>
      </c>
      <c r="F5" s="20">
        <f>'[5]US EIA'!$B54</f>
        <v>0</v>
      </c>
      <c r="G5" s="20">
        <f>'[5]US EIA'!$B66</f>
        <v>0</v>
      </c>
      <c r="H5" s="20">
        <f>'[5]US EIA'!$B78</f>
        <v>0</v>
      </c>
      <c r="I5" s="20">
        <f>'[5]US EIA'!$B90</f>
        <v>0</v>
      </c>
      <c r="J5" s="20">
        <f>'[5]US EIA'!$B102</f>
        <v>2</v>
      </c>
      <c r="K5" s="20">
        <f>'[5]US EIA'!$B114</f>
        <v>66.2</v>
      </c>
      <c r="L5" s="20">
        <f>'[5]US EIA'!$B126</f>
        <v>44</v>
      </c>
      <c r="M5" s="20">
        <f>'[5]US EIA'!$B138</f>
        <v>33</v>
      </c>
      <c r="N5" s="20">
        <f>'[5]US EIA'!$B150</f>
        <v>8</v>
      </c>
      <c r="O5" s="20">
        <f>'[5]US EIA'!$B162</f>
        <v>73</v>
      </c>
      <c r="P5" s="20">
        <f>'[5]US EIA'!$B174</f>
        <v>16</v>
      </c>
      <c r="Q5" s="20">
        <f>'[5]US EIA'!$B186</f>
        <v>36</v>
      </c>
      <c r="R5" s="20">
        <f>'[5]US EIA'!$B198</f>
        <v>65</v>
      </c>
      <c r="S5" s="20">
        <f>'[5]US EIA'!$B210</f>
        <v>60.83</v>
      </c>
      <c r="T5" s="20">
        <f>'[5]US EIA'!$B222</f>
        <v>37.909999999999997</v>
      </c>
      <c r="U5" s="20">
        <f>'[5]US EIA'!$B234</f>
        <v>128.03</v>
      </c>
      <c r="V5" s="20">
        <f>'[5]US EIA'!$B246</f>
        <v>95.188333333333389</v>
      </c>
      <c r="W5" s="20">
        <f>'[5]US EIA'!$B258</f>
        <v>109</v>
      </c>
      <c r="X5" s="18">
        <f>'[5]US EIA'!$B270</f>
        <v>227.95051681497193</v>
      </c>
      <c r="Y5" s="18">
        <f>'[5]US EIA'!$B282</f>
        <v>63.920999999999999</v>
      </c>
      <c r="Z5" s="18">
        <f>'[5]US EIA'!$B294</f>
        <v>95.943749308474011</v>
      </c>
      <c r="AA5" s="18">
        <f>'[5]US EIA'!$B306</f>
        <v>152.648</v>
      </c>
      <c r="AB5" s="18">
        <f>'[5]US EIA'!$B318</f>
        <v>116.35731221507388</v>
      </c>
    </row>
    <row r="6" spans="1:28">
      <c r="A6" s="27" t="s">
        <v>32</v>
      </c>
      <c r="B6" s="20">
        <f>'[5]US EIA'!$B7</f>
        <v>0</v>
      </c>
      <c r="C6" s="20">
        <f>'[5]US EIA'!$B19</f>
        <v>0</v>
      </c>
      <c r="D6" s="20">
        <f>'[5]US EIA'!$B31</f>
        <v>0</v>
      </c>
      <c r="E6" s="20">
        <f>'[5]US EIA'!$B43</f>
        <v>0</v>
      </c>
      <c r="F6" s="20">
        <f>'[5]US EIA'!$B55</f>
        <v>0</v>
      </c>
      <c r="G6" s="20">
        <f>'[5]US EIA'!$B67</f>
        <v>0</v>
      </c>
      <c r="H6" s="20">
        <f>'[5]US EIA'!$B79</f>
        <v>0</v>
      </c>
      <c r="I6" s="20">
        <f>'[5]US EIA'!$B91</f>
        <v>0</v>
      </c>
      <c r="J6" s="20">
        <f>'[5]US EIA'!$B103</f>
        <v>2</v>
      </c>
      <c r="K6" s="20">
        <f>'[5]US EIA'!$B115</f>
        <v>60</v>
      </c>
      <c r="L6" s="20">
        <f>'[5]US EIA'!$B127</f>
        <v>15</v>
      </c>
      <c r="M6" s="20">
        <f>'[5]US EIA'!$B139</f>
        <v>30</v>
      </c>
      <c r="N6" s="20">
        <f>'[5]US EIA'!$B151</f>
        <v>26</v>
      </c>
      <c r="O6" s="20">
        <f>'[5]US EIA'!$B163</f>
        <v>90</v>
      </c>
      <c r="P6" s="20">
        <f>'[5]US EIA'!$B175</f>
        <v>38</v>
      </c>
      <c r="Q6" s="20">
        <f>'[5]US EIA'!$B187</f>
        <v>27</v>
      </c>
      <c r="R6" s="20">
        <f>'[5]US EIA'!$B199</f>
        <v>30</v>
      </c>
      <c r="S6" s="20">
        <f>'[5]US EIA'!$B211</f>
        <v>47.28</v>
      </c>
      <c r="T6" s="20">
        <f>'[5]US EIA'!$B223</f>
        <v>69</v>
      </c>
      <c r="U6" s="20">
        <f>'[5]US EIA'!$B235</f>
        <v>102.36</v>
      </c>
      <c r="V6" s="20">
        <f>'[5]US EIA'!$B247</f>
        <v>53.819999999999936</v>
      </c>
      <c r="W6" s="20">
        <f>'[5]US EIA'!$B259</f>
        <v>93.39</v>
      </c>
      <c r="X6" s="18">
        <f>'[5]US EIA'!$B271</f>
        <v>85.328000000000003</v>
      </c>
      <c r="Y6" s="18">
        <f>'[5]US EIA'!$B283</f>
        <v>59.081998216759644</v>
      </c>
      <c r="Z6" s="18">
        <f>'[5]US EIA'!$B295</f>
        <v>66.343073137521245</v>
      </c>
      <c r="AA6" s="18">
        <f>'[5]US EIA'!$B307</f>
        <v>129.77799999999999</v>
      </c>
      <c r="AB6" s="18">
        <f>'[5]US EIA'!$B319</f>
        <v>92.954847082520459</v>
      </c>
    </row>
    <row r="7" spans="1:28">
      <c r="A7" s="27" t="s">
        <v>33</v>
      </c>
      <c r="B7" s="20">
        <f>'[5]US EIA'!$B8</f>
        <v>0</v>
      </c>
      <c r="C7" s="20">
        <f>'[5]US EIA'!$B20</f>
        <v>0</v>
      </c>
      <c r="D7" s="20">
        <f>'[5]US EIA'!$B32</f>
        <v>0</v>
      </c>
      <c r="E7" s="20">
        <f>'[5]US EIA'!$B44</f>
        <v>0</v>
      </c>
      <c r="F7" s="20">
        <f>'[5]US EIA'!$B56</f>
        <v>0</v>
      </c>
      <c r="G7" s="20">
        <f>'[5]US EIA'!$B68</f>
        <v>0</v>
      </c>
      <c r="H7" s="20">
        <f>'[5]US EIA'!$B80</f>
        <v>0</v>
      </c>
      <c r="I7" s="20">
        <f>'[5]US EIA'!$B92</f>
        <v>0</v>
      </c>
      <c r="J7" s="20">
        <f>'[5]US EIA'!$B104</f>
        <v>2</v>
      </c>
      <c r="K7" s="20">
        <f>'[5]US EIA'!$B116</f>
        <v>66.3</v>
      </c>
      <c r="L7" s="20">
        <f>'[5]US EIA'!$B128</f>
        <v>0</v>
      </c>
      <c r="M7" s="20">
        <f>'[5]US EIA'!$B140</f>
        <v>22</v>
      </c>
      <c r="N7" s="20">
        <f>'[5]US EIA'!$B152</f>
        <v>68</v>
      </c>
      <c r="O7" s="20">
        <f>'[5]US EIA'!$B164</f>
        <v>117</v>
      </c>
      <c r="P7" s="20">
        <f>'[5]US EIA'!$B176</f>
        <v>39</v>
      </c>
      <c r="Q7" s="20">
        <f>'[5]US EIA'!$B188</f>
        <v>32</v>
      </c>
      <c r="R7" s="20">
        <f>'[5]US EIA'!$B200</f>
        <v>80</v>
      </c>
      <c r="S7" s="20">
        <f>'[5]US EIA'!$B212</f>
        <v>68.19</v>
      </c>
      <c r="T7" s="20">
        <f>'[5]US EIA'!$B224</f>
        <v>129.93</v>
      </c>
      <c r="U7" s="20">
        <f>'[5]US EIA'!$B236</f>
        <v>100.98</v>
      </c>
      <c r="V7" s="20">
        <f>'[5]US EIA'!$B248</f>
        <v>83.11</v>
      </c>
      <c r="W7" s="20">
        <f>'[5]US EIA'!$B260</f>
        <v>131.41</v>
      </c>
      <c r="X7" s="18">
        <f>'[5]US EIA'!$B272</f>
        <v>122.631</v>
      </c>
      <c r="Y7" s="18">
        <f>'[5]US EIA'!$B284</f>
        <v>68.572284573221395</v>
      </c>
      <c r="Z7" s="18">
        <f>'[5]US EIA'!$B296</f>
        <v>190.37899999999999</v>
      </c>
      <c r="AA7" s="18">
        <f>'[5]US EIA'!$B308</f>
        <v>144.564888</v>
      </c>
      <c r="AB7" s="18">
        <f>'[5]US EIA'!$B320</f>
        <v>139.69615775896165</v>
      </c>
    </row>
    <row r="8" spans="1:28">
      <c r="A8" s="27" t="s">
        <v>34</v>
      </c>
      <c r="B8" s="20">
        <f>'[5]US EIA'!$B9</f>
        <v>0</v>
      </c>
      <c r="C8" s="20">
        <f>'[5]US EIA'!$B21</f>
        <v>0</v>
      </c>
      <c r="D8" s="20">
        <f>'[5]US EIA'!$B33</f>
        <v>0</v>
      </c>
      <c r="E8" s="20">
        <f>'[5]US EIA'!$B45</f>
        <v>0</v>
      </c>
      <c r="F8" s="20">
        <f>'[5]US EIA'!$B57</f>
        <v>0</v>
      </c>
      <c r="G8" s="20">
        <f>'[5]US EIA'!$B69</f>
        <v>0</v>
      </c>
      <c r="H8" s="20">
        <f>'[5]US EIA'!$B81</f>
        <v>0</v>
      </c>
      <c r="I8" s="20">
        <f>'[5]US EIA'!$B93</f>
        <v>2.8646121142310802E-3</v>
      </c>
      <c r="J8" s="20">
        <f>'[5]US EIA'!$B105</f>
        <v>3</v>
      </c>
      <c r="K8" s="20">
        <f>'[5]US EIA'!$B117</f>
        <v>60</v>
      </c>
      <c r="L8" s="20">
        <f>'[5]US EIA'!$B129</f>
        <v>0</v>
      </c>
      <c r="M8" s="20">
        <f>'[5]US EIA'!$B141</f>
        <v>30</v>
      </c>
      <c r="N8" s="20">
        <f>'[5]US EIA'!$B153</f>
        <v>88</v>
      </c>
      <c r="O8" s="20">
        <f>'[5]US EIA'!$B165</f>
        <v>112</v>
      </c>
      <c r="P8" s="20">
        <f>'[5]US EIA'!$B177</f>
        <v>47</v>
      </c>
      <c r="Q8" s="20">
        <f>'[5]US EIA'!$B189</f>
        <v>58</v>
      </c>
      <c r="R8" s="20">
        <f>'[5]US EIA'!$B201</f>
        <v>94</v>
      </c>
      <c r="S8" s="20">
        <f>'[5]US EIA'!$B213</f>
        <v>91.57</v>
      </c>
      <c r="T8" s="20">
        <f>'[5]US EIA'!$B225</f>
        <v>119.74</v>
      </c>
      <c r="U8" s="20">
        <f>'[5]US EIA'!$B237</f>
        <v>116.42</v>
      </c>
      <c r="V8" s="20">
        <f>'[5]US EIA'!$B249</f>
        <v>120.72</v>
      </c>
      <c r="W8" s="18">
        <f>'[5]US EIA'!$B261</f>
        <v>138.44999999999999</v>
      </c>
      <c r="X8" s="18">
        <f>'[5]US EIA'!$B273</f>
        <v>216.88422028148534</v>
      </c>
      <c r="Y8" s="18">
        <f>'[5]US EIA'!$B285</f>
        <v>101.556</v>
      </c>
      <c r="Z8" s="18">
        <f>'[5]US EIA'!$B297</f>
        <v>155.17699999999999</v>
      </c>
      <c r="AA8" s="18">
        <f>'[5]US EIA'!$B309</f>
        <v>175.02799999999999</v>
      </c>
      <c r="AB8" s="18">
        <f>'[5]US EIA'!$B321</f>
        <v>178.26132361747801</v>
      </c>
    </row>
    <row r="9" spans="1:28">
      <c r="A9" s="27" t="s">
        <v>35</v>
      </c>
      <c r="B9" s="20">
        <f>'[5]US EIA'!$B10</f>
        <v>0</v>
      </c>
      <c r="C9" s="20">
        <f>'[5]US EIA'!$B22</f>
        <v>0</v>
      </c>
      <c r="D9" s="20">
        <f>'[5]US EIA'!$B34</f>
        <v>0</v>
      </c>
      <c r="E9" s="20">
        <f>'[5]US EIA'!$B46</f>
        <v>0</v>
      </c>
      <c r="F9" s="20">
        <f>'[5]US EIA'!$B58</f>
        <v>0</v>
      </c>
      <c r="G9" s="20">
        <f>'[5]US EIA'!$B70</f>
        <v>0</v>
      </c>
      <c r="H9" s="20">
        <f>'[5]US EIA'!$B82</f>
        <v>0</v>
      </c>
      <c r="I9" s="20">
        <f>'[5]US EIA'!$B94</f>
        <v>2.8646121142310802E-3</v>
      </c>
      <c r="J9" s="20">
        <f>'[5]US EIA'!$B106</f>
        <v>4.4000000000000004</v>
      </c>
      <c r="K9" s="20">
        <f>'[5]US EIA'!$B118</f>
        <v>50.3</v>
      </c>
      <c r="L9" s="20">
        <f>'[5]US EIA'!$B130</f>
        <v>2</v>
      </c>
      <c r="M9" s="20">
        <f>'[5]US EIA'!$B142</f>
        <v>36</v>
      </c>
      <c r="N9" s="20">
        <f>'[5]US EIA'!$B154</f>
        <v>113</v>
      </c>
      <c r="O9" s="20">
        <f>'[5]US EIA'!$B166</f>
        <v>85</v>
      </c>
      <c r="P9" s="20">
        <f>'[5]US EIA'!$B178</f>
        <v>33</v>
      </c>
      <c r="Q9" s="20">
        <f>'[5]US EIA'!$B190</f>
        <v>68</v>
      </c>
      <c r="R9" s="20">
        <f>'[5]US EIA'!$B202</f>
        <v>55</v>
      </c>
      <c r="S9" s="20">
        <f>'[5]US EIA'!$B214</f>
        <v>122.35</v>
      </c>
      <c r="T9" s="20">
        <f>'[5]US EIA'!$B226</f>
        <v>130.58000000000001</v>
      </c>
      <c r="U9" s="20">
        <f>'[5]US EIA'!$B238</f>
        <v>101.31005859375</v>
      </c>
      <c r="V9" s="20">
        <f>'[5]US EIA'!$B250</f>
        <v>102.51964195412279</v>
      </c>
      <c r="W9" s="18">
        <f>'[5]US EIA'!$B262</f>
        <v>129.75</v>
      </c>
      <c r="X9" s="18">
        <f>'[5]US EIA'!$B274</f>
        <v>174.67826625670898</v>
      </c>
      <c r="Y9" s="18">
        <f>'[5]US EIA'!$B286</f>
        <v>121.788</v>
      </c>
      <c r="Z9" s="18">
        <f>'[5]US EIA'!$B298</f>
        <v>171.66900000000001</v>
      </c>
      <c r="AA9" s="18">
        <f>'[5]US EIA'!$B310</f>
        <v>157.65700000000001</v>
      </c>
      <c r="AB9" s="18">
        <f>'[5]US EIA'!$B322</f>
        <v>165.37340912870323</v>
      </c>
    </row>
    <row r="10" spans="1:28">
      <c r="A10" s="27" t="s">
        <v>36</v>
      </c>
      <c r="B10" s="20">
        <f>'[5]US EIA'!$B11</f>
        <v>0</v>
      </c>
      <c r="C10" s="20">
        <f>'[5]US EIA'!$B23</f>
        <v>0</v>
      </c>
      <c r="D10" s="20">
        <f>'[5]US EIA'!$B35</f>
        <v>0</v>
      </c>
      <c r="E10" s="20">
        <f>'[5]US EIA'!$B47</f>
        <v>0</v>
      </c>
      <c r="F10" s="20">
        <f>'[5]US EIA'!$B59</f>
        <v>0</v>
      </c>
      <c r="G10" s="20">
        <f>'[5]US EIA'!$B71</f>
        <v>0</v>
      </c>
      <c r="H10" s="20">
        <f>'[5]US EIA'!$B83</f>
        <v>0</v>
      </c>
      <c r="I10" s="20">
        <f>'[5]US EIA'!$B95</f>
        <v>2.8646121142310802E-3</v>
      </c>
      <c r="J10" s="20">
        <f>'[5]US EIA'!$B107</f>
        <v>4.4000000000000004</v>
      </c>
      <c r="K10" s="20">
        <f>'[5]US EIA'!$B119</f>
        <v>50</v>
      </c>
      <c r="L10" s="20">
        <f>'[5]US EIA'!$B131</f>
        <v>2</v>
      </c>
      <c r="M10" s="20">
        <f>'[5]US EIA'!$B143</f>
        <v>28</v>
      </c>
      <c r="N10" s="20">
        <f>'[5]US EIA'!$B155</f>
        <v>75</v>
      </c>
      <c r="O10" s="20">
        <f>'[5]US EIA'!$B167</f>
        <v>103</v>
      </c>
      <c r="P10" s="20">
        <f>'[5]US EIA'!$B179</f>
        <v>28</v>
      </c>
      <c r="Q10" s="20">
        <f>'[5]US EIA'!$B191</f>
        <v>90.85</v>
      </c>
      <c r="R10" s="20">
        <f>'[5]US EIA'!$B203</f>
        <v>56</v>
      </c>
      <c r="S10" s="20">
        <f>'[5]US EIA'!$B215</f>
        <v>129.16</v>
      </c>
      <c r="T10" s="20">
        <f>'[5]US EIA'!$B227</f>
        <v>152.97</v>
      </c>
      <c r="U10" s="20">
        <f>'[5]US EIA'!$B239</f>
        <v>108.282958984375</v>
      </c>
      <c r="V10" s="20">
        <f>'[5]US EIA'!$B251</f>
        <v>109.85892381575638</v>
      </c>
      <c r="W10" s="18">
        <f>'[5]US EIA'!$B263</f>
        <v>110.15</v>
      </c>
      <c r="X10" s="18">
        <f>'[5]US EIA'!$B275</f>
        <v>271.87014493241782</v>
      </c>
      <c r="Y10" s="18">
        <f>'[5]US EIA'!$B287</f>
        <v>125.13800000000001</v>
      </c>
      <c r="Z10" s="18">
        <f>'[5]US EIA'!$B299</f>
        <v>195.203</v>
      </c>
      <c r="AA10" s="18">
        <f>'[5]US EIA'!$B311</f>
        <v>162.12700000000001</v>
      </c>
      <c r="AB10" s="18">
        <f>'[5]US EIA'!$B323</f>
        <v>195.16619522645374</v>
      </c>
    </row>
    <row r="11" spans="1:28">
      <c r="A11" s="27" t="s">
        <v>37</v>
      </c>
      <c r="B11" s="20">
        <f>'[5]US EIA'!$B12</f>
        <v>0</v>
      </c>
      <c r="C11" s="20">
        <f>'[5]US EIA'!$B24</f>
        <v>0</v>
      </c>
      <c r="D11" s="20">
        <f>'[5]US EIA'!$B36</f>
        <v>0</v>
      </c>
      <c r="E11" s="20">
        <f>'[5]US EIA'!$B48</f>
        <v>0</v>
      </c>
      <c r="F11" s="20">
        <f>'[5]US EIA'!$B60</f>
        <v>0</v>
      </c>
      <c r="G11" s="20">
        <f>'[5]US EIA'!$B72</f>
        <v>0</v>
      </c>
      <c r="H11" s="20">
        <f>'[5]US EIA'!$B84</f>
        <v>0.14146912089564323</v>
      </c>
      <c r="I11" s="20">
        <f>'[5]US EIA'!$B96</f>
        <v>0</v>
      </c>
      <c r="J11" s="20">
        <f>'[5]US EIA'!$B108</f>
        <v>6.7</v>
      </c>
      <c r="K11" s="20">
        <f>'[5]US EIA'!$B120</f>
        <v>60</v>
      </c>
      <c r="L11" s="20">
        <f>'[5]US EIA'!$B132</f>
        <v>0</v>
      </c>
      <c r="M11" s="20">
        <f>'[5]US EIA'!$B144</f>
        <v>17</v>
      </c>
      <c r="N11" s="20">
        <f>'[5]US EIA'!$B156</f>
        <v>77</v>
      </c>
      <c r="O11" s="20">
        <f>'[5]US EIA'!$B168</f>
        <v>66</v>
      </c>
      <c r="P11" s="20">
        <f>'[5]US EIA'!$B180</f>
        <v>55</v>
      </c>
      <c r="Q11" s="20">
        <f>'[5]US EIA'!$B192</f>
        <v>134.62</v>
      </c>
      <c r="R11" s="20">
        <f>'[5]US EIA'!$B204</f>
        <v>76</v>
      </c>
      <c r="S11" s="20">
        <f>'[5]US EIA'!$B216</f>
        <v>114.53</v>
      </c>
      <c r="T11" s="20">
        <f>'[5]US EIA'!$B228</f>
        <v>157.13</v>
      </c>
      <c r="U11" s="20">
        <f>'[5]US EIA'!$B240</f>
        <v>101.530029296875</v>
      </c>
      <c r="V11" s="20">
        <f>'[5]US EIA'!$B252</f>
        <v>118.13</v>
      </c>
      <c r="W11" s="18">
        <f>'[5]US EIA'!$B264</f>
        <v>86.754540830143696</v>
      </c>
      <c r="X11" s="18">
        <f>'[5]US EIA'!$B276</f>
        <v>122.929</v>
      </c>
      <c r="Y11" s="18">
        <f>'[5]US EIA'!$B288</f>
        <v>132.958</v>
      </c>
      <c r="Z11" s="18">
        <f>'[5]US EIA'!$B300</f>
        <v>164.44</v>
      </c>
      <c r="AA11" s="18">
        <f>'[5]US EIA'!$B312</f>
        <v>139.11799999999999</v>
      </c>
      <c r="AB11" s="18">
        <f>'[5]US EIA'!$B324</f>
        <v>137.09786407173041</v>
      </c>
    </row>
    <row r="12" spans="1:28">
      <c r="A12" s="27" t="s">
        <v>38</v>
      </c>
      <c r="B12" s="20">
        <f>'[5]US EIA'!$B13</f>
        <v>0</v>
      </c>
      <c r="C12" s="20">
        <f>'[5]US EIA'!$B25</f>
        <v>0</v>
      </c>
      <c r="D12" s="20">
        <f>'[5]US EIA'!$B37</f>
        <v>0</v>
      </c>
      <c r="E12" s="20">
        <f>'[5]US EIA'!$B49</f>
        <v>0</v>
      </c>
      <c r="F12" s="20">
        <f>'[5]US EIA'!$B61</f>
        <v>0</v>
      </c>
      <c r="G12" s="20">
        <f>'[5]US EIA'!$B73</f>
        <v>0</v>
      </c>
      <c r="H12" s="20">
        <f>'[5]US EIA'!$B85</f>
        <v>0.14146912089564323</v>
      </c>
      <c r="I12" s="20">
        <f>'[5]US EIA'!$B97</f>
        <v>0</v>
      </c>
      <c r="J12" s="20">
        <f>'[5]US EIA'!$B109</f>
        <v>25</v>
      </c>
      <c r="K12" s="20">
        <f>'[5]US EIA'!$B121</f>
        <v>64.2</v>
      </c>
      <c r="L12" s="20">
        <f>'[5]US EIA'!$B133</f>
        <v>0</v>
      </c>
      <c r="M12" s="20">
        <f>'[5]US EIA'!$B145</f>
        <v>19</v>
      </c>
      <c r="N12" s="20">
        <f>'[5]US EIA'!$B157</f>
        <v>84</v>
      </c>
      <c r="O12" s="20">
        <f>'[5]US EIA'!$B169</f>
        <v>48</v>
      </c>
      <c r="P12" s="20">
        <f>'[5]US EIA'!$B181</f>
        <v>79</v>
      </c>
      <c r="Q12" s="20">
        <f>'[5]US EIA'!$B193</f>
        <v>136.19999999999999</v>
      </c>
      <c r="R12" s="20">
        <f>'[5]US EIA'!$B205</f>
        <v>73</v>
      </c>
      <c r="S12" s="20">
        <f>'[5]US EIA'!$B217</f>
        <v>109.06</v>
      </c>
      <c r="T12" s="20">
        <f>'[5]US EIA'!$B229</f>
        <v>142.85</v>
      </c>
      <c r="U12" s="20">
        <f>'[5]US EIA'!$B241</f>
        <v>107.96</v>
      </c>
      <c r="V12" s="20">
        <f>'[5]US EIA'!$B253</f>
        <v>108.21</v>
      </c>
      <c r="W12" s="18">
        <f>'[5]US EIA'!$B265</f>
        <v>101.86899900356093</v>
      </c>
      <c r="X12" s="18">
        <f>'[5]US EIA'!$B277</f>
        <v>141.64099999999999</v>
      </c>
      <c r="Y12" s="18">
        <f>'[5]US EIA'!$B289</f>
        <v>133.40799999999999</v>
      </c>
      <c r="Z12" s="18">
        <f>'[5]US EIA'!$B301</f>
        <v>174.27099999999999</v>
      </c>
      <c r="AA12" s="18">
        <f>'[5]US EIA'!$B313</f>
        <v>168.06899999999999</v>
      </c>
      <c r="AB12" s="18">
        <f>'[5]US EIA'!$B325</f>
        <v>162.85516448808028</v>
      </c>
    </row>
    <row r="13" spans="1:28">
      <c r="A13" s="27" t="s">
        <v>39</v>
      </c>
      <c r="B13" s="20">
        <f>'[5]US EIA'!$B14</f>
        <v>0</v>
      </c>
      <c r="C13" s="20">
        <f>'[5]US EIA'!$B26</f>
        <v>0</v>
      </c>
      <c r="D13" s="20">
        <f>'[5]US EIA'!$B38</f>
        <v>0</v>
      </c>
      <c r="E13" s="20">
        <f>'[5]US EIA'!$B50</f>
        <v>0</v>
      </c>
      <c r="F13" s="20">
        <f>'[5]US EIA'!$B62</f>
        <v>0</v>
      </c>
      <c r="G13" s="20">
        <f>'[5]US EIA'!$B74</f>
        <v>0</v>
      </c>
      <c r="H13" s="20">
        <f>'[5]US EIA'!$B86</f>
        <v>0.14146912089564323</v>
      </c>
      <c r="I13" s="20">
        <f>'[5]US EIA'!$B98</f>
        <v>0</v>
      </c>
      <c r="J13" s="20">
        <f>'[5]US EIA'!$B110</f>
        <v>40</v>
      </c>
      <c r="K13" s="20">
        <f>'[5]US EIA'!$B122</f>
        <v>90.4</v>
      </c>
      <c r="L13" s="20">
        <f>'[5]US EIA'!$B134</f>
        <v>8</v>
      </c>
      <c r="M13" s="20">
        <f>'[5]US EIA'!$B146</f>
        <v>11</v>
      </c>
      <c r="N13" s="20">
        <f>'[5]US EIA'!$B158</f>
        <v>84</v>
      </c>
      <c r="O13" s="20">
        <f>'[5]US EIA'!$B170</f>
        <v>46</v>
      </c>
      <c r="P13" s="20">
        <f>'[5]US EIA'!$B182</f>
        <v>44</v>
      </c>
      <c r="Q13" s="20">
        <f>'[5]US EIA'!$B194</f>
        <v>126.05</v>
      </c>
      <c r="R13" s="20">
        <f>'[5]US EIA'!$B206</f>
        <v>68</v>
      </c>
      <c r="S13" s="20">
        <f>'[5]US EIA'!$B218</f>
        <v>116.88</v>
      </c>
      <c r="T13" s="20">
        <f>'[5]US EIA'!$B230</f>
        <v>83.64</v>
      </c>
      <c r="U13" s="20">
        <f>'[5]US EIA'!$B242</f>
        <v>96.17</v>
      </c>
      <c r="V13" s="20">
        <f>'[5]US EIA'!$B254</f>
        <v>124.46</v>
      </c>
      <c r="W13" s="18">
        <f>'[5]US EIA'!$B266</f>
        <v>73.455392023463219</v>
      </c>
      <c r="X13" s="18">
        <f>'[5]US EIA'!$B278</f>
        <v>105.514</v>
      </c>
      <c r="Y13" s="18">
        <f>'[5]US EIA'!$B290</f>
        <v>131.62100000000001</v>
      </c>
      <c r="Z13" s="18">
        <f>'[5]US EIA'!$B302</f>
        <v>161.12799999999999</v>
      </c>
      <c r="AA13" s="18">
        <f>'[5]US EIA'!$B314</f>
        <v>127.221</v>
      </c>
      <c r="AB13" s="18">
        <f>'[5]US EIA'!$B326</f>
        <v>133.5154128090453</v>
      </c>
    </row>
    <row r="14" spans="1:28">
      <c r="A14" s="27"/>
    </row>
    <row r="15" spans="1:28">
      <c r="A15" s="27"/>
    </row>
    <row r="16" spans="1:28">
      <c r="A16" s="27"/>
    </row>
    <row r="17" spans="1:1">
      <c r="A17" s="27"/>
    </row>
    <row r="18" spans="1:1">
      <c r="A18" s="27"/>
    </row>
    <row r="19" spans="1:1">
      <c r="A19" s="27"/>
    </row>
    <row r="20" spans="1:1">
      <c r="A20" s="27"/>
    </row>
    <row r="21" spans="1:1">
      <c r="A21" s="27"/>
    </row>
    <row r="22" spans="1:1">
      <c r="A22" s="27"/>
    </row>
    <row r="23" spans="1:1">
      <c r="A23" s="27"/>
    </row>
    <row r="24" spans="1:1">
      <c r="A24" s="27"/>
    </row>
    <row r="25" spans="1:1">
      <c r="A25" s="27"/>
    </row>
    <row r="26" spans="1:1">
      <c r="A26" s="27"/>
    </row>
    <row r="27" spans="1:1">
      <c r="A27" s="27"/>
    </row>
    <row r="28" spans="1:1">
      <c r="A28" s="27"/>
    </row>
    <row r="29" spans="1:1">
      <c r="A29" s="27"/>
    </row>
    <row r="30" spans="1:1">
      <c r="A30" s="27"/>
    </row>
    <row r="31" spans="1:1">
      <c r="A31" s="27"/>
    </row>
    <row r="32" spans="1:1">
      <c r="A32" s="27"/>
    </row>
    <row r="33" spans="1:1">
      <c r="A33" s="27"/>
    </row>
    <row r="34" spans="1:1">
      <c r="A34" s="27"/>
    </row>
    <row r="35" spans="1:1">
      <c r="A35" s="27"/>
    </row>
    <row r="36" spans="1:1">
      <c r="A36" s="27"/>
    </row>
    <row r="37" spans="1:1">
      <c r="A37" s="2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93AC-444C-4263-A379-F9753BB92B7D}">
  <dimension ref="A1:R133"/>
  <sheetViews>
    <sheetView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7109375" style="10" bestFit="1" customWidth="1"/>
    <col min="2" max="18" width="9.7109375" style="10" customWidth="1"/>
    <col min="19" max="16384" width="9.140625" style="10"/>
  </cols>
  <sheetData>
    <row r="1" spans="1:18">
      <c r="A1" s="10" t="s">
        <v>0</v>
      </c>
      <c r="B1" s="28" t="str">
        <f>'EIA Canola Oil Use'!N1</f>
        <v xml:space="preserve">10/11 </v>
      </c>
      <c r="C1" s="28" t="str">
        <f>'EIA Canola Oil Use'!O1</f>
        <v xml:space="preserve">11/12 </v>
      </c>
      <c r="D1" s="28" t="str">
        <f>'EIA Canola Oil Use'!P1</f>
        <v xml:space="preserve">12/13 </v>
      </c>
      <c r="E1" s="28" t="str">
        <f>'EIA Canola Oil Use'!Q1</f>
        <v xml:space="preserve">13/14 </v>
      </c>
      <c r="F1" s="28" t="str">
        <f>'EIA Canola Oil Use'!R1</f>
        <v xml:space="preserve">14/15 </v>
      </c>
      <c r="G1" s="28" t="str">
        <f>'EIA Canola Oil Use'!S1</f>
        <v xml:space="preserve">15/16 </v>
      </c>
      <c r="H1" s="28" t="str">
        <f>'EIA Canola Oil Use'!T1</f>
        <v xml:space="preserve">16/17 </v>
      </c>
      <c r="I1" s="28" t="str">
        <f>'EIA Canola Oil Use'!U1</f>
        <v xml:space="preserve">17/18 </v>
      </c>
      <c r="J1" s="28" t="str">
        <f>'EIA Canola Oil Use'!V1</f>
        <v xml:space="preserve">18/19 </v>
      </c>
      <c r="K1" s="28" t="str">
        <f>'EIA Canola Oil Use'!W1</f>
        <v>19/20</v>
      </c>
      <c r="L1" s="28" t="str">
        <f>'EIA Canola Oil Use'!X1</f>
        <v>20/21</v>
      </c>
      <c r="M1" s="28" t="str">
        <f>'EIA Canola Oil Use'!Y1</f>
        <v xml:space="preserve">21/22 </v>
      </c>
      <c r="N1" s="28" t="str">
        <f>'EIA Canola Oil Use'!Z1</f>
        <v xml:space="preserve">22/23 </v>
      </c>
      <c r="O1" s="28" t="str">
        <f>'EIA Canola Oil Use'!AA1</f>
        <v xml:space="preserve">23/24 </v>
      </c>
      <c r="P1" s="28" t="str">
        <f>'EIA Canola Oil Use'!AB1</f>
        <v xml:space="preserve">24/25 </v>
      </c>
      <c r="Q1" s="10" t="s">
        <v>44</v>
      </c>
    </row>
    <row r="2" spans="1:18">
      <c r="A2" s="29" t="s">
        <v>28</v>
      </c>
      <c r="B2" s="30">
        <f>'[4]Malaysia PO Monthly Bal'!$C$178</f>
        <v>52.78987096774194</v>
      </c>
      <c r="C2" s="30">
        <f>'[4]Malaysia PO Monthly Bal'!$C$179</f>
        <v>61.566580645161295</v>
      </c>
      <c r="D2" s="30">
        <f>'[4]Malaysia PO Monthly Bal'!$C$180</f>
        <v>62.53</v>
      </c>
      <c r="E2" s="30">
        <f>'[4]Malaysia PO Monthly Bal'!$C$181</f>
        <v>63.621870967741934</v>
      </c>
      <c r="F2" s="30">
        <f>'[4]Malaysia PO Monthly Bal'!$C$182</f>
        <v>61.063258064516127</v>
      </c>
      <c r="G2" s="30">
        <f>'[4]Malaysia PO Monthly Bal'!$C$183</f>
        <v>65.724709677419355</v>
      </c>
      <c r="H2" s="30">
        <f>'[4]Malaysia PO Monthly Bal'!$C$184</f>
        <v>54.124935483870971</v>
      </c>
      <c r="I2" s="30">
        <f>'[4]Malaysia PO Monthly Bal'!$C$185</f>
        <v>64.801225806451612</v>
      </c>
      <c r="J2" s="30">
        <f>'[4]Malaysia PO Monthly Bal'!$C$186</f>
        <v>63.385612903225805</v>
      </c>
      <c r="K2" s="30">
        <f>'[4]Malaysia PO Monthly Bal'!$C$187</f>
        <v>57.930354838709675</v>
      </c>
      <c r="L2" s="30">
        <f>'[4]Malaysia PO Monthly Bal'!$C$188</f>
        <v>55.630935483870964</v>
      </c>
      <c r="M2" s="30">
        <f>'[4]Malaysia PO Monthly Bal'!$C$189</f>
        <v>55.672161290322578</v>
      </c>
      <c r="N2" s="30">
        <f>'[4]Malaysia PO Monthly Bal'!$C$190</f>
        <v>58.503096774193551</v>
      </c>
      <c r="O2" s="30">
        <f>'[4]Malaysia PO Monthly Bal'!$C$191</f>
        <v>62.491096774193544</v>
      </c>
      <c r="P2" s="30">
        <f>'[4]Malaysia PO Monthly Bal'!$C$192</f>
        <v>57.978967741935485</v>
      </c>
      <c r="Q2" s="30">
        <f>AVERAGE(K2:O2)</f>
        <v>58.045529032258059</v>
      </c>
      <c r="R2" s="29"/>
    </row>
    <row r="3" spans="1:18">
      <c r="A3" s="29" t="s">
        <v>29</v>
      </c>
      <c r="B3" s="30">
        <f>'[4]Malaysia PO Monthly Bal'!$D$178</f>
        <v>48.634033333333335</v>
      </c>
      <c r="C3" s="30">
        <f>'[4]Malaysia PO Monthly Bal'!$D$179</f>
        <v>54.256633333333333</v>
      </c>
      <c r="D3" s="30">
        <f>'[4]Malaysia PO Monthly Bal'!$D$180</f>
        <v>63.037733333333335</v>
      </c>
      <c r="E3" s="30">
        <f>'[4]Malaysia PO Monthly Bal'!$D$181</f>
        <v>62.036133333333332</v>
      </c>
      <c r="F3" s="30">
        <f>'[4]Malaysia PO Monthly Bal'!$D$182</f>
        <v>58.352233333333331</v>
      </c>
      <c r="G3" s="30">
        <f>'[4]Malaysia PO Monthly Bal'!$D$183</f>
        <v>55.13153333333333</v>
      </c>
      <c r="H3" s="30">
        <f>'[4]Malaysia PO Monthly Bal'!$D$184</f>
        <v>52.497933333333336</v>
      </c>
      <c r="I3" s="30">
        <f>'[4]Malaysia PO Monthly Bal'!$D$185</f>
        <v>64.761566666666667</v>
      </c>
      <c r="J3" s="30">
        <f>'[4]Malaysia PO Monthly Bal'!$D$186</f>
        <v>61.507399999999997</v>
      </c>
      <c r="K3" s="30">
        <f>'[4]Malaysia PO Monthly Bal'!$D$187</f>
        <v>51.268433333333334</v>
      </c>
      <c r="L3" s="30">
        <f>'[4]Malaysia PO Monthly Bal'!$D$188</f>
        <v>49.718366666666661</v>
      </c>
      <c r="M3" s="30">
        <f>'[4]Malaysia PO Monthly Bal'!$D$189</f>
        <v>54.497733333333336</v>
      </c>
      <c r="N3" s="30">
        <f>'[4]Malaysia PO Monthly Bal'!$D$190</f>
        <v>56.024700000000003</v>
      </c>
      <c r="O3" s="30">
        <f>'[4]Malaysia PO Monthly Bal'!$D$191</f>
        <v>59.628999999999998</v>
      </c>
      <c r="P3" s="30">
        <f>'[4]Malaysia PO Monthly Bal'!$D$192</f>
        <v>54.043133333333337</v>
      </c>
      <c r="Q3" s="30">
        <f>AVERAGE(K3:O3)</f>
        <v>54.227646666666672</v>
      </c>
      <c r="R3" s="29"/>
    </row>
    <row r="4" spans="1:18">
      <c r="A4" s="29" t="s">
        <v>30</v>
      </c>
      <c r="B4" s="30">
        <f>'[4]Malaysia PO Monthly Bal'!$E$178</f>
        <v>39.766193548387093</v>
      </c>
      <c r="C4" s="30">
        <f>'[4]Malaysia PO Monthly Bal'!$E$179</f>
        <v>48.205612903225806</v>
      </c>
      <c r="D4" s="30">
        <f>'[4]Malaysia PO Monthly Bal'!$E$180</f>
        <v>57.424290322580646</v>
      </c>
      <c r="E4" s="30">
        <f>'[4]Malaysia PO Monthly Bal'!$E$181</f>
        <v>53.827999999999996</v>
      </c>
      <c r="F4" s="30">
        <f>'[4]Malaysia PO Monthly Bal'!$E$182</f>
        <v>44.02787096774194</v>
      </c>
      <c r="G4" s="30">
        <f>'[4]Malaysia PO Monthly Bal'!$E$183</f>
        <v>45.141387096774196</v>
      </c>
      <c r="H4" s="30">
        <f>'[4]Malaysia PO Monthly Bal'!$E$184</f>
        <v>47.539258064516133</v>
      </c>
      <c r="I4" s="30">
        <f>'[4]Malaysia PO Monthly Bal'!$E$185</f>
        <v>59.166612903225804</v>
      </c>
      <c r="J4" s="30">
        <f>'[4]Malaysia PO Monthly Bal'!$E$186</f>
        <v>58.323806451612903</v>
      </c>
      <c r="K4" s="30">
        <f>'[4]Malaysia PO Monthly Bal'!$E$187</f>
        <v>43.029161290322584</v>
      </c>
      <c r="L4" s="30">
        <f>'[4]Malaysia PO Monthly Bal'!$E$188</f>
        <v>43.020612903225803</v>
      </c>
      <c r="M4" s="30">
        <f>'[4]Malaysia PO Monthly Bal'!$E$189</f>
        <v>46.765129032258066</v>
      </c>
      <c r="N4" s="30">
        <f>'[4]Malaysia PO Monthly Bal'!$E$190</f>
        <v>52.220419354838711</v>
      </c>
      <c r="O4" s="30">
        <f>'[4]Malaysia PO Monthly Bal'!$E$191</f>
        <v>50.025677419354842</v>
      </c>
      <c r="P4" s="30">
        <f>'[4]Malaysia PO Monthly Bal'!$E$192</f>
        <v>47.965870967741935</v>
      </c>
      <c r="Q4" s="30">
        <f t="shared" ref="Q4:Q13" si="0">AVERAGE(K4:O4)</f>
        <v>47.012200000000007</v>
      </c>
      <c r="R4" s="29"/>
    </row>
    <row r="5" spans="1:18">
      <c r="A5" s="29" t="s">
        <v>31</v>
      </c>
      <c r="B5" s="30">
        <f>'[4]Malaysia PO Monthly Bal'!$F$178</f>
        <v>34.126354838709673</v>
      </c>
      <c r="C5" s="30">
        <f>'[4]Malaysia PO Monthly Bal'!$F$179</f>
        <v>41.557870967741941</v>
      </c>
      <c r="D5" s="30">
        <f>'[4]Malaysia PO Monthly Bal'!$F$180</f>
        <v>51.693322580645159</v>
      </c>
      <c r="E5" s="30">
        <f>'[4]Malaysia PO Monthly Bal'!$F$181</f>
        <v>48.67677419354839</v>
      </c>
      <c r="F5" s="30">
        <f>'[4]Malaysia PO Monthly Bal'!$F$182</f>
        <v>37.441516129032252</v>
      </c>
      <c r="G5" s="30">
        <f>'[4]Malaysia PO Monthly Bal'!$F$183</f>
        <v>36.443451612903225</v>
      </c>
      <c r="H5" s="30">
        <f>'[4]Malaysia PO Monthly Bal'!$F$184</f>
        <v>41.188677419354839</v>
      </c>
      <c r="I5" s="30">
        <f>'[4]Malaysia PO Monthly Bal'!$F$185</f>
        <v>51.182354838709678</v>
      </c>
      <c r="J5" s="30">
        <f>'[4]Malaysia PO Monthly Bal'!$F$186</f>
        <v>56.047129032258063</v>
      </c>
      <c r="K5" s="30">
        <f>'[4]Malaysia PO Monthly Bal'!$F$187</f>
        <v>37.791419354838716</v>
      </c>
      <c r="L5" s="30">
        <f>'[4]Malaysia PO Monthly Bal'!$F$188</f>
        <v>36.337322580645164</v>
      </c>
      <c r="M5" s="30">
        <f>'[4]Malaysia PO Monthly Bal'!$F$189</f>
        <v>40.438096774193546</v>
      </c>
      <c r="N5" s="30">
        <f>'[4]Malaysia PO Monthly Bal'!$F$190</f>
        <v>44.529354838709679</v>
      </c>
      <c r="O5" s="30">
        <f>'[4]Malaysia PO Monthly Bal'!$F$191</f>
        <v>45.237258064516126</v>
      </c>
      <c r="P5" s="30">
        <f>'[4]Malaysia PO Monthly Bal'!$F$192</f>
        <v>39.905741935483867</v>
      </c>
      <c r="Q5" s="30">
        <f t="shared" si="0"/>
        <v>40.866690322580645</v>
      </c>
      <c r="R5" s="29"/>
    </row>
    <row r="6" spans="1:18">
      <c r="A6" s="29" t="s">
        <v>32</v>
      </c>
      <c r="B6" s="30">
        <f>'[4]Malaysia PO Monthly Bal'!$G$178</f>
        <v>39.082428571428572</v>
      </c>
      <c r="C6" s="30">
        <f>'[4]Malaysia PO Monthly Bal'!$G$179</f>
        <v>40.977793103448278</v>
      </c>
      <c r="D6" s="30">
        <f>'[4]Malaysia PO Monthly Bal'!$G$180</f>
        <v>46.31514285714286</v>
      </c>
      <c r="E6" s="30">
        <f>'[4]Malaysia PO Monthly Bal'!$G$181</f>
        <v>45.564714285714281</v>
      </c>
      <c r="F6" s="30">
        <f>'[4]Malaysia PO Monthly Bal'!$G$182</f>
        <v>40.058142857142855</v>
      </c>
      <c r="G6" s="30">
        <f>'[4]Malaysia PO Monthly Bal'!$G$183</f>
        <v>35.962206896551727</v>
      </c>
      <c r="H6" s="30">
        <f>'[4]Malaysia PO Monthly Bal'!$G$184</f>
        <v>44.94782142857143</v>
      </c>
      <c r="I6" s="30">
        <f>'[4]Malaysia PO Monthly Bal'!$G$185</f>
        <v>47.957321428571433</v>
      </c>
      <c r="J6" s="30">
        <f>'[4]Malaysia PO Monthly Bal'!$G$186</f>
        <v>55.161357142857142</v>
      </c>
      <c r="K6" s="30">
        <f>'[4]Malaysia PO Monthly Bal'!$G$187</f>
        <v>44.431551724137933</v>
      </c>
      <c r="L6" s="30">
        <f>'[4]Malaysia PO Monthly Bal'!$G$188</f>
        <v>39.579857142857144</v>
      </c>
      <c r="M6" s="30">
        <f>'[4]Malaysia PO Monthly Bal'!$G$189</f>
        <v>40.623642857142855</v>
      </c>
      <c r="N6" s="30">
        <f>'[4]Malaysia PO Monthly Bal'!$G$190</f>
        <v>44.77046428571429</v>
      </c>
      <c r="O6" s="30">
        <f>'[4]Malaysia PO Monthly Bal'!$G$191</f>
        <v>43.433517241379306</v>
      </c>
      <c r="P6" s="30">
        <f>'[4]Malaysia PO Monthly Bal'!$G$192</f>
        <v>43.830881438783635</v>
      </c>
      <c r="Q6" s="30">
        <f t="shared" si="0"/>
        <v>42.567806650246304</v>
      </c>
      <c r="R6" s="29"/>
    </row>
    <row r="7" spans="1:18">
      <c r="A7" s="29" t="s">
        <v>33</v>
      </c>
      <c r="B7" s="30">
        <f>'[4]Malaysia PO Monthly Bal'!$H$178</f>
        <v>45.689354838709676</v>
      </c>
      <c r="C7" s="30">
        <f>'[4]Malaysia PO Monthly Bal'!$H$179</f>
        <v>39.072806451612905</v>
      </c>
      <c r="D7" s="30">
        <f>'[4]Malaysia PO Monthly Bal'!$H$180</f>
        <v>42.7451935483871</v>
      </c>
      <c r="E7" s="30">
        <f>'[4]Malaysia PO Monthly Bal'!$H$181</f>
        <v>48.294903225806451</v>
      </c>
      <c r="F7" s="30">
        <f>'[4]Malaysia PO Monthly Bal'!$H$182</f>
        <v>48.230677419354841</v>
      </c>
      <c r="G7" s="30">
        <f>'[4]Malaysia PO Monthly Bal'!$H$183</f>
        <v>39.338161290322581</v>
      </c>
      <c r="H7" s="30">
        <f>'[4]Malaysia PO Monthly Bal'!$H$184</f>
        <v>47.226483870967741</v>
      </c>
      <c r="I7" s="30">
        <f>'[4]Malaysia PO Monthly Bal'!$H$185</f>
        <v>50.772806451612908</v>
      </c>
      <c r="J7" s="30">
        <f>'[4]Malaysia PO Monthly Bal'!$H$186</f>
        <v>53.93735483870968</v>
      </c>
      <c r="K7" s="30">
        <f>'[4]Malaysia PO Monthly Bal'!$H$187</f>
        <v>45.074903225806445</v>
      </c>
      <c r="L7" s="30">
        <f>'[4]Malaysia PO Monthly Bal'!$H$188</f>
        <v>45.918806451612902</v>
      </c>
      <c r="M7" s="30">
        <f>'[4]Malaysia PO Monthly Bal'!$H$189</f>
        <v>45.523322580645157</v>
      </c>
      <c r="N7" s="30">
        <f>'[4]Malaysia PO Monthly Bal'!$H$190</f>
        <v>41.559806451612907</v>
      </c>
      <c r="O7" s="30">
        <f>'[4]Malaysia PO Monthly Bal'!$H$191</f>
        <v>44.918419354838711</v>
      </c>
      <c r="P7" s="30">
        <f>'[4]Malaysia PO Monthly Bal'!$H$192</f>
        <v>43.475276843003542</v>
      </c>
      <c r="Q7" s="30">
        <f t="shared" si="0"/>
        <v>44.599051612903217</v>
      </c>
      <c r="R7" s="29"/>
    </row>
    <row r="8" spans="1:18">
      <c r="A8" s="29" t="s">
        <v>34</v>
      </c>
      <c r="B8" s="30">
        <f>'[4]Malaysia PO Monthly Bal'!$I$178</f>
        <v>50.998366666666669</v>
      </c>
      <c r="C8" s="30">
        <f>'[4]Malaysia PO Monthly Bal'!$I$179</f>
        <v>42.420733333333338</v>
      </c>
      <c r="D8" s="30">
        <f>'[4]Malaysia PO Monthly Bal'!$I$180</f>
        <v>45.55146666666667</v>
      </c>
      <c r="E8" s="30">
        <f>'[4]Malaysia PO Monthly Bal'!$I$181</f>
        <v>51.859233333333336</v>
      </c>
      <c r="F8" s="30">
        <f>'[4]Malaysia PO Monthly Bal'!$I$182</f>
        <v>56.447499999999998</v>
      </c>
      <c r="G8" s="30">
        <f>'[4]Malaysia PO Monthly Bal'!$I$183</f>
        <v>43.376366666666662</v>
      </c>
      <c r="H8" s="30">
        <f>'[4]Malaysia PO Monthly Bal'!$I$184</f>
        <v>51.600866666666668</v>
      </c>
      <c r="I8" s="30">
        <f>'[4]Malaysia PO Monthly Bal'!$I$185</f>
        <v>51.94436666666666</v>
      </c>
      <c r="J8" s="30">
        <f>'[4]Malaysia PO Monthly Bal'!$I$186</f>
        <v>54.97893333333333</v>
      </c>
      <c r="K8" s="30">
        <f>'[4]Malaysia PO Monthly Bal'!$I$187</f>
        <v>55.092366666666663</v>
      </c>
      <c r="L8" s="30">
        <f>'[4]Malaysia PO Monthly Bal'!$I$188</f>
        <v>50.937366666666669</v>
      </c>
      <c r="M8" s="30">
        <f>'[4]Malaysia PO Monthly Bal'!$I$189</f>
        <v>48.735100000000003</v>
      </c>
      <c r="N8" s="30">
        <f>'[4]Malaysia PO Monthly Bal'!$I$190</f>
        <v>39.818633333333331</v>
      </c>
      <c r="O8" s="30">
        <f>'[4]Malaysia PO Monthly Bal'!$I$191</f>
        <v>50.066499999999998</v>
      </c>
      <c r="P8" s="30">
        <f>'[4]Malaysia PO Monthly Bal'!$I$192</f>
        <v>46.013398195568676</v>
      </c>
      <c r="Q8" s="30">
        <f t="shared" si="0"/>
        <v>48.929993333333336</v>
      </c>
      <c r="R8" s="29"/>
    </row>
    <row r="9" spans="1:18">
      <c r="A9" s="29" t="s">
        <v>35</v>
      </c>
      <c r="B9" s="30">
        <f>'[4]Malaysia PO Monthly Bal'!$J$178</f>
        <v>56.186967741935483</v>
      </c>
      <c r="C9" s="30">
        <f>'[4]Malaysia PO Monthly Bal'!$J$179</f>
        <v>44.636612903225803</v>
      </c>
      <c r="D9" s="30">
        <f>'[4]Malaysia PO Monthly Bal'!$J$180</f>
        <v>44.655806451612904</v>
      </c>
      <c r="E9" s="30">
        <f>'[4]Malaysia PO Monthly Bal'!$J$181</f>
        <v>53.45022580645162</v>
      </c>
      <c r="F9" s="30">
        <f>'[4]Malaysia PO Monthly Bal'!$J$182</f>
        <v>58.404193548387099</v>
      </c>
      <c r="G9" s="30">
        <f>'[4]Malaysia PO Monthly Bal'!$J$183</f>
        <v>44.018548387096779</v>
      </c>
      <c r="H9" s="30">
        <f>'[4]Malaysia PO Monthly Bal'!$J$184</f>
        <v>53.370774193548385</v>
      </c>
      <c r="I9" s="30">
        <f>'[4]Malaysia PO Monthly Bal'!$J$185</f>
        <v>49.206612903225803</v>
      </c>
      <c r="J9" s="30">
        <f>'[4]Malaysia PO Monthly Bal'!$J$186</f>
        <v>53.918290322580646</v>
      </c>
      <c r="K9" s="30">
        <f>'[4]Malaysia PO Monthly Bal'!$J$187</f>
        <v>53.268935483870969</v>
      </c>
      <c r="L9" s="30">
        <f>'[4]Malaysia PO Monthly Bal'!$J$188</f>
        <v>50.694354838709678</v>
      </c>
      <c r="M9" s="30">
        <f>'[4]Malaysia PO Monthly Bal'!$J$189</f>
        <v>47.129967741935481</v>
      </c>
      <c r="N9" s="30">
        <f>'[4]Malaysia PO Monthly Bal'!$J$190</f>
        <v>48.955935483870967</v>
      </c>
      <c r="O9" s="30">
        <f>'[4]Malaysia PO Monthly Bal'!$J$191</f>
        <v>54.983709677419348</v>
      </c>
      <c r="P9" s="30">
        <f>'[4]Malaysia PO Monthly Bal'!$J$192</f>
        <v>48.58156791452403</v>
      </c>
      <c r="Q9" s="30">
        <f t="shared" si="0"/>
        <v>51.006580645161293</v>
      </c>
      <c r="R9" s="29"/>
    </row>
    <row r="10" spans="1:18">
      <c r="A10" s="29" t="s">
        <v>36</v>
      </c>
      <c r="B10" s="30">
        <f>'[4]Malaysia PO Monthly Bal'!$K$178</f>
        <v>58.437899999999999</v>
      </c>
      <c r="C10" s="30">
        <f>'[4]Malaysia PO Monthly Bal'!$K$179</f>
        <v>49.021599999999999</v>
      </c>
      <c r="D10" s="30">
        <f>'[4]Malaysia PO Monthly Bal'!$K$180</f>
        <v>47.227533333333334</v>
      </c>
      <c r="E10" s="30">
        <f>'[4]Malaysia PO Monthly Bal'!$K$181</f>
        <v>52.322800000000001</v>
      </c>
      <c r="F10" s="30">
        <f>'[4]Malaysia PO Monthly Bal'!$K$182</f>
        <v>58.788899999999998</v>
      </c>
      <c r="G10" s="30">
        <f>'[4]Malaysia PO Monthly Bal'!$K$183</f>
        <v>51.0871</v>
      </c>
      <c r="H10" s="30">
        <f>'[4]Malaysia PO Monthly Bal'!$K$184</f>
        <v>50.475166666666674</v>
      </c>
      <c r="I10" s="30">
        <f>'[4]Malaysia PO Monthly Bal'!$K$185</f>
        <v>44.423466666666663</v>
      </c>
      <c r="J10" s="30">
        <f>'[4]Malaysia PO Monthly Bal'!$K$186</f>
        <v>50.365233333333336</v>
      </c>
      <c r="K10" s="30">
        <f>'[4]Malaysia PO Monthly Bal'!$K$187</f>
        <v>62.858066666666666</v>
      </c>
      <c r="L10" s="30">
        <f>'[4]Malaysia PO Monthly Bal'!$K$188</f>
        <v>53.539566666666666</v>
      </c>
      <c r="M10" s="30">
        <f>'[4]Malaysia PO Monthly Bal'!$K$189</f>
        <v>51.503700000000002</v>
      </c>
      <c r="N10" s="30">
        <f>'[4]Malaysia PO Monthly Bal'!$K$190</f>
        <v>48.256566666666664</v>
      </c>
      <c r="O10" s="30">
        <f>'[4]Malaysia PO Monthly Bal'!$K$191</f>
        <v>53.842766666666662</v>
      </c>
      <c r="P10" s="30">
        <f>'[4]Malaysia PO Monthly Bal'!$K$192</f>
        <v>50.168713307585072</v>
      </c>
      <c r="Q10" s="30">
        <f t="shared" si="0"/>
        <v>54.000133333333324</v>
      </c>
      <c r="R10" s="29"/>
    </row>
    <row r="11" spans="1:18">
      <c r="A11" s="29" t="s">
        <v>37</v>
      </c>
      <c r="B11" s="30">
        <f>'[4]Malaysia PO Monthly Bal'!$L$178</f>
        <v>56.489935483870973</v>
      </c>
      <c r="C11" s="30">
        <f>'[4]Malaysia PO Monthly Bal'!$L$179</f>
        <v>54.577935483870966</v>
      </c>
      <c r="D11" s="30">
        <f>'[4]Malaysia PO Monthly Bal'!$L$180</f>
        <v>54.027483870967743</v>
      </c>
      <c r="E11" s="30">
        <f>'[4]Malaysia PO Monthly Bal'!$L$181</f>
        <v>53.731000000000002</v>
      </c>
      <c r="F11" s="30">
        <f>'[4]Malaysia PO Monthly Bal'!$L$182</f>
        <v>58.568838709677422</v>
      </c>
      <c r="G11" s="30">
        <f>'[4]Malaysia PO Monthly Bal'!$L$183</f>
        <v>51.140032258064515</v>
      </c>
      <c r="H11" s="30">
        <f>'[4]Malaysia PO Monthly Bal'!$L$184</f>
        <v>58.92993548387097</v>
      </c>
      <c r="I11" s="30">
        <f>'[4]Malaysia PO Monthly Bal'!$L$185</f>
        <v>48.490967741935485</v>
      </c>
      <c r="J11" s="30">
        <f>'[4]Malaysia PO Monthly Bal'!$L$186</f>
        <v>56.153516129032262</v>
      </c>
      <c r="K11" s="30">
        <f>'[4]Malaysia PO Monthly Bal'!$L$187</f>
        <v>58.303129032258063</v>
      </c>
      <c r="L11" s="30">
        <f>'[4]Malaysia PO Monthly Bal'!$L$188</f>
        <v>49.133645161290325</v>
      </c>
      <c r="M11" s="30">
        <f>'[4]Malaysia PO Monthly Bal'!$L$189</f>
        <v>50.760096774193549</v>
      </c>
      <c r="N11" s="30">
        <f>'[4]Malaysia PO Monthly Bal'!$L$190</f>
        <v>51.933129032258059</v>
      </c>
      <c r="O11" s="30">
        <f>'[4]Malaysia PO Monthly Bal'!$L$191</f>
        <v>59.38706451612903</v>
      </c>
      <c r="P11" s="30">
        <f>'[4]Malaysia PO Monthly Bal'!$L$192</f>
        <v>51.026082214833608</v>
      </c>
      <c r="Q11" s="30">
        <f t="shared" si="0"/>
        <v>53.903412903225806</v>
      </c>
      <c r="R11" s="29"/>
    </row>
    <row r="12" spans="1:18">
      <c r="A12" s="29" t="s">
        <v>38</v>
      </c>
      <c r="B12" s="30">
        <f>'[4]Malaysia PO Monthly Bal'!$M$178</f>
        <v>53.778903225806452</v>
      </c>
      <c r="C12" s="30">
        <f>'[4]Malaysia PO Monthly Bal'!$M$179</f>
        <v>53.685451612903229</v>
      </c>
      <c r="D12" s="30">
        <f>'[4]Malaysia PO Monthly Bal'!$M$180</f>
        <v>55.976903225806453</v>
      </c>
      <c r="E12" s="30">
        <f>'[4]Malaysia PO Monthly Bal'!$M$181</f>
        <v>65.540451612903226</v>
      </c>
      <c r="F12" s="30">
        <f>'[4]Malaysia PO Monthly Bal'!$M$182</f>
        <v>66.161290322580641</v>
      </c>
      <c r="G12" s="30">
        <f>'[4]Malaysia PO Monthly Bal'!$M$183</f>
        <v>54.897838709677423</v>
      </c>
      <c r="H12" s="30">
        <f>'[4]Malaysia PO Monthly Bal'!$M$184</f>
        <v>58.404870967741935</v>
      </c>
      <c r="I12" s="30">
        <f>'[4]Malaysia PO Monthly Bal'!$M$185</f>
        <v>52.277580645161294</v>
      </c>
      <c r="J12" s="30">
        <f>'[4]Malaysia PO Monthly Bal'!$M$186</f>
        <v>58.759612903225808</v>
      </c>
      <c r="K12" s="30">
        <f>'[4]Malaysia PO Monthly Bal'!$M$187</f>
        <v>60.106741935483868</v>
      </c>
      <c r="L12" s="30">
        <f>'[4]Malaysia PO Monthly Bal'!$M$188</f>
        <v>55.172774193548385</v>
      </c>
      <c r="M12" s="30">
        <f>'[4]Malaysia PO Monthly Bal'!$M$189</f>
        <v>55.670548387096773</v>
      </c>
      <c r="N12" s="30">
        <f>'[4]Malaysia PO Monthly Bal'!$M$190</f>
        <v>56.563612903225803</v>
      </c>
      <c r="O12" s="30">
        <f>'[4]Malaysia PO Monthly Bal'!$M$191</f>
        <v>61.092225806451609</v>
      </c>
      <c r="P12" s="30">
        <f>'[4]Malaysia PO Monthly Bal'!$M$192</f>
        <v>56.586502611343988</v>
      </c>
      <c r="Q12" s="30">
        <f t="shared" si="0"/>
        <v>57.72118064516129</v>
      </c>
      <c r="R12" s="29"/>
    </row>
    <row r="13" spans="1:18">
      <c r="A13" s="29" t="s">
        <v>39</v>
      </c>
      <c r="B13" s="30">
        <f>'[4]Malaysia PO Monthly Bal'!$N$178</f>
        <v>62.30233333333333</v>
      </c>
      <c r="C13" s="30">
        <f>'[4]Malaysia PO Monthly Bal'!$N$179</f>
        <v>66.807933333333338</v>
      </c>
      <c r="D13" s="30">
        <f>'[4]Malaysia PO Monthly Bal'!$N$180</f>
        <v>63.739166666666662</v>
      </c>
      <c r="E13" s="30">
        <f>'[4]Malaysia PO Monthly Bal'!$N$181</f>
        <v>63.228700000000003</v>
      </c>
      <c r="F13" s="30">
        <f>'[4]Malaysia PO Monthly Bal'!$N$182</f>
        <v>65.30213333333333</v>
      </c>
      <c r="G13" s="30">
        <f>'[4]Malaysia PO Monthly Bal'!$N$183</f>
        <v>57.169499999999999</v>
      </c>
      <c r="H13" s="30">
        <f>'[4]Malaysia PO Monthly Bal'!$N$184</f>
        <v>59.330599999999997</v>
      </c>
      <c r="I13" s="30">
        <f>'[4]Malaysia PO Monthly Bal'!$N$185</f>
        <v>61.786733333333338</v>
      </c>
      <c r="J13" s="30">
        <f>'[4]Malaysia PO Monthly Bal'!$N$186</f>
        <v>61.414433333333335</v>
      </c>
      <c r="K13" s="30">
        <f>'[4]Malaysia PO Monthly Bal'!$N$187</f>
        <v>62.308533333333337</v>
      </c>
      <c r="L13" s="30">
        <f>'[4]Malaysia PO Monthly Bal'!$N$188</f>
        <v>56.791333333333334</v>
      </c>
      <c r="M13" s="30">
        <f>'[4]Malaysia PO Monthly Bal'!$N$189</f>
        <v>59.014699999999998</v>
      </c>
      <c r="N13" s="30">
        <f>'[4]Malaysia PO Monthly Bal'!$N$190</f>
        <v>60.981133333333332</v>
      </c>
      <c r="O13" s="30">
        <f>'[4]Malaysia PO Monthly Bal'!$N$191</f>
        <v>60.731099999999998</v>
      </c>
      <c r="P13" s="30">
        <f>'[4]Malaysia PO Monthly Bal'!$N$192</f>
        <v>68.49525525081954</v>
      </c>
      <c r="Q13" s="30">
        <f t="shared" si="0"/>
        <v>59.965359999999997</v>
      </c>
      <c r="R13" s="29"/>
    </row>
    <row r="14" spans="1:18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2:18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2:18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2:18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2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2:18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2:18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2:18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2:18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2:18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2:18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2:18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2:18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2:18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2:18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2:18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2:18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2:18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2:18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spans="2:18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2:18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2:18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2:18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spans="2:18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2:18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spans="2:18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2:18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 spans="2:18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spans="2:18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 spans="2:18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 spans="2:18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spans="2:18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 spans="2:18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spans="2:18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spans="2:18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 spans="2:18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 spans="2:18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spans="2:18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 spans="2:18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spans="2:18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2:18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2:18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2:18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spans="2:18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</row>
    <row r="60" spans="2:18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 spans="2:18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spans="2:18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 spans="2:18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spans="2:18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spans="2:18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spans="2:18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spans="2:18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spans="2:18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 spans="2:18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 spans="2:18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spans="2:18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 spans="2:18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</row>
    <row r="73" spans="2:18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</row>
    <row r="74" spans="2:18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</row>
    <row r="75" spans="2:18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</row>
    <row r="76" spans="2:18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</row>
    <row r="77" spans="2:18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</row>
    <row r="78" spans="2:18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</row>
    <row r="79" spans="2:18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</row>
    <row r="80" spans="2:18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</row>
    <row r="81" spans="2:18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spans="2:18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pans="2:18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</row>
    <row r="84" spans="2:18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</row>
    <row r="85" spans="2:18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</row>
    <row r="86" spans="2:18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</row>
    <row r="87" spans="2:18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spans="2:18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spans="2:18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</row>
    <row r="90" spans="2:18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spans="2:18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spans="2:18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</row>
    <row r="93" spans="2:18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</row>
    <row r="94" spans="2:18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</row>
    <row r="95" spans="2:18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</row>
    <row r="96" spans="2:18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 spans="2:18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</row>
    <row r="98" spans="2:18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</row>
    <row r="99" spans="2:18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</row>
    <row r="100" spans="2:18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</row>
    <row r="101" spans="2:18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</row>
    <row r="102" spans="2:18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</row>
    <row r="103" spans="2:18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</row>
    <row r="104" spans="2:18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</row>
    <row r="105" spans="2:18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</row>
    <row r="106" spans="2:18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</row>
    <row r="107" spans="2:18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</row>
    <row r="108" spans="2:18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</row>
    <row r="109" spans="2:18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</row>
    <row r="110" spans="2:18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</row>
    <row r="111" spans="2:18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</row>
    <row r="112" spans="2:18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</row>
    <row r="113" spans="2:18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</row>
    <row r="114" spans="2:18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</row>
    <row r="115" spans="2:18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</row>
    <row r="116" spans="2:18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spans="2:18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</row>
    <row r="118" spans="2:18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</row>
    <row r="119" spans="2:18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</row>
    <row r="120" spans="2:18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2:18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</row>
    <row r="122" spans="2:18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</row>
    <row r="123" spans="2:18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</row>
    <row r="124" spans="2:18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</row>
    <row r="125" spans="2:18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</row>
    <row r="126" spans="2:18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</row>
    <row r="127" spans="2:18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</row>
    <row r="128" spans="2:18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spans="2:18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</row>
    <row r="130" spans="2:18"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</row>
    <row r="131" spans="2:18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</row>
    <row r="132" spans="2:18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</row>
    <row r="133" spans="2:18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BF6D-4846-42EE-A199-C567644648BC}">
  <dimension ref="A1:W133"/>
  <sheetViews>
    <sheetView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7109375" style="10" bestFit="1" customWidth="1"/>
    <col min="2" max="17" width="9.7109375" style="10" customWidth="1"/>
    <col min="18" max="16384" width="9.140625" style="10"/>
  </cols>
  <sheetData>
    <row r="1" spans="1:20">
      <c r="A1" s="10" t="s">
        <v>0</v>
      </c>
      <c r="B1" s="31" t="s">
        <v>45</v>
      </c>
      <c r="C1" s="31" t="s">
        <v>46</v>
      </c>
      <c r="D1" s="31" t="s">
        <v>47</v>
      </c>
      <c r="E1" s="31" t="s">
        <v>48</v>
      </c>
      <c r="F1" s="31" t="s">
        <v>49</v>
      </c>
      <c r="G1" s="31" t="s">
        <v>50</v>
      </c>
      <c r="H1" s="31" t="s">
        <v>51</v>
      </c>
      <c r="I1" s="31" t="s">
        <v>52</v>
      </c>
      <c r="J1" s="31" t="s">
        <v>53</v>
      </c>
      <c r="K1" s="31" t="s">
        <v>54</v>
      </c>
      <c r="L1" s="31" t="s">
        <v>55</v>
      </c>
      <c r="M1" s="31" t="s">
        <v>56</v>
      </c>
      <c r="N1" s="31" t="s">
        <v>57</v>
      </c>
      <c r="O1" s="31" t="s">
        <v>58</v>
      </c>
      <c r="P1" s="31" t="s">
        <v>59</v>
      </c>
      <c r="Q1" s="10" t="s">
        <v>44</v>
      </c>
    </row>
    <row r="2" spans="1:20">
      <c r="A2" s="29" t="s">
        <v>28</v>
      </c>
      <c r="B2" s="11">
        <f>'[4]Malaysia PO Monthly Bal'!$C$158</f>
        <v>1796.0360000000001</v>
      </c>
      <c r="C2" s="11">
        <f>'[4]Malaysia PO Monthly Bal'!$C$159</f>
        <v>2131.6689999999999</v>
      </c>
      <c r="D2" s="11">
        <f>'[4]Malaysia PO Monthly Bal'!$C$160</f>
        <v>2505.1729999999998</v>
      </c>
      <c r="E2" s="11">
        <f>'[4]Malaysia PO Monthly Bal'!$C$161</f>
        <v>1845.9359999999999</v>
      </c>
      <c r="F2" s="11">
        <f>'[4]Malaysia PO Monthly Bal'!$C$162</f>
        <v>2165.6120000000001</v>
      </c>
      <c r="G2" s="11">
        <f>'[4]Malaysia PO Monthly Bal'!$C$163</f>
        <v>2835.31</v>
      </c>
      <c r="H2" s="11">
        <f>'[4]Malaysia PO Monthly Bal'!$C$164</f>
        <v>1574.471</v>
      </c>
      <c r="I2" s="11">
        <f>'[4]Malaysia PO Monthly Bal'!$C$165</f>
        <v>2203.3409999999999</v>
      </c>
      <c r="J2" s="11">
        <f>'[4]Malaysia PO Monthly Bal'!$C$166</f>
        <v>2722.4780000000001</v>
      </c>
      <c r="K2" s="11">
        <f>'[4]Malaysia PO Monthly Bal'!$C$167</f>
        <v>2352.2199999999998</v>
      </c>
      <c r="L2" s="11">
        <f>'[4]Malaysia PO Monthly Bal'!$C$168</f>
        <v>1573.665</v>
      </c>
      <c r="M2" s="11">
        <f>'[4]Malaysia PO Monthly Bal'!$C$169</f>
        <v>1834.568</v>
      </c>
      <c r="N2" s="11">
        <f>'[4]Malaysia PO Monthly Bal'!$C$170</f>
        <v>2411.1129999999998</v>
      </c>
      <c r="O2" s="11">
        <f>'[4]Malaysia PO Monthly Bal'!$C$171</f>
        <v>2447.038</v>
      </c>
      <c r="P2" s="11">
        <f>'[4]Malaysia PO Monthly Bal'!$C$172</f>
        <v>1884.597</v>
      </c>
      <c r="Q2" s="11">
        <f>AVERAGE(K2:O2)</f>
        <v>2123.7208000000001</v>
      </c>
      <c r="T2" s="11"/>
    </row>
    <row r="3" spans="1:20">
      <c r="A3" s="29" t="s">
        <v>29</v>
      </c>
      <c r="B3" s="11">
        <f>'[4]Malaysia PO Monthly Bal'!$D$158</f>
        <v>1637.164</v>
      </c>
      <c r="C3" s="11">
        <f>'[4]Malaysia PO Monthly Bal'!$D$159</f>
        <v>2096.8829999999998</v>
      </c>
      <c r="D3" s="11">
        <f>'[4]Malaysia PO Monthly Bal'!$D$160</f>
        <v>2565.7449999999999</v>
      </c>
      <c r="E3" s="11">
        <f>'[4]Malaysia PO Monthly Bal'!$D$161</f>
        <v>1978.6849999999999</v>
      </c>
      <c r="F3" s="11">
        <f>'[4]Malaysia PO Monthly Bal'!$D$162</f>
        <v>2276.1770000000001</v>
      </c>
      <c r="G3" s="11">
        <f>'[4]Malaysia PO Monthly Bal'!$D$163</f>
        <v>2908.95</v>
      </c>
      <c r="H3" s="11">
        <f>'[4]Malaysia PO Monthly Bal'!$D$164</f>
        <v>1663.7280000000001</v>
      </c>
      <c r="I3" s="11">
        <f>'[4]Malaysia PO Monthly Bal'!$D$165</f>
        <v>2553.7730000000001</v>
      </c>
      <c r="J3" s="11">
        <f>'[4]Malaysia PO Monthly Bal'!$D$166</f>
        <v>3007.0859999999998</v>
      </c>
      <c r="K3" s="11">
        <f>'[4]Malaysia PO Monthly Bal'!$D$167</f>
        <v>2255.0349999999999</v>
      </c>
      <c r="L3" s="11">
        <f>'[4]Malaysia PO Monthly Bal'!$D$168</f>
        <v>1564.5050000000001</v>
      </c>
      <c r="M3" s="11">
        <f>'[4]Malaysia PO Monthly Bal'!$D$169</f>
        <v>1817.0609999999999</v>
      </c>
      <c r="N3" s="11">
        <f>'[4]Malaysia PO Monthly Bal'!$D$170</f>
        <v>2288.471</v>
      </c>
      <c r="O3" s="11">
        <f>'[4]Malaysia PO Monthly Bal'!$D$171</f>
        <v>2420.3980000000001</v>
      </c>
      <c r="P3" s="11">
        <f>'[4]Malaysia PO Monthly Bal'!$D$172</f>
        <v>1836.1669999999999</v>
      </c>
      <c r="Q3" s="11">
        <f t="shared" ref="Q3:Q13" si="0">AVERAGE(K3:O3)</f>
        <v>2069.0940000000001</v>
      </c>
      <c r="T3" s="11"/>
    </row>
    <row r="4" spans="1:20">
      <c r="A4" s="29" t="s">
        <v>30</v>
      </c>
      <c r="B4" s="11">
        <f>'[4]Malaysia PO Monthly Bal'!$E$158</f>
        <v>1616.2370000000001</v>
      </c>
      <c r="C4" s="11">
        <f>'[4]Malaysia PO Monthly Bal'!$E$159</f>
        <v>2057.2959999999998</v>
      </c>
      <c r="D4" s="11">
        <f>'[4]Malaysia PO Monthly Bal'!$E$160</f>
        <v>2627.4189999999999</v>
      </c>
      <c r="E4" s="11">
        <f>'[4]Malaysia PO Monthly Bal'!$E$161</f>
        <v>1987.1110000000001</v>
      </c>
      <c r="F4" s="11">
        <f>'[4]Malaysia PO Monthly Bal'!$E$162</f>
        <v>2015.789</v>
      </c>
      <c r="G4" s="11">
        <f>'[4]Malaysia PO Monthly Bal'!$E$163</f>
        <v>2633.94</v>
      </c>
      <c r="H4" s="11">
        <f>'[4]Malaysia PO Monthly Bal'!$E$164</f>
        <v>1666.673</v>
      </c>
      <c r="I4" s="11">
        <f>'[4]Malaysia PO Monthly Bal'!$E$165</f>
        <v>2732.0929999999998</v>
      </c>
      <c r="J4" s="11">
        <f>'[4]Malaysia PO Monthly Bal'!$E$166</f>
        <v>3216.4760000000001</v>
      </c>
      <c r="K4" s="11">
        <f>'[4]Malaysia PO Monthly Bal'!$E$167</f>
        <v>2010.527</v>
      </c>
      <c r="L4" s="11">
        <f>'[4]Malaysia PO Monthly Bal'!$E$168</f>
        <v>1265.6980000000001</v>
      </c>
      <c r="M4" s="11">
        <f>'[4]Malaysia PO Monthly Bal'!$E$169</f>
        <v>1614.5940000000001</v>
      </c>
      <c r="N4" s="11">
        <f>'[4]Malaysia PO Monthly Bal'!$E$170</f>
        <v>2196.5740000000001</v>
      </c>
      <c r="O4" s="11">
        <f>'[4]Malaysia PO Monthly Bal'!$E$171</f>
        <v>2290.7930000000001</v>
      </c>
      <c r="P4" s="11">
        <f>'[4]Malaysia PO Monthly Bal'!$E$172</f>
        <v>1708.7560000000001</v>
      </c>
      <c r="Q4" s="11">
        <f t="shared" si="0"/>
        <v>1875.6371999999999</v>
      </c>
      <c r="T4" s="11"/>
    </row>
    <row r="5" spans="1:20">
      <c r="A5" s="29" t="s">
        <v>31</v>
      </c>
      <c r="B5" s="11">
        <f>'[4]Malaysia PO Monthly Bal'!$F$158</f>
        <v>1418.4559999999999</v>
      </c>
      <c r="C5" s="11">
        <f>'[4]Malaysia PO Monthly Bal'!$F$159</f>
        <v>2020.8810000000001</v>
      </c>
      <c r="D5" s="11">
        <f>'[4]Malaysia PO Monthly Bal'!$F$160</f>
        <v>2563.3449999999998</v>
      </c>
      <c r="E5" s="11">
        <f>'[4]Malaysia PO Monthly Bal'!$F$161</f>
        <v>1935.2149999999999</v>
      </c>
      <c r="F5" s="11">
        <f>'[4]Malaysia PO Monthly Bal'!$F$162</f>
        <v>1761.895</v>
      </c>
      <c r="G5" s="11">
        <f>'[4]Malaysia PO Monthly Bal'!$F$163</f>
        <v>2308.7779999999998</v>
      </c>
      <c r="H5" s="11">
        <f>'[4]Malaysia PO Monthly Bal'!$F$164</f>
        <v>1541.088</v>
      </c>
      <c r="I5" s="11">
        <f>'[4]Malaysia PO Monthly Bal'!$F$165</f>
        <v>2548.7040000000002</v>
      </c>
      <c r="J5" s="11">
        <f>'[4]Malaysia PO Monthly Bal'!$F$166</f>
        <v>3002.8710000000001</v>
      </c>
      <c r="K5" s="11">
        <f>'[4]Malaysia PO Monthly Bal'!$F$167</f>
        <v>1755.4169999999999</v>
      </c>
      <c r="L5" s="11">
        <f>'[4]Malaysia PO Monthly Bal'!$F$168</f>
        <v>1324.6389999999999</v>
      </c>
      <c r="M5" s="11">
        <f>'[4]Malaysia PO Monthly Bal'!$F$169</f>
        <v>1552.4770000000001</v>
      </c>
      <c r="N5" s="11">
        <f>'[4]Malaysia PO Monthly Bal'!$F$170</f>
        <v>2268.1979999999999</v>
      </c>
      <c r="O5" s="11">
        <f>'[4]Malaysia PO Monthly Bal'!$F$171</f>
        <v>2019.7809999999999</v>
      </c>
      <c r="P5" s="11">
        <f>'[4]Malaysia PO Monthly Bal'!$F$172</f>
        <v>1579.7629999999999</v>
      </c>
      <c r="Q5" s="11">
        <f t="shared" si="0"/>
        <v>1784.1023999999998</v>
      </c>
      <c r="T5" s="11"/>
    </row>
    <row r="6" spans="1:20">
      <c r="A6" s="29" t="s">
        <v>32</v>
      </c>
      <c r="B6" s="11">
        <f>'[4]Malaysia PO Monthly Bal'!$G$158</f>
        <v>1481.1690000000001</v>
      </c>
      <c r="C6" s="11">
        <f>'[4]Malaysia PO Monthly Bal'!$G$159</f>
        <v>2061.6979999999999</v>
      </c>
      <c r="D6" s="11">
        <f>'[4]Malaysia PO Monthly Bal'!$G$160</f>
        <v>2425.8490000000002</v>
      </c>
      <c r="E6" s="11">
        <f>'[4]Malaysia PO Monthly Bal'!$G$161</f>
        <v>1656.931</v>
      </c>
      <c r="F6" s="11">
        <f>'[4]Malaysia PO Monthly Bal'!$G$162</f>
        <v>1733.326</v>
      </c>
      <c r="G6" s="11">
        <f>'[4]Malaysia PO Monthly Bal'!$G$163</f>
        <v>2170.3409999999999</v>
      </c>
      <c r="H6" s="11">
        <f>'[4]Malaysia PO Monthly Bal'!$G$164</f>
        <v>1459.3610000000001</v>
      </c>
      <c r="I6" s="11">
        <f>'[4]Malaysia PO Monthly Bal'!$G$165</f>
        <v>2476.4450000000002</v>
      </c>
      <c r="J6" s="11">
        <f>'[4]Malaysia PO Monthly Bal'!$G$166</f>
        <v>3056.9290000000001</v>
      </c>
      <c r="K6" s="11">
        <f>'[4]Malaysia PO Monthly Bal'!$G$167</f>
        <v>1700.261</v>
      </c>
      <c r="L6" s="11">
        <f>'[4]Malaysia PO Monthly Bal'!$G$168</f>
        <v>1306.0219999999999</v>
      </c>
      <c r="M6" s="11">
        <f>'[4]Malaysia PO Monthly Bal'!$G$169</f>
        <v>1519.412</v>
      </c>
      <c r="N6" s="11">
        <f>'[4]Malaysia PO Monthly Bal'!$G$170</f>
        <v>2119.8539999999998</v>
      </c>
      <c r="O6" s="11">
        <f>'[4]Malaysia PO Monthly Bal'!$G$171</f>
        <v>1920.1130000000001</v>
      </c>
      <c r="P6" s="11">
        <f>'[4]Malaysia PO Monthly Bal'!$G$172</f>
        <v>1290.7559502659208</v>
      </c>
      <c r="Q6" s="11">
        <f t="shared" si="0"/>
        <v>1713.1323999999997</v>
      </c>
      <c r="T6" s="11"/>
    </row>
    <row r="7" spans="1:20">
      <c r="A7" s="29" t="s">
        <v>33</v>
      </c>
      <c r="B7" s="11">
        <f>'[4]Malaysia PO Monthly Bal'!$H$158</f>
        <v>1614.1849999999999</v>
      </c>
      <c r="C7" s="11">
        <f>'[4]Malaysia PO Monthly Bal'!$H$159</f>
        <v>1956.8810000000001</v>
      </c>
      <c r="D7" s="11">
        <f>'[4]Malaysia PO Monthly Bal'!$H$160</f>
        <v>2160.81</v>
      </c>
      <c r="E7" s="11">
        <f>'[4]Malaysia PO Monthly Bal'!$H$161</f>
        <v>1688.0930000000001</v>
      </c>
      <c r="F7" s="11">
        <f>'[4]Malaysia PO Monthly Bal'!$H$162</f>
        <v>1858.6320000000001</v>
      </c>
      <c r="G7" s="11">
        <f>'[4]Malaysia PO Monthly Bal'!$H$163</f>
        <v>1885.6310000000001</v>
      </c>
      <c r="H7" s="11">
        <f>'[4]Malaysia PO Monthly Bal'!$H$164</f>
        <v>1553.2190000000001</v>
      </c>
      <c r="I7" s="11">
        <f>'[4]Malaysia PO Monthly Bal'!$H$165</f>
        <v>2321.759</v>
      </c>
      <c r="J7" s="11">
        <f>'[4]Malaysia PO Monthly Bal'!$H$166</f>
        <v>2920.4090000000001</v>
      </c>
      <c r="K7" s="11">
        <f>'[4]Malaysia PO Monthly Bal'!$H$167</f>
        <v>1729.5920000000001</v>
      </c>
      <c r="L7" s="11">
        <f>'[4]Malaysia PO Monthly Bal'!$H$168</f>
        <v>1443.9159999999999</v>
      </c>
      <c r="M7" s="11">
        <f>'[4]Malaysia PO Monthly Bal'!$H$169</f>
        <v>1474.338</v>
      </c>
      <c r="N7" s="11">
        <f>'[4]Malaysia PO Monthly Bal'!$H$170</f>
        <v>1674.0219999999999</v>
      </c>
      <c r="O7" s="11">
        <f>'[4]Malaysia PO Monthly Bal'!$H$171</f>
        <v>1714.973</v>
      </c>
      <c r="P7" s="11">
        <f>'[4]Malaysia PO Monthly Bal'!$H$172</f>
        <v>1212.0416017359537</v>
      </c>
      <c r="Q7" s="11">
        <f t="shared" si="0"/>
        <v>1607.3681999999999</v>
      </c>
      <c r="T7" s="11"/>
    </row>
    <row r="8" spans="1:20">
      <c r="A8" s="29" t="s">
        <v>34</v>
      </c>
      <c r="B8" s="11">
        <f>'[4]Malaysia PO Monthly Bal'!$I$158</f>
        <v>1670.7919999999999</v>
      </c>
      <c r="C8" s="11">
        <f>'[4]Malaysia PO Monthly Bal'!$I$159</f>
        <v>1850.731</v>
      </c>
      <c r="D8" s="11">
        <f>'[4]Malaysia PO Monthly Bal'!$I$160</f>
        <v>1913.5309999999999</v>
      </c>
      <c r="E8" s="11">
        <f>'[4]Malaysia PO Monthly Bal'!$I$161</f>
        <v>1766.19</v>
      </c>
      <c r="F8" s="11">
        <f>'[4]Malaysia PO Monthly Bal'!$I$162</f>
        <v>2181.9740000000002</v>
      </c>
      <c r="G8" s="11">
        <f>'[4]Malaysia PO Monthly Bal'!$I$163</f>
        <v>1804.4949999999999</v>
      </c>
      <c r="H8" s="11">
        <f>'[4]Malaysia PO Monthly Bal'!$I$164</f>
        <v>1600.126</v>
      </c>
      <c r="I8" s="11">
        <f>'[4]Malaysia PO Monthly Bal'!$I$165</f>
        <v>2179.7399999999998</v>
      </c>
      <c r="J8" s="11">
        <f>'[4]Malaysia PO Monthly Bal'!$I$166</f>
        <v>2726.94</v>
      </c>
      <c r="K8" s="11">
        <f>'[4]Malaysia PO Monthly Bal'!$I$167</f>
        <v>2044.498</v>
      </c>
      <c r="L8" s="11">
        <f>'[4]Malaysia PO Monthly Bal'!$I$168</f>
        <v>1545.905</v>
      </c>
      <c r="M8" s="11">
        <f>'[4]Malaysia PO Monthly Bal'!$I$169</f>
        <v>1643.9739999999999</v>
      </c>
      <c r="N8" s="11">
        <f>'[4]Malaysia PO Monthly Bal'!$I$170</f>
        <v>1497.877</v>
      </c>
      <c r="O8" s="11">
        <f>'[4]Malaysia PO Monthly Bal'!$I$171</f>
        <v>1744.4590000000001</v>
      </c>
      <c r="P8" s="11">
        <f>'[4]Malaysia PO Monthly Bal'!$I$172</f>
        <v>1087.9087211431975</v>
      </c>
      <c r="Q8" s="11">
        <f t="shared" si="0"/>
        <v>1695.3426000000004</v>
      </c>
      <c r="T8" s="11"/>
    </row>
    <row r="9" spans="1:20">
      <c r="A9" s="29" t="s">
        <v>35</v>
      </c>
      <c r="B9" s="11">
        <f>'[4]Malaysia PO Monthly Bal'!$J$158</f>
        <v>1922.655</v>
      </c>
      <c r="C9" s="11">
        <f>'[4]Malaysia PO Monthly Bal'!$J$159</f>
        <v>1785.7139999999999</v>
      </c>
      <c r="D9" s="11">
        <f>'[4]Malaysia PO Monthly Bal'!$J$160</f>
        <v>1816.3409999999999</v>
      </c>
      <c r="E9" s="11">
        <f>'[4]Malaysia PO Monthly Bal'!$J$161</f>
        <v>1841.3409999999999</v>
      </c>
      <c r="F9" s="11">
        <f>'[4]Malaysia PO Monthly Bal'!$J$162</f>
        <v>2239.4479999999999</v>
      </c>
      <c r="G9" s="11">
        <f>'[4]Malaysia PO Monthly Bal'!$J$163</f>
        <v>1649.8589999999999</v>
      </c>
      <c r="H9" s="11">
        <f>'[4]Malaysia PO Monthly Bal'!$J$164</f>
        <v>1557.354</v>
      </c>
      <c r="I9" s="11">
        <f>'[4]Malaysia PO Monthly Bal'!$J$165</f>
        <v>2168.8820000000001</v>
      </c>
      <c r="J9" s="11">
        <f>'[4]Malaysia PO Monthly Bal'!$J$166</f>
        <v>2444.4870000000001</v>
      </c>
      <c r="K9" s="11">
        <f>'[4]Malaysia PO Monthly Bal'!$J$167</f>
        <v>2029.579</v>
      </c>
      <c r="L9" s="11">
        <f>'[4]Malaysia PO Monthly Bal'!$J$168</f>
        <v>1569.4110000000001</v>
      </c>
      <c r="M9" s="11">
        <f>'[4]Malaysia PO Monthly Bal'!$J$169</f>
        <v>1523.308</v>
      </c>
      <c r="N9" s="11">
        <f>'[4]Malaysia PO Monthly Bal'!$J$170</f>
        <v>1690.204</v>
      </c>
      <c r="O9" s="11">
        <f>'[4]Malaysia PO Monthly Bal'!$J$171</f>
        <v>1831.239</v>
      </c>
      <c r="P9" s="11">
        <f>'[4]Malaysia PO Monthly Bal'!$J$172</f>
        <v>1010.8206192134841</v>
      </c>
      <c r="Q9" s="11">
        <f t="shared" si="0"/>
        <v>1728.7482</v>
      </c>
      <c r="T9" s="11"/>
    </row>
    <row r="10" spans="1:20">
      <c r="A10" s="29" t="s">
        <v>36</v>
      </c>
      <c r="B10" s="11">
        <f>'[4]Malaysia PO Monthly Bal'!$K$158</f>
        <v>2054.7080000000001</v>
      </c>
      <c r="C10" s="11">
        <f>'[4]Malaysia PO Monthly Bal'!$K$159</f>
        <v>1699.145</v>
      </c>
      <c r="D10" s="11">
        <f>'[4]Malaysia PO Monthly Bal'!$K$160</f>
        <v>1647.604</v>
      </c>
      <c r="E10" s="11">
        <f>'[4]Malaysia PO Monthly Bal'!$K$161</f>
        <v>1656.7560000000001</v>
      </c>
      <c r="F10" s="11">
        <f>'[4]Malaysia PO Monthly Bal'!$K$162</f>
        <v>2141.8719999999998</v>
      </c>
      <c r="G10" s="11">
        <f>'[4]Malaysia PO Monthly Bal'!$K$163</f>
        <v>1774.625</v>
      </c>
      <c r="H10" s="11">
        <f>'[4]Malaysia PO Monthly Bal'!$K$164</f>
        <v>1527.0709999999999</v>
      </c>
      <c r="I10" s="11">
        <f>'[4]Malaysia PO Monthly Bal'!$K$165</f>
        <v>2187.0349999999999</v>
      </c>
      <c r="J10" s="11">
        <f>'[4]Malaysia PO Monthly Bal'!$K$166</f>
        <v>2410.8690000000001</v>
      </c>
      <c r="K10" s="11">
        <f>'[4]Malaysia PO Monthly Bal'!$K$167</f>
        <v>1898.3720000000001</v>
      </c>
      <c r="L10" s="11">
        <f>'[4]Malaysia PO Monthly Bal'!$K$168</f>
        <v>1614.2190000000001</v>
      </c>
      <c r="M10" s="11">
        <f>'[4]Malaysia PO Monthly Bal'!$K$169</f>
        <v>1645.836</v>
      </c>
      <c r="N10" s="11">
        <f>'[4]Malaysia PO Monthly Bal'!$K$170</f>
        <v>1718.771</v>
      </c>
      <c r="O10" s="11">
        <f>'[4]Malaysia PO Monthly Bal'!$K$171</f>
        <v>1733.2190000000001</v>
      </c>
      <c r="P10" s="11">
        <f>'[4]Malaysia PO Monthly Bal'!$K$172</f>
        <v>867.21071039334686</v>
      </c>
      <c r="Q10" s="11">
        <f t="shared" si="0"/>
        <v>1722.0834000000002</v>
      </c>
      <c r="T10" s="11"/>
    </row>
    <row r="11" spans="1:20">
      <c r="A11" s="29" t="s">
        <v>37</v>
      </c>
      <c r="B11" s="11">
        <f>'[4]Malaysia PO Monthly Bal'!$L$158</f>
        <v>2008.704</v>
      </c>
      <c r="C11" s="11">
        <f>'[4]Malaysia PO Monthly Bal'!$L$159</f>
        <v>1999.0930000000001</v>
      </c>
      <c r="D11" s="11">
        <f>'[4]Malaysia PO Monthly Bal'!$L$160</f>
        <v>1674.258</v>
      </c>
      <c r="E11" s="11">
        <f>'[4]Malaysia PO Monthly Bal'!$L$161</f>
        <v>1684.7560000000001</v>
      </c>
      <c r="F11" s="11">
        <f>'[4]Malaysia PO Monthly Bal'!$L$162</f>
        <v>2257.886</v>
      </c>
      <c r="G11" s="11">
        <f>'[4]Malaysia PO Monthly Bal'!$L$163</f>
        <v>1770.367</v>
      </c>
      <c r="H11" s="11">
        <f>'[4]Malaysia PO Monthly Bal'!$L$164</f>
        <v>1784.8019999999999</v>
      </c>
      <c r="I11" s="11">
        <f>'[4]Malaysia PO Monthly Bal'!$L$165</f>
        <v>2231.5419999999999</v>
      </c>
      <c r="J11" s="11">
        <f>'[4]Malaysia PO Monthly Bal'!$L$166</f>
        <v>2378.297</v>
      </c>
      <c r="K11" s="11">
        <f>'[4]Malaysia PO Monthly Bal'!$L$167</f>
        <v>1699.365</v>
      </c>
      <c r="L11" s="11">
        <f>'[4]Malaysia PO Monthly Bal'!$L$168</f>
        <v>1496.46</v>
      </c>
      <c r="M11" s="11">
        <f>'[4]Malaysia PO Monthly Bal'!$L$169</f>
        <v>1774.308</v>
      </c>
      <c r="N11" s="11">
        <f>'[4]Malaysia PO Monthly Bal'!$L$170</f>
        <v>1733.9</v>
      </c>
      <c r="O11" s="11">
        <f>'[4]Malaysia PO Monthly Bal'!$L$171</f>
        <v>1754.384</v>
      </c>
      <c r="P11" s="11">
        <f>'[4]Malaysia PO Monthly Bal'!$L$172</f>
        <v>868.34009281607996</v>
      </c>
      <c r="Q11" s="11">
        <f t="shared" si="0"/>
        <v>1691.6833999999999</v>
      </c>
      <c r="T11" s="11"/>
    </row>
    <row r="12" spans="1:20">
      <c r="A12" s="29" t="s">
        <v>38</v>
      </c>
      <c r="B12" s="11">
        <f>'[4]Malaysia PO Monthly Bal'!$M$158</f>
        <v>1899.8130000000001</v>
      </c>
      <c r="C12" s="11">
        <f>'[4]Malaysia PO Monthly Bal'!$M$159</f>
        <v>2112.797</v>
      </c>
      <c r="D12" s="11">
        <f>'[4]Malaysia PO Monthly Bal'!$M$160</f>
        <v>1668.1320000000001</v>
      </c>
      <c r="E12" s="11">
        <f>'[4]Malaysia PO Monthly Bal'!$M$161</f>
        <v>2053.1990000000001</v>
      </c>
      <c r="F12" s="11">
        <f>'[4]Malaysia PO Monthly Bal'!$M$162</f>
        <v>2491.9279999999999</v>
      </c>
      <c r="G12" s="11">
        <f>'[4]Malaysia PO Monthly Bal'!$M$163</f>
        <v>1464.0809999999999</v>
      </c>
      <c r="H12" s="11">
        <f>'[4]Malaysia PO Monthly Bal'!$M$164</f>
        <v>1941.7170000000001</v>
      </c>
      <c r="I12" s="11">
        <f>'[4]Malaysia PO Monthly Bal'!$M$165</f>
        <v>2504.915</v>
      </c>
      <c r="J12" s="11">
        <f>'[4]Malaysia PO Monthly Bal'!$M$166</f>
        <v>2240.5230000000001</v>
      </c>
      <c r="K12" s="11">
        <f>'[4]Malaysia PO Monthly Bal'!$M$167</f>
        <v>1703.0029999999999</v>
      </c>
      <c r="L12" s="11">
        <f>'[4]Malaysia PO Monthly Bal'!$M$168</f>
        <v>1874.7460000000001</v>
      </c>
      <c r="M12" s="11">
        <f>'[4]Malaysia PO Monthly Bal'!$M$169</f>
        <v>2094.6779999999999</v>
      </c>
      <c r="N12" s="11">
        <f>'[4]Malaysia PO Monthly Bal'!$M$170</f>
        <v>2110.98</v>
      </c>
      <c r="O12" s="11">
        <f>'[4]Malaysia PO Monthly Bal'!$M$171</f>
        <v>1883.2139999999999</v>
      </c>
      <c r="P12" s="11">
        <f>'[4]Malaysia PO Monthly Bal'!$M$172</f>
        <v>1066.9324550399003</v>
      </c>
      <c r="Q12" s="11">
        <f t="shared" si="0"/>
        <v>1933.3241999999998</v>
      </c>
      <c r="T12" s="11"/>
    </row>
    <row r="13" spans="1:20">
      <c r="A13" s="29" t="s">
        <v>39</v>
      </c>
      <c r="B13" s="11">
        <f>'[4]Malaysia PO Monthly Bal'!$N$158</f>
        <v>2163.2919999999999</v>
      </c>
      <c r="C13" s="11">
        <f>'[4]Malaysia PO Monthly Bal'!$N$159</f>
        <v>2480.9899999999998</v>
      </c>
      <c r="D13" s="11">
        <f>'[4]Malaysia PO Monthly Bal'!$N$160</f>
        <v>1783.7729999999999</v>
      </c>
      <c r="E13" s="11">
        <f>'[4]Malaysia PO Monthly Bal'!$N$161</f>
        <v>2090.0729999999999</v>
      </c>
      <c r="F13" s="11">
        <f>'[4]Malaysia PO Monthly Bal'!$N$162</f>
        <v>2641.2890000000002</v>
      </c>
      <c r="G13" s="11">
        <f>'[4]Malaysia PO Monthly Bal'!$N$163</f>
        <v>1546.758</v>
      </c>
      <c r="H13" s="11">
        <f>'[4]Malaysia PO Monthly Bal'!$N$164</f>
        <v>2015.922</v>
      </c>
      <c r="I13" s="11">
        <f>'[4]Malaysia PO Monthly Bal'!$N$165</f>
        <v>2529.4470000000001</v>
      </c>
      <c r="J13" s="11">
        <f>'[4]Malaysia PO Monthly Bal'!$N$166</f>
        <v>2448.4479999999999</v>
      </c>
      <c r="K13" s="11">
        <f>'[4]Malaysia PO Monthly Bal'!$N$167</f>
        <v>1722.087</v>
      </c>
      <c r="L13" s="11">
        <f>'[4]Malaysia PO Monthly Bal'!$N$168</f>
        <v>1756.404</v>
      </c>
      <c r="M13" s="11">
        <f>'[4]Malaysia PO Monthly Bal'!$N$169</f>
        <v>2318.2020000000002</v>
      </c>
      <c r="N13" s="11">
        <f>'[4]Malaysia PO Monthly Bal'!$N$170</f>
        <v>2312.3290000000002</v>
      </c>
      <c r="O13" s="11">
        <f>'[4]Malaysia PO Monthly Bal'!$N$171</f>
        <v>2011.768</v>
      </c>
      <c r="P13" s="11">
        <f>'[4]Malaysia PO Monthly Bal'!$N$172</f>
        <v>1592.6291749823899</v>
      </c>
      <c r="Q13" s="11">
        <f t="shared" si="0"/>
        <v>2024.1580000000001</v>
      </c>
      <c r="T13" s="11"/>
    </row>
    <row r="14" spans="1:20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T14" s="11"/>
    </row>
    <row r="15" spans="1:20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T15" s="11"/>
    </row>
    <row r="16" spans="1:20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T16" s="11"/>
    </row>
    <row r="17" spans="2:20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T17" s="11"/>
    </row>
    <row r="18" spans="2:20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T18" s="11"/>
    </row>
    <row r="19" spans="2:20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T19" s="11"/>
    </row>
    <row r="20" spans="2:20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T20" s="11"/>
    </row>
    <row r="21" spans="2:20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T21" s="11"/>
    </row>
    <row r="22" spans="2:20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T22" s="11"/>
    </row>
    <row r="23" spans="2:20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T23" s="11"/>
    </row>
    <row r="24" spans="2:20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T24" s="11"/>
    </row>
    <row r="25" spans="2:20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T25" s="11"/>
    </row>
    <row r="26" spans="2:20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T26" s="11"/>
    </row>
    <row r="27" spans="2:20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T27" s="11"/>
    </row>
    <row r="28" spans="2:20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T28" s="11"/>
    </row>
    <row r="29" spans="2:20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T29" s="11"/>
    </row>
    <row r="30" spans="2:20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T30" s="11"/>
    </row>
    <row r="31" spans="2:20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T31" s="11"/>
    </row>
    <row r="32" spans="2:20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T32" s="11"/>
    </row>
    <row r="33" spans="2:20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T33" s="11"/>
    </row>
    <row r="34" spans="2:20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T34" s="11"/>
    </row>
    <row r="35" spans="2:20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T35" s="11"/>
    </row>
    <row r="36" spans="2:20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T36" s="11"/>
    </row>
    <row r="37" spans="2:20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T37" s="11"/>
    </row>
    <row r="38" spans="2:20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T38" s="11"/>
    </row>
    <row r="39" spans="2:20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T39" s="11"/>
    </row>
    <row r="40" spans="2:20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T40" s="11"/>
    </row>
    <row r="41" spans="2:20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T41" s="11"/>
    </row>
    <row r="42" spans="2:20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T42" s="11"/>
    </row>
    <row r="43" spans="2:20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T43" s="11"/>
    </row>
    <row r="44" spans="2:20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T44" s="11"/>
    </row>
    <row r="45" spans="2:20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T45" s="11"/>
    </row>
    <row r="46" spans="2:20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T46" s="11"/>
    </row>
    <row r="47" spans="2:20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T47" s="11"/>
    </row>
    <row r="48" spans="2:20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T48" s="11"/>
    </row>
    <row r="49" spans="2:20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T49" s="11"/>
    </row>
    <row r="50" spans="2:20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T50" s="11"/>
    </row>
    <row r="51" spans="2:20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T51" s="11"/>
    </row>
    <row r="52" spans="2:20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T52" s="11"/>
    </row>
    <row r="53" spans="2:20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T53" s="11"/>
    </row>
    <row r="54" spans="2:20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T54" s="11"/>
    </row>
    <row r="55" spans="2:20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T55" s="11"/>
    </row>
    <row r="56" spans="2:20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T56" s="11"/>
    </row>
    <row r="57" spans="2:20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T57" s="11"/>
    </row>
    <row r="58" spans="2:20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T58" s="11"/>
    </row>
    <row r="59" spans="2:20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T59" s="11"/>
    </row>
    <row r="60" spans="2:20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T60" s="11"/>
    </row>
    <row r="61" spans="2:20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T61" s="11"/>
    </row>
    <row r="62" spans="2:20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T62" s="11"/>
    </row>
    <row r="63" spans="2:20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T63" s="11"/>
    </row>
    <row r="64" spans="2:20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T64" s="11"/>
    </row>
    <row r="65" spans="2:20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T65" s="11"/>
    </row>
    <row r="66" spans="2:20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T66" s="11"/>
    </row>
    <row r="67" spans="2:20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T67" s="11"/>
    </row>
    <row r="68" spans="2:20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T68" s="11"/>
    </row>
    <row r="69" spans="2:20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T69" s="11"/>
    </row>
    <row r="70" spans="2:20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T70" s="11"/>
    </row>
    <row r="71" spans="2:20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T71" s="11"/>
    </row>
    <row r="72" spans="2:20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T72" s="11"/>
    </row>
    <row r="73" spans="2:20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T73" s="11"/>
    </row>
    <row r="74" spans="2:20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T74" s="11"/>
    </row>
    <row r="75" spans="2:20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T75" s="11"/>
    </row>
    <row r="76" spans="2:20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T76" s="11"/>
    </row>
    <row r="77" spans="2:20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T77" s="11"/>
    </row>
    <row r="78" spans="2:20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T78" s="11"/>
    </row>
    <row r="79" spans="2:20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T79" s="11"/>
    </row>
    <row r="80" spans="2:20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T80" s="11"/>
    </row>
    <row r="81" spans="2:20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T81" s="11"/>
    </row>
    <row r="82" spans="2:20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T82" s="11"/>
    </row>
    <row r="83" spans="2:20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T83" s="11"/>
    </row>
    <row r="84" spans="2:20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T84" s="11"/>
    </row>
    <row r="85" spans="2:20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T85" s="11"/>
    </row>
    <row r="86" spans="2:20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T86" s="11"/>
    </row>
    <row r="87" spans="2:20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T87" s="11"/>
    </row>
    <row r="88" spans="2:20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T88" s="11"/>
    </row>
    <row r="89" spans="2:20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T89" s="11"/>
    </row>
    <row r="90" spans="2:20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T90" s="11"/>
    </row>
    <row r="91" spans="2:20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T91" s="11"/>
    </row>
    <row r="92" spans="2:20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T92" s="11"/>
    </row>
    <row r="93" spans="2:20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T93" s="11"/>
    </row>
    <row r="94" spans="2:20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T94" s="11"/>
    </row>
    <row r="95" spans="2:20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T95" s="11"/>
    </row>
    <row r="96" spans="2:20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T96" s="11"/>
    </row>
    <row r="97" spans="2:20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T97" s="11"/>
    </row>
    <row r="98" spans="2:20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S98" s="11"/>
      <c r="T98" s="11"/>
    </row>
    <row r="99" spans="2:20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S99" s="11"/>
      <c r="T99" s="11"/>
    </row>
    <row r="100" spans="2:20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S100" s="11"/>
      <c r="T100" s="11"/>
    </row>
    <row r="101" spans="2:20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S101" s="11"/>
      <c r="T101" s="11"/>
    </row>
    <row r="102" spans="2:20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S102" s="11"/>
      <c r="T102" s="11"/>
    </row>
    <row r="103" spans="2:20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S103" s="11"/>
      <c r="T103" s="11"/>
    </row>
    <row r="104" spans="2:20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S104" s="11"/>
      <c r="T104" s="11"/>
    </row>
    <row r="105" spans="2:20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S105" s="11"/>
      <c r="T105" s="11"/>
    </row>
    <row r="106" spans="2:20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S106" s="11"/>
      <c r="T106" s="11"/>
    </row>
    <row r="107" spans="2:20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S107" s="11"/>
      <c r="T107" s="11"/>
    </row>
    <row r="108" spans="2:20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S108" s="11"/>
      <c r="T108" s="11"/>
    </row>
    <row r="109" spans="2:20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S109" s="11"/>
      <c r="T109" s="11"/>
    </row>
    <row r="110" spans="2:20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S110" s="11"/>
      <c r="T110" s="11"/>
    </row>
    <row r="111" spans="2:20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S111" s="11"/>
      <c r="T111" s="11"/>
    </row>
    <row r="112" spans="2:20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S112" s="11"/>
      <c r="T112" s="11"/>
    </row>
    <row r="113" spans="2:23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S113" s="11"/>
      <c r="T113" s="11"/>
    </row>
    <row r="114" spans="2:23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S114" s="11"/>
      <c r="T114" s="11"/>
    </row>
    <row r="115" spans="2:23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S115" s="11"/>
      <c r="T115" s="11"/>
    </row>
    <row r="116" spans="2:23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S116" s="11"/>
      <c r="T116" s="11"/>
    </row>
    <row r="117" spans="2:23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S117" s="11"/>
      <c r="T117" s="11"/>
    </row>
    <row r="118" spans="2:23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S118" s="11"/>
      <c r="T118" s="11"/>
      <c r="V118" s="11"/>
      <c r="W118" s="11"/>
    </row>
    <row r="119" spans="2:23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S119" s="11"/>
      <c r="T119" s="11"/>
      <c r="V119" s="11"/>
      <c r="W119" s="11"/>
    </row>
    <row r="120" spans="2:23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S120" s="11"/>
      <c r="T120" s="11"/>
      <c r="V120" s="11"/>
      <c r="W120" s="11"/>
    </row>
    <row r="121" spans="2:23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S121" s="11"/>
      <c r="T121" s="11"/>
      <c r="V121" s="11"/>
      <c r="W121" s="11"/>
    </row>
    <row r="122" spans="2:23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S122" s="11"/>
      <c r="T122" s="11"/>
      <c r="V122" s="11"/>
      <c r="W122" s="11"/>
    </row>
    <row r="123" spans="2:23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S123" s="11"/>
      <c r="T123" s="11"/>
      <c r="V123" s="11"/>
      <c r="W123" s="11"/>
    </row>
    <row r="124" spans="2:23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S124" s="11"/>
      <c r="T124" s="11"/>
      <c r="V124" s="11"/>
      <c r="W124" s="11"/>
    </row>
    <row r="125" spans="2:23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S125" s="11"/>
      <c r="T125" s="11"/>
      <c r="V125" s="11"/>
      <c r="W125" s="11"/>
    </row>
    <row r="126" spans="2:23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S126" s="11"/>
      <c r="T126" s="11"/>
      <c r="V126" s="11"/>
      <c r="W126" s="11"/>
    </row>
    <row r="127" spans="2:23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S127" s="11"/>
      <c r="T127" s="11"/>
      <c r="V127" s="11"/>
      <c r="W127" s="11"/>
    </row>
    <row r="128" spans="2:23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S128" s="11"/>
      <c r="T128" s="11"/>
      <c r="V128" s="11"/>
      <c r="W128" s="11"/>
    </row>
    <row r="129" spans="2:23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S129" s="11"/>
      <c r="T129" s="11"/>
      <c r="V129" s="11"/>
      <c r="W129" s="11"/>
    </row>
    <row r="130" spans="2:23"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S130" s="11"/>
      <c r="T130" s="11"/>
      <c r="V130" s="11"/>
      <c r="W130" s="11"/>
    </row>
    <row r="131" spans="2:23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S131" s="11"/>
      <c r="T131" s="11"/>
      <c r="V131" s="11"/>
      <c r="W131" s="11"/>
    </row>
    <row r="132" spans="2:23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S132" s="11"/>
      <c r="T132" s="11"/>
      <c r="V132" s="11"/>
      <c r="W132" s="11"/>
    </row>
    <row r="133" spans="2:23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S133" s="11"/>
      <c r="T133" s="11"/>
      <c r="V133" s="11"/>
      <c r="W133" s="1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53A1-0B3C-4BF1-955A-27E8F95974CB}">
  <dimension ref="A1:X133"/>
  <sheetViews>
    <sheetView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.140625" defaultRowHeight="12.75"/>
  <cols>
    <col min="1" max="1" width="9.7109375" style="10" bestFit="1" customWidth="1"/>
    <col min="2" max="18" width="9.7109375" style="10" customWidth="1"/>
    <col min="19" max="16384" width="9.140625" style="10"/>
  </cols>
  <sheetData>
    <row r="1" spans="1:21">
      <c r="A1" s="10" t="s">
        <v>0</v>
      </c>
      <c r="B1" s="31" t="str">
        <f>'Malaysia PO Stocks'!B1</f>
        <v>10/11</v>
      </c>
      <c r="C1" s="31" t="str">
        <f>'Malaysia PO Stocks'!C1</f>
        <v>11/12</v>
      </c>
      <c r="D1" s="31" t="str">
        <f>'Malaysia PO Stocks'!D1</f>
        <v>12/13</v>
      </c>
      <c r="E1" s="31" t="str">
        <f>'Malaysia PO Stocks'!E1</f>
        <v>13/14</v>
      </c>
      <c r="F1" s="31" t="str">
        <f>'Malaysia PO Stocks'!F1</f>
        <v>14/15</v>
      </c>
      <c r="G1" s="31" t="str">
        <f>'Malaysia PO Stocks'!G1</f>
        <v>15/16</v>
      </c>
      <c r="H1" s="31" t="str">
        <f>'Malaysia PO Stocks'!H1</f>
        <v>16/17</v>
      </c>
      <c r="I1" s="31" t="str">
        <f>'Malaysia PO Stocks'!I1</f>
        <v>17/18</v>
      </c>
      <c r="J1" s="31" t="str">
        <f>'Malaysia PO Stocks'!J1</f>
        <v>18/19</v>
      </c>
      <c r="K1" s="31" t="str">
        <f>'Malaysia PO Stocks'!K1</f>
        <v>19/20</v>
      </c>
      <c r="L1" s="31" t="str">
        <f>'Malaysia PO Stocks'!L1</f>
        <v>20/21</v>
      </c>
      <c r="M1" s="31" t="str">
        <f>'Malaysia PO Stocks'!M1</f>
        <v>21/22</v>
      </c>
      <c r="N1" s="31" t="str">
        <f>'Malaysia PO Stocks'!N1</f>
        <v>22/23</v>
      </c>
      <c r="O1" s="31" t="str">
        <f>'Malaysia PO Stocks'!O1</f>
        <v>23/24</v>
      </c>
      <c r="P1" s="31" t="str">
        <f>'Malaysia PO Stocks'!P1</f>
        <v>24/25</v>
      </c>
      <c r="Q1" s="10" t="s">
        <v>44</v>
      </c>
    </row>
    <row r="2" spans="1:21">
      <c r="A2" s="29" t="s">
        <v>28</v>
      </c>
      <c r="B2" s="11">
        <f>'[4]Malaysia PO Monthly Bal'!$C$90</f>
        <v>1460.663</v>
      </c>
      <c r="C2" s="11">
        <f>'[4]Malaysia PO Monthly Bal'!$C$91</f>
        <v>1843.6020000000001</v>
      </c>
      <c r="D2" s="11">
        <f>'[4]Malaysia PO Monthly Bal'!$C$92</f>
        <v>1777.175</v>
      </c>
      <c r="E2" s="11">
        <f>'[4]Malaysia PO Monthly Bal'!$C$93</f>
        <v>1664.319</v>
      </c>
      <c r="F2" s="11">
        <f>'[4]Malaysia PO Monthly Bal'!$C$94</f>
        <v>1611.4590000000001</v>
      </c>
      <c r="G2" s="11">
        <f>'[4]Malaysia PO Monthly Bal'!$C$95</f>
        <v>1711.8910000000001</v>
      </c>
      <c r="H2" s="11">
        <f>'[4]Malaysia PO Monthly Bal'!$C$96</f>
        <v>1431.1289999999999</v>
      </c>
      <c r="I2" s="11">
        <f>'[4]Malaysia PO Monthly Bal'!$C$97</f>
        <v>1538.05</v>
      </c>
      <c r="J2" s="11">
        <f>'[4]Malaysia PO Monthly Bal'!$C$98</f>
        <v>1578.2629999999999</v>
      </c>
      <c r="K2" s="11">
        <f>'[4]Malaysia PO Monthly Bal'!$C$99</f>
        <v>1641.9369999999999</v>
      </c>
      <c r="L2" s="11">
        <f>'[4]Malaysia PO Monthly Bal'!$C$100</f>
        <v>1674.3040000000001</v>
      </c>
      <c r="M2" s="11">
        <f>'[4]Malaysia PO Monthly Bal'!$C$101</f>
        <v>1420.5740000000001</v>
      </c>
      <c r="N2" s="11">
        <f>'[4]Malaysia PO Monthly Bal'!$C$102</f>
        <v>1505.769</v>
      </c>
      <c r="O2" s="11">
        <f>'[4]Malaysia PO Monthly Bal'!$C$103</f>
        <v>1480.6859999999999</v>
      </c>
      <c r="P2" s="11">
        <f>'[4]Malaysia PO Monthly Bal'!$C$104</f>
        <v>1732.4480000000001</v>
      </c>
      <c r="Q2" s="11">
        <f>'[4]Malaysia PO Monthly Bal'!$C$211</f>
        <v>1544.654</v>
      </c>
      <c r="R2" s="29"/>
      <c r="U2" s="11"/>
    </row>
    <row r="3" spans="1:21">
      <c r="A3" s="29" t="s">
        <v>29</v>
      </c>
      <c r="B3" s="11">
        <f>'[4]Malaysia PO Monthly Bal'!$D$90</f>
        <v>1506.2660000000001</v>
      </c>
      <c r="C3" s="11">
        <f>'[4]Malaysia PO Monthly Bal'!$D$91</f>
        <v>1665.5909999999999</v>
      </c>
      <c r="D3" s="11">
        <f>'[4]Malaysia PO Monthly Bal'!$D$92</f>
        <v>1661.548</v>
      </c>
      <c r="E3" s="11">
        <f>'[4]Malaysia PO Monthly Bal'!$D$93</f>
        <v>1528</v>
      </c>
      <c r="F3" s="11">
        <f>'[4]Malaysia PO Monthly Bal'!$D$94</f>
        <v>1513.1030000000001</v>
      </c>
      <c r="G3" s="11">
        <f>'[4]Malaysia PO Monthly Bal'!$D$95</f>
        <v>1499.5170000000001</v>
      </c>
      <c r="H3" s="11">
        <f>'[4]Malaysia PO Monthly Bal'!$D$96</f>
        <v>1370.4110000000001</v>
      </c>
      <c r="I3" s="11">
        <f>'[4]Malaysia PO Monthly Bal'!$D$97</f>
        <v>1356.3779999999999</v>
      </c>
      <c r="J3" s="11">
        <f>'[4]Malaysia PO Monthly Bal'!$D$98</f>
        <v>1375.4059999999999</v>
      </c>
      <c r="K3" s="11">
        <f>'[4]Malaysia PO Monthly Bal'!$D$99</f>
        <v>1405.6379999999999</v>
      </c>
      <c r="L3" s="11">
        <f>'[4]Malaysia PO Monthly Bal'!$D$100</f>
        <v>1303.271</v>
      </c>
      <c r="M3" s="11">
        <f>'[4]Malaysia PO Monthly Bal'!$D$101</f>
        <v>1467.518</v>
      </c>
      <c r="N3" s="11">
        <f>'[4]Malaysia PO Monthly Bal'!$D$102</f>
        <v>1521.329</v>
      </c>
      <c r="O3" s="11">
        <f>'[4]Malaysia PO Monthly Bal'!$D$103</f>
        <v>1396.721</v>
      </c>
      <c r="P3" s="11">
        <f>'[4]Malaysia PO Monthly Bal'!$D$104</f>
        <v>1487.212</v>
      </c>
      <c r="Q3" s="11">
        <f>'[4]Malaysia PO Monthly Bal'!$D$211</f>
        <v>1418.8953999999999</v>
      </c>
      <c r="R3" s="29"/>
      <c r="U3" s="11"/>
    </row>
    <row r="4" spans="1:21">
      <c r="A4" s="29" t="s">
        <v>30</v>
      </c>
      <c r="B4" s="11">
        <f>'[4]Malaysia PO Monthly Bal'!$E$90</f>
        <v>1291.2070000000001</v>
      </c>
      <c r="C4" s="11">
        <f>'[4]Malaysia PO Monthly Bal'!$E$91</f>
        <v>1590.8630000000001</v>
      </c>
      <c r="D4" s="11">
        <f>'[4]Malaysia PO Monthly Bal'!$E$92</f>
        <v>1650.192</v>
      </c>
      <c r="E4" s="11">
        <f>'[4]Malaysia PO Monthly Bal'!$E$93</f>
        <v>1519.7650000000001</v>
      </c>
      <c r="F4" s="11">
        <f>'[4]Malaysia PO Monthly Bal'!$E$94</f>
        <v>1519.6220000000001</v>
      </c>
      <c r="G4" s="11">
        <f>'[4]Malaysia PO Monthly Bal'!$E$95</f>
        <v>1484.211</v>
      </c>
      <c r="H4" s="11">
        <f>'[4]Malaysia PO Monthly Bal'!$E$96</f>
        <v>1267.962</v>
      </c>
      <c r="I4" s="11">
        <f>'[4]Malaysia PO Monthly Bal'!$E$97</f>
        <v>1427.425</v>
      </c>
      <c r="J4" s="11">
        <f>'[4]Malaysia PO Monthly Bal'!$E$98</f>
        <v>1383.307</v>
      </c>
      <c r="K4" s="11">
        <f>'[4]Malaysia PO Monthly Bal'!$E$99</f>
        <v>1389.049</v>
      </c>
      <c r="L4" s="11">
        <f>'[4]Malaysia PO Monthly Bal'!$E$100</f>
        <v>1642.835</v>
      </c>
      <c r="M4" s="11">
        <f>'[4]Malaysia PO Monthly Bal'!$E$101</f>
        <v>1423.8209999999999</v>
      </c>
      <c r="N4" s="11">
        <f>'[4]Malaysia PO Monthly Bal'!$E$102</f>
        <v>1473.846</v>
      </c>
      <c r="O4" s="11">
        <f>'[4]Malaysia PO Monthly Bal'!$E$103</f>
        <v>1362.145</v>
      </c>
      <c r="P4" s="11">
        <f>'[4]Malaysia PO Monthly Bal'!$E$104</f>
        <v>1341.9359999999999</v>
      </c>
      <c r="Q4" s="11">
        <f>'[4]Malaysia PO Monthly Bal'!$E$211</f>
        <v>1458.3391999999999</v>
      </c>
      <c r="R4" s="29"/>
      <c r="U4" s="11"/>
    </row>
    <row r="5" spans="1:21">
      <c r="A5" s="29" t="s">
        <v>31</v>
      </c>
      <c r="B5" s="11">
        <f>'[4]Malaysia PO Monthly Bal'!$F$90</f>
        <v>1222.067</v>
      </c>
      <c r="C5" s="11">
        <f>'[4]Malaysia PO Monthly Bal'!$F$91</f>
        <v>1391.3589999999999</v>
      </c>
      <c r="D5" s="11">
        <f>'[4]Malaysia PO Monthly Bal'!$F$92</f>
        <v>1635.84</v>
      </c>
      <c r="E5" s="11">
        <f>'[4]Malaysia PO Monthly Bal'!$F$93</f>
        <v>1367.962</v>
      </c>
      <c r="F5" s="11">
        <f>'[4]Malaysia PO Monthly Bal'!$F$94</f>
        <v>1191.7760000000001</v>
      </c>
      <c r="G5" s="11">
        <f>'[4]Malaysia PO Monthly Bal'!$F$95</f>
        <v>1279.1869999999999</v>
      </c>
      <c r="H5" s="11">
        <f>'[4]Malaysia PO Monthly Bal'!$F$96</f>
        <v>1287.8</v>
      </c>
      <c r="I5" s="11">
        <f>'[4]Malaysia PO Monthly Bal'!$F$97</f>
        <v>1472.2190000000001</v>
      </c>
      <c r="J5" s="11">
        <f>'[4]Malaysia PO Monthly Bal'!$F$98</f>
        <v>1680.8910000000001</v>
      </c>
      <c r="K5" s="11">
        <f>'[4]Malaysia PO Monthly Bal'!$F$99</f>
        <v>1213.539</v>
      </c>
      <c r="L5" s="11">
        <f>'[4]Malaysia PO Monthly Bal'!$F$100</f>
        <v>947.99400000000003</v>
      </c>
      <c r="M5" s="11">
        <f>'[4]Malaysia PO Monthly Bal'!$F$101</f>
        <v>1155.826</v>
      </c>
      <c r="N5" s="11">
        <f>'[4]Malaysia PO Monthly Bal'!$F$102</f>
        <v>1136.027</v>
      </c>
      <c r="O5" s="11">
        <f>'[4]Malaysia PO Monthly Bal'!$F$103</f>
        <v>1349.52</v>
      </c>
      <c r="P5" s="11">
        <f>'[4]Malaysia PO Monthly Bal'!$F$104</f>
        <v>1168.3240000000001</v>
      </c>
      <c r="Q5" s="11">
        <f>'[4]Malaysia PO Monthly Bal'!$F$211</f>
        <v>1160.5812000000001</v>
      </c>
      <c r="R5" s="29"/>
      <c r="U5" s="11"/>
    </row>
    <row r="6" spans="1:21">
      <c r="A6" s="29" t="s">
        <v>32</v>
      </c>
      <c r="B6" s="11">
        <f>'[4]Malaysia PO Monthly Bal'!$G$90</f>
        <v>1114.5930000000001</v>
      </c>
      <c r="C6" s="11">
        <f>'[4]Malaysia PO Monthly Bal'!$G$91</f>
        <v>1223.511</v>
      </c>
      <c r="D6" s="11">
        <f>'[4]Malaysia PO Monthly Bal'!$G$92</f>
        <v>1398.7270000000001</v>
      </c>
      <c r="E6" s="11">
        <f>'[4]Malaysia PO Monthly Bal'!$G$93</f>
        <v>1351.441</v>
      </c>
      <c r="F6" s="11">
        <f>'[4]Malaysia PO Monthly Bal'!$G$94</f>
        <v>972.64599999999996</v>
      </c>
      <c r="G6" s="11">
        <f>'[4]Malaysia PO Monthly Bal'!$G$95</f>
        <v>1088.864</v>
      </c>
      <c r="H6" s="11">
        <f>'[4]Malaysia PO Monthly Bal'!$G$96</f>
        <v>1107.768</v>
      </c>
      <c r="I6" s="11">
        <f>'[4]Malaysia PO Monthly Bal'!$G$97</f>
        <v>1243.2149999999999</v>
      </c>
      <c r="J6" s="11">
        <f>'[4]Malaysia PO Monthly Bal'!$G$98</f>
        <v>1324.615</v>
      </c>
      <c r="K6" s="11">
        <f>'[4]Malaysia PO Monthly Bal'!$G$99</f>
        <v>1082.4169999999999</v>
      </c>
      <c r="L6" s="11">
        <f>'[4]Malaysia PO Monthly Bal'!$G$100</f>
        <v>900.87099999999998</v>
      </c>
      <c r="M6" s="11">
        <f>'[4]Malaysia PO Monthly Bal'!$G$101</f>
        <v>1111.826</v>
      </c>
      <c r="N6" s="11">
        <f>'[4]Malaysia PO Monthly Bal'!$G$102</f>
        <v>1126.127</v>
      </c>
      <c r="O6" s="11">
        <f>'[4]Malaysia PO Monthly Bal'!$G$103</f>
        <v>1024.5260000000001</v>
      </c>
      <c r="P6" s="11">
        <f>'[4]Malaysia PO Monthly Bal'!$G$104</f>
        <v>1110.9224042151004</v>
      </c>
      <c r="Q6" s="11">
        <f>'[4]Malaysia PO Monthly Bal'!$G$211</f>
        <v>1049.1533999999999</v>
      </c>
      <c r="R6" s="29"/>
      <c r="U6" s="11"/>
    </row>
    <row r="7" spans="1:21">
      <c r="A7" s="29" t="s">
        <v>33</v>
      </c>
      <c r="B7" s="11">
        <f>'[4]Malaysia PO Monthly Bal'!$H$90</f>
        <v>1235.261</v>
      </c>
      <c r="C7" s="11">
        <f>'[4]Malaysia PO Monthly Bal'!$H$91</f>
        <v>1329.5360000000001</v>
      </c>
      <c r="D7" s="11">
        <f>'[4]Malaysia PO Monthly Bal'!$H$92</f>
        <v>1536.8130000000001</v>
      </c>
      <c r="E7" s="11">
        <f>'[4]Malaysia PO Monthly Bal'!$H$93</f>
        <v>1245.7660000000001</v>
      </c>
      <c r="F7" s="11">
        <f>'[4]Malaysia PO Monthly Bal'!$H$94</f>
        <v>1182.2090000000001</v>
      </c>
      <c r="G7" s="11">
        <f>'[4]Malaysia PO Monthly Bal'!$H$95</f>
        <v>1335.934</v>
      </c>
      <c r="H7" s="11">
        <f>'[4]Malaysia PO Monthly Bal'!$H$96</f>
        <v>1265.8</v>
      </c>
      <c r="I7" s="11">
        <f>'[4]Malaysia PO Monthly Bal'!$H$97</f>
        <v>1565.7460000000001</v>
      </c>
      <c r="J7" s="11">
        <f>'[4]Malaysia PO Monthly Bal'!$H$98</f>
        <v>1620.752</v>
      </c>
      <c r="K7" s="11">
        <f>'[4]Malaysia PO Monthly Bal'!$H$99</f>
        <v>1184.702</v>
      </c>
      <c r="L7" s="11">
        <f>'[4]Malaysia PO Monthly Bal'!$H$100</f>
        <v>1190.9749999999999</v>
      </c>
      <c r="M7" s="11">
        <f>'[4]Malaysia PO Monthly Bal'!$H$101</f>
        <v>1281.461</v>
      </c>
      <c r="N7" s="11">
        <f>'[4]Malaysia PO Monthly Bal'!$H$102</f>
        <v>1487.836</v>
      </c>
      <c r="O7" s="11">
        <f>'[4]Malaysia PO Monthly Bal'!$H$103</f>
        <v>1327.1120000000001</v>
      </c>
      <c r="P7" s="11">
        <f>'[4]Malaysia PO Monthly Bal'!$H$104</f>
        <v>1355.2816002039385</v>
      </c>
      <c r="Q7" s="11">
        <f>'[4]Malaysia PO Monthly Bal'!$H$211</f>
        <v>1294.4172000000001</v>
      </c>
      <c r="R7" s="29"/>
      <c r="U7" s="11"/>
    </row>
    <row r="8" spans="1:21">
      <c r="A8" s="29" t="s">
        <v>34</v>
      </c>
      <c r="B8" s="11">
        <f>'[4]Malaysia PO Monthly Bal'!$I$90</f>
        <v>1349.739</v>
      </c>
      <c r="C8" s="11">
        <f>'[4]Malaysia PO Monthly Bal'!$I$91</f>
        <v>1333.8140000000001</v>
      </c>
      <c r="D8" s="11">
        <f>'[4]Malaysia PO Monthly Bal'!$I$92</f>
        <v>1455.7550000000001</v>
      </c>
      <c r="E8" s="11">
        <f>'[4]Malaysia PO Monthly Bal'!$I$93</f>
        <v>1268.6479999999999</v>
      </c>
      <c r="F8" s="11">
        <f>'[4]Malaysia PO Monthly Bal'!$I$94</f>
        <v>1177.8219999999999</v>
      </c>
      <c r="G8" s="11">
        <f>'[4]Malaysia PO Monthly Bal'!$I$95</f>
        <v>1172.915</v>
      </c>
      <c r="H8" s="11">
        <f>'[4]Malaysia PO Monthly Bal'!$I$96</f>
        <v>1284.1199999999999</v>
      </c>
      <c r="I8" s="11">
        <f>'[4]Malaysia PO Monthly Bal'!$I$97</f>
        <v>1530.1389999999999</v>
      </c>
      <c r="J8" s="11">
        <f>'[4]Malaysia PO Monthly Bal'!$I$98</f>
        <v>1654.499</v>
      </c>
      <c r="K8" s="11">
        <f>'[4]Malaysia PO Monthly Bal'!$I$99</f>
        <v>1236.4780000000001</v>
      </c>
      <c r="L8" s="11">
        <f>'[4]Malaysia PO Monthly Bal'!$I$100</f>
        <v>1347.5519999999999</v>
      </c>
      <c r="M8" s="11">
        <f>'[4]Malaysia PO Monthly Bal'!$I$101</f>
        <v>1068.2380000000001</v>
      </c>
      <c r="N8" s="11">
        <f>'[4]Malaysia PO Monthly Bal'!$I$102</f>
        <v>1087.5409999999999</v>
      </c>
      <c r="O8" s="11">
        <f>'[4]Malaysia PO Monthly Bal'!$I$103</f>
        <v>1234.5239999999999</v>
      </c>
      <c r="P8" s="11">
        <f>'[4]Malaysia PO Monthly Bal'!$I$104</f>
        <v>1280.8807182609592</v>
      </c>
      <c r="Q8" s="11">
        <f>'[4]Malaysia PO Monthly Bal'!$I$211</f>
        <v>1194.8666000000001</v>
      </c>
      <c r="R8" s="29"/>
      <c r="U8" s="11"/>
    </row>
    <row r="9" spans="1:21">
      <c r="A9" s="29" t="s">
        <v>35</v>
      </c>
      <c r="B9" s="11">
        <f>'[4]Malaysia PO Monthly Bal'!$J$90</f>
        <v>1411.3140000000001</v>
      </c>
      <c r="C9" s="11">
        <f>'[4]Malaysia PO Monthly Bal'!$J$91</f>
        <v>1412.413</v>
      </c>
      <c r="D9" s="11">
        <f>'[4]Malaysia PO Monthly Bal'!$J$92</f>
        <v>1407.8689999999999</v>
      </c>
      <c r="E9" s="11">
        <f>'[4]Malaysia PO Monthly Bal'!$J$93</f>
        <v>1406.9580000000001</v>
      </c>
      <c r="F9" s="11">
        <f>'[4]Malaysia PO Monthly Bal'!$J$94</f>
        <v>1625.5920000000001</v>
      </c>
      <c r="G9" s="11">
        <f>'[4]Malaysia PO Monthly Bal'!$J$95</f>
        <v>1282.453</v>
      </c>
      <c r="H9" s="11">
        <f>'[4]Malaysia PO Monthly Bal'!$J$96</f>
        <v>1506.145</v>
      </c>
      <c r="I9" s="11">
        <f>'[4]Malaysia PO Monthly Bal'!$J$97</f>
        <v>1291.5170000000001</v>
      </c>
      <c r="J9" s="11">
        <f>'[4]Malaysia PO Monthly Bal'!$J$98</f>
        <v>1715.7190000000001</v>
      </c>
      <c r="K9" s="11">
        <f>'[4]Malaysia PO Monthly Bal'!$J$99</f>
        <v>1369.3510000000001</v>
      </c>
      <c r="L9" s="11">
        <f>'[4]Malaysia PO Monthly Bal'!$J$100</f>
        <v>1268.662</v>
      </c>
      <c r="M9" s="11">
        <f>'[4]Malaysia PO Monthly Bal'!$J$101</f>
        <v>1369.7139999999999</v>
      </c>
      <c r="N9" s="11">
        <f>'[4]Malaysia PO Monthly Bal'!$J$102</f>
        <v>1079.2349999999999</v>
      </c>
      <c r="O9" s="11">
        <f>'[4]Malaysia PO Monthly Bal'!$J$103</f>
        <v>1382.4290000000001</v>
      </c>
      <c r="P9" s="11">
        <f>'[4]Malaysia PO Monthly Bal'!$J$104</f>
        <v>1362.6842694127622</v>
      </c>
      <c r="Q9" s="11">
        <f>'[4]Malaysia PO Monthly Bal'!$J$211</f>
        <v>1293.8781999999999</v>
      </c>
      <c r="R9" s="29"/>
      <c r="U9" s="11"/>
    </row>
    <row r="10" spans="1:21">
      <c r="A10" s="29" t="s">
        <v>36</v>
      </c>
      <c r="B10" s="11">
        <f>'[4]Malaysia PO Monthly Bal'!$K$90</f>
        <v>1585.039</v>
      </c>
      <c r="C10" s="11">
        <f>'[4]Malaysia PO Monthly Bal'!$K$91</f>
        <v>1547.2049999999999</v>
      </c>
      <c r="D10" s="11">
        <f>'[4]Malaysia PO Monthly Bal'!$K$92</f>
        <v>1410.9359999999999</v>
      </c>
      <c r="E10" s="11">
        <f>'[4]Malaysia PO Monthly Bal'!$K$93</f>
        <v>1481.779</v>
      </c>
      <c r="F10" s="11">
        <f>'[4]Malaysia PO Monthly Bal'!$K$94</f>
        <v>1697.1690000000001</v>
      </c>
      <c r="G10" s="11">
        <f>'[4]Malaysia PO Monthly Bal'!$K$95</f>
        <v>1141.8230000000001</v>
      </c>
      <c r="H10" s="11">
        <f>'[4]Malaysia PO Monthly Bal'!$K$96</f>
        <v>1379.8879999999999</v>
      </c>
      <c r="I10" s="11">
        <f>'[4]Malaysia PO Monthly Bal'!$K$97</f>
        <v>1129.5150000000001</v>
      </c>
      <c r="J10" s="11">
        <f>'[4]Malaysia PO Monthly Bal'!$K$98</f>
        <v>1397.14</v>
      </c>
      <c r="K10" s="11">
        <f>'[4]Malaysia PO Monthly Bal'!$K$99</f>
        <v>1706.597</v>
      </c>
      <c r="L10" s="11">
        <f>'[4]Malaysia PO Monthly Bal'!$K$100</f>
        <v>1419.0039999999999</v>
      </c>
      <c r="M10" s="11">
        <f>'[4]Malaysia PO Monthly Bal'!$K$101</f>
        <v>1193.9169999999999</v>
      </c>
      <c r="N10" s="11">
        <f>'[4]Malaysia PO Monthly Bal'!$K$102</f>
        <v>1171.739</v>
      </c>
      <c r="O10" s="11">
        <f>'[4]Malaysia PO Monthly Bal'!$K$103</f>
        <v>1207.414</v>
      </c>
      <c r="P10" s="11">
        <f>'[4]Malaysia PO Monthly Bal'!$K$104</f>
        <v>1379.8545357881785</v>
      </c>
      <c r="Q10" s="11">
        <f>'[4]Malaysia PO Monthly Bal'!$K$211</f>
        <v>1339.7341999999999</v>
      </c>
      <c r="R10" s="29"/>
      <c r="U10" s="11"/>
    </row>
    <row r="11" spans="1:21">
      <c r="A11" s="29" t="s">
        <v>37</v>
      </c>
      <c r="B11" s="11">
        <f>'[4]Malaysia PO Monthly Bal'!$L$90</f>
        <v>1735.8910000000001</v>
      </c>
      <c r="C11" s="11">
        <f>'[4]Malaysia PO Monthly Bal'!$L$91</f>
        <v>1291.5809999999999</v>
      </c>
      <c r="D11" s="11">
        <f>'[4]Malaysia PO Monthly Bal'!$L$92</f>
        <v>1453.4469999999999</v>
      </c>
      <c r="E11" s="11">
        <f>'[4]Malaysia PO Monthly Bal'!$L$93</f>
        <v>1446.06</v>
      </c>
      <c r="F11" s="11">
        <f>'[4]Malaysia PO Monthly Bal'!$L$94</f>
        <v>1609.902</v>
      </c>
      <c r="G11" s="11">
        <f>'[4]Malaysia PO Monthly Bal'!$L$95</f>
        <v>1384.72</v>
      </c>
      <c r="H11" s="11">
        <f>'[4]Malaysia PO Monthly Bal'!$L$96</f>
        <v>1399.107</v>
      </c>
      <c r="I11" s="11">
        <f>'[4]Malaysia PO Monthly Bal'!$L$97</f>
        <v>1196.653</v>
      </c>
      <c r="J11" s="11">
        <f>'[4]Malaysia PO Monthly Bal'!$L$98</f>
        <v>1486.4849999999999</v>
      </c>
      <c r="K11" s="11">
        <f>'[4]Malaysia PO Monthly Bal'!$L$99</f>
        <v>1783.2840000000001</v>
      </c>
      <c r="L11" s="11">
        <f>'[4]Malaysia PO Monthly Bal'!$L$100</f>
        <v>1408.3209999999999</v>
      </c>
      <c r="M11" s="11">
        <f>'[4]Malaysia PO Monthly Bal'!$L$101</f>
        <v>1325.3420000000001</v>
      </c>
      <c r="N11" s="11">
        <f>'[4]Malaysia PO Monthly Bal'!$L$102</f>
        <v>1354.336</v>
      </c>
      <c r="O11" s="11">
        <f>'[4]Malaysia PO Monthly Bal'!$L$103</f>
        <v>1689.71</v>
      </c>
      <c r="P11" s="11">
        <f>'[4]Malaysia PO Monthly Bal'!$L$104</f>
        <v>1473.8769481603799</v>
      </c>
      <c r="Q11" s="11">
        <f>'[4]Malaysia PO Monthly Bal'!$L$211</f>
        <v>1512.1986000000002</v>
      </c>
      <c r="R11" s="29"/>
      <c r="U11" s="11"/>
    </row>
    <row r="12" spans="1:21">
      <c r="A12" s="29" t="s">
        <v>38</v>
      </c>
      <c r="B12" s="11">
        <f>'[4]Malaysia PO Monthly Bal'!$M$90</f>
        <v>1693.11</v>
      </c>
      <c r="C12" s="11">
        <f>'[4]Malaysia PO Monthly Bal'!$M$91</f>
        <v>1443.309</v>
      </c>
      <c r="D12" s="11">
        <f>'[4]Malaysia PO Monthly Bal'!$M$92</f>
        <v>1526.145</v>
      </c>
      <c r="E12" s="11">
        <f>'[4]Malaysia PO Monthly Bal'!$M$93</f>
        <v>1437.546</v>
      </c>
      <c r="F12" s="11">
        <f>'[4]Malaysia PO Monthly Bal'!$M$94</f>
        <v>1608.232</v>
      </c>
      <c r="G12" s="11">
        <f>'[4]Malaysia PO Monthly Bal'!$M$95</f>
        <v>1823.6120000000001</v>
      </c>
      <c r="H12" s="11">
        <f>'[4]Malaysia PO Monthly Bal'!$M$96</f>
        <v>1488.211</v>
      </c>
      <c r="I12" s="11">
        <f>'[4]Malaysia PO Monthly Bal'!$M$97</f>
        <v>1099.7760000000001</v>
      </c>
      <c r="J12" s="11">
        <f>'[4]Malaysia PO Monthly Bal'!$M$98</f>
        <v>1736.3</v>
      </c>
      <c r="K12" s="11">
        <f>'[4]Malaysia PO Monthly Bal'!$M$99</f>
        <v>1578.0340000000001</v>
      </c>
      <c r="L12" s="11">
        <f>'[4]Malaysia PO Monthly Bal'!$M$100</f>
        <v>1167.425</v>
      </c>
      <c r="M12" s="11">
        <f>'[4]Malaysia PO Monthly Bal'!$M$101</f>
        <v>1299.93</v>
      </c>
      <c r="N12" s="11">
        <f>'[4]Malaysia PO Monthly Bal'!$M$102</f>
        <v>1221.848</v>
      </c>
      <c r="O12" s="11">
        <f>'[4]Malaysia PO Monthly Bal'!$M$103</f>
        <v>1525.115</v>
      </c>
      <c r="P12" s="11">
        <f>'[4]Malaysia PO Monthly Bal'!$M$104</f>
        <v>1402.9188933231251</v>
      </c>
      <c r="Q12" s="11">
        <f>'[4]Malaysia PO Monthly Bal'!$M$211</f>
        <v>1358.4703999999999</v>
      </c>
      <c r="R12" s="29"/>
      <c r="U12" s="11"/>
    </row>
    <row r="13" spans="1:21">
      <c r="A13" s="29" t="s">
        <v>39</v>
      </c>
      <c r="B13" s="11">
        <f>'[4]Malaysia PO Monthly Bal'!$N$90</f>
        <v>1546.1959999999999</v>
      </c>
      <c r="C13" s="11">
        <f>'[4]Malaysia PO Monthly Bal'!$N$91</f>
        <v>1513.8440000000001</v>
      </c>
      <c r="D13" s="11">
        <f>'[4]Malaysia PO Monthly Bal'!$N$92</f>
        <v>1609.2059999999999</v>
      </c>
      <c r="E13" s="11">
        <f>'[4]Malaysia PO Monthly Bal'!$N$93</f>
        <v>1628.1959999999999</v>
      </c>
      <c r="F13" s="11">
        <f>'[4]Malaysia PO Monthly Bal'!$N$94</f>
        <v>1680.6489999999999</v>
      </c>
      <c r="G13" s="11">
        <f>'[4]Malaysia PO Monthly Bal'!$N$95</f>
        <v>1451.144</v>
      </c>
      <c r="H13" s="11">
        <f>'[4]Malaysia PO Monthly Bal'!$N$96</f>
        <v>1519.2840000000001</v>
      </c>
      <c r="I13" s="11">
        <f>'[4]Malaysia PO Monthly Bal'!$N$97</f>
        <v>1619.317</v>
      </c>
      <c r="J13" s="11">
        <f>'[4]Malaysia PO Monthly Bal'!$N$98</f>
        <v>1409.0889999999999</v>
      </c>
      <c r="K13" s="11">
        <f>'[4]Malaysia PO Monthly Bal'!$N$99</f>
        <v>1612.155</v>
      </c>
      <c r="L13" s="11">
        <f>'[4]Malaysia PO Monthly Bal'!$N$100</f>
        <v>1611.8</v>
      </c>
      <c r="M13" s="11">
        <f>'[4]Malaysia PO Monthly Bal'!$N$101</f>
        <v>1426.1959999999999</v>
      </c>
      <c r="N13" s="11">
        <f>'[4]Malaysia PO Monthly Bal'!$N$102</f>
        <v>1211.2940000000001</v>
      </c>
      <c r="O13" s="11">
        <f>'[4]Malaysia PO Monthly Bal'!$N$103</f>
        <v>1559.846</v>
      </c>
      <c r="P13" s="11">
        <f>'[4]Malaysia PO Monthly Bal'!$N$104</f>
        <v>1403.660630635557</v>
      </c>
      <c r="Q13" s="11">
        <f>'[4]Malaysia PO Monthly Bal'!$N$211</f>
        <v>1484.2581999999998</v>
      </c>
      <c r="R13" s="29"/>
      <c r="U13" s="11"/>
    </row>
    <row r="14" spans="1:21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U14" s="11"/>
    </row>
    <row r="15" spans="1:21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U15" s="11"/>
    </row>
    <row r="16" spans="1:21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U16" s="11"/>
    </row>
    <row r="17" spans="2:21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U17" s="11"/>
    </row>
    <row r="18" spans="2:21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U18" s="11"/>
    </row>
    <row r="19" spans="2:21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U19" s="11"/>
    </row>
    <row r="20" spans="2:21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U20" s="11"/>
    </row>
    <row r="21" spans="2:21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U21" s="11"/>
    </row>
    <row r="22" spans="2:21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U22" s="11"/>
    </row>
    <row r="23" spans="2:21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U23" s="11"/>
    </row>
    <row r="24" spans="2:21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U24" s="11"/>
    </row>
    <row r="25" spans="2:21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U25" s="11"/>
    </row>
    <row r="26" spans="2:21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U26" s="11"/>
    </row>
    <row r="27" spans="2:21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U27" s="11"/>
    </row>
    <row r="28" spans="2:21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U28" s="11"/>
    </row>
    <row r="29" spans="2:21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U29" s="11"/>
    </row>
    <row r="30" spans="2:21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U30" s="11"/>
    </row>
    <row r="31" spans="2:21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U31" s="11"/>
    </row>
    <row r="32" spans="2:21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U32" s="11"/>
    </row>
    <row r="33" spans="2:21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U33" s="11"/>
    </row>
    <row r="34" spans="2:21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U34" s="11"/>
    </row>
    <row r="35" spans="2:21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U35" s="11"/>
    </row>
    <row r="36" spans="2:2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U36" s="11"/>
    </row>
    <row r="37" spans="2:21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U37" s="11"/>
    </row>
    <row r="38" spans="2:21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U38" s="11"/>
    </row>
    <row r="39" spans="2:21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U39" s="11"/>
    </row>
    <row r="40" spans="2:21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U40" s="11"/>
    </row>
    <row r="41" spans="2:21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U41" s="11"/>
    </row>
    <row r="42" spans="2:21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U42" s="11"/>
    </row>
    <row r="43" spans="2:21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U43" s="11"/>
    </row>
    <row r="44" spans="2:21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U44" s="11"/>
    </row>
    <row r="45" spans="2:21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U45" s="11"/>
    </row>
    <row r="46" spans="2:21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U46" s="11"/>
    </row>
    <row r="47" spans="2:21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U47" s="11"/>
    </row>
    <row r="48" spans="2:21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U48" s="11"/>
    </row>
    <row r="49" spans="2:21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U49" s="11"/>
    </row>
    <row r="50" spans="2:21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U50" s="11"/>
    </row>
    <row r="51" spans="2:21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U51" s="11"/>
    </row>
    <row r="52" spans="2:21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U52" s="11"/>
    </row>
    <row r="53" spans="2:21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U53" s="11"/>
    </row>
    <row r="54" spans="2:2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U54" s="11"/>
    </row>
    <row r="55" spans="2:21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U55" s="11"/>
    </row>
    <row r="56" spans="2:21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U56" s="11"/>
    </row>
    <row r="57" spans="2:2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U57" s="11"/>
    </row>
    <row r="58" spans="2:21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U58" s="11"/>
    </row>
    <row r="59" spans="2:21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U59" s="11"/>
    </row>
    <row r="60" spans="2:21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U60" s="11"/>
    </row>
    <row r="61" spans="2:21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U61" s="11"/>
    </row>
    <row r="62" spans="2:21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U62" s="11"/>
    </row>
    <row r="63" spans="2:2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U63" s="11"/>
    </row>
    <row r="64" spans="2:2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U64" s="11"/>
    </row>
    <row r="65" spans="2:2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U65" s="11"/>
    </row>
    <row r="66" spans="2:2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U66" s="11"/>
    </row>
    <row r="67" spans="2:2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U67" s="11"/>
    </row>
    <row r="68" spans="2:2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U68" s="11"/>
    </row>
    <row r="69" spans="2:2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U69" s="11"/>
    </row>
    <row r="70" spans="2:2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U70" s="11"/>
    </row>
    <row r="71" spans="2:2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U71" s="11"/>
    </row>
    <row r="72" spans="2:2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U72" s="11"/>
    </row>
    <row r="73" spans="2:21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U73" s="11"/>
    </row>
    <row r="74" spans="2:21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U74" s="11"/>
    </row>
    <row r="75" spans="2:21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U75" s="11"/>
    </row>
    <row r="76" spans="2:21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U76" s="11"/>
    </row>
    <row r="77" spans="2:21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U77" s="11"/>
    </row>
    <row r="78" spans="2:21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U78" s="11"/>
    </row>
    <row r="79" spans="2:21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U79" s="11"/>
    </row>
    <row r="80" spans="2:21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U80" s="11"/>
    </row>
    <row r="81" spans="2:21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U81" s="11"/>
    </row>
    <row r="82" spans="2:21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U82" s="11"/>
    </row>
    <row r="83" spans="2:21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U83" s="11"/>
    </row>
    <row r="84" spans="2:21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U84" s="11"/>
    </row>
    <row r="85" spans="2:21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U85" s="11"/>
    </row>
    <row r="86" spans="2:21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U86" s="11"/>
    </row>
    <row r="87" spans="2:21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U87" s="11"/>
    </row>
    <row r="88" spans="2:21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U88" s="11"/>
    </row>
    <row r="89" spans="2:21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U89" s="11"/>
    </row>
    <row r="90" spans="2:21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U90" s="11"/>
    </row>
    <row r="91" spans="2:21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U91" s="11"/>
    </row>
    <row r="92" spans="2:21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U92" s="11"/>
    </row>
    <row r="93" spans="2:21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U93" s="11"/>
    </row>
    <row r="94" spans="2:21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U94" s="11"/>
    </row>
    <row r="95" spans="2:21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U95" s="11"/>
    </row>
    <row r="96" spans="2:21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U96" s="11"/>
    </row>
    <row r="97" spans="2:21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U97" s="11"/>
    </row>
    <row r="98" spans="2:21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T98" s="11"/>
      <c r="U98" s="11"/>
    </row>
    <row r="99" spans="2:21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T99" s="11"/>
      <c r="U99" s="11"/>
    </row>
    <row r="100" spans="2:21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T100" s="11"/>
      <c r="U100" s="11"/>
    </row>
    <row r="101" spans="2:21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T101" s="11"/>
      <c r="U101" s="11"/>
    </row>
    <row r="102" spans="2:21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T102" s="11"/>
      <c r="U102" s="11"/>
    </row>
    <row r="103" spans="2:21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T103" s="11"/>
      <c r="U103" s="11"/>
    </row>
    <row r="104" spans="2:21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T104" s="11"/>
      <c r="U104" s="11"/>
    </row>
    <row r="105" spans="2:21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T105" s="11"/>
      <c r="U105" s="11"/>
    </row>
    <row r="106" spans="2:21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T106" s="11"/>
      <c r="U106" s="11"/>
    </row>
    <row r="107" spans="2:21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T107" s="11"/>
      <c r="U107" s="11"/>
    </row>
    <row r="108" spans="2:21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T108" s="11"/>
      <c r="U108" s="11"/>
    </row>
    <row r="109" spans="2:21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T109" s="11"/>
      <c r="U109" s="11"/>
    </row>
    <row r="110" spans="2:21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T110" s="11"/>
      <c r="U110" s="11"/>
    </row>
    <row r="111" spans="2:21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T111" s="11"/>
      <c r="U111" s="11"/>
    </row>
    <row r="112" spans="2:21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T112" s="11"/>
      <c r="U112" s="11"/>
    </row>
    <row r="113" spans="2:24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T113" s="11"/>
      <c r="U113" s="11"/>
    </row>
    <row r="114" spans="2:24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T114" s="11"/>
      <c r="U114" s="11"/>
    </row>
    <row r="115" spans="2:24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T115" s="11"/>
      <c r="U115" s="11"/>
    </row>
    <row r="116" spans="2:24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T116" s="11"/>
      <c r="U116" s="11"/>
    </row>
    <row r="117" spans="2:24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T117" s="11"/>
      <c r="U117" s="11"/>
    </row>
    <row r="118" spans="2:24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T118" s="11"/>
      <c r="U118" s="11"/>
      <c r="W118" s="11"/>
      <c r="X118" s="11"/>
    </row>
    <row r="119" spans="2:24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T119" s="11"/>
      <c r="U119" s="11"/>
      <c r="W119" s="11"/>
      <c r="X119" s="11"/>
    </row>
    <row r="120" spans="2:24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T120" s="11"/>
      <c r="U120" s="11"/>
      <c r="W120" s="11"/>
      <c r="X120" s="11"/>
    </row>
    <row r="121" spans="2:24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T121" s="11"/>
      <c r="U121" s="11"/>
      <c r="W121" s="11"/>
      <c r="X121" s="11"/>
    </row>
    <row r="122" spans="2:24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T122" s="11"/>
      <c r="U122" s="11"/>
      <c r="W122" s="11"/>
      <c r="X122" s="11"/>
    </row>
    <row r="123" spans="2:24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T123" s="11"/>
      <c r="U123" s="11"/>
      <c r="W123" s="11"/>
      <c r="X123" s="11"/>
    </row>
    <row r="124" spans="2:24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T124" s="11"/>
      <c r="U124" s="11"/>
      <c r="W124" s="11"/>
      <c r="X124" s="11"/>
    </row>
    <row r="125" spans="2:24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T125" s="11"/>
      <c r="U125" s="11"/>
      <c r="W125" s="11"/>
      <c r="X125" s="11"/>
    </row>
    <row r="126" spans="2:24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T126" s="11"/>
      <c r="U126" s="11"/>
      <c r="W126" s="11"/>
      <c r="X126" s="11"/>
    </row>
    <row r="127" spans="2:24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T127" s="11"/>
      <c r="U127" s="11"/>
      <c r="W127" s="11"/>
      <c r="X127" s="11"/>
    </row>
    <row r="128" spans="2:24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T128" s="11"/>
      <c r="U128" s="11"/>
      <c r="W128" s="11"/>
      <c r="X128" s="11"/>
    </row>
    <row r="129" spans="2:24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T129" s="11"/>
      <c r="U129" s="11"/>
      <c r="W129" s="11"/>
      <c r="X129" s="11"/>
    </row>
    <row r="130" spans="2:24"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T130" s="11"/>
      <c r="U130" s="11"/>
      <c r="W130" s="11"/>
      <c r="X130" s="11"/>
    </row>
    <row r="131" spans="2:24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T131" s="11"/>
      <c r="U131" s="11"/>
      <c r="W131" s="11"/>
      <c r="X131" s="11"/>
    </row>
    <row r="132" spans="2:24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T132" s="11"/>
      <c r="U132" s="11"/>
      <c r="W132" s="11"/>
      <c r="X132" s="11"/>
    </row>
    <row r="133" spans="2:24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T133" s="11"/>
      <c r="U133" s="11"/>
      <c r="W133" s="11"/>
      <c r="X1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Soybean Oil Futures</vt:lpstr>
      <vt:lpstr>Canola Oil LA</vt:lpstr>
      <vt:lpstr>Palm Oil Futures</vt:lpstr>
      <vt:lpstr>USDA SBO Comp</vt:lpstr>
      <vt:lpstr>CO Comp Table</vt:lpstr>
      <vt:lpstr>Canada Canola Comp Table</vt:lpstr>
      <vt:lpstr>Canada CO Comp Table</vt:lpstr>
      <vt:lpstr>Malaysia PO Comp Table</vt:lpstr>
      <vt:lpstr>SBO Biofuel Use</vt:lpstr>
      <vt:lpstr>SBO Non-Biofuel Use</vt:lpstr>
      <vt:lpstr>SBO Usage in Biodiesel</vt:lpstr>
      <vt:lpstr>SBO Usage in RD</vt:lpstr>
      <vt:lpstr>SBO Daily Use</vt:lpstr>
      <vt:lpstr>SBO Days of Usage</vt:lpstr>
      <vt:lpstr>NOPA SBO Stocks</vt:lpstr>
      <vt:lpstr>NASS SBO Stocks</vt:lpstr>
      <vt:lpstr>EIA Canola Oil Use</vt:lpstr>
      <vt:lpstr>Malaysia PO Production</vt:lpstr>
      <vt:lpstr>Malaysia PO Stocks</vt:lpstr>
      <vt:lpstr>Malaysia PO 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2025-07-17T09:48:54Z</dcterms:created>
  <dcterms:modified xsi:type="dcterms:W3CDTF">2025-07-17T09:49:38Z</dcterms:modified>
</cp:coreProperties>
</file>