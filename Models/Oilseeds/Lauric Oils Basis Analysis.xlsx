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5593EBB8-F232-42ED-9730-7BBE090B320D}" xr6:coauthVersionLast="47" xr6:coauthVersionMax="47" xr10:uidLastSave="{00000000-0000-0000-0000-000000000000}"/>
  <bookViews>
    <workbookView xWindow="945" yWindow="345" windowWidth="27240" windowHeight="14550" xr2:uid="{905375E6-6402-480C-B1EF-B691FF68DE5F}"/>
  </bookViews>
  <sheets>
    <sheet name="Coconut Oil Balance Sheet" sheetId="1" r:id="rId1"/>
    <sheet name="Palm Kernel Oil Balance Sheet" sheetId="2" r:id="rId2"/>
    <sheet name="Coconut Oil Price Analysis" sheetId="3" r:id="rId3"/>
    <sheet name="Palm Kernel Oil Price Analysis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5" i="4" l="1"/>
  <c r="C192" i="4"/>
  <c r="C188" i="4"/>
  <c r="C155" i="4"/>
  <c r="C154" i="4"/>
  <c r="E154" i="4" s="1"/>
  <c r="B146" i="4"/>
  <c r="B145" i="4"/>
  <c r="F145" i="4" s="1"/>
  <c r="B144" i="4"/>
  <c r="B143" i="4"/>
  <c r="B142" i="4"/>
  <c r="B141" i="4"/>
  <c r="B140" i="4"/>
  <c r="F140" i="4" s="1"/>
  <c r="F139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F127" i="4"/>
  <c r="B127" i="4"/>
  <c r="B126" i="4"/>
  <c r="F125" i="4"/>
  <c r="B125" i="4"/>
  <c r="B124" i="4"/>
  <c r="C123" i="4"/>
  <c r="B123" i="4"/>
  <c r="F123" i="4" s="1"/>
  <c r="F122" i="4"/>
  <c r="B122" i="4"/>
  <c r="B121" i="4"/>
  <c r="B120" i="4"/>
  <c r="B119" i="4"/>
  <c r="B118" i="4"/>
  <c r="B117" i="4"/>
  <c r="B116" i="4"/>
  <c r="F115" i="4"/>
  <c r="B115" i="4"/>
  <c r="B114" i="4"/>
  <c r="B113" i="4"/>
  <c r="F112" i="4"/>
  <c r="C112" i="4"/>
  <c r="B112" i="4"/>
  <c r="B111" i="4"/>
  <c r="B110" i="4"/>
  <c r="F109" i="4"/>
  <c r="B109" i="4"/>
  <c r="B108" i="4"/>
  <c r="B107" i="4"/>
  <c r="B106" i="4"/>
  <c r="C105" i="4"/>
  <c r="B105" i="4"/>
  <c r="F105" i="4" s="1"/>
  <c r="B104" i="4"/>
  <c r="B103" i="4"/>
  <c r="B102" i="4"/>
  <c r="B101" i="4"/>
  <c r="B100" i="4"/>
  <c r="F100" i="4" s="1"/>
  <c r="B99" i="4"/>
  <c r="C98" i="4"/>
  <c r="B98" i="4"/>
  <c r="B97" i="4"/>
  <c r="B96" i="4"/>
  <c r="B95" i="4"/>
  <c r="B94" i="4"/>
  <c r="B93" i="4"/>
  <c r="C92" i="4"/>
  <c r="B92" i="4"/>
  <c r="F91" i="4"/>
  <c r="B91" i="4"/>
  <c r="B90" i="4"/>
  <c r="B89" i="4"/>
  <c r="F88" i="4"/>
  <c r="C88" i="4"/>
  <c r="B88" i="4"/>
  <c r="F87" i="4"/>
  <c r="B87" i="4"/>
  <c r="F86" i="4"/>
  <c r="B86" i="4"/>
  <c r="B85" i="4"/>
  <c r="B84" i="4"/>
  <c r="B83" i="4"/>
  <c r="F83" i="4" s="1"/>
  <c r="B82" i="4"/>
  <c r="F81" i="4"/>
  <c r="B81" i="4"/>
  <c r="B80" i="4"/>
  <c r="B79" i="4"/>
  <c r="B78" i="4"/>
  <c r="F77" i="4"/>
  <c r="D77" i="4"/>
  <c r="E77" i="4" s="1"/>
  <c r="B77" i="4"/>
  <c r="B76" i="4"/>
  <c r="B75" i="4"/>
  <c r="B74" i="4"/>
  <c r="B73" i="4"/>
  <c r="B72" i="4"/>
  <c r="B71" i="4"/>
  <c r="F71" i="4" s="1"/>
  <c r="B70" i="4"/>
  <c r="B69" i="4"/>
  <c r="F69" i="4" s="1"/>
  <c r="B68" i="4"/>
  <c r="B67" i="4"/>
  <c r="B66" i="4"/>
  <c r="B65" i="4"/>
  <c r="C64" i="4"/>
  <c r="B64" i="4"/>
  <c r="B63" i="4"/>
  <c r="F63" i="4" s="1"/>
  <c r="D62" i="4"/>
  <c r="C62" i="4"/>
  <c r="B62" i="4"/>
  <c r="B61" i="4"/>
  <c r="B60" i="4"/>
  <c r="F59" i="4"/>
  <c r="B59" i="4"/>
  <c r="B58" i="4"/>
  <c r="B57" i="4"/>
  <c r="B56" i="4"/>
  <c r="B55" i="4"/>
  <c r="B54" i="4"/>
  <c r="B53" i="4"/>
  <c r="C52" i="4"/>
  <c r="B52" i="4"/>
  <c r="F52" i="4" s="1"/>
  <c r="F51" i="4"/>
  <c r="B51" i="4"/>
  <c r="B50" i="4"/>
  <c r="B49" i="4"/>
  <c r="B48" i="4"/>
  <c r="B47" i="4"/>
  <c r="F46" i="4"/>
  <c r="B46" i="4"/>
  <c r="B45" i="4"/>
  <c r="F44" i="4"/>
  <c r="B44" i="4"/>
  <c r="B43" i="4"/>
  <c r="B42" i="4"/>
  <c r="B41" i="4"/>
  <c r="B40" i="4"/>
  <c r="B39" i="4"/>
  <c r="B38" i="4"/>
  <c r="B37" i="4"/>
  <c r="B36" i="4"/>
  <c r="B35" i="4"/>
  <c r="F35" i="4" s="1"/>
  <c r="B34" i="4"/>
  <c r="F33" i="4"/>
  <c r="B33" i="4"/>
  <c r="B32" i="4"/>
  <c r="B31" i="4"/>
  <c r="B30" i="4"/>
  <c r="C29" i="4"/>
  <c r="B29" i="4"/>
  <c r="F29" i="4" s="1"/>
  <c r="B28" i="4"/>
  <c r="B27" i="4"/>
  <c r="F27" i="4" s="1"/>
  <c r="B26" i="4"/>
  <c r="B25" i="4"/>
  <c r="B24" i="4"/>
  <c r="B23" i="4"/>
  <c r="B22" i="4"/>
  <c r="F22" i="4" s="1"/>
  <c r="F21" i="4"/>
  <c r="B21" i="4"/>
  <c r="B20" i="4"/>
  <c r="B19" i="4"/>
  <c r="C18" i="4"/>
  <c r="B18" i="4"/>
  <c r="F17" i="4"/>
  <c r="B17" i="4"/>
  <c r="B16" i="4"/>
  <c r="B15" i="4"/>
  <c r="B14" i="4"/>
  <c r="B13" i="4"/>
  <c r="B12" i="4"/>
  <c r="B11" i="4"/>
  <c r="F11" i="4" s="1"/>
  <c r="B10" i="4"/>
  <c r="B9" i="4"/>
  <c r="B8" i="4"/>
  <c r="B7" i="4"/>
  <c r="B6" i="4"/>
  <c r="B5" i="4"/>
  <c r="F5" i="4" s="1"/>
  <c r="C4" i="4"/>
  <c r="B4" i="4"/>
  <c r="F3" i="4"/>
  <c r="B3" i="4"/>
  <c r="C220" i="3"/>
  <c r="D211" i="3"/>
  <c r="C205" i="3"/>
  <c r="B177" i="3"/>
  <c r="B176" i="3"/>
  <c r="B175" i="3"/>
  <c r="F144" i="4" s="1"/>
  <c r="B174" i="3"/>
  <c r="B173" i="3"/>
  <c r="B172" i="3"/>
  <c r="B171" i="3"/>
  <c r="B170" i="3"/>
  <c r="B169" i="3"/>
  <c r="F138" i="4" s="1"/>
  <c r="B168" i="3"/>
  <c r="B167" i="3"/>
  <c r="F136" i="4" s="1"/>
  <c r="B166" i="3"/>
  <c r="B165" i="3"/>
  <c r="B164" i="3"/>
  <c r="F133" i="4" s="1"/>
  <c r="B163" i="3"/>
  <c r="B162" i="3"/>
  <c r="B161" i="3"/>
  <c r="F130" i="4" s="1"/>
  <c r="B160" i="3"/>
  <c r="B159" i="3"/>
  <c r="B158" i="3"/>
  <c r="B157" i="3"/>
  <c r="F126" i="4" s="1"/>
  <c r="B156" i="3"/>
  <c r="B155" i="3"/>
  <c r="B154" i="3"/>
  <c r="B153" i="3"/>
  <c r="B152" i="3"/>
  <c r="B151" i="3"/>
  <c r="B150" i="3"/>
  <c r="B149" i="3"/>
  <c r="B148" i="3"/>
  <c r="B147" i="3"/>
  <c r="B146" i="3"/>
  <c r="B145" i="3"/>
  <c r="F114" i="4" s="1"/>
  <c r="B144" i="3"/>
  <c r="B143" i="3"/>
  <c r="B142" i="3"/>
  <c r="F111" i="4" s="1"/>
  <c r="B141" i="3"/>
  <c r="B140" i="3"/>
  <c r="B139" i="3"/>
  <c r="B138" i="3"/>
  <c r="F107" i="4" s="1"/>
  <c r="B137" i="3"/>
  <c r="B136" i="3"/>
  <c r="B135" i="3"/>
  <c r="B134" i="3"/>
  <c r="F103" i="4" s="1"/>
  <c r="B133" i="3"/>
  <c r="F102" i="4" s="1"/>
  <c r="B132" i="3"/>
  <c r="B131" i="3"/>
  <c r="B130" i="3"/>
  <c r="B129" i="3"/>
  <c r="B128" i="3"/>
  <c r="F97" i="4" s="1"/>
  <c r="B127" i="3"/>
  <c r="F96" i="4" s="1"/>
  <c r="B126" i="3"/>
  <c r="C125" i="3"/>
  <c r="B125" i="3"/>
  <c r="B124" i="3"/>
  <c r="F93" i="4" s="1"/>
  <c r="B123" i="3"/>
  <c r="B122" i="3"/>
  <c r="B121" i="3"/>
  <c r="F90" i="4" s="1"/>
  <c r="B120" i="3"/>
  <c r="B119" i="3"/>
  <c r="B118" i="3"/>
  <c r="B117" i="3"/>
  <c r="B116" i="3"/>
  <c r="F85" i="4" s="1"/>
  <c r="B115" i="3"/>
  <c r="B114" i="3"/>
  <c r="B113" i="3"/>
  <c r="B112" i="3"/>
  <c r="B111" i="3"/>
  <c r="B110" i="3"/>
  <c r="F79" i="4" s="1"/>
  <c r="C109" i="3"/>
  <c r="B109" i="3"/>
  <c r="B108" i="3"/>
  <c r="B107" i="3"/>
  <c r="B106" i="3"/>
  <c r="B105" i="3"/>
  <c r="B104" i="3"/>
  <c r="B103" i="3"/>
  <c r="C102" i="3"/>
  <c r="B102" i="3"/>
  <c r="B101" i="3"/>
  <c r="B100" i="3"/>
  <c r="B99" i="3"/>
  <c r="F68" i="4" s="1"/>
  <c r="B98" i="3"/>
  <c r="F67" i="4" s="1"/>
  <c r="B97" i="3"/>
  <c r="F66" i="4" s="1"/>
  <c r="B96" i="3"/>
  <c r="B95" i="3"/>
  <c r="F64" i="4" s="1"/>
  <c r="B94" i="3"/>
  <c r="B93" i="3"/>
  <c r="F62" i="4" s="1"/>
  <c r="B92" i="3"/>
  <c r="B91" i="3"/>
  <c r="B90" i="3"/>
  <c r="B89" i="3"/>
  <c r="B88" i="3"/>
  <c r="C87" i="3"/>
  <c r="B87" i="3"/>
  <c r="B86" i="3"/>
  <c r="F55" i="4" s="1"/>
  <c r="B85" i="3"/>
  <c r="B84" i="3"/>
  <c r="B83" i="3"/>
  <c r="B82" i="3"/>
  <c r="B81" i="3"/>
  <c r="B80" i="3"/>
  <c r="F49" i="4" s="1"/>
  <c r="B79" i="3"/>
  <c r="B78" i="3"/>
  <c r="C77" i="3"/>
  <c r="B77" i="3"/>
  <c r="B76" i="3"/>
  <c r="F45" i="4" s="1"/>
  <c r="B75" i="3"/>
  <c r="B74" i="3"/>
  <c r="B73" i="3"/>
  <c r="B72" i="3"/>
  <c r="F41" i="4" s="1"/>
  <c r="B71" i="3"/>
  <c r="F40" i="4" s="1"/>
  <c r="B70" i="3"/>
  <c r="B69" i="3"/>
  <c r="F38" i="4" s="1"/>
  <c r="B68" i="3"/>
  <c r="F37" i="4" s="1"/>
  <c r="B67" i="3"/>
  <c r="B66" i="3"/>
  <c r="B65" i="3"/>
  <c r="B64" i="3"/>
  <c r="B63" i="3"/>
  <c r="B62" i="3"/>
  <c r="F31" i="4" s="1"/>
  <c r="C61" i="3"/>
  <c r="B61" i="3"/>
  <c r="B60" i="3"/>
  <c r="B59" i="3"/>
  <c r="B58" i="3"/>
  <c r="B57" i="3"/>
  <c r="B56" i="3"/>
  <c r="C55" i="3"/>
  <c r="B55" i="3"/>
  <c r="B54" i="3"/>
  <c r="F23" i="4" s="1"/>
  <c r="B53" i="3"/>
  <c r="B52" i="3"/>
  <c r="B51" i="3"/>
  <c r="F20" i="4" s="1"/>
  <c r="B50" i="3"/>
  <c r="F19" i="4" s="1"/>
  <c r="B49" i="3"/>
  <c r="F18" i="4" s="1"/>
  <c r="B48" i="3"/>
  <c r="B47" i="3"/>
  <c r="B46" i="3"/>
  <c r="F15" i="4" s="1"/>
  <c r="B45" i="3"/>
  <c r="B44" i="3"/>
  <c r="F13" i="4" s="1"/>
  <c r="B43" i="3"/>
  <c r="B42" i="3"/>
  <c r="B41" i="3"/>
  <c r="B40" i="3"/>
  <c r="F9" i="4" s="1"/>
  <c r="B39" i="3"/>
  <c r="F8" i="4" s="1"/>
  <c r="B38" i="3"/>
  <c r="F7" i="4" s="1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C24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Y142" i="2"/>
  <c r="X142" i="2"/>
  <c r="W142" i="2"/>
  <c r="V142" i="2"/>
  <c r="U142" i="2"/>
  <c r="T142" i="2"/>
  <c r="S142" i="2"/>
  <c r="R142" i="2"/>
  <c r="Q142" i="2"/>
  <c r="P142" i="2"/>
  <c r="O142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F126" i="2"/>
  <c r="C224" i="4" s="1"/>
  <c r="AE126" i="2"/>
  <c r="C212" i="4" s="1"/>
  <c r="AD126" i="2"/>
  <c r="C200" i="4" s="1"/>
  <c r="AC126" i="2"/>
  <c r="AB126" i="2"/>
  <c r="C176" i="4" s="1"/>
  <c r="AA126" i="2"/>
  <c r="C164" i="4" s="1"/>
  <c r="Z126" i="2"/>
  <c r="C152" i="4" s="1"/>
  <c r="Y126" i="2"/>
  <c r="C140" i="4" s="1"/>
  <c r="X126" i="2"/>
  <c r="C128" i="4" s="1"/>
  <c r="W126" i="2"/>
  <c r="C116" i="4" s="1"/>
  <c r="V126" i="2"/>
  <c r="C104" i="4" s="1"/>
  <c r="U126" i="2"/>
  <c r="T126" i="2"/>
  <c r="S126" i="2"/>
  <c r="C68" i="4" s="1"/>
  <c r="R126" i="2"/>
  <c r="C56" i="4" s="1"/>
  <c r="Q126" i="2"/>
  <c r="C44" i="4" s="1"/>
  <c r="P126" i="2"/>
  <c r="C32" i="4" s="1"/>
  <c r="O126" i="2"/>
  <c r="C20" i="4" s="1"/>
  <c r="N126" i="2"/>
  <c r="C8" i="4" s="1"/>
  <c r="M126" i="2"/>
  <c r="L126" i="2"/>
  <c r="K126" i="2"/>
  <c r="J126" i="2"/>
  <c r="I126" i="2"/>
  <c r="H126" i="2"/>
  <c r="G126" i="2"/>
  <c r="F126" i="2"/>
  <c r="E126" i="2"/>
  <c r="D126" i="2"/>
  <c r="C126" i="2"/>
  <c r="B126" i="2"/>
  <c r="AF125" i="2"/>
  <c r="C223" i="4" s="1"/>
  <c r="AE125" i="2"/>
  <c r="AD125" i="2"/>
  <c r="AC125" i="2"/>
  <c r="C187" i="4" s="1"/>
  <c r="AB125" i="2"/>
  <c r="C175" i="4" s="1"/>
  <c r="AA125" i="2"/>
  <c r="C163" i="4" s="1"/>
  <c r="Z125" i="2"/>
  <c r="C151" i="4" s="1"/>
  <c r="Y125" i="2"/>
  <c r="C139" i="4" s="1"/>
  <c r="X125" i="2"/>
  <c r="C127" i="4" s="1"/>
  <c r="W125" i="2"/>
  <c r="C115" i="4" s="1"/>
  <c r="V125" i="2"/>
  <c r="C103" i="4" s="1"/>
  <c r="U125" i="2"/>
  <c r="C91" i="4" s="1"/>
  <c r="T125" i="2"/>
  <c r="C79" i="4" s="1"/>
  <c r="S125" i="2"/>
  <c r="C67" i="4" s="1"/>
  <c r="R125" i="2"/>
  <c r="C55" i="4" s="1"/>
  <c r="Q125" i="2"/>
  <c r="C43" i="4" s="1"/>
  <c r="P125" i="2"/>
  <c r="C31" i="4" s="1"/>
  <c r="O125" i="2"/>
  <c r="C19" i="4" s="1"/>
  <c r="N125" i="2"/>
  <c r="C7" i="4" s="1"/>
  <c r="M125" i="2"/>
  <c r="L125" i="2"/>
  <c r="K125" i="2"/>
  <c r="J125" i="2"/>
  <c r="I125" i="2"/>
  <c r="H125" i="2"/>
  <c r="G125" i="2"/>
  <c r="F125" i="2"/>
  <c r="E125" i="2"/>
  <c r="D125" i="2"/>
  <c r="C125" i="2"/>
  <c r="C78" i="2" s="1"/>
  <c r="B125" i="2"/>
  <c r="AF124" i="2"/>
  <c r="C222" i="4" s="1"/>
  <c r="AE124" i="2"/>
  <c r="C210" i="4" s="1"/>
  <c r="AD124" i="2"/>
  <c r="C198" i="4" s="1"/>
  <c r="AC124" i="2"/>
  <c r="C186" i="4" s="1"/>
  <c r="AB124" i="2"/>
  <c r="C174" i="4" s="1"/>
  <c r="AA124" i="2"/>
  <c r="C162" i="4" s="1"/>
  <c r="Z124" i="2"/>
  <c r="C150" i="4" s="1"/>
  <c r="Y124" i="2"/>
  <c r="C138" i="4" s="1"/>
  <c r="X124" i="2"/>
  <c r="C126" i="4" s="1"/>
  <c r="W124" i="2"/>
  <c r="C114" i="4" s="1"/>
  <c r="V124" i="2"/>
  <c r="C102" i="4" s="1"/>
  <c r="U124" i="2"/>
  <c r="T124" i="2"/>
  <c r="C78" i="4" s="1"/>
  <c r="S124" i="2"/>
  <c r="C66" i="4" s="1"/>
  <c r="R124" i="2"/>
  <c r="Q124" i="2"/>
  <c r="P124" i="2"/>
  <c r="O124" i="2"/>
  <c r="N124" i="2"/>
  <c r="C6" i="4" s="1"/>
  <c r="M124" i="2"/>
  <c r="L124" i="2"/>
  <c r="K124" i="2"/>
  <c r="J124" i="2"/>
  <c r="I124" i="2"/>
  <c r="H124" i="2"/>
  <c r="G124" i="2"/>
  <c r="F124" i="2"/>
  <c r="E124" i="2"/>
  <c r="D124" i="2"/>
  <c r="C124" i="2"/>
  <c r="B124" i="2"/>
  <c r="B77" i="2" s="1"/>
  <c r="AF123" i="2"/>
  <c r="C221" i="4" s="1"/>
  <c r="AE123" i="2"/>
  <c r="C209" i="4" s="1"/>
  <c r="AD123" i="2"/>
  <c r="AC123" i="2"/>
  <c r="C185" i="4" s="1"/>
  <c r="AB123" i="2"/>
  <c r="C173" i="4" s="1"/>
  <c r="AA123" i="2"/>
  <c r="Z123" i="2"/>
  <c r="Y123" i="2"/>
  <c r="X123" i="2"/>
  <c r="C125" i="4" s="1"/>
  <c r="W123" i="2"/>
  <c r="C113" i="4" s="1"/>
  <c r="V123" i="2"/>
  <c r="C101" i="4" s="1"/>
  <c r="U123" i="2"/>
  <c r="T123" i="2"/>
  <c r="C77" i="4" s="1"/>
  <c r="S123" i="2"/>
  <c r="C65" i="4" s="1"/>
  <c r="R123" i="2"/>
  <c r="C53" i="4" s="1"/>
  <c r="Q123" i="2"/>
  <c r="C41" i="4" s="1"/>
  <c r="P123" i="2"/>
  <c r="O123" i="2"/>
  <c r="C17" i="4" s="1"/>
  <c r="N123" i="2"/>
  <c r="C5" i="4" s="1"/>
  <c r="M123" i="2"/>
  <c r="L123" i="2"/>
  <c r="K123" i="2"/>
  <c r="J123" i="2"/>
  <c r="I123" i="2"/>
  <c r="I76" i="2" s="1"/>
  <c r="H123" i="2"/>
  <c r="H76" i="2" s="1"/>
  <c r="G123" i="2"/>
  <c r="F123" i="2"/>
  <c r="E123" i="2"/>
  <c r="D123" i="2"/>
  <c r="C123" i="2"/>
  <c r="B123" i="2"/>
  <c r="AF122" i="2"/>
  <c r="C220" i="4" s="1"/>
  <c r="AE122" i="2"/>
  <c r="C208" i="4" s="1"/>
  <c r="AD122" i="2"/>
  <c r="AC122" i="2"/>
  <c r="C184" i="4" s="1"/>
  <c r="AB122" i="2"/>
  <c r="AA122" i="2"/>
  <c r="Z122" i="2"/>
  <c r="C148" i="4" s="1"/>
  <c r="Y122" i="2"/>
  <c r="C136" i="4" s="1"/>
  <c r="X122" i="2"/>
  <c r="C124" i="4" s="1"/>
  <c r="W122" i="2"/>
  <c r="V122" i="2"/>
  <c r="C100" i="4" s="1"/>
  <c r="U122" i="2"/>
  <c r="T122" i="2"/>
  <c r="C76" i="4" s="1"/>
  <c r="S122" i="2"/>
  <c r="R122" i="2"/>
  <c r="Q122" i="2"/>
  <c r="P122" i="2"/>
  <c r="C28" i="4" s="1"/>
  <c r="O122" i="2"/>
  <c r="C16" i="4" s="1"/>
  <c r="N122" i="2"/>
  <c r="M122" i="2"/>
  <c r="L122" i="2"/>
  <c r="K122" i="2"/>
  <c r="J122" i="2"/>
  <c r="I122" i="2"/>
  <c r="H122" i="2"/>
  <c r="G122" i="2"/>
  <c r="G75" i="2" s="1"/>
  <c r="F122" i="2"/>
  <c r="E122" i="2"/>
  <c r="E75" i="2" s="1"/>
  <c r="D122" i="2"/>
  <c r="C122" i="2"/>
  <c r="B122" i="2"/>
  <c r="AF121" i="2"/>
  <c r="C219" i="4" s="1"/>
  <c r="AE121" i="2"/>
  <c r="C207" i="4" s="1"/>
  <c r="AD121" i="2"/>
  <c r="C195" i="4" s="1"/>
  <c r="AC121" i="2"/>
  <c r="C183" i="4" s="1"/>
  <c r="AB121" i="2"/>
  <c r="C171" i="4" s="1"/>
  <c r="AA121" i="2"/>
  <c r="C159" i="4" s="1"/>
  <c r="Z121" i="2"/>
  <c r="Y121" i="2"/>
  <c r="C135" i="4" s="1"/>
  <c r="X121" i="2"/>
  <c r="W121" i="2"/>
  <c r="V121" i="2"/>
  <c r="U121" i="2"/>
  <c r="T121" i="2"/>
  <c r="C75" i="4" s="1"/>
  <c r="S121" i="2"/>
  <c r="C63" i="4" s="1"/>
  <c r="R121" i="2"/>
  <c r="C51" i="4" s="1"/>
  <c r="Q121" i="2"/>
  <c r="P121" i="2"/>
  <c r="O121" i="2"/>
  <c r="N121" i="2"/>
  <c r="C3" i="4" s="1"/>
  <c r="M121" i="2"/>
  <c r="L121" i="2"/>
  <c r="K121" i="2"/>
  <c r="J121" i="2"/>
  <c r="I121" i="2"/>
  <c r="H121" i="2"/>
  <c r="G121" i="2"/>
  <c r="F121" i="2"/>
  <c r="E121" i="2"/>
  <c r="D121" i="2"/>
  <c r="C121" i="2"/>
  <c r="B121" i="2"/>
  <c r="AF120" i="2"/>
  <c r="AE120" i="2"/>
  <c r="AD120" i="2"/>
  <c r="C194" i="4" s="1"/>
  <c r="AC120" i="2"/>
  <c r="C182" i="4" s="1"/>
  <c r="AB120" i="2"/>
  <c r="C170" i="4" s="1"/>
  <c r="AA120" i="2"/>
  <c r="C158" i="4" s="1"/>
  <c r="Z120" i="2"/>
  <c r="Y120" i="2"/>
  <c r="X120" i="2"/>
  <c r="W120" i="2"/>
  <c r="V120" i="2"/>
  <c r="U120" i="2"/>
  <c r="C86" i="4" s="1"/>
  <c r="T120" i="2"/>
  <c r="C74" i="4" s="1"/>
  <c r="S120" i="2"/>
  <c r="R120" i="2"/>
  <c r="C50" i="4" s="1"/>
  <c r="Q120" i="2"/>
  <c r="C38" i="4" s="1"/>
  <c r="P120" i="2"/>
  <c r="C26" i="4" s="1"/>
  <c r="O120" i="2"/>
  <c r="C14" i="4" s="1"/>
  <c r="N120" i="2"/>
  <c r="M120" i="2"/>
  <c r="M73" i="2" s="1"/>
  <c r="L120" i="2"/>
  <c r="K120" i="2"/>
  <c r="J120" i="2"/>
  <c r="I120" i="2"/>
  <c r="H120" i="2"/>
  <c r="G120" i="2"/>
  <c r="F120" i="2"/>
  <c r="E120" i="2"/>
  <c r="D120" i="2"/>
  <c r="C120" i="2"/>
  <c r="C73" i="2" s="1"/>
  <c r="B120" i="2"/>
  <c r="AF119" i="2"/>
  <c r="AE119" i="2"/>
  <c r="AD119" i="2"/>
  <c r="C193" i="4" s="1"/>
  <c r="AC119" i="2"/>
  <c r="C181" i="4" s="1"/>
  <c r="AB119" i="2"/>
  <c r="C169" i="4" s="1"/>
  <c r="AA119" i="2"/>
  <c r="C157" i="4" s="1"/>
  <c r="Z119" i="2"/>
  <c r="C145" i="4" s="1"/>
  <c r="Y119" i="2"/>
  <c r="C133" i="4" s="1"/>
  <c r="X119" i="2"/>
  <c r="C121" i="4" s="1"/>
  <c r="W119" i="2"/>
  <c r="C109" i="4" s="1"/>
  <c r="V119" i="2"/>
  <c r="C97" i="4" s="1"/>
  <c r="U119" i="2"/>
  <c r="C85" i="4" s="1"/>
  <c r="T119" i="2"/>
  <c r="C73" i="4" s="1"/>
  <c r="S119" i="2"/>
  <c r="R119" i="2"/>
  <c r="Q119" i="2"/>
  <c r="C37" i="4" s="1"/>
  <c r="P119" i="2"/>
  <c r="C25" i="4" s="1"/>
  <c r="O119" i="2"/>
  <c r="C13" i="4" s="1"/>
  <c r="N119" i="2"/>
  <c r="M119" i="2"/>
  <c r="M72" i="2" s="1"/>
  <c r="L119" i="2"/>
  <c r="L72" i="2" s="1"/>
  <c r="K119" i="2"/>
  <c r="J119" i="2"/>
  <c r="I119" i="2"/>
  <c r="H119" i="2"/>
  <c r="G119" i="2"/>
  <c r="F119" i="2"/>
  <c r="E119" i="2"/>
  <c r="D119" i="2"/>
  <c r="C119" i="2"/>
  <c r="B119" i="2"/>
  <c r="AF118" i="2"/>
  <c r="C216" i="4" s="1"/>
  <c r="AE118" i="2"/>
  <c r="AD118" i="2"/>
  <c r="AC118" i="2"/>
  <c r="C180" i="4" s="1"/>
  <c r="AB118" i="2"/>
  <c r="AA118" i="2"/>
  <c r="Z118" i="2"/>
  <c r="C144" i="4" s="1"/>
  <c r="Y118" i="2"/>
  <c r="C132" i="4" s="1"/>
  <c r="X118" i="2"/>
  <c r="C120" i="4" s="1"/>
  <c r="W118" i="2"/>
  <c r="C108" i="4" s="1"/>
  <c r="V118" i="2"/>
  <c r="C96" i="4" s="1"/>
  <c r="U118" i="2"/>
  <c r="C84" i="4" s="1"/>
  <c r="T118" i="2"/>
  <c r="C72" i="4" s="1"/>
  <c r="S118" i="2"/>
  <c r="C60" i="4" s="1"/>
  <c r="R118" i="2"/>
  <c r="C48" i="4" s="1"/>
  <c r="Q118" i="2"/>
  <c r="C36" i="4" s="1"/>
  <c r="P118" i="2"/>
  <c r="C24" i="4" s="1"/>
  <c r="O118" i="2"/>
  <c r="C12" i="4" s="1"/>
  <c r="E12" i="4" s="1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F117" i="2"/>
  <c r="C215" i="4" s="1"/>
  <c r="AE117" i="2"/>
  <c r="C203" i="4" s="1"/>
  <c r="AD117" i="2"/>
  <c r="AC117" i="2"/>
  <c r="C179" i="4" s="1"/>
  <c r="AB117" i="2"/>
  <c r="C167" i="4" s="1"/>
  <c r="AA117" i="2"/>
  <c r="Z117" i="2"/>
  <c r="C143" i="4" s="1"/>
  <c r="Y117" i="2"/>
  <c r="C131" i="4" s="1"/>
  <c r="X117" i="2"/>
  <c r="C119" i="4" s="1"/>
  <c r="W117" i="2"/>
  <c r="C107" i="4" s="1"/>
  <c r="V117" i="2"/>
  <c r="V70" i="2" s="1"/>
  <c r="U117" i="2"/>
  <c r="C83" i="4" s="1"/>
  <c r="T117" i="2"/>
  <c r="C71" i="4" s="1"/>
  <c r="S117" i="2"/>
  <c r="C59" i="4" s="1"/>
  <c r="R117" i="2"/>
  <c r="C47" i="4" s="1"/>
  <c r="Q117" i="2"/>
  <c r="C35" i="4" s="1"/>
  <c r="P117" i="2"/>
  <c r="C23" i="4" s="1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F116" i="2"/>
  <c r="C214" i="4" s="1"/>
  <c r="AE116" i="2"/>
  <c r="C202" i="4" s="1"/>
  <c r="AD116" i="2"/>
  <c r="C190" i="4" s="1"/>
  <c r="AC116" i="2"/>
  <c r="C178" i="4" s="1"/>
  <c r="AB116" i="2"/>
  <c r="C166" i="4" s="1"/>
  <c r="AA116" i="2"/>
  <c r="AA69" i="2" s="1"/>
  <c r="D154" i="4" s="1"/>
  <c r="Z116" i="2"/>
  <c r="C142" i="4" s="1"/>
  <c r="Y116" i="2"/>
  <c r="C130" i="4" s="1"/>
  <c r="X116" i="2"/>
  <c r="W116" i="2"/>
  <c r="V116" i="2"/>
  <c r="U116" i="2"/>
  <c r="C82" i="4" s="1"/>
  <c r="T116" i="2"/>
  <c r="C70" i="4" s="1"/>
  <c r="S116" i="2"/>
  <c r="C58" i="4" s="1"/>
  <c r="R116" i="2"/>
  <c r="C46" i="4" s="1"/>
  <c r="Q116" i="2"/>
  <c r="Q68" i="2" s="1"/>
  <c r="P116" i="2"/>
  <c r="C22" i="4" s="1"/>
  <c r="O116" i="2"/>
  <c r="C10" i="4" s="1"/>
  <c r="N116" i="2"/>
  <c r="M116" i="2"/>
  <c r="L116" i="2"/>
  <c r="K116" i="2"/>
  <c r="J116" i="2"/>
  <c r="I116" i="2"/>
  <c r="H116" i="2"/>
  <c r="H69" i="2" s="1"/>
  <c r="G116" i="2"/>
  <c r="F116" i="2"/>
  <c r="E116" i="2"/>
  <c r="E69" i="2" s="1"/>
  <c r="D116" i="2"/>
  <c r="C116" i="2"/>
  <c r="B116" i="2"/>
  <c r="AF115" i="2"/>
  <c r="AE115" i="2"/>
  <c r="AD115" i="2"/>
  <c r="C189" i="4" s="1"/>
  <c r="AC115" i="2"/>
  <c r="C177" i="4" s="1"/>
  <c r="AB115" i="2"/>
  <c r="C165" i="4" s="1"/>
  <c r="AA115" i="2"/>
  <c r="Z115" i="2"/>
  <c r="Z67" i="2" s="1"/>
  <c r="Z79" i="2" s="1"/>
  <c r="Y115" i="2"/>
  <c r="C129" i="4" s="1"/>
  <c r="X115" i="2"/>
  <c r="C117" i="4" s="1"/>
  <c r="W115" i="2"/>
  <c r="V115" i="2"/>
  <c r="C93" i="4" s="1"/>
  <c r="U115" i="2"/>
  <c r="C81" i="4" s="1"/>
  <c r="T115" i="2"/>
  <c r="C69" i="4" s="1"/>
  <c r="S115" i="2"/>
  <c r="C57" i="4" s="1"/>
  <c r="R115" i="2"/>
  <c r="C45" i="4" s="1"/>
  <c r="Q115" i="2"/>
  <c r="C33" i="4" s="1"/>
  <c r="P115" i="2"/>
  <c r="O115" i="2"/>
  <c r="C9" i="4" s="1"/>
  <c r="N115" i="2"/>
  <c r="N68" i="2" s="1"/>
  <c r="M115" i="2"/>
  <c r="L115" i="2"/>
  <c r="K115" i="2"/>
  <c r="J115" i="2"/>
  <c r="I115" i="2"/>
  <c r="H115" i="2"/>
  <c r="G115" i="2"/>
  <c r="F115" i="2"/>
  <c r="F68" i="2" s="1"/>
  <c r="E115" i="2"/>
  <c r="D115" i="2"/>
  <c r="D68" i="2" s="1"/>
  <c r="C115" i="2"/>
  <c r="B115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B79" i="2"/>
  <c r="AC78" i="2"/>
  <c r="AB78" i="2"/>
  <c r="Z78" i="2"/>
  <c r="Y78" i="2"/>
  <c r="W78" i="2"/>
  <c r="V78" i="2"/>
  <c r="T78" i="2"/>
  <c r="Q78" i="2"/>
  <c r="L78" i="2"/>
  <c r="AA77" i="2"/>
  <c r="L77" i="2"/>
  <c r="K77" i="2"/>
  <c r="J77" i="2"/>
  <c r="I77" i="2"/>
  <c r="H77" i="2"/>
  <c r="G77" i="2"/>
  <c r="D77" i="2"/>
  <c r="M76" i="2"/>
  <c r="K76" i="2"/>
  <c r="AE75" i="2"/>
  <c r="X75" i="2"/>
  <c r="W75" i="2"/>
  <c r="V75" i="2"/>
  <c r="T75" i="2"/>
  <c r="AE74" i="2"/>
  <c r="AC74" i="2"/>
  <c r="AB74" i="2"/>
  <c r="Y74" i="2"/>
  <c r="X74" i="2"/>
  <c r="I74" i="2"/>
  <c r="E74" i="2"/>
  <c r="D74" i="2"/>
  <c r="R73" i="2"/>
  <c r="N73" i="2"/>
  <c r="L73" i="2"/>
  <c r="H73" i="2"/>
  <c r="G73" i="2"/>
  <c r="E73" i="2"/>
  <c r="AB72" i="2"/>
  <c r="Z72" i="2"/>
  <c r="W72" i="2"/>
  <c r="V72" i="2"/>
  <c r="U72" i="2"/>
  <c r="AD71" i="2"/>
  <c r="Y71" i="2"/>
  <c r="W71" i="2"/>
  <c r="T71" i="2"/>
  <c r="I71" i="2"/>
  <c r="D71" i="2"/>
  <c r="R70" i="2"/>
  <c r="J70" i="2"/>
  <c r="I70" i="2"/>
  <c r="H70" i="2"/>
  <c r="G70" i="2"/>
  <c r="F70" i="2"/>
  <c r="E70" i="2"/>
  <c r="D70" i="2"/>
  <c r="C70" i="2"/>
  <c r="B70" i="2"/>
  <c r="Y69" i="2"/>
  <c r="J69" i="2"/>
  <c r="X68" i="2"/>
  <c r="S68" i="2"/>
  <c r="AB67" i="2"/>
  <c r="W67" i="2"/>
  <c r="W79" i="2" s="1"/>
  <c r="M67" i="2"/>
  <c r="K67" i="2"/>
  <c r="H67" i="2"/>
  <c r="H79" i="2" s="1"/>
  <c r="G67" i="2"/>
  <c r="G79" i="2" s="1"/>
  <c r="F67" i="2"/>
  <c r="F79" i="2" s="1"/>
  <c r="E67" i="2"/>
  <c r="E79" i="2" s="1"/>
  <c r="D67" i="2"/>
  <c r="D79" i="2" s="1"/>
  <c r="C67" i="2"/>
  <c r="C79" i="2" s="1"/>
  <c r="B67" i="2"/>
  <c r="B79" i="2" s="1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R63" i="2"/>
  <c r="Q63" i="2"/>
  <c r="G63" i="2"/>
  <c r="AF62" i="2"/>
  <c r="AE62" i="2"/>
  <c r="AD62" i="2"/>
  <c r="AC62" i="2"/>
  <c r="AB62" i="2"/>
  <c r="AA62" i="2"/>
  <c r="Z62" i="2"/>
  <c r="Y62" i="2"/>
  <c r="D139" i="4" s="1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F61" i="2"/>
  <c r="AE61" i="2"/>
  <c r="AD61" i="2"/>
  <c r="AC61" i="2"/>
  <c r="D186" i="4" s="1"/>
  <c r="AB61" i="2"/>
  <c r="AA61" i="2"/>
  <c r="Z61" i="2"/>
  <c r="Y61" i="2"/>
  <c r="X61" i="2"/>
  <c r="W61" i="2"/>
  <c r="W63" i="2" s="1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77" i="2" s="1"/>
  <c r="B61" i="2"/>
  <c r="AF60" i="2"/>
  <c r="AE60" i="2"/>
  <c r="D209" i="4" s="1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L76" i="2" s="1"/>
  <c r="K60" i="2"/>
  <c r="J60" i="2"/>
  <c r="I60" i="2"/>
  <c r="H60" i="2"/>
  <c r="G60" i="2"/>
  <c r="F60" i="2"/>
  <c r="E60" i="2"/>
  <c r="D60" i="2"/>
  <c r="C60" i="2"/>
  <c r="B60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H74" i="2" s="1"/>
  <c r="G58" i="2"/>
  <c r="F58" i="2"/>
  <c r="F74" i="2" s="1"/>
  <c r="E58" i="2"/>
  <c r="D58" i="2"/>
  <c r="C58" i="2"/>
  <c r="C74" i="2" s="1"/>
  <c r="B58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D72" i="2" s="1"/>
  <c r="C56" i="2"/>
  <c r="B56" i="2"/>
  <c r="B72" i="2" s="1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D12" i="4" s="1"/>
  <c r="N55" i="2"/>
  <c r="M55" i="2"/>
  <c r="L55" i="2"/>
  <c r="K55" i="2"/>
  <c r="K71" i="2" s="1"/>
  <c r="J55" i="2"/>
  <c r="I55" i="2"/>
  <c r="H55" i="2"/>
  <c r="G55" i="2"/>
  <c r="F55" i="2"/>
  <c r="E55" i="2"/>
  <c r="D55" i="2"/>
  <c r="C55" i="2"/>
  <c r="B55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I69" i="2" s="1"/>
  <c r="H53" i="2"/>
  <c r="G53" i="2"/>
  <c r="F53" i="2"/>
  <c r="E53" i="2"/>
  <c r="D53" i="2"/>
  <c r="C53" i="2"/>
  <c r="B53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R68" i="2" s="1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F51" i="2"/>
  <c r="AE51" i="2"/>
  <c r="AD51" i="2"/>
  <c r="AC51" i="2"/>
  <c r="AB51" i="2"/>
  <c r="AA51" i="2"/>
  <c r="Z51" i="2"/>
  <c r="Y51" i="2"/>
  <c r="Y63" i="2" s="1"/>
  <c r="X51" i="2"/>
  <c r="X63" i="2" s="1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E63" i="2" s="1"/>
  <c r="D51" i="2"/>
  <c r="C51" i="2"/>
  <c r="C63" i="2" s="1"/>
  <c r="B51" i="2"/>
  <c r="B63" i="2" s="1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F46" i="2"/>
  <c r="AF78" i="2" s="1"/>
  <c r="AE46" i="2"/>
  <c r="AD46" i="2"/>
  <c r="AC46" i="2"/>
  <c r="AB46" i="2"/>
  <c r="AA46" i="2"/>
  <c r="AA78" i="2" s="1"/>
  <c r="Z46" i="2"/>
  <c r="Y46" i="2"/>
  <c r="X46" i="2"/>
  <c r="X78" i="2" s="1"/>
  <c r="W46" i="2"/>
  <c r="V46" i="2"/>
  <c r="U46" i="2"/>
  <c r="U78" i="2" s="1"/>
  <c r="T46" i="2"/>
  <c r="S46" i="2"/>
  <c r="S78" i="2" s="1"/>
  <c r="R46" i="2"/>
  <c r="R78" i="2" s="1"/>
  <c r="Q46" i="2"/>
  <c r="P46" i="2"/>
  <c r="O46" i="2"/>
  <c r="O78" i="2" s="1"/>
  <c r="N46" i="2"/>
  <c r="M46" i="2"/>
  <c r="M78" i="2" s="1"/>
  <c r="L46" i="2"/>
  <c r="K46" i="2"/>
  <c r="K78" i="2" s="1"/>
  <c r="J46" i="2"/>
  <c r="J78" i="2" s="1"/>
  <c r="I46" i="2"/>
  <c r="H46" i="2"/>
  <c r="G46" i="2"/>
  <c r="F46" i="2"/>
  <c r="F78" i="2" s="1"/>
  <c r="E46" i="2"/>
  <c r="E78" i="2" s="1"/>
  <c r="D46" i="2"/>
  <c r="D78" i="2" s="1"/>
  <c r="C46" i="2"/>
  <c r="B46" i="2"/>
  <c r="B78" i="2" s="1"/>
  <c r="AF45" i="2"/>
  <c r="AF77" i="2" s="1"/>
  <c r="AE45" i="2"/>
  <c r="AE77" i="2" s="1"/>
  <c r="AD45" i="2"/>
  <c r="AD77" i="2" s="1"/>
  <c r="AC45" i="2"/>
  <c r="AC77" i="2" s="1"/>
  <c r="AB45" i="2"/>
  <c r="AB77" i="2" s="1"/>
  <c r="AA45" i="2"/>
  <c r="Z45" i="2"/>
  <c r="Y45" i="2"/>
  <c r="X45" i="2"/>
  <c r="X77" i="2" s="1"/>
  <c r="W45" i="2"/>
  <c r="V45" i="2"/>
  <c r="V77" i="2" s="1"/>
  <c r="U45" i="2"/>
  <c r="T45" i="2"/>
  <c r="T77" i="2" s="1"/>
  <c r="S45" i="2"/>
  <c r="S77" i="2" s="1"/>
  <c r="R45" i="2"/>
  <c r="Q45" i="2"/>
  <c r="Q47" i="2" s="1"/>
  <c r="P45" i="2"/>
  <c r="O45" i="2"/>
  <c r="O77" i="2" s="1"/>
  <c r="N45" i="2"/>
  <c r="N77" i="2" s="1"/>
  <c r="D6" i="4" s="1"/>
  <c r="M45" i="2"/>
  <c r="M77" i="2" s="1"/>
  <c r="L45" i="2"/>
  <c r="K45" i="2"/>
  <c r="J45" i="2"/>
  <c r="I45" i="2"/>
  <c r="H45" i="2"/>
  <c r="G45" i="2"/>
  <c r="F45" i="2"/>
  <c r="F77" i="2" s="1"/>
  <c r="E45" i="2"/>
  <c r="E77" i="2" s="1"/>
  <c r="D45" i="2"/>
  <c r="C45" i="2"/>
  <c r="B45" i="2"/>
  <c r="AF44" i="2"/>
  <c r="AE44" i="2"/>
  <c r="AE76" i="2" s="1"/>
  <c r="AD44" i="2"/>
  <c r="AC44" i="2"/>
  <c r="AC76" i="2" s="1"/>
  <c r="AB44" i="2"/>
  <c r="AB76" i="2" s="1"/>
  <c r="AA44" i="2"/>
  <c r="Z44" i="2"/>
  <c r="Y44" i="2"/>
  <c r="X44" i="2"/>
  <c r="X76" i="2" s="1"/>
  <c r="W44" i="2"/>
  <c r="W76" i="2" s="1"/>
  <c r="V44" i="2"/>
  <c r="V76" i="2" s="1"/>
  <c r="U44" i="2"/>
  <c r="T44" i="2"/>
  <c r="T76" i="2" s="1"/>
  <c r="S44" i="2"/>
  <c r="R44" i="2"/>
  <c r="Q44" i="2"/>
  <c r="Q76" i="2" s="1"/>
  <c r="P44" i="2"/>
  <c r="O44" i="2"/>
  <c r="O76" i="2" s="1"/>
  <c r="N44" i="2"/>
  <c r="N76" i="2" s="1"/>
  <c r="D5" i="4" s="1"/>
  <c r="M44" i="2"/>
  <c r="L44" i="2"/>
  <c r="K44" i="2"/>
  <c r="J44" i="2"/>
  <c r="I44" i="2"/>
  <c r="H44" i="2"/>
  <c r="G44" i="2"/>
  <c r="G76" i="2" s="1"/>
  <c r="F44" i="2"/>
  <c r="E44" i="2"/>
  <c r="D44" i="2"/>
  <c r="C44" i="2"/>
  <c r="B44" i="2"/>
  <c r="AF43" i="2"/>
  <c r="AF75" i="2" s="1"/>
  <c r="AE43" i="2"/>
  <c r="AD43" i="2"/>
  <c r="AC43" i="2"/>
  <c r="AC75" i="2" s="1"/>
  <c r="AB43" i="2"/>
  <c r="AA43" i="2"/>
  <c r="Z43" i="2"/>
  <c r="Z75" i="2" s="1"/>
  <c r="Y43" i="2"/>
  <c r="X43" i="2"/>
  <c r="W43" i="2"/>
  <c r="V43" i="2"/>
  <c r="U43" i="2"/>
  <c r="T43" i="2"/>
  <c r="S43" i="2"/>
  <c r="R43" i="2"/>
  <c r="R75" i="2" s="1"/>
  <c r="D52" i="4" s="1"/>
  <c r="E52" i="4" s="1"/>
  <c r="Q43" i="2"/>
  <c r="P43" i="2"/>
  <c r="O43" i="2"/>
  <c r="O75" i="2" s="1"/>
  <c r="N43" i="2"/>
  <c r="M43" i="2"/>
  <c r="L43" i="2"/>
  <c r="K43" i="2"/>
  <c r="J43" i="2"/>
  <c r="J75" i="2" s="1"/>
  <c r="I43" i="2"/>
  <c r="I75" i="2" s="1"/>
  <c r="H43" i="2"/>
  <c r="G43" i="2"/>
  <c r="F43" i="2"/>
  <c r="E43" i="2"/>
  <c r="D43" i="2"/>
  <c r="D75" i="2" s="1"/>
  <c r="C43" i="2"/>
  <c r="B43" i="2"/>
  <c r="B75" i="2" s="1"/>
  <c r="AF42" i="2"/>
  <c r="AF74" i="2" s="1"/>
  <c r="AE42" i="2"/>
  <c r="AD42" i="2"/>
  <c r="AC42" i="2"/>
  <c r="AB42" i="2"/>
  <c r="AA42" i="2"/>
  <c r="AA74" i="2" s="1"/>
  <c r="Z42" i="2"/>
  <c r="Y42" i="2"/>
  <c r="X42" i="2"/>
  <c r="W42" i="2"/>
  <c r="V42" i="2"/>
  <c r="U42" i="2"/>
  <c r="T42" i="2"/>
  <c r="S42" i="2"/>
  <c r="S74" i="2" s="1"/>
  <c r="R42" i="2"/>
  <c r="R74" i="2" s="1"/>
  <c r="Q42" i="2"/>
  <c r="P42" i="2"/>
  <c r="O42" i="2"/>
  <c r="N42" i="2"/>
  <c r="N74" i="2" s="1"/>
  <c r="D3" i="4" s="1"/>
  <c r="E3" i="4" s="1"/>
  <c r="M42" i="2"/>
  <c r="M74" i="2" s="1"/>
  <c r="L42" i="2"/>
  <c r="L74" i="2" s="1"/>
  <c r="K42" i="2"/>
  <c r="K74" i="2" s="1"/>
  <c r="J42" i="2"/>
  <c r="J74" i="2" s="1"/>
  <c r="I42" i="2"/>
  <c r="H42" i="2"/>
  <c r="G42" i="2"/>
  <c r="F42" i="2"/>
  <c r="E42" i="2"/>
  <c r="D42" i="2"/>
  <c r="C42" i="2"/>
  <c r="B42" i="2"/>
  <c r="B74" i="2" s="1"/>
  <c r="AF41" i="2"/>
  <c r="AE41" i="2"/>
  <c r="AD41" i="2"/>
  <c r="AC41" i="2"/>
  <c r="AC73" i="2" s="1"/>
  <c r="AB41" i="2"/>
  <c r="AB73" i="2" s="1"/>
  <c r="AA41" i="2"/>
  <c r="AA73" i="2" s="1"/>
  <c r="Z41" i="2"/>
  <c r="Y41" i="2"/>
  <c r="X41" i="2"/>
  <c r="W41" i="2"/>
  <c r="V41" i="2"/>
  <c r="V73" i="2" s="1"/>
  <c r="U41" i="2"/>
  <c r="T41" i="2"/>
  <c r="T73" i="2" s="1"/>
  <c r="S41" i="2"/>
  <c r="S73" i="2" s="1"/>
  <c r="R41" i="2"/>
  <c r="Q41" i="2"/>
  <c r="P41" i="2"/>
  <c r="O41" i="2"/>
  <c r="N41" i="2"/>
  <c r="M41" i="2"/>
  <c r="L41" i="2"/>
  <c r="K41" i="2"/>
  <c r="K73" i="2" s="1"/>
  <c r="J41" i="2"/>
  <c r="I41" i="2"/>
  <c r="H41" i="2"/>
  <c r="G41" i="2"/>
  <c r="F41" i="2"/>
  <c r="F73" i="2" s="1"/>
  <c r="E41" i="2"/>
  <c r="D41" i="2"/>
  <c r="C41" i="2"/>
  <c r="B41" i="2"/>
  <c r="AF40" i="2"/>
  <c r="AE40" i="2"/>
  <c r="AE72" i="2" s="1"/>
  <c r="AD40" i="2"/>
  <c r="AC40" i="2"/>
  <c r="AC72" i="2" s="1"/>
  <c r="AB40" i="2"/>
  <c r="AA40" i="2"/>
  <c r="AA72" i="2" s="1"/>
  <c r="Z40" i="2"/>
  <c r="Y40" i="2"/>
  <c r="X40" i="2"/>
  <c r="W40" i="2"/>
  <c r="V40" i="2"/>
  <c r="U40" i="2"/>
  <c r="T40" i="2"/>
  <c r="T72" i="2" s="1"/>
  <c r="S40" i="2"/>
  <c r="R40" i="2"/>
  <c r="R47" i="2" s="1"/>
  <c r="Q40" i="2"/>
  <c r="P40" i="2"/>
  <c r="P72" i="2" s="1"/>
  <c r="D25" i="4" s="1"/>
  <c r="O40" i="2"/>
  <c r="O72" i="2" s="1"/>
  <c r="N40" i="2"/>
  <c r="N72" i="2" s="1"/>
  <c r="M40" i="2"/>
  <c r="L40" i="2"/>
  <c r="K40" i="2"/>
  <c r="J40" i="2"/>
  <c r="I40" i="2"/>
  <c r="I72" i="2" s="1"/>
  <c r="H40" i="2"/>
  <c r="G40" i="2"/>
  <c r="G72" i="2" s="1"/>
  <c r="F40" i="2"/>
  <c r="F72" i="2" s="1"/>
  <c r="E40" i="2"/>
  <c r="E72" i="2" s="1"/>
  <c r="D40" i="2"/>
  <c r="C40" i="2"/>
  <c r="B40" i="2"/>
  <c r="AF39" i="2"/>
  <c r="AF71" i="2" s="1"/>
  <c r="AE39" i="2"/>
  <c r="AD39" i="2"/>
  <c r="AC39" i="2"/>
  <c r="AC71" i="2" s="1"/>
  <c r="AB39" i="2"/>
  <c r="AA39" i="2"/>
  <c r="Z39" i="2"/>
  <c r="Y39" i="2"/>
  <c r="X39" i="2"/>
  <c r="X71" i="2" s="1"/>
  <c r="W39" i="2"/>
  <c r="V39" i="2"/>
  <c r="V71" i="2" s="1"/>
  <c r="U39" i="2"/>
  <c r="T39" i="2"/>
  <c r="S39" i="2"/>
  <c r="S71" i="2" s="1"/>
  <c r="R39" i="2"/>
  <c r="R71" i="2" s="1"/>
  <c r="Q39" i="2"/>
  <c r="P39" i="2"/>
  <c r="P71" i="2" s="1"/>
  <c r="D24" i="4" s="1"/>
  <c r="O39" i="2"/>
  <c r="O71" i="2" s="1"/>
  <c r="N39" i="2"/>
  <c r="N71" i="2" s="1"/>
  <c r="M39" i="2"/>
  <c r="L39" i="2"/>
  <c r="K39" i="2"/>
  <c r="J39" i="2"/>
  <c r="J71" i="2" s="1"/>
  <c r="I39" i="2"/>
  <c r="H39" i="2"/>
  <c r="H71" i="2" s="1"/>
  <c r="G39" i="2"/>
  <c r="G71" i="2" s="1"/>
  <c r="F39" i="2"/>
  <c r="E39" i="2"/>
  <c r="D39" i="2"/>
  <c r="C39" i="2"/>
  <c r="C71" i="2" s="1"/>
  <c r="B39" i="2"/>
  <c r="B71" i="2" s="1"/>
  <c r="AF38" i="2"/>
  <c r="AF70" i="2" s="1"/>
  <c r="AE38" i="2"/>
  <c r="AD38" i="2"/>
  <c r="AC38" i="2"/>
  <c r="AB38" i="2"/>
  <c r="AB70" i="2" s="1"/>
  <c r="AA38" i="2"/>
  <c r="AA70" i="2" s="1"/>
  <c r="D155" i="4" s="1"/>
  <c r="Z38" i="2"/>
  <c r="Y38" i="2"/>
  <c r="X38" i="2"/>
  <c r="X70" i="2" s="1"/>
  <c r="W38" i="2"/>
  <c r="V38" i="2"/>
  <c r="U38" i="2"/>
  <c r="T38" i="2"/>
  <c r="S38" i="2"/>
  <c r="S70" i="2" s="1"/>
  <c r="R38" i="2"/>
  <c r="Q38" i="2"/>
  <c r="P38" i="2"/>
  <c r="P70" i="2" s="1"/>
  <c r="D23" i="4" s="1"/>
  <c r="O38" i="2"/>
  <c r="N38" i="2"/>
  <c r="N47" i="2" s="1"/>
  <c r="M38" i="2"/>
  <c r="L38" i="2"/>
  <c r="K38" i="2"/>
  <c r="K70" i="2" s="1"/>
  <c r="J38" i="2"/>
  <c r="I38" i="2"/>
  <c r="H38" i="2"/>
  <c r="G38" i="2"/>
  <c r="F38" i="2"/>
  <c r="E38" i="2"/>
  <c r="D38" i="2"/>
  <c r="C38" i="2"/>
  <c r="B38" i="2"/>
  <c r="AF37" i="2"/>
  <c r="AE37" i="2"/>
  <c r="AD37" i="2"/>
  <c r="AC37" i="2"/>
  <c r="AB37" i="2"/>
  <c r="AB69" i="2" s="1"/>
  <c r="AA37" i="2"/>
  <c r="Z37" i="2"/>
  <c r="Y37" i="2"/>
  <c r="X37" i="2"/>
  <c r="W37" i="2"/>
  <c r="V37" i="2"/>
  <c r="U37" i="2"/>
  <c r="U69" i="2" s="1"/>
  <c r="T37" i="2"/>
  <c r="T69" i="2" s="1"/>
  <c r="S37" i="2"/>
  <c r="S69" i="2" s="1"/>
  <c r="R37" i="2"/>
  <c r="Q37" i="2"/>
  <c r="P37" i="2"/>
  <c r="O37" i="2"/>
  <c r="O69" i="2" s="1"/>
  <c r="N37" i="2"/>
  <c r="N69" i="2" s="1"/>
  <c r="M37" i="2"/>
  <c r="L37" i="2"/>
  <c r="K37" i="2"/>
  <c r="K69" i="2" s="1"/>
  <c r="J37" i="2"/>
  <c r="I37" i="2"/>
  <c r="H37" i="2"/>
  <c r="G37" i="2"/>
  <c r="F37" i="2"/>
  <c r="F69" i="2" s="1"/>
  <c r="E37" i="2"/>
  <c r="D37" i="2"/>
  <c r="C37" i="2"/>
  <c r="C69" i="2" s="1"/>
  <c r="B37" i="2"/>
  <c r="AF36" i="2"/>
  <c r="AE36" i="2"/>
  <c r="AD36" i="2"/>
  <c r="AD68" i="2" s="1"/>
  <c r="AC36" i="2"/>
  <c r="AC68" i="2" s="1"/>
  <c r="AB36" i="2"/>
  <c r="AA36" i="2"/>
  <c r="Z36" i="2"/>
  <c r="Z47" i="2" s="1"/>
  <c r="Y36" i="2"/>
  <c r="Y68" i="2" s="1"/>
  <c r="X36" i="2"/>
  <c r="W36" i="2"/>
  <c r="W68" i="2" s="1"/>
  <c r="V36" i="2"/>
  <c r="V68" i="2" s="1"/>
  <c r="U36" i="2"/>
  <c r="U68" i="2" s="1"/>
  <c r="T36" i="2"/>
  <c r="T68" i="2" s="1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G68" i="2" s="1"/>
  <c r="F36" i="2"/>
  <c r="E36" i="2"/>
  <c r="D36" i="2"/>
  <c r="C36" i="2"/>
  <c r="B36" i="2"/>
  <c r="AF35" i="2"/>
  <c r="AF67" i="2" s="1"/>
  <c r="AF79" i="2" s="1"/>
  <c r="AE35" i="2"/>
  <c r="AD35" i="2"/>
  <c r="AC35" i="2"/>
  <c r="AB35" i="2"/>
  <c r="AA35" i="2"/>
  <c r="Z35" i="2"/>
  <c r="Y35" i="2"/>
  <c r="X35" i="2"/>
  <c r="W35" i="2"/>
  <c r="V35" i="2"/>
  <c r="V67" i="2" s="1"/>
  <c r="V79" i="2" s="1"/>
  <c r="U35" i="2"/>
  <c r="U47" i="2" s="1"/>
  <c r="T35" i="2"/>
  <c r="S35" i="2"/>
  <c r="S67" i="2" s="1"/>
  <c r="R35" i="2"/>
  <c r="R67" i="2" s="1"/>
  <c r="Q35" i="2"/>
  <c r="P35" i="2"/>
  <c r="P67" i="2" s="1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B3" i="2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F126" i="1"/>
  <c r="C255" i="3" s="1"/>
  <c r="AE126" i="1"/>
  <c r="C243" i="3" s="1"/>
  <c r="AD126" i="1"/>
  <c r="C231" i="3" s="1"/>
  <c r="AC126" i="1"/>
  <c r="C219" i="3" s="1"/>
  <c r="AB126" i="1"/>
  <c r="C207" i="3" s="1"/>
  <c r="AA126" i="1"/>
  <c r="C195" i="3" s="1"/>
  <c r="Z126" i="1"/>
  <c r="C183" i="3" s="1"/>
  <c r="Y126" i="1"/>
  <c r="C171" i="3" s="1"/>
  <c r="X126" i="1"/>
  <c r="C159" i="3" s="1"/>
  <c r="W126" i="1"/>
  <c r="C147" i="3" s="1"/>
  <c r="V126" i="1"/>
  <c r="C135" i="3" s="1"/>
  <c r="U126" i="1"/>
  <c r="C123" i="3" s="1"/>
  <c r="T126" i="1"/>
  <c r="C111" i="3" s="1"/>
  <c r="S126" i="1"/>
  <c r="C99" i="3" s="1"/>
  <c r="R126" i="1"/>
  <c r="Q126" i="1"/>
  <c r="C75" i="3" s="1"/>
  <c r="P126" i="1"/>
  <c r="C63" i="3" s="1"/>
  <c r="O126" i="1"/>
  <c r="C51" i="3" s="1"/>
  <c r="N126" i="1"/>
  <c r="C39" i="3" s="1"/>
  <c r="M126" i="1"/>
  <c r="C27" i="3" s="1"/>
  <c r="L126" i="1"/>
  <c r="C15" i="3" s="1"/>
  <c r="K126" i="1"/>
  <c r="J126" i="1"/>
  <c r="I126" i="1"/>
  <c r="H126" i="1"/>
  <c r="G126" i="1"/>
  <c r="F126" i="1"/>
  <c r="E126" i="1"/>
  <c r="D126" i="1"/>
  <c r="C126" i="1"/>
  <c r="B126" i="1"/>
  <c r="AF125" i="1"/>
  <c r="C254" i="3" s="1"/>
  <c r="AE125" i="1"/>
  <c r="C242" i="3" s="1"/>
  <c r="AD125" i="1"/>
  <c r="AC125" i="1"/>
  <c r="C218" i="3" s="1"/>
  <c r="AB125" i="1"/>
  <c r="C206" i="3" s="1"/>
  <c r="AA125" i="1"/>
  <c r="C194" i="3" s="1"/>
  <c r="Z125" i="1"/>
  <c r="C182" i="3" s="1"/>
  <c r="Y125" i="1"/>
  <c r="C170" i="3" s="1"/>
  <c r="X125" i="1"/>
  <c r="W125" i="1"/>
  <c r="C146" i="3" s="1"/>
  <c r="V125" i="1"/>
  <c r="U125" i="1"/>
  <c r="C122" i="3" s="1"/>
  <c r="T125" i="1"/>
  <c r="S125" i="1"/>
  <c r="C98" i="3" s="1"/>
  <c r="R125" i="1"/>
  <c r="C86" i="3" s="1"/>
  <c r="Q125" i="1"/>
  <c r="C74" i="3" s="1"/>
  <c r="P125" i="1"/>
  <c r="C62" i="3" s="1"/>
  <c r="O125" i="1"/>
  <c r="C50" i="3" s="1"/>
  <c r="N125" i="1"/>
  <c r="C38" i="3" s="1"/>
  <c r="M125" i="1"/>
  <c r="C26" i="3" s="1"/>
  <c r="L125" i="1"/>
  <c r="C14" i="3" s="1"/>
  <c r="K125" i="1"/>
  <c r="J125" i="1"/>
  <c r="I125" i="1"/>
  <c r="H125" i="1"/>
  <c r="G125" i="1"/>
  <c r="F125" i="1"/>
  <c r="E125" i="1"/>
  <c r="D125" i="1"/>
  <c r="C125" i="1"/>
  <c r="B125" i="1"/>
  <c r="B78" i="1" s="1"/>
  <c r="AF124" i="1"/>
  <c r="C253" i="3" s="1"/>
  <c r="AE124" i="1"/>
  <c r="AE76" i="1" s="1"/>
  <c r="AD124" i="1"/>
  <c r="C229" i="3" s="1"/>
  <c r="AC124" i="1"/>
  <c r="AB124" i="1"/>
  <c r="AA124" i="1"/>
  <c r="C193" i="3" s="1"/>
  <c r="Z124" i="1"/>
  <c r="C181" i="3" s="1"/>
  <c r="Y124" i="1"/>
  <c r="C169" i="3" s="1"/>
  <c r="X124" i="1"/>
  <c r="C157" i="3" s="1"/>
  <c r="W124" i="1"/>
  <c r="C145" i="3" s="1"/>
  <c r="V124" i="1"/>
  <c r="C133" i="3" s="1"/>
  <c r="U124" i="1"/>
  <c r="C121" i="3" s="1"/>
  <c r="T124" i="1"/>
  <c r="S124" i="1"/>
  <c r="C97" i="3" s="1"/>
  <c r="R124" i="1"/>
  <c r="C85" i="3" s="1"/>
  <c r="Q124" i="1"/>
  <c r="C73" i="3" s="1"/>
  <c r="P124" i="1"/>
  <c r="O124" i="1"/>
  <c r="N124" i="1"/>
  <c r="M124" i="1"/>
  <c r="C25" i="3" s="1"/>
  <c r="L124" i="1"/>
  <c r="C13" i="3" s="1"/>
  <c r="K124" i="1"/>
  <c r="J124" i="1"/>
  <c r="J77" i="1" s="1"/>
  <c r="I124" i="1"/>
  <c r="I77" i="1" s="1"/>
  <c r="H124" i="1"/>
  <c r="H77" i="1" s="1"/>
  <c r="G124" i="1"/>
  <c r="G77" i="1" s="1"/>
  <c r="F124" i="1"/>
  <c r="E124" i="1"/>
  <c r="D124" i="1"/>
  <c r="C124" i="1"/>
  <c r="B124" i="1"/>
  <c r="AF123" i="1"/>
  <c r="C252" i="3" s="1"/>
  <c r="AE123" i="1"/>
  <c r="C240" i="3" s="1"/>
  <c r="AD123" i="1"/>
  <c r="C228" i="3" s="1"/>
  <c r="AC123" i="1"/>
  <c r="C216" i="3" s="1"/>
  <c r="AB123" i="1"/>
  <c r="C204" i="3" s="1"/>
  <c r="AA123" i="1"/>
  <c r="C192" i="3" s="1"/>
  <c r="Z123" i="1"/>
  <c r="C180" i="3" s="1"/>
  <c r="Y123" i="1"/>
  <c r="C168" i="3" s="1"/>
  <c r="X123" i="1"/>
  <c r="C156" i="3" s="1"/>
  <c r="W123" i="1"/>
  <c r="C144" i="3" s="1"/>
  <c r="V123" i="1"/>
  <c r="C132" i="3" s="1"/>
  <c r="U123" i="1"/>
  <c r="C120" i="3" s="1"/>
  <c r="T123" i="1"/>
  <c r="S123" i="1"/>
  <c r="R123" i="1"/>
  <c r="R75" i="1" s="1"/>
  <c r="Q123" i="1"/>
  <c r="Q75" i="1" s="1"/>
  <c r="P123" i="1"/>
  <c r="O123" i="1"/>
  <c r="C48" i="3" s="1"/>
  <c r="N123" i="1"/>
  <c r="C36" i="3" s="1"/>
  <c r="E36" i="3" s="1"/>
  <c r="F36" i="3" s="1"/>
  <c r="G36" i="3" s="1"/>
  <c r="M123" i="1"/>
  <c r="L123" i="1"/>
  <c r="C12" i="3" s="1"/>
  <c r="K123" i="1"/>
  <c r="K76" i="1" s="1"/>
  <c r="J123" i="1"/>
  <c r="I123" i="1"/>
  <c r="H123" i="1"/>
  <c r="G123" i="1"/>
  <c r="F123" i="1"/>
  <c r="E123" i="1"/>
  <c r="D123" i="1"/>
  <c r="C123" i="1"/>
  <c r="C76" i="1" s="1"/>
  <c r="B123" i="1"/>
  <c r="B76" i="1" s="1"/>
  <c r="AF122" i="1"/>
  <c r="C251" i="3" s="1"/>
  <c r="AE122" i="1"/>
  <c r="C239" i="3" s="1"/>
  <c r="AD122" i="1"/>
  <c r="C227" i="3" s="1"/>
  <c r="AC122" i="1"/>
  <c r="C215" i="3" s="1"/>
  <c r="AB122" i="1"/>
  <c r="AA122" i="1"/>
  <c r="Z122" i="1"/>
  <c r="Y122" i="1"/>
  <c r="X122" i="1"/>
  <c r="C155" i="3" s="1"/>
  <c r="W122" i="1"/>
  <c r="C143" i="3" s="1"/>
  <c r="V122" i="1"/>
  <c r="C131" i="3" s="1"/>
  <c r="U122" i="1"/>
  <c r="T122" i="1"/>
  <c r="C107" i="3" s="1"/>
  <c r="S122" i="1"/>
  <c r="C95" i="3" s="1"/>
  <c r="R122" i="1"/>
  <c r="C83" i="3" s="1"/>
  <c r="Q122" i="1"/>
  <c r="C71" i="3" s="1"/>
  <c r="P122" i="1"/>
  <c r="C59" i="3" s="1"/>
  <c r="O122" i="1"/>
  <c r="C47" i="3" s="1"/>
  <c r="N122" i="1"/>
  <c r="C35" i="3" s="1"/>
  <c r="M122" i="1"/>
  <c r="C23" i="3" s="1"/>
  <c r="L122" i="1"/>
  <c r="C11" i="3" s="1"/>
  <c r="K122" i="1"/>
  <c r="J122" i="1"/>
  <c r="I122" i="1"/>
  <c r="H122" i="1"/>
  <c r="G122" i="1"/>
  <c r="G75" i="1" s="1"/>
  <c r="F122" i="1"/>
  <c r="F75" i="1" s="1"/>
  <c r="E122" i="1"/>
  <c r="E75" i="1" s="1"/>
  <c r="D122" i="1"/>
  <c r="D75" i="1" s="1"/>
  <c r="C122" i="1"/>
  <c r="C75" i="1" s="1"/>
  <c r="B122" i="1"/>
  <c r="AF121" i="1"/>
  <c r="C250" i="3" s="1"/>
  <c r="AE121" i="1"/>
  <c r="C238" i="3" s="1"/>
  <c r="AD121" i="1"/>
  <c r="AC121" i="1"/>
  <c r="AB121" i="1"/>
  <c r="AA121" i="1"/>
  <c r="C190" i="3" s="1"/>
  <c r="Z121" i="1"/>
  <c r="C178" i="3" s="1"/>
  <c r="Y121" i="1"/>
  <c r="C166" i="3" s="1"/>
  <c r="X121" i="1"/>
  <c r="C154" i="3" s="1"/>
  <c r="W121" i="1"/>
  <c r="C142" i="3" s="1"/>
  <c r="V121" i="1"/>
  <c r="C130" i="3" s="1"/>
  <c r="U121" i="1"/>
  <c r="C118" i="3" s="1"/>
  <c r="T121" i="1"/>
  <c r="S121" i="1"/>
  <c r="C94" i="3" s="1"/>
  <c r="R121" i="1"/>
  <c r="C82" i="3" s="1"/>
  <c r="Q121" i="1"/>
  <c r="C70" i="3" s="1"/>
  <c r="P121" i="1"/>
  <c r="C58" i="3" s="1"/>
  <c r="O121" i="1"/>
  <c r="C46" i="3" s="1"/>
  <c r="N121" i="1"/>
  <c r="M121" i="1"/>
  <c r="C22" i="3" s="1"/>
  <c r="L121" i="1"/>
  <c r="K121" i="1"/>
  <c r="J121" i="1"/>
  <c r="I121" i="1"/>
  <c r="H121" i="1"/>
  <c r="G121" i="1"/>
  <c r="F121" i="1"/>
  <c r="E121" i="1"/>
  <c r="D121" i="1"/>
  <c r="C121" i="1"/>
  <c r="B121" i="1"/>
  <c r="AF120" i="1"/>
  <c r="C249" i="3" s="1"/>
  <c r="AE120" i="1"/>
  <c r="C237" i="3" s="1"/>
  <c r="AD120" i="1"/>
  <c r="C225" i="3" s="1"/>
  <c r="AC120" i="1"/>
  <c r="C213" i="3" s="1"/>
  <c r="AB120" i="1"/>
  <c r="C201" i="3" s="1"/>
  <c r="AA120" i="1"/>
  <c r="C189" i="3" s="1"/>
  <c r="Z120" i="1"/>
  <c r="C177" i="3" s="1"/>
  <c r="Y120" i="1"/>
  <c r="Y73" i="1" s="1"/>
  <c r="X120" i="1"/>
  <c r="C153" i="3" s="1"/>
  <c r="W120" i="1"/>
  <c r="V120" i="1"/>
  <c r="C129" i="3" s="1"/>
  <c r="U120" i="1"/>
  <c r="T120" i="1"/>
  <c r="C105" i="3" s="1"/>
  <c r="S120" i="1"/>
  <c r="C93" i="3" s="1"/>
  <c r="R120" i="1"/>
  <c r="C81" i="3" s="1"/>
  <c r="Q120" i="1"/>
  <c r="C69" i="3" s="1"/>
  <c r="P120" i="1"/>
  <c r="C57" i="3" s="1"/>
  <c r="O120" i="1"/>
  <c r="C45" i="3" s="1"/>
  <c r="N120" i="1"/>
  <c r="C33" i="3" s="1"/>
  <c r="M120" i="1"/>
  <c r="C21" i="3" s="1"/>
  <c r="L120" i="1"/>
  <c r="C9" i="3" s="1"/>
  <c r="K120" i="1"/>
  <c r="J120" i="1"/>
  <c r="I120" i="1"/>
  <c r="H120" i="1"/>
  <c r="G120" i="1"/>
  <c r="F120" i="1"/>
  <c r="E120" i="1"/>
  <c r="D120" i="1"/>
  <c r="C120" i="1"/>
  <c r="B120" i="1"/>
  <c r="AF119" i="1"/>
  <c r="AE119" i="1"/>
  <c r="C236" i="3" s="1"/>
  <c r="AD119" i="1"/>
  <c r="AC119" i="1"/>
  <c r="C212" i="3" s="1"/>
  <c r="AB119" i="1"/>
  <c r="C200" i="3" s="1"/>
  <c r="AA119" i="1"/>
  <c r="C188" i="3" s="1"/>
  <c r="Z119" i="1"/>
  <c r="C176" i="3" s="1"/>
  <c r="Y119" i="1"/>
  <c r="C164" i="3" s="1"/>
  <c r="X119" i="1"/>
  <c r="C152" i="3" s="1"/>
  <c r="W119" i="1"/>
  <c r="C140" i="3" s="1"/>
  <c r="V119" i="1"/>
  <c r="C128" i="3" s="1"/>
  <c r="U119" i="1"/>
  <c r="C116" i="3" s="1"/>
  <c r="T119" i="1"/>
  <c r="C104" i="3" s="1"/>
  <c r="S119" i="1"/>
  <c r="R119" i="1"/>
  <c r="Q119" i="1"/>
  <c r="P119" i="1"/>
  <c r="O119" i="1"/>
  <c r="C44" i="3" s="1"/>
  <c r="N119" i="1"/>
  <c r="C32" i="3" s="1"/>
  <c r="M119" i="1"/>
  <c r="C20" i="3" s="1"/>
  <c r="L119" i="1"/>
  <c r="C8" i="3" s="1"/>
  <c r="K119" i="1"/>
  <c r="K72" i="1" s="1"/>
  <c r="J119" i="1"/>
  <c r="J72" i="1" s="1"/>
  <c r="I119" i="1"/>
  <c r="I72" i="1" s="1"/>
  <c r="H119" i="1"/>
  <c r="H72" i="1" s="1"/>
  <c r="G119" i="1"/>
  <c r="F119" i="1"/>
  <c r="F72" i="1" s="1"/>
  <c r="E119" i="1"/>
  <c r="D119" i="1"/>
  <c r="C119" i="1"/>
  <c r="B119" i="1"/>
  <c r="AF118" i="1"/>
  <c r="C247" i="3" s="1"/>
  <c r="AE118" i="1"/>
  <c r="C235" i="3" s="1"/>
  <c r="AD118" i="1"/>
  <c r="C223" i="3" s="1"/>
  <c r="AC118" i="1"/>
  <c r="C211" i="3" s="1"/>
  <c r="AB118" i="1"/>
  <c r="C199" i="3" s="1"/>
  <c r="AA118" i="1"/>
  <c r="Z118" i="1"/>
  <c r="Y118" i="1"/>
  <c r="X118" i="1"/>
  <c r="W118" i="1"/>
  <c r="V118" i="1"/>
  <c r="C127" i="3" s="1"/>
  <c r="U118" i="1"/>
  <c r="C115" i="3" s="1"/>
  <c r="T118" i="1"/>
  <c r="C103" i="3" s="1"/>
  <c r="S118" i="1"/>
  <c r="R118" i="1"/>
  <c r="C79" i="3" s="1"/>
  <c r="Q118" i="1"/>
  <c r="P118" i="1"/>
  <c r="O118" i="1"/>
  <c r="N118" i="1"/>
  <c r="C31" i="3" s="1"/>
  <c r="M118" i="1"/>
  <c r="C19" i="3" s="1"/>
  <c r="L118" i="1"/>
  <c r="C7" i="3" s="1"/>
  <c r="K118" i="1"/>
  <c r="J118" i="1"/>
  <c r="I118" i="1"/>
  <c r="H118" i="1"/>
  <c r="G118" i="1"/>
  <c r="F118" i="1"/>
  <c r="E118" i="1"/>
  <c r="D118" i="1"/>
  <c r="C118" i="1"/>
  <c r="B118" i="1"/>
  <c r="AF117" i="1"/>
  <c r="AE117" i="1"/>
  <c r="C234" i="3" s="1"/>
  <c r="AD117" i="1"/>
  <c r="AC117" i="1"/>
  <c r="C210" i="3" s="1"/>
  <c r="AB117" i="1"/>
  <c r="AA117" i="1"/>
  <c r="C186" i="3" s="1"/>
  <c r="Z117" i="1"/>
  <c r="C174" i="3" s="1"/>
  <c r="Y117" i="1"/>
  <c r="C162" i="3" s="1"/>
  <c r="X117" i="1"/>
  <c r="C150" i="3" s="1"/>
  <c r="W117" i="1"/>
  <c r="C138" i="3" s="1"/>
  <c r="V117" i="1"/>
  <c r="C126" i="3" s="1"/>
  <c r="U117" i="1"/>
  <c r="C114" i="3" s="1"/>
  <c r="T117" i="1"/>
  <c r="S117" i="1"/>
  <c r="C90" i="3" s="1"/>
  <c r="R117" i="1"/>
  <c r="C78" i="3" s="1"/>
  <c r="Q117" i="1"/>
  <c r="C66" i="3" s="1"/>
  <c r="P117" i="1"/>
  <c r="C54" i="3" s="1"/>
  <c r="O117" i="1"/>
  <c r="C42" i="3" s="1"/>
  <c r="N117" i="1"/>
  <c r="C30" i="3" s="1"/>
  <c r="M117" i="1"/>
  <c r="M70" i="1" s="1"/>
  <c r="D18" i="3" s="1"/>
  <c r="L117" i="1"/>
  <c r="K117" i="1"/>
  <c r="J117" i="1"/>
  <c r="I117" i="1"/>
  <c r="H117" i="1"/>
  <c r="G117" i="1"/>
  <c r="G70" i="1" s="1"/>
  <c r="F117" i="1"/>
  <c r="F70" i="1" s="1"/>
  <c r="E117" i="1"/>
  <c r="E70" i="1" s="1"/>
  <c r="D117" i="1"/>
  <c r="D70" i="1" s="1"/>
  <c r="C117" i="1"/>
  <c r="B117" i="1"/>
  <c r="B70" i="1" s="1"/>
  <c r="AF116" i="1"/>
  <c r="C245" i="3" s="1"/>
  <c r="AE116" i="1"/>
  <c r="AD116" i="1"/>
  <c r="C221" i="3" s="1"/>
  <c r="AC116" i="1"/>
  <c r="C209" i="3" s="1"/>
  <c r="AB116" i="1"/>
  <c r="C197" i="3" s="1"/>
  <c r="AA116" i="1"/>
  <c r="C185" i="3" s="1"/>
  <c r="Z116" i="1"/>
  <c r="C173" i="3" s="1"/>
  <c r="Y116" i="1"/>
  <c r="C161" i="3" s="1"/>
  <c r="X116" i="1"/>
  <c r="C149" i="3" s="1"/>
  <c r="W116" i="1"/>
  <c r="C137" i="3" s="1"/>
  <c r="V116" i="1"/>
  <c r="U116" i="1"/>
  <c r="C113" i="3" s="1"/>
  <c r="T116" i="1"/>
  <c r="S116" i="1"/>
  <c r="R116" i="1"/>
  <c r="Q116" i="1"/>
  <c r="P116" i="1"/>
  <c r="O116" i="1"/>
  <c r="N116" i="1"/>
  <c r="M116" i="1"/>
  <c r="C17" i="3" s="1"/>
  <c r="L116" i="1"/>
  <c r="C5" i="3" s="1"/>
  <c r="K116" i="1"/>
  <c r="K69" i="1" s="1"/>
  <c r="J116" i="1"/>
  <c r="I116" i="1"/>
  <c r="I69" i="1" s="1"/>
  <c r="H116" i="1"/>
  <c r="G116" i="1"/>
  <c r="F116" i="1"/>
  <c r="E116" i="1"/>
  <c r="D116" i="1"/>
  <c r="C116" i="1"/>
  <c r="B116" i="1"/>
  <c r="AF115" i="1"/>
  <c r="C244" i="3" s="1"/>
  <c r="AE115" i="1"/>
  <c r="C232" i="3" s="1"/>
  <c r="AD115" i="1"/>
  <c r="AC115" i="1"/>
  <c r="C208" i="3" s="1"/>
  <c r="AB115" i="1"/>
  <c r="AA115" i="1"/>
  <c r="C184" i="3" s="1"/>
  <c r="Z115" i="1"/>
  <c r="Y115" i="1"/>
  <c r="X115" i="1"/>
  <c r="W115" i="1"/>
  <c r="W68" i="1" s="1"/>
  <c r="V115" i="1"/>
  <c r="U115" i="1"/>
  <c r="C112" i="3" s="1"/>
  <c r="T115" i="1"/>
  <c r="C100" i="3" s="1"/>
  <c r="S115" i="1"/>
  <c r="C88" i="3" s="1"/>
  <c r="R115" i="1"/>
  <c r="C76" i="3" s="1"/>
  <c r="Q115" i="1"/>
  <c r="C64" i="3" s="1"/>
  <c r="P115" i="1"/>
  <c r="C52" i="3" s="1"/>
  <c r="O115" i="1"/>
  <c r="C40" i="3" s="1"/>
  <c r="N115" i="1"/>
  <c r="C28" i="3" s="1"/>
  <c r="M115" i="1"/>
  <c r="C16" i="3" s="1"/>
  <c r="L115" i="1"/>
  <c r="C4" i="3" s="1"/>
  <c r="K115" i="1"/>
  <c r="J115" i="1"/>
  <c r="J68" i="1" s="1"/>
  <c r="I115" i="1"/>
  <c r="I68" i="1" s="1"/>
  <c r="H115" i="1"/>
  <c r="H68" i="1" s="1"/>
  <c r="G115" i="1"/>
  <c r="G68" i="1" s="1"/>
  <c r="F115" i="1"/>
  <c r="F68" i="1" s="1"/>
  <c r="E115" i="1"/>
  <c r="D115" i="1"/>
  <c r="C115" i="1"/>
  <c r="C68" i="1" s="1"/>
  <c r="B115" i="1"/>
  <c r="B68" i="1" s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C78" i="1"/>
  <c r="AB78" i="1"/>
  <c r="AA78" i="1"/>
  <c r="Z78" i="1"/>
  <c r="D78" i="1"/>
  <c r="V77" i="1"/>
  <c r="U77" i="1"/>
  <c r="N76" i="1"/>
  <c r="D36" i="3" s="1"/>
  <c r="M76" i="1"/>
  <c r="D24" i="3" s="1"/>
  <c r="L76" i="1"/>
  <c r="D12" i="3" s="1"/>
  <c r="O75" i="1"/>
  <c r="M75" i="1"/>
  <c r="D23" i="3" s="1"/>
  <c r="L75" i="1"/>
  <c r="D11" i="3" s="1"/>
  <c r="K75" i="1"/>
  <c r="J75" i="1"/>
  <c r="I75" i="1"/>
  <c r="AF73" i="1"/>
  <c r="AE73" i="1"/>
  <c r="B73" i="1"/>
  <c r="AE72" i="1"/>
  <c r="AC72" i="1"/>
  <c r="AB72" i="1"/>
  <c r="AF71" i="1"/>
  <c r="AE71" i="1"/>
  <c r="AD71" i="1"/>
  <c r="AC71" i="1"/>
  <c r="V71" i="1"/>
  <c r="Y70" i="1"/>
  <c r="Y69" i="1"/>
  <c r="W69" i="1"/>
  <c r="V69" i="1"/>
  <c r="U69" i="1"/>
  <c r="O68" i="1"/>
  <c r="N68" i="1"/>
  <c r="D28" i="3" s="1"/>
  <c r="U67" i="1"/>
  <c r="S67" i="1"/>
  <c r="R67" i="1"/>
  <c r="Q67" i="1"/>
  <c r="P67" i="1"/>
  <c r="D51" i="3" s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W63" i="1"/>
  <c r="V63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C78" i="1" s="1"/>
  <c r="B62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F60" i="1"/>
  <c r="AE60" i="1"/>
  <c r="AD60" i="1"/>
  <c r="AC60" i="1"/>
  <c r="AB60" i="1"/>
  <c r="AB76" i="1" s="1"/>
  <c r="AA60" i="1"/>
  <c r="Z60" i="1"/>
  <c r="Y60" i="1"/>
  <c r="X60" i="1"/>
  <c r="X76" i="1" s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E76" i="1" s="1"/>
  <c r="D60" i="1"/>
  <c r="D76" i="1" s="1"/>
  <c r="C60" i="1"/>
  <c r="B60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N75" i="1" s="1"/>
  <c r="D35" i="3" s="1"/>
  <c r="M59" i="1"/>
  <c r="L59" i="1"/>
  <c r="K59" i="1"/>
  <c r="J59" i="1"/>
  <c r="I59" i="1"/>
  <c r="H59" i="1"/>
  <c r="G59" i="1"/>
  <c r="F59" i="1"/>
  <c r="E59" i="1"/>
  <c r="D59" i="1"/>
  <c r="C59" i="1"/>
  <c r="B59" i="1"/>
  <c r="AF58" i="1"/>
  <c r="AE58" i="1"/>
  <c r="AD58" i="1"/>
  <c r="AC58" i="1"/>
  <c r="AB58" i="1"/>
  <c r="AA58" i="1"/>
  <c r="Z58" i="1"/>
  <c r="Y58" i="1"/>
  <c r="X58" i="1"/>
  <c r="W58" i="1"/>
  <c r="W74" i="1" s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F57" i="1"/>
  <c r="AE57" i="1"/>
  <c r="AD57" i="1"/>
  <c r="AC57" i="1"/>
  <c r="AB57" i="1"/>
  <c r="AA57" i="1"/>
  <c r="Z57" i="1"/>
  <c r="Y57" i="1"/>
  <c r="D165" i="3" s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H73" i="1" s="1"/>
  <c r="G57" i="1"/>
  <c r="G73" i="1" s="1"/>
  <c r="F57" i="1"/>
  <c r="F73" i="1" s="1"/>
  <c r="E57" i="1"/>
  <c r="E73" i="1" s="1"/>
  <c r="D57" i="1"/>
  <c r="D73" i="1" s="1"/>
  <c r="C57" i="1"/>
  <c r="B57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G71" i="1" s="1"/>
  <c r="F55" i="1"/>
  <c r="F71" i="1" s="1"/>
  <c r="E55" i="1"/>
  <c r="E71" i="1" s="1"/>
  <c r="D55" i="1"/>
  <c r="C55" i="1"/>
  <c r="B55" i="1"/>
  <c r="AF54" i="1"/>
  <c r="AF63" i="1" s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O70" i="1" s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D53" i="1"/>
  <c r="AC53" i="1"/>
  <c r="AB53" i="1"/>
  <c r="AA53" i="1"/>
  <c r="Z53" i="1"/>
  <c r="Y53" i="1"/>
  <c r="X53" i="1"/>
  <c r="W53" i="1"/>
  <c r="V53" i="1"/>
  <c r="D125" i="3" s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B69" i="1" s="1"/>
  <c r="AF52" i="1"/>
  <c r="AE52" i="1"/>
  <c r="AE68" i="1" s="1"/>
  <c r="AD52" i="1"/>
  <c r="AD68" i="1" s="1"/>
  <c r="D220" i="3" s="1"/>
  <c r="AC52" i="1"/>
  <c r="AC68" i="1" s="1"/>
  <c r="AB52" i="1"/>
  <c r="AA52" i="1"/>
  <c r="Z52" i="1"/>
  <c r="Y52" i="1"/>
  <c r="X52" i="1"/>
  <c r="W52" i="1"/>
  <c r="D136" i="3" s="1"/>
  <c r="V52" i="1"/>
  <c r="U52" i="1"/>
  <c r="D112" i="3" s="1"/>
  <c r="T52" i="1"/>
  <c r="S52" i="1"/>
  <c r="R52" i="1"/>
  <c r="Q52" i="1"/>
  <c r="P52" i="1"/>
  <c r="O52" i="1"/>
  <c r="N52" i="1"/>
  <c r="M52" i="1"/>
  <c r="L52" i="1"/>
  <c r="K52" i="1"/>
  <c r="K68" i="1" s="1"/>
  <c r="J52" i="1"/>
  <c r="I52" i="1"/>
  <c r="I63" i="1" s="1"/>
  <c r="H52" i="1"/>
  <c r="H63" i="1" s="1"/>
  <c r="G52" i="1"/>
  <c r="F52" i="1"/>
  <c r="E52" i="1"/>
  <c r="D52" i="1"/>
  <c r="D63" i="1" s="1"/>
  <c r="C52" i="1"/>
  <c r="B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Q63" i="1" s="1"/>
  <c r="P51" i="1"/>
  <c r="P63" i="1" s="1"/>
  <c r="O51" i="1"/>
  <c r="N51" i="1"/>
  <c r="N63" i="1" s="1"/>
  <c r="M51" i="1"/>
  <c r="M63" i="1" s="1"/>
  <c r="L51" i="1"/>
  <c r="L63" i="1" s="1"/>
  <c r="K51" i="1"/>
  <c r="K63" i="1" s="1"/>
  <c r="J51" i="1"/>
  <c r="J63" i="1" s="1"/>
  <c r="I51" i="1"/>
  <c r="H51" i="1"/>
  <c r="G51" i="1"/>
  <c r="F51" i="1"/>
  <c r="E51" i="1"/>
  <c r="D51" i="1"/>
  <c r="C51" i="1"/>
  <c r="B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E47" i="1"/>
  <c r="E47" i="1"/>
  <c r="AF46" i="1"/>
  <c r="AE46" i="1"/>
  <c r="AD46" i="1"/>
  <c r="AC46" i="1"/>
  <c r="AB46" i="1"/>
  <c r="AA46" i="1"/>
  <c r="Z46" i="1"/>
  <c r="Y46" i="1"/>
  <c r="Y78" i="1" s="1"/>
  <c r="X46" i="1"/>
  <c r="W46" i="1"/>
  <c r="V46" i="1"/>
  <c r="U46" i="1"/>
  <c r="T46" i="1"/>
  <c r="S46" i="1"/>
  <c r="S78" i="1" s="1"/>
  <c r="R46" i="1"/>
  <c r="R78" i="1" s="1"/>
  <c r="Q46" i="1"/>
  <c r="Q78" i="1" s="1"/>
  <c r="P46" i="1"/>
  <c r="P78" i="1" s="1"/>
  <c r="D62" i="3" s="1"/>
  <c r="O46" i="1"/>
  <c r="N46" i="1"/>
  <c r="N78" i="1" s="1"/>
  <c r="D38" i="3" s="1"/>
  <c r="M46" i="1"/>
  <c r="M78" i="1" s="1"/>
  <c r="D26" i="3" s="1"/>
  <c r="L46" i="1"/>
  <c r="L78" i="1" s="1"/>
  <c r="D14" i="3" s="1"/>
  <c r="K46" i="1"/>
  <c r="K78" i="1" s="1"/>
  <c r="J46" i="1"/>
  <c r="I46" i="1"/>
  <c r="H46" i="1"/>
  <c r="G46" i="1"/>
  <c r="F46" i="1"/>
  <c r="E46" i="1"/>
  <c r="D46" i="1"/>
  <c r="C46" i="1"/>
  <c r="B46" i="1"/>
  <c r="AF45" i="1"/>
  <c r="AE45" i="1"/>
  <c r="AD45" i="1"/>
  <c r="AC45" i="1"/>
  <c r="AB45" i="1"/>
  <c r="AB77" i="1" s="1"/>
  <c r="AA45" i="1"/>
  <c r="AA77" i="1" s="1"/>
  <c r="Z45" i="1"/>
  <c r="Z77" i="1" s="1"/>
  <c r="Y45" i="1"/>
  <c r="Y77" i="1" s="1"/>
  <c r="X45" i="1"/>
  <c r="X77" i="1" s="1"/>
  <c r="W45" i="1"/>
  <c r="W77" i="1" s="1"/>
  <c r="V45" i="1"/>
  <c r="U45" i="1"/>
  <c r="T45" i="1"/>
  <c r="T77" i="1" s="1"/>
  <c r="S45" i="1"/>
  <c r="S77" i="1" s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F77" i="1" s="1"/>
  <c r="E45" i="1"/>
  <c r="E77" i="1" s="1"/>
  <c r="D45" i="1"/>
  <c r="D77" i="1" s="1"/>
  <c r="C45" i="1"/>
  <c r="B45" i="1"/>
  <c r="B77" i="1" s="1"/>
  <c r="AF44" i="1"/>
  <c r="AF76" i="1" s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O76" i="1" s="1"/>
  <c r="N44" i="1"/>
  <c r="M44" i="1"/>
  <c r="L44" i="1"/>
  <c r="K44" i="1"/>
  <c r="J44" i="1"/>
  <c r="J76" i="1" s="1"/>
  <c r="I44" i="1"/>
  <c r="I76" i="1" s="1"/>
  <c r="H44" i="1"/>
  <c r="G44" i="1"/>
  <c r="G76" i="1" s="1"/>
  <c r="F44" i="1"/>
  <c r="F76" i="1" s="1"/>
  <c r="E44" i="1"/>
  <c r="D44" i="1"/>
  <c r="C44" i="1"/>
  <c r="B44" i="1"/>
  <c r="AF43" i="1"/>
  <c r="AE43" i="1"/>
  <c r="AE75" i="1" s="1"/>
  <c r="AD43" i="1"/>
  <c r="AD75" i="1" s="1"/>
  <c r="AC43" i="1"/>
  <c r="AB43" i="1"/>
  <c r="AA43" i="1"/>
  <c r="Z43" i="1"/>
  <c r="Y43" i="1"/>
  <c r="X43" i="1"/>
  <c r="X75" i="1" s="1"/>
  <c r="W43" i="1"/>
  <c r="W75" i="1" s="1"/>
  <c r="V43" i="1"/>
  <c r="V75" i="1" s="1"/>
  <c r="U43" i="1"/>
  <c r="T43" i="1"/>
  <c r="T75" i="1" s="1"/>
  <c r="S43" i="1"/>
  <c r="S75" i="1" s="1"/>
  <c r="R43" i="1"/>
  <c r="Q43" i="1"/>
  <c r="P43" i="1"/>
  <c r="O43" i="1"/>
  <c r="N43" i="1"/>
  <c r="M43" i="1"/>
  <c r="L43" i="1"/>
  <c r="K43" i="1"/>
  <c r="J43" i="1"/>
  <c r="I43" i="1"/>
  <c r="H43" i="1"/>
  <c r="H75" i="1" s="1"/>
  <c r="G43" i="1"/>
  <c r="F43" i="1"/>
  <c r="E43" i="1"/>
  <c r="D43" i="1"/>
  <c r="C43" i="1"/>
  <c r="B43" i="1"/>
  <c r="B75" i="1" s="1"/>
  <c r="AF42" i="1"/>
  <c r="AF74" i="1" s="1"/>
  <c r="AE42" i="1"/>
  <c r="AE74" i="1" s="1"/>
  <c r="AD42" i="1"/>
  <c r="AC42" i="1"/>
  <c r="AB42" i="1"/>
  <c r="AA42" i="1"/>
  <c r="Z42" i="1"/>
  <c r="Y42" i="1"/>
  <c r="Y74" i="1" s="1"/>
  <c r="X42" i="1"/>
  <c r="X74" i="1" s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K74" i="1" s="1"/>
  <c r="J42" i="1"/>
  <c r="J74" i="1" s="1"/>
  <c r="I42" i="1"/>
  <c r="I74" i="1" s="1"/>
  <c r="H42" i="1"/>
  <c r="H74" i="1" s="1"/>
  <c r="G42" i="1"/>
  <c r="F42" i="1"/>
  <c r="F74" i="1" s="1"/>
  <c r="E42" i="1"/>
  <c r="D42" i="1"/>
  <c r="C42" i="1"/>
  <c r="B42" i="1"/>
  <c r="AF41" i="1"/>
  <c r="AE41" i="1"/>
  <c r="AD41" i="1"/>
  <c r="AC41" i="1"/>
  <c r="AB41" i="1"/>
  <c r="AA41" i="1"/>
  <c r="Z41" i="1"/>
  <c r="Z73" i="1" s="1"/>
  <c r="Y41" i="1"/>
  <c r="X41" i="1"/>
  <c r="W41" i="1"/>
  <c r="V41" i="1"/>
  <c r="U41" i="1"/>
  <c r="T41" i="1"/>
  <c r="T73" i="1" s="1"/>
  <c r="S41" i="1"/>
  <c r="S73" i="1" s="1"/>
  <c r="R41" i="1"/>
  <c r="R73" i="1" s="1"/>
  <c r="Q41" i="1"/>
  <c r="Q73" i="1" s="1"/>
  <c r="D69" i="3" s="1"/>
  <c r="P41" i="1"/>
  <c r="P73" i="1" s="1"/>
  <c r="D57" i="3" s="1"/>
  <c r="O41" i="1"/>
  <c r="O73" i="1" s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F40" i="1"/>
  <c r="AE40" i="1"/>
  <c r="AD40" i="1"/>
  <c r="AC40" i="1"/>
  <c r="AB40" i="1"/>
  <c r="AA40" i="1"/>
  <c r="AA72" i="1" s="1"/>
  <c r="Z40" i="1"/>
  <c r="Z72" i="1" s="1"/>
  <c r="Y40" i="1"/>
  <c r="Y72" i="1" s="1"/>
  <c r="X40" i="1"/>
  <c r="X72" i="1" s="1"/>
  <c r="W40" i="1"/>
  <c r="W72" i="1" s="1"/>
  <c r="V40" i="1"/>
  <c r="V72" i="1" s="1"/>
  <c r="U40" i="1"/>
  <c r="T40" i="1"/>
  <c r="S40" i="1"/>
  <c r="R40" i="1"/>
  <c r="Q40" i="1"/>
  <c r="P40" i="1"/>
  <c r="O40" i="1"/>
  <c r="N40" i="1"/>
  <c r="M40" i="1"/>
  <c r="M72" i="1" s="1"/>
  <c r="D20" i="3" s="1"/>
  <c r="L40" i="1"/>
  <c r="K40" i="1"/>
  <c r="J40" i="1"/>
  <c r="I40" i="1"/>
  <c r="H40" i="1"/>
  <c r="G40" i="1"/>
  <c r="G72" i="1" s="1"/>
  <c r="F40" i="1"/>
  <c r="E40" i="1"/>
  <c r="E72" i="1" s="1"/>
  <c r="D40" i="1"/>
  <c r="D72" i="1" s="1"/>
  <c r="C40" i="1"/>
  <c r="C72" i="1" s="1"/>
  <c r="B40" i="1"/>
  <c r="B72" i="1" s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P71" i="1" s="1"/>
  <c r="D55" i="3" s="1"/>
  <c r="O39" i="1"/>
  <c r="N39" i="1"/>
  <c r="N71" i="1" s="1"/>
  <c r="D31" i="3" s="1"/>
  <c r="M39" i="1"/>
  <c r="M71" i="1" s="1"/>
  <c r="D19" i="3" s="1"/>
  <c r="L39" i="1"/>
  <c r="K39" i="1"/>
  <c r="K71" i="1" s="1"/>
  <c r="J39" i="1"/>
  <c r="J71" i="1" s="1"/>
  <c r="I39" i="1"/>
  <c r="I71" i="1" s="1"/>
  <c r="H39" i="1"/>
  <c r="H71" i="1" s="1"/>
  <c r="G39" i="1"/>
  <c r="F39" i="1"/>
  <c r="E39" i="1"/>
  <c r="D39" i="1"/>
  <c r="C39" i="1"/>
  <c r="B39" i="1"/>
  <c r="AF38" i="1"/>
  <c r="AE38" i="1"/>
  <c r="AD38" i="1"/>
  <c r="AC38" i="1"/>
  <c r="AB38" i="1"/>
  <c r="AA38" i="1"/>
  <c r="Z38" i="1"/>
  <c r="Y38" i="1"/>
  <c r="X38" i="1"/>
  <c r="W38" i="1"/>
  <c r="W70" i="1" s="1"/>
  <c r="V38" i="1"/>
  <c r="V70" i="1" s="1"/>
  <c r="U38" i="1"/>
  <c r="U70" i="1" s="1"/>
  <c r="T38" i="1"/>
  <c r="T70" i="1" s="1"/>
  <c r="S38" i="1"/>
  <c r="S70" i="1" s="1"/>
  <c r="R38" i="1"/>
  <c r="R70" i="1" s="1"/>
  <c r="Q38" i="1"/>
  <c r="Q70" i="1" s="1"/>
  <c r="P38" i="1"/>
  <c r="P70" i="1" s="1"/>
  <c r="D54" i="3" s="1"/>
  <c r="E54" i="3" s="1"/>
  <c r="F54" i="3" s="1"/>
  <c r="G54" i="3" s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C70" i="1" s="1"/>
  <c r="B38" i="1"/>
  <c r="AF37" i="1"/>
  <c r="AF69" i="1" s="1"/>
  <c r="AE37" i="1"/>
  <c r="AD37" i="1"/>
  <c r="AD69" i="1" s="1"/>
  <c r="AC37" i="1"/>
  <c r="AC69" i="1" s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O47" i="1" s="1"/>
  <c r="N37" i="1"/>
  <c r="N47" i="1" s="1"/>
  <c r="M37" i="1"/>
  <c r="M47" i="1" s="1"/>
  <c r="L37" i="1"/>
  <c r="L69" i="1" s="1"/>
  <c r="D5" i="3" s="1"/>
  <c r="K37" i="1"/>
  <c r="K47" i="1" s="1"/>
  <c r="J37" i="1"/>
  <c r="J69" i="1" s="1"/>
  <c r="I37" i="1"/>
  <c r="I47" i="1" s="1"/>
  <c r="H37" i="1"/>
  <c r="H47" i="1" s="1"/>
  <c r="G37" i="1"/>
  <c r="G69" i="1" s="1"/>
  <c r="F37" i="1"/>
  <c r="F69" i="1" s="1"/>
  <c r="E37" i="1"/>
  <c r="E69" i="1" s="1"/>
  <c r="D37" i="1"/>
  <c r="D69" i="1" s="1"/>
  <c r="C37" i="1"/>
  <c r="C69" i="1" s="1"/>
  <c r="B37" i="1"/>
  <c r="AF36" i="1"/>
  <c r="AE36" i="1"/>
  <c r="AD36" i="1"/>
  <c r="AC36" i="1"/>
  <c r="AB36" i="1"/>
  <c r="AA36" i="1"/>
  <c r="Z36" i="1"/>
  <c r="Y36" i="1"/>
  <c r="X36" i="1"/>
  <c r="W36" i="1"/>
  <c r="V36" i="1"/>
  <c r="U36" i="1"/>
  <c r="U68" i="1" s="1"/>
  <c r="T36" i="1"/>
  <c r="S36" i="1"/>
  <c r="S68" i="1" s="1"/>
  <c r="R36" i="1"/>
  <c r="R68" i="1" s="1"/>
  <c r="Q36" i="1"/>
  <c r="Q68" i="1" s="1"/>
  <c r="D64" i="3" s="1"/>
  <c r="P36" i="1"/>
  <c r="P68" i="1" s="1"/>
  <c r="D52" i="3" s="1"/>
  <c r="O36" i="1"/>
  <c r="N36" i="1"/>
  <c r="M36" i="1"/>
  <c r="M68" i="1" s="1"/>
  <c r="D16" i="3" s="1"/>
  <c r="L36" i="1"/>
  <c r="L68" i="1" s="1"/>
  <c r="D4" i="3" s="1"/>
  <c r="K36" i="1"/>
  <c r="J36" i="1"/>
  <c r="I36" i="1"/>
  <c r="H36" i="1"/>
  <c r="G36" i="1"/>
  <c r="F36" i="1"/>
  <c r="E36" i="1"/>
  <c r="D36" i="1"/>
  <c r="C36" i="1"/>
  <c r="B36" i="1"/>
  <c r="B47" i="1" s="1"/>
  <c r="AF35" i="1"/>
  <c r="AF67" i="1" s="1"/>
  <c r="AE35" i="1"/>
  <c r="AE67" i="1" s="1"/>
  <c r="AD35" i="1"/>
  <c r="AD47" i="1" s="1"/>
  <c r="AC35" i="1"/>
  <c r="AC47" i="1" s="1"/>
  <c r="AB35" i="1"/>
  <c r="AB47" i="1" s="1"/>
  <c r="AA35" i="1"/>
  <c r="AA47" i="1" s="1"/>
  <c r="Z35" i="1"/>
  <c r="Z67" i="1" s="1"/>
  <c r="Y35" i="1"/>
  <c r="Y67" i="1" s="1"/>
  <c r="X35" i="1"/>
  <c r="X47" i="1" s="1"/>
  <c r="W35" i="1"/>
  <c r="W47" i="1" s="1"/>
  <c r="V35" i="1"/>
  <c r="U35" i="1"/>
  <c r="T35" i="1"/>
  <c r="S35" i="1"/>
  <c r="R35" i="1"/>
  <c r="Q35" i="1"/>
  <c r="P35" i="1"/>
  <c r="O35" i="1"/>
  <c r="N35" i="1"/>
  <c r="M35" i="1"/>
  <c r="L35" i="1"/>
  <c r="K35" i="1"/>
  <c r="K67" i="1" s="1"/>
  <c r="J35" i="1"/>
  <c r="J67" i="1" s="1"/>
  <c r="I35" i="1"/>
  <c r="I67" i="1" s="1"/>
  <c r="H35" i="1"/>
  <c r="G35" i="1"/>
  <c r="G67" i="1" s="1"/>
  <c r="F35" i="1"/>
  <c r="F67" i="1" s="1"/>
  <c r="E35" i="1"/>
  <c r="E67" i="1" s="1"/>
  <c r="D35" i="1"/>
  <c r="D47" i="1" s="1"/>
  <c r="C35" i="1"/>
  <c r="C47" i="1" s="1"/>
  <c r="B35" i="1"/>
  <c r="B67" i="1" s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E47" i="3" l="1"/>
  <c r="F47" i="3" s="1"/>
  <c r="E220" i="3"/>
  <c r="D77" i="3"/>
  <c r="J79" i="1"/>
  <c r="AF79" i="1"/>
  <c r="D186" i="3"/>
  <c r="E77" i="3"/>
  <c r="F77" i="3" s="1"/>
  <c r="G77" i="3" s="1"/>
  <c r="E186" i="3"/>
  <c r="E64" i="3"/>
  <c r="F64" i="3" s="1"/>
  <c r="G64" i="3" s="1"/>
  <c r="C60" i="3"/>
  <c r="P76" i="1"/>
  <c r="D60" i="3" s="1"/>
  <c r="D144" i="3"/>
  <c r="D113" i="3"/>
  <c r="E113" i="3" s="1"/>
  <c r="F113" i="3" s="1"/>
  <c r="G113" i="3" s="1"/>
  <c r="J47" i="1"/>
  <c r="D171" i="4"/>
  <c r="E171" i="4" s="1"/>
  <c r="D244" i="3"/>
  <c r="E58" i="3"/>
  <c r="F58" i="3" s="1"/>
  <c r="O74" i="1"/>
  <c r="D46" i="3" s="1"/>
  <c r="E46" i="3" s="1"/>
  <c r="F46" i="3" s="1"/>
  <c r="G46" i="3" s="1"/>
  <c r="D152" i="4"/>
  <c r="E152" i="4" s="1"/>
  <c r="AA63" i="2"/>
  <c r="AA67" i="2"/>
  <c r="AA79" i="2" s="1"/>
  <c r="D47" i="3"/>
  <c r="C196" i="3"/>
  <c r="AB68" i="1"/>
  <c r="C139" i="3"/>
  <c r="W71" i="1"/>
  <c r="E78" i="1"/>
  <c r="AD63" i="2"/>
  <c r="D188" i="4"/>
  <c r="AE70" i="1"/>
  <c r="AE79" i="1" s="1"/>
  <c r="E232" i="3"/>
  <c r="D71" i="1"/>
  <c r="C68" i="3"/>
  <c r="Q72" i="1"/>
  <c r="D68" i="3" s="1"/>
  <c r="E118" i="3"/>
  <c r="F118" i="3" s="1"/>
  <c r="P77" i="1"/>
  <c r="D61" i="3" s="1"/>
  <c r="S47" i="2"/>
  <c r="I63" i="2"/>
  <c r="D93" i="4"/>
  <c r="Y75" i="2"/>
  <c r="D136" i="4" s="1"/>
  <c r="E136" i="4" s="1"/>
  <c r="F47" i="4"/>
  <c r="D246" i="3"/>
  <c r="E100" i="3"/>
  <c r="F100" i="3" s="1"/>
  <c r="G100" i="3" s="1"/>
  <c r="D234" i="3"/>
  <c r="E234" i="3" s="1"/>
  <c r="D89" i="3"/>
  <c r="C224" i="3"/>
  <c r="AD72" i="1"/>
  <c r="D224" i="3" s="1"/>
  <c r="C117" i="3"/>
  <c r="U73" i="1"/>
  <c r="L74" i="1"/>
  <c r="D10" i="3" s="1"/>
  <c r="C10" i="3"/>
  <c r="C167" i="3"/>
  <c r="Y75" i="1"/>
  <c r="C34" i="3"/>
  <c r="E34" i="3" s="1"/>
  <c r="F34" i="3" s="1"/>
  <c r="N74" i="1"/>
  <c r="D34" i="3" s="1"/>
  <c r="D75" i="3"/>
  <c r="R63" i="1"/>
  <c r="E51" i="3"/>
  <c r="F51" i="3" s="1"/>
  <c r="L47" i="1"/>
  <c r="G28" i="3"/>
  <c r="D204" i="3"/>
  <c r="E204" i="3" s="1"/>
  <c r="C151" i="3"/>
  <c r="X71" i="1"/>
  <c r="D151" i="3" s="1"/>
  <c r="E94" i="3"/>
  <c r="F94" i="3" s="1"/>
  <c r="G94" i="3" s="1"/>
  <c r="P74" i="2"/>
  <c r="D27" i="4" s="1"/>
  <c r="C27" i="4"/>
  <c r="P73" i="2"/>
  <c r="D26" i="4" s="1"/>
  <c r="E137" i="3"/>
  <c r="F137" i="3" s="1"/>
  <c r="G137" i="3" s="1"/>
  <c r="C80" i="3"/>
  <c r="R72" i="1"/>
  <c r="H78" i="1"/>
  <c r="C230" i="3"/>
  <c r="AD78" i="1"/>
  <c r="T47" i="2"/>
  <c r="J63" i="2"/>
  <c r="AF63" i="2"/>
  <c r="D105" i="4"/>
  <c r="E105" i="4" s="1"/>
  <c r="D205" i="4"/>
  <c r="E205" i="4" s="1"/>
  <c r="AE63" i="2"/>
  <c r="F65" i="4"/>
  <c r="D215" i="3"/>
  <c r="E215" i="3" s="1"/>
  <c r="D177" i="3"/>
  <c r="E177" i="3" s="1"/>
  <c r="F177" i="3" s="1"/>
  <c r="G177" i="3" s="1"/>
  <c r="D194" i="3"/>
  <c r="X70" i="1"/>
  <c r="C29" i="3"/>
  <c r="N69" i="1"/>
  <c r="D29" i="3" s="1"/>
  <c r="T47" i="1"/>
  <c r="C198" i="3"/>
  <c r="AB70" i="1"/>
  <c r="C248" i="3"/>
  <c r="AF72" i="1"/>
  <c r="C134" i="3"/>
  <c r="V78" i="1"/>
  <c r="C53" i="3"/>
  <c r="P69" i="1"/>
  <c r="D53" i="3" s="1"/>
  <c r="D237" i="3"/>
  <c r="E237" i="3" s="1"/>
  <c r="D68" i="1"/>
  <c r="D149" i="3"/>
  <c r="E149" i="3" s="1"/>
  <c r="F149" i="3" s="1"/>
  <c r="G149" i="3" s="1"/>
  <c r="D249" i="3"/>
  <c r="E249" i="3" s="1"/>
  <c r="AE78" i="1"/>
  <c r="D242" i="3" s="1"/>
  <c r="E242" i="3" s="1"/>
  <c r="R69" i="1"/>
  <c r="D154" i="3"/>
  <c r="F63" i="2"/>
  <c r="F30" i="4"/>
  <c r="K70" i="1"/>
  <c r="Y73" i="2"/>
  <c r="Y72" i="2"/>
  <c r="AA67" i="1"/>
  <c r="AC75" i="1"/>
  <c r="AD76" i="1"/>
  <c r="C71" i="1"/>
  <c r="U76" i="1"/>
  <c r="D120" i="3" s="1"/>
  <c r="E120" i="3" s="1"/>
  <c r="F120" i="3" s="1"/>
  <c r="G120" i="3" s="1"/>
  <c r="E11" i="3"/>
  <c r="F11" i="3" s="1"/>
  <c r="G11" i="3" s="1"/>
  <c r="Q47" i="1"/>
  <c r="C63" i="1"/>
  <c r="D102" i="3"/>
  <c r="E102" i="3" s="1"/>
  <c r="F102" i="3" s="1"/>
  <c r="G102" i="3" s="1"/>
  <c r="AC67" i="1"/>
  <c r="L72" i="1"/>
  <c r="D8" i="3" s="1"/>
  <c r="U74" i="1"/>
  <c r="C187" i="3"/>
  <c r="AA71" i="1"/>
  <c r="I73" i="1"/>
  <c r="E23" i="3"/>
  <c r="F23" i="3" s="1"/>
  <c r="G23" i="3" s="1"/>
  <c r="R47" i="1"/>
  <c r="Z63" i="1"/>
  <c r="AD67" i="1"/>
  <c r="V74" i="1"/>
  <c r="AF75" i="1"/>
  <c r="D251" i="3" s="1"/>
  <c r="E251" i="3" s="1"/>
  <c r="S72" i="1"/>
  <c r="J73" i="1"/>
  <c r="I78" i="1"/>
  <c r="I79" i="1" s="1"/>
  <c r="G47" i="2"/>
  <c r="AC47" i="2"/>
  <c r="AC67" i="2"/>
  <c r="AC79" i="2" s="1"/>
  <c r="K63" i="2"/>
  <c r="D63" i="3"/>
  <c r="E63" i="3" s="1"/>
  <c r="F63" i="3" s="1"/>
  <c r="G63" i="3" s="1"/>
  <c r="F82" i="4"/>
  <c r="F117" i="4"/>
  <c r="F47" i="1"/>
  <c r="D82" i="3"/>
  <c r="C124" i="3"/>
  <c r="V68" i="1"/>
  <c r="C110" i="3"/>
  <c r="T78" i="1"/>
  <c r="E236" i="3"/>
  <c r="E69" i="4"/>
  <c r="D156" i="3"/>
  <c r="D218" i="3"/>
  <c r="E218" i="3" s="1"/>
  <c r="Z69" i="1"/>
  <c r="D173" i="3" s="1"/>
  <c r="E173" i="3" s="1"/>
  <c r="F173" i="3" s="1"/>
  <c r="G173" i="3" s="1"/>
  <c r="C160" i="3"/>
  <c r="Y68" i="1"/>
  <c r="Y79" i="1" s="1"/>
  <c r="D64" i="4"/>
  <c r="E64" i="4" s="1"/>
  <c r="D137" i="3"/>
  <c r="AB69" i="1"/>
  <c r="AF77" i="1"/>
  <c r="I70" i="1"/>
  <c r="D195" i="4"/>
  <c r="AD74" i="2"/>
  <c r="U75" i="2"/>
  <c r="D88" i="4" s="1"/>
  <c r="E88" i="4" s="1"/>
  <c r="F78" i="4"/>
  <c r="J76" i="2"/>
  <c r="E61" i="3"/>
  <c r="F61" i="3" s="1"/>
  <c r="G61" i="3" s="1"/>
  <c r="E206" i="3"/>
  <c r="D81" i="4"/>
  <c r="E81" i="4" s="1"/>
  <c r="L77" i="1"/>
  <c r="D13" i="3" s="1"/>
  <c r="P47" i="1"/>
  <c r="G78" i="1"/>
  <c r="E244" i="3"/>
  <c r="E63" i="1"/>
  <c r="D183" i="3"/>
  <c r="E183" i="3" s="1"/>
  <c r="AA63" i="1"/>
  <c r="D76" i="3"/>
  <c r="N72" i="1"/>
  <c r="D32" i="3" s="1"/>
  <c r="E32" i="3" s="1"/>
  <c r="F32" i="3" s="1"/>
  <c r="G32" i="3" s="1"/>
  <c r="O78" i="1"/>
  <c r="D50" i="3" s="1"/>
  <c r="K73" i="1"/>
  <c r="K79" i="1" s="1"/>
  <c r="J78" i="1"/>
  <c r="H47" i="2"/>
  <c r="AD47" i="2"/>
  <c r="AD67" i="2"/>
  <c r="AD79" i="2" s="1"/>
  <c r="L69" i="2"/>
  <c r="W47" i="2"/>
  <c r="C18" i="3"/>
  <c r="E18" i="3" s="1"/>
  <c r="F18" i="3" s="1"/>
  <c r="G18" i="3" s="1"/>
  <c r="E155" i="4"/>
  <c r="D158" i="3"/>
  <c r="E26" i="4"/>
  <c r="D127" i="3"/>
  <c r="E127" i="3" s="1"/>
  <c r="F127" i="3" s="1"/>
  <c r="G127" i="3" s="1"/>
  <c r="E55" i="3"/>
  <c r="F55" i="3" s="1"/>
  <c r="G55" i="3" s="1"/>
  <c r="C179" i="3"/>
  <c r="Z75" i="1"/>
  <c r="D206" i="3"/>
  <c r="C148" i="3"/>
  <c r="X68" i="1"/>
  <c r="C241" i="3"/>
  <c r="AE77" i="1"/>
  <c r="E125" i="3"/>
  <c r="F125" i="3" s="1"/>
  <c r="D87" i="3"/>
  <c r="D230" i="3"/>
  <c r="AA70" i="1"/>
  <c r="P75" i="1"/>
  <c r="D59" i="3" s="1"/>
  <c r="E59" i="3" s="1"/>
  <c r="F59" i="3" s="1"/>
  <c r="G59" i="3" s="1"/>
  <c r="C65" i="3"/>
  <c r="Q69" i="1"/>
  <c r="Q79" i="1" s="1"/>
  <c r="E68" i="1"/>
  <c r="E79" i="1" s="1"/>
  <c r="O47" i="2"/>
  <c r="D123" i="3"/>
  <c r="E123" i="3" s="1"/>
  <c r="F123" i="3" s="1"/>
  <c r="G123" i="3" s="1"/>
  <c r="E144" i="3"/>
  <c r="F144" i="3" s="1"/>
  <c r="C141" i="4"/>
  <c r="E141" i="4" s="1"/>
  <c r="Z68" i="2"/>
  <c r="R74" i="1"/>
  <c r="C49" i="3"/>
  <c r="O77" i="1"/>
  <c r="B63" i="1"/>
  <c r="AB67" i="1"/>
  <c r="S74" i="1"/>
  <c r="C175" i="3"/>
  <c r="Z71" i="1"/>
  <c r="F63" i="1"/>
  <c r="D195" i="3"/>
  <c r="AB63" i="1"/>
  <c r="D88" i="3"/>
  <c r="D245" i="3"/>
  <c r="E245" i="3" s="1"/>
  <c r="D138" i="3"/>
  <c r="D188" i="3"/>
  <c r="D81" i="3"/>
  <c r="E81" i="3" s="1"/>
  <c r="F81" i="3" s="1"/>
  <c r="G81" i="3" s="1"/>
  <c r="D238" i="3"/>
  <c r="E238" i="3" s="1"/>
  <c r="D131" i="3"/>
  <c r="E131" i="3" s="1"/>
  <c r="F131" i="3" s="1"/>
  <c r="G131" i="3" s="1"/>
  <c r="D181" i="3"/>
  <c r="E181" i="3" s="1"/>
  <c r="D74" i="3"/>
  <c r="C67" i="1"/>
  <c r="L71" i="1"/>
  <c r="D7" i="3" s="1"/>
  <c r="O72" i="1"/>
  <c r="V73" i="1"/>
  <c r="I67" i="2"/>
  <c r="I79" i="2" s="1"/>
  <c r="I47" i="2"/>
  <c r="AE67" i="2"/>
  <c r="AE79" i="2" s="1"/>
  <c r="AE47" i="2"/>
  <c r="M69" i="2"/>
  <c r="Z70" i="2"/>
  <c r="D143" i="4" s="1"/>
  <c r="E143" i="4" s="1"/>
  <c r="Q71" i="2"/>
  <c r="D36" i="4" s="1"/>
  <c r="E36" i="4" s="1"/>
  <c r="H72" i="2"/>
  <c r="AD72" i="2"/>
  <c r="D193" i="4" s="1"/>
  <c r="E193" i="4" s="1"/>
  <c r="U73" i="2"/>
  <c r="D86" i="4" s="1"/>
  <c r="E86" i="4" s="1"/>
  <c r="C75" i="2"/>
  <c r="P76" i="2"/>
  <c r="D29" i="4" s="1"/>
  <c r="E29" i="4" s="1"/>
  <c r="Z63" i="2"/>
  <c r="C165" i="3"/>
  <c r="E165" i="3" s="1"/>
  <c r="F165" i="3" s="1"/>
  <c r="G165" i="3" s="1"/>
  <c r="C134" i="4"/>
  <c r="E134" i="4" s="1"/>
  <c r="D65" i="3"/>
  <c r="D227" i="3"/>
  <c r="E227" i="3" s="1"/>
  <c r="G47" i="1"/>
  <c r="AE63" i="1"/>
  <c r="X69" i="1"/>
  <c r="W76" i="1"/>
  <c r="M67" i="1"/>
  <c r="F42" i="4"/>
  <c r="D49" i="3"/>
  <c r="C84" i="3"/>
  <c r="R76" i="1"/>
  <c r="F94" i="4"/>
  <c r="G125" i="3"/>
  <c r="C203" i="3"/>
  <c r="AB75" i="1"/>
  <c r="D203" i="3" s="1"/>
  <c r="C96" i="3"/>
  <c r="S76" i="1"/>
  <c r="D96" i="3" s="1"/>
  <c r="D128" i="4"/>
  <c r="E128" i="4" s="1"/>
  <c r="Y67" i="2"/>
  <c r="Y79" i="2" s="1"/>
  <c r="O73" i="2"/>
  <c r="D14" i="4" s="1"/>
  <c r="E14" i="4" s="1"/>
  <c r="V67" i="1"/>
  <c r="D95" i="4"/>
  <c r="U63" i="2"/>
  <c r="D161" i="3"/>
  <c r="C246" i="3"/>
  <c r="AF70" i="1"/>
  <c r="C34" i="4"/>
  <c r="Q69" i="2"/>
  <c r="D250" i="3"/>
  <c r="E250" i="3" s="1"/>
  <c r="D143" i="3"/>
  <c r="E143" i="3" s="1"/>
  <c r="F143" i="3" s="1"/>
  <c r="G143" i="3" s="1"/>
  <c r="D193" i="3"/>
  <c r="E193" i="3" s="1"/>
  <c r="D86" i="3"/>
  <c r="E86" i="3" s="1"/>
  <c r="F86" i="3" s="1"/>
  <c r="G86" i="3" s="1"/>
  <c r="O63" i="1"/>
  <c r="D67" i="1"/>
  <c r="D79" i="1" s="1"/>
  <c r="N70" i="1"/>
  <c r="D30" i="3" s="1"/>
  <c r="E30" i="3" s="1"/>
  <c r="F30" i="3" s="1"/>
  <c r="G30" i="3" s="1"/>
  <c r="X73" i="1"/>
  <c r="D153" i="3" s="1"/>
  <c r="E153" i="3" s="1"/>
  <c r="F153" i="3" s="1"/>
  <c r="G153" i="3" s="1"/>
  <c r="D74" i="1"/>
  <c r="J67" i="2"/>
  <c r="J47" i="2"/>
  <c r="AF47" i="2"/>
  <c r="N63" i="2"/>
  <c r="D96" i="4"/>
  <c r="D172" i="3"/>
  <c r="D20" i="4"/>
  <c r="E20" i="4" s="1"/>
  <c r="AF47" i="1"/>
  <c r="C3" i="3"/>
  <c r="L67" i="1"/>
  <c r="E79" i="3"/>
  <c r="F79" i="3" s="1"/>
  <c r="S79" i="2"/>
  <c r="D178" i="4"/>
  <c r="S63" i="2"/>
  <c r="D80" i="3"/>
  <c r="Z76" i="1"/>
  <c r="D180" i="3" s="1"/>
  <c r="E180" i="3" s="1"/>
  <c r="D45" i="4"/>
  <c r="D254" i="3"/>
  <c r="V63" i="2"/>
  <c r="C37" i="3"/>
  <c r="N77" i="1"/>
  <c r="D37" i="3" s="1"/>
  <c r="D69" i="4"/>
  <c r="C191" i="4"/>
  <c r="AD70" i="2"/>
  <c r="AF68" i="1"/>
  <c r="E156" i="3"/>
  <c r="F156" i="3" s="1"/>
  <c r="G156" i="3" s="1"/>
  <c r="H63" i="2"/>
  <c r="S47" i="1"/>
  <c r="Y47" i="1"/>
  <c r="G63" i="1"/>
  <c r="D207" i="3"/>
  <c r="AC63" i="1"/>
  <c r="D100" i="3"/>
  <c r="D150" i="3"/>
  <c r="D200" i="3"/>
  <c r="D93" i="3"/>
  <c r="E93" i="3" s="1"/>
  <c r="F93" i="3" s="1"/>
  <c r="G93" i="3" s="1"/>
  <c r="Z47" i="1"/>
  <c r="AD63" i="1"/>
  <c r="D162" i="3"/>
  <c r="D212" i="3"/>
  <c r="E212" i="3" s="1"/>
  <c r="D105" i="3"/>
  <c r="D155" i="3"/>
  <c r="D48" i="3"/>
  <c r="D205" i="3"/>
  <c r="D98" i="3"/>
  <c r="E98" i="3" s="1"/>
  <c r="F98" i="3" s="1"/>
  <c r="G98" i="3" s="1"/>
  <c r="E33" i="3"/>
  <c r="F33" i="3" s="1"/>
  <c r="G33" i="3" s="1"/>
  <c r="K47" i="2"/>
  <c r="D8" i="4"/>
  <c r="E8" i="4" s="1"/>
  <c r="O63" i="2"/>
  <c r="U71" i="2"/>
  <c r="D84" i="4" s="1"/>
  <c r="E84" i="4" s="1"/>
  <c r="G74" i="2"/>
  <c r="F34" i="4"/>
  <c r="F104" i="4"/>
  <c r="D104" i="4"/>
  <c r="E104" i="4" s="1"/>
  <c r="F134" i="4"/>
  <c r="E24" i="3"/>
  <c r="F24" i="3" s="1"/>
  <c r="G24" i="3" s="1"/>
  <c r="F106" i="4"/>
  <c r="R79" i="1"/>
  <c r="E87" i="3"/>
  <c r="F87" i="3" s="1"/>
  <c r="G87" i="3" s="1"/>
  <c r="D232" i="3"/>
  <c r="Z70" i="1"/>
  <c r="D174" i="3" s="1"/>
  <c r="E174" i="3" s="1"/>
  <c r="F174" i="3" s="1"/>
  <c r="G174" i="3" s="1"/>
  <c r="D121" i="4"/>
  <c r="E121" i="4" s="1"/>
  <c r="S75" i="2"/>
  <c r="D130" i="3"/>
  <c r="E130" i="3" s="1"/>
  <c r="F130" i="3" s="1"/>
  <c r="G130" i="3" s="1"/>
  <c r="D73" i="3"/>
  <c r="E73" i="3" s="1"/>
  <c r="F73" i="3" s="1"/>
  <c r="G73" i="3" s="1"/>
  <c r="AA69" i="1"/>
  <c r="D185" i="3" s="1"/>
  <c r="E185" i="3" s="1"/>
  <c r="M74" i="1"/>
  <c r="D22" i="3" s="1"/>
  <c r="E22" i="3" s="1"/>
  <c r="F22" i="3" s="1"/>
  <c r="G22" i="3" s="1"/>
  <c r="AD77" i="1"/>
  <c r="D229" i="3" s="1"/>
  <c r="E229" i="3" s="1"/>
  <c r="Z68" i="1"/>
  <c r="Z79" i="1" s="1"/>
  <c r="C172" i="3"/>
  <c r="H70" i="1"/>
  <c r="C222" i="3"/>
  <c r="AD70" i="1"/>
  <c r="D222" i="3" s="1"/>
  <c r="C73" i="1"/>
  <c r="C158" i="3"/>
  <c r="X78" i="1"/>
  <c r="D142" i="3"/>
  <c r="E142" i="3" s="1"/>
  <c r="F142" i="3" s="1"/>
  <c r="G142" i="3" s="1"/>
  <c r="W67" i="1"/>
  <c r="AA76" i="1"/>
  <c r="D192" i="3" s="1"/>
  <c r="E192" i="3" s="1"/>
  <c r="C89" i="3"/>
  <c r="S69" i="1"/>
  <c r="S79" i="1" s="1"/>
  <c r="E115" i="4"/>
  <c r="U47" i="1"/>
  <c r="B74" i="1"/>
  <c r="B79" i="1" s="1"/>
  <c r="D231" i="3"/>
  <c r="E231" i="3" s="1"/>
  <c r="D124" i="3"/>
  <c r="D67" i="3"/>
  <c r="D117" i="3"/>
  <c r="D167" i="3"/>
  <c r="D217" i="3"/>
  <c r="D110" i="3"/>
  <c r="Q77" i="1"/>
  <c r="L67" i="2"/>
  <c r="L47" i="2"/>
  <c r="P63" i="2"/>
  <c r="D177" i="4"/>
  <c r="AC63" i="2"/>
  <c r="D70" i="4"/>
  <c r="E70" i="4" s="1"/>
  <c r="D120" i="4"/>
  <c r="D13" i="4"/>
  <c r="F53" i="4"/>
  <c r="E205" i="3"/>
  <c r="C43" i="3"/>
  <c r="O71" i="1"/>
  <c r="D43" i="3" s="1"/>
  <c r="D239" i="3"/>
  <c r="E239" i="3" s="1"/>
  <c r="C67" i="3"/>
  <c r="Q71" i="1"/>
  <c r="D44" i="3"/>
  <c r="E44" i="3" s="1"/>
  <c r="F44" i="3" s="1"/>
  <c r="G44" i="3" s="1"/>
  <c r="T68" i="1"/>
  <c r="Y76" i="1"/>
  <c r="D168" i="3" s="1"/>
  <c r="E168" i="3" s="1"/>
  <c r="F168" i="3" s="1"/>
  <c r="G168" i="3" s="1"/>
  <c r="D114" i="4"/>
  <c r="C108" i="3"/>
  <c r="T76" i="1"/>
  <c r="D108" i="3" s="1"/>
  <c r="K77" i="1"/>
  <c r="T63" i="2"/>
  <c r="D92" i="3"/>
  <c r="D85" i="3"/>
  <c r="E85" i="3" s="1"/>
  <c r="F85" i="3" s="1"/>
  <c r="G85" i="3" s="1"/>
  <c r="AC70" i="1"/>
  <c r="D210" i="3" s="1"/>
  <c r="E210" i="3" s="1"/>
  <c r="D111" i="3"/>
  <c r="E111" i="3" s="1"/>
  <c r="F111" i="3" s="1"/>
  <c r="G111" i="3" s="1"/>
  <c r="L73" i="1"/>
  <c r="D9" i="3" s="1"/>
  <c r="E9" i="3" s="1"/>
  <c r="F9" i="3" s="1"/>
  <c r="G9" i="3" s="1"/>
  <c r="D236" i="3"/>
  <c r="D179" i="3"/>
  <c r="S63" i="1"/>
  <c r="R71" i="1"/>
  <c r="AB73" i="1"/>
  <c r="D201" i="3" s="1"/>
  <c r="E201" i="3" s="1"/>
  <c r="R77" i="1"/>
  <c r="U78" i="1"/>
  <c r="D122" i="3" s="1"/>
  <c r="E122" i="3" s="1"/>
  <c r="F122" i="3" s="1"/>
  <c r="G122" i="3" s="1"/>
  <c r="H69" i="1"/>
  <c r="E114" i="3"/>
  <c r="F114" i="3" s="1"/>
  <c r="G114" i="3" s="1"/>
  <c r="E7" i="3"/>
  <c r="F7" i="3" s="1"/>
  <c r="E57" i="3"/>
  <c r="F57" i="3" s="1"/>
  <c r="G57" i="3" s="1"/>
  <c r="G74" i="1"/>
  <c r="G79" i="1" s="1"/>
  <c r="C214" i="3"/>
  <c r="AC74" i="1"/>
  <c r="D214" i="3" s="1"/>
  <c r="E107" i="3"/>
  <c r="F107" i="3" s="1"/>
  <c r="G107" i="3" s="1"/>
  <c r="E157" i="3"/>
  <c r="F157" i="3" s="1"/>
  <c r="G157" i="3" s="1"/>
  <c r="E50" i="3"/>
  <c r="F50" i="3" s="1"/>
  <c r="G50" i="3" s="1"/>
  <c r="E207" i="3"/>
  <c r="M47" i="2"/>
  <c r="D47" i="2"/>
  <c r="D189" i="4"/>
  <c r="E189" i="4" s="1"/>
  <c r="C204" i="4"/>
  <c r="AE71" i="2"/>
  <c r="C147" i="4"/>
  <c r="Z74" i="2"/>
  <c r="C40" i="4"/>
  <c r="Q75" i="2"/>
  <c r="C197" i="4"/>
  <c r="AD76" i="2"/>
  <c r="C90" i="4"/>
  <c r="U77" i="2"/>
  <c r="D90" i="4" s="1"/>
  <c r="G7" i="3"/>
  <c r="C136" i="3"/>
  <c r="E136" i="3" s="1"/>
  <c r="F136" i="3" s="1"/>
  <c r="G136" i="3" s="1"/>
  <c r="E188" i="4"/>
  <c r="E200" i="3"/>
  <c r="D170" i="3"/>
  <c r="D139" i="3"/>
  <c r="C217" i="3"/>
  <c r="AC77" i="1"/>
  <c r="D94" i="3"/>
  <c r="O69" i="1"/>
  <c r="C41" i="3"/>
  <c r="S71" i="1"/>
  <c r="C91" i="3"/>
  <c r="W73" i="1"/>
  <c r="C141" i="3"/>
  <c r="C191" i="3"/>
  <c r="AA75" i="1"/>
  <c r="D175" i="3"/>
  <c r="D187" i="3"/>
  <c r="D133" i="4"/>
  <c r="D42" i="3"/>
  <c r="E42" i="3" s="1"/>
  <c r="F42" i="3" s="1"/>
  <c r="G42" i="3" s="1"/>
  <c r="D199" i="3"/>
  <c r="E199" i="3" s="1"/>
  <c r="Q74" i="1"/>
  <c r="D70" i="3" s="1"/>
  <c r="E70" i="3" s="1"/>
  <c r="F70" i="3" s="1"/>
  <c r="G70" i="3" s="1"/>
  <c r="AC76" i="1"/>
  <c r="D216" i="3" s="1"/>
  <c r="E216" i="3" s="1"/>
  <c r="C101" i="3"/>
  <c r="T69" i="1"/>
  <c r="D101" i="3" s="1"/>
  <c r="B71" i="1"/>
  <c r="E194" i="3"/>
  <c r="V47" i="1"/>
  <c r="U72" i="1"/>
  <c r="D79" i="3"/>
  <c r="Z74" i="1"/>
  <c r="H76" i="1"/>
  <c r="D148" i="3"/>
  <c r="D41" i="3"/>
  <c r="D198" i="3"/>
  <c r="D91" i="3"/>
  <c r="D248" i="3"/>
  <c r="D141" i="3"/>
  <c r="D191" i="3"/>
  <c r="D84" i="3"/>
  <c r="D241" i="3"/>
  <c r="D134" i="3"/>
  <c r="T63" i="1"/>
  <c r="N67" i="1"/>
  <c r="T71" i="1"/>
  <c r="D103" i="3" s="1"/>
  <c r="E103" i="3" s="1"/>
  <c r="F103" i="3" s="1"/>
  <c r="G103" i="3" s="1"/>
  <c r="AC73" i="1"/>
  <c r="D213" i="3" s="1"/>
  <c r="E213" i="3" s="1"/>
  <c r="W78" i="1"/>
  <c r="E76" i="3"/>
  <c r="F76" i="3" s="1"/>
  <c r="C233" i="3"/>
  <c r="AE69" i="1"/>
  <c r="D233" i="3" s="1"/>
  <c r="E19" i="3"/>
  <c r="F19" i="3" s="1"/>
  <c r="E69" i="3"/>
  <c r="F69" i="3" s="1"/>
  <c r="C226" i="3"/>
  <c r="AD74" i="1"/>
  <c r="C119" i="3"/>
  <c r="U75" i="1"/>
  <c r="D119" i="3" s="1"/>
  <c r="E12" i="3"/>
  <c r="F12" i="3" s="1"/>
  <c r="G12" i="3" s="1"/>
  <c r="C77" i="1"/>
  <c r="E169" i="3"/>
  <c r="F169" i="3" s="1"/>
  <c r="G169" i="3" s="1"/>
  <c r="E62" i="3"/>
  <c r="F62" i="3" s="1"/>
  <c r="G62" i="3" s="1"/>
  <c r="H67" i="1"/>
  <c r="H79" i="1" s="1"/>
  <c r="N67" i="2"/>
  <c r="N79" i="2" s="1"/>
  <c r="E47" i="2"/>
  <c r="AA47" i="2"/>
  <c r="E209" i="4"/>
  <c r="E150" i="3"/>
  <c r="F150" i="3" s="1"/>
  <c r="G150" i="3" s="1"/>
  <c r="F24" i="4"/>
  <c r="F56" i="4"/>
  <c r="F124" i="4"/>
  <c r="D196" i="3"/>
  <c r="X63" i="1"/>
  <c r="D208" i="3"/>
  <c r="E208" i="3" s="1"/>
  <c r="C72" i="3"/>
  <c r="Q76" i="1"/>
  <c r="D72" i="3" s="1"/>
  <c r="T67" i="1"/>
  <c r="D118" i="3"/>
  <c r="D221" i="4"/>
  <c r="E221" i="4" s="1"/>
  <c r="E8" i="3"/>
  <c r="F8" i="3" s="1"/>
  <c r="G8" i="3" s="1"/>
  <c r="D140" i="4"/>
  <c r="E140" i="4" s="1"/>
  <c r="F10" i="4"/>
  <c r="D145" i="4"/>
  <c r="D97" i="3"/>
  <c r="P74" i="1"/>
  <c r="D58" i="3" s="1"/>
  <c r="J70" i="1"/>
  <c r="X67" i="2"/>
  <c r="X79" i="2" s="1"/>
  <c r="P47" i="2"/>
  <c r="C6" i="3"/>
  <c r="L70" i="1"/>
  <c r="D6" i="3" s="1"/>
  <c r="C163" i="3"/>
  <c r="Y71" i="1"/>
  <c r="D163" i="3" s="1"/>
  <c r="C56" i="3"/>
  <c r="P72" i="1"/>
  <c r="D56" i="3" s="1"/>
  <c r="C106" i="3"/>
  <c r="T74" i="1"/>
  <c r="D106" i="3" s="1"/>
  <c r="F78" i="1"/>
  <c r="F79" i="1" s="1"/>
  <c r="C74" i="1"/>
  <c r="D243" i="3"/>
  <c r="D255" i="3" s="1"/>
  <c r="D129" i="3"/>
  <c r="E129" i="3" s="1"/>
  <c r="F129" i="3" s="1"/>
  <c r="G129" i="3" s="1"/>
  <c r="X67" i="1"/>
  <c r="N73" i="1"/>
  <c r="D33" i="3" s="1"/>
  <c r="E74" i="1"/>
  <c r="AA74" i="1"/>
  <c r="Y63" i="1"/>
  <c r="D253" i="3"/>
  <c r="E253" i="3" s="1"/>
  <c r="D146" i="3"/>
  <c r="E146" i="3" s="1"/>
  <c r="F146" i="3" s="1"/>
  <c r="G146" i="3" s="1"/>
  <c r="U63" i="1"/>
  <c r="O67" i="1"/>
  <c r="M69" i="1"/>
  <c r="D17" i="3" s="1"/>
  <c r="E17" i="3" s="1"/>
  <c r="F17" i="3" s="1"/>
  <c r="G17" i="3" s="1"/>
  <c r="U71" i="1"/>
  <c r="U79" i="1" s="1"/>
  <c r="AD73" i="1"/>
  <c r="D225" i="3" s="1"/>
  <c r="E225" i="3" s="1"/>
  <c r="E88" i="3"/>
  <c r="F88" i="3" s="1"/>
  <c r="G88" i="3" s="1"/>
  <c r="E74" i="3"/>
  <c r="F74" i="3" s="1"/>
  <c r="O67" i="2"/>
  <c r="F47" i="2"/>
  <c r="AB47" i="2"/>
  <c r="AB68" i="2"/>
  <c r="P68" i="2"/>
  <c r="D21" i="4" s="1"/>
  <c r="C21" i="4"/>
  <c r="E21" i="4" s="1"/>
  <c r="G69" i="2"/>
  <c r="D132" i="3"/>
  <c r="E132" i="3" s="1"/>
  <c r="F132" i="3" s="1"/>
  <c r="G132" i="3" s="1"/>
  <c r="D182" i="3"/>
  <c r="E182" i="3" s="1"/>
  <c r="AA73" i="1"/>
  <c r="D189" i="3" s="1"/>
  <c r="E189" i="3" s="1"/>
  <c r="E20" i="3"/>
  <c r="F20" i="3" s="1"/>
  <c r="G20" i="3" s="1"/>
  <c r="E13" i="3"/>
  <c r="F13" i="3" s="1"/>
  <c r="G13" i="3" s="1"/>
  <c r="E170" i="3"/>
  <c r="F170" i="3" s="1"/>
  <c r="G170" i="3" s="1"/>
  <c r="Q67" i="2"/>
  <c r="H68" i="2"/>
  <c r="L70" i="2"/>
  <c r="T74" i="2"/>
  <c r="K75" i="2"/>
  <c r="B76" i="2"/>
  <c r="D122" i="4"/>
  <c r="Z71" i="2"/>
  <c r="B68" i="2"/>
  <c r="E117" i="4"/>
  <c r="E10" i="4"/>
  <c r="E167" i="4"/>
  <c r="E60" i="4"/>
  <c r="J72" i="2"/>
  <c r="C217" i="4"/>
  <c r="AF72" i="2"/>
  <c r="D217" i="4" s="1"/>
  <c r="C110" i="4"/>
  <c r="W73" i="2"/>
  <c r="D110" i="4" s="1"/>
  <c r="C160" i="4"/>
  <c r="AA75" i="2"/>
  <c r="D160" i="4" s="1"/>
  <c r="F110" i="4"/>
  <c r="F135" i="4"/>
  <c r="E4" i="4"/>
  <c r="E82" i="3"/>
  <c r="F82" i="3" s="1"/>
  <c r="G82" i="3" s="1"/>
  <c r="E75" i="3"/>
  <c r="F75" i="3" s="1"/>
  <c r="G75" i="3" s="1"/>
  <c r="M63" i="2"/>
  <c r="D63" i="2"/>
  <c r="D141" i="4"/>
  <c r="D34" i="4"/>
  <c r="D191" i="4"/>
  <c r="D127" i="4"/>
  <c r="E127" i="4" s="1"/>
  <c r="C68" i="2"/>
  <c r="E129" i="4"/>
  <c r="K72" i="2"/>
  <c r="B73" i="2"/>
  <c r="C122" i="4"/>
  <c r="E122" i="4" s="1"/>
  <c r="X73" i="2"/>
  <c r="C15" i="4"/>
  <c r="O74" i="2"/>
  <c r="F75" i="2"/>
  <c r="C172" i="4"/>
  <c r="AB75" i="2"/>
  <c r="D172" i="4" s="1"/>
  <c r="D165" i="4"/>
  <c r="E165" i="4" s="1"/>
  <c r="AB63" i="2"/>
  <c r="D58" i="4"/>
  <c r="E58" i="4" s="1"/>
  <c r="D215" i="4"/>
  <c r="E215" i="4" s="1"/>
  <c r="D108" i="4"/>
  <c r="D158" i="4"/>
  <c r="D51" i="4"/>
  <c r="E51" i="4" s="1"/>
  <c r="D208" i="4"/>
  <c r="D101" i="4"/>
  <c r="D151" i="4"/>
  <c r="E68" i="2"/>
  <c r="C153" i="4"/>
  <c r="AA68" i="2"/>
  <c r="D153" i="4" s="1"/>
  <c r="E96" i="4"/>
  <c r="D73" i="2"/>
  <c r="C146" i="4"/>
  <c r="Z73" i="2"/>
  <c r="D146" i="4" s="1"/>
  <c r="Q74" i="2"/>
  <c r="D39" i="4" s="1"/>
  <c r="H75" i="2"/>
  <c r="C196" i="4"/>
  <c r="AD75" i="2"/>
  <c r="D196" i="4" s="1"/>
  <c r="C89" i="4"/>
  <c r="U76" i="2"/>
  <c r="D89" i="4" s="1"/>
  <c r="E139" i="4"/>
  <c r="F48" i="4"/>
  <c r="G79" i="3"/>
  <c r="F98" i="4"/>
  <c r="D170" i="4"/>
  <c r="E170" i="4" s="1"/>
  <c r="D63" i="4"/>
  <c r="D220" i="4"/>
  <c r="D113" i="4"/>
  <c r="D163" i="4"/>
  <c r="F72" i="4"/>
  <c r="D32" i="4"/>
  <c r="E32" i="4" s="1"/>
  <c r="D82" i="4"/>
  <c r="D132" i="4"/>
  <c r="E132" i="4" s="1"/>
  <c r="D182" i="4"/>
  <c r="D75" i="4"/>
  <c r="E75" i="4" s="1"/>
  <c r="D125" i="4"/>
  <c r="E125" i="4" s="1"/>
  <c r="D18" i="4"/>
  <c r="E18" i="4" s="1"/>
  <c r="D175" i="4"/>
  <c r="E175" i="4" s="1"/>
  <c r="E6" i="4"/>
  <c r="E35" i="3"/>
  <c r="F35" i="3" s="1"/>
  <c r="D44" i="4"/>
  <c r="E44" i="4" s="1"/>
  <c r="D144" i="4"/>
  <c r="D37" i="4"/>
  <c r="D194" i="4"/>
  <c r="D137" i="4"/>
  <c r="D187" i="4"/>
  <c r="E187" i="4" s="1"/>
  <c r="AC70" i="2"/>
  <c r="D179" i="4" s="1"/>
  <c r="E179" i="4" s="1"/>
  <c r="E82" i="4"/>
  <c r="E182" i="4"/>
  <c r="F25" i="4"/>
  <c r="F61" i="4"/>
  <c r="C39" i="4"/>
  <c r="D166" i="3"/>
  <c r="E166" i="3" s="1"/>
  <c r="F166" i="3" s="1"/>
  <c r="G166" i="3" s="1"/>
  <c r="D109" i="3"/>
  <c r="E109" i="3" s="1"/>
  <c r="F109" i="3" s="1"/>
  <c r="G109" i="3" s="1"/>
  <c r="E4" i="3"/>
  <c r="F4" i="3" s="1"/>
  <c r="G4" i="3" s="1"/>
  <c r="E161" i="3"/>
  <c r="F161" i="3" s="1"/>
  <c r="G161" i="3" s="1"/>
  <c r="E211" i="3"/>
  <c r="E154" i="3"/>
  <c r="F154" i="3" s="1"/>
  <c r="G154" i="3" s="1"/>
  <c r="E97" i="3"/>
  <c r="F97" i="3" s="1"/>
  <c r="G97" i="3" s="1"/>
  <c r="E254" i="3"/>
  <c r="B47" i="2"/>
  <c r="X47" i="2"/>
  <c r="D56" i="4"/>
  <c r="E56" i="4" s="1"/>
  <c r="D106" i="4"/>
  <c r="D199" i="4"/>
  <c r="I68" i="2"/>
  <c r="C201" i="4"/>
  <c r="AE68" i="2"/>
  <c r="D201" i="4" s="1"/>
  <c r="C94" i="4"/>
  <c r="V69" i="2"/>
  <c r="D94" i="4" s="1"/>
  <c r="M70" i="2"/>
  <c r="E144" i="4"/>
  <c r="E37" i="4"/>
  <c r="E194" i="4"/>
  <c r="U74" i="2"/>
  <c r="D87" i="4" s="1"/>
  <c r="C87" i="4"/>
  <c r="L75" i="2"/>
  <c r="C76" i="2"/>
  <c r="C137" i="4"/>
  <c r="Y76" i="2"/>
  <c r="C30" i="4"/>
  <c r="P77" i="2"/>
  <c r="D30" i="4" s="1"/>
  <c r="G78" i="2"/>
  <c r="C80" i="4"/>
  <c r="U67" i="2"/>
  <c r="C92" i="3"/>
  <c r="F141" i="4"/>
  <c r="D66" i="3"/>
  <c r="E66" i="3" s="1"/>
  <c r="F66" i="3" s="1"/>
  <c r="G66" i="3" s="1"/>
  <c r="D223" i="3"/>
  <c r="E223" i="3" s="1"/>
  <c r="D116" i="3"/>
  <c r="E116" i="3" s="1"/>
  <c r="F116" i="3" s="1"/>
  <c r="G116" i="3" s="1"/>
  <c r="D135" i="3"/>
  <c r="E135" i="3" s="1"/>
  <c r="F135" i="3" s="1"/>
  <c r="G135" i="3" s="1"/>
  <c r="D78" i="3"/>
  <c r="E78" i="3" s="1"/>
  <c r="F78" i="3" s="1"/>
  <c r="G78" i="3" s="1"/>
  <c r="D235" i="3"/>
  <c r="E235" i="3" s="1"/>
  <c r="D128" i="3"/>
  <c r="E128" i="3" s="1"/>
  <c r="F128" i="3" s="1"/>
  <c r="G128" i="3" s="1"/>
  <c r="D178" i="3"/>
  <c r="E178" i="3" s="1"/>
  <c r="D71" i="3"/>
  <c r="E71" i="3" s="1"/>
  <c r="F71" i="3" s="1"/>
  <c r="G71" i="3" s="1"/>
  <c r="D228" i="3"/>
  <c r="E228" i="3" s="1"/>
  <c r="D121" i="3"/>
  <c r="M77" i="1"/>
  <c r="D25" i="3" s="1"/>
  <c r="E25" i="3" s="1"/>
  <c r="F25" i="3" s="1"/>
  <c r="G25" i="3" s="1"/>
  <c r="AF78" i="1"/>
  <c r="C47" i="2"/>
  <c r="Y47" i="2"/>
  <c r="N78" i="2"/>
  <c r="D7" i="4" s="1"/>
  <c r="D168" i="4"/>
  <c r="D61" i="4"/>
  <c r="D218" i="4"/>
  <c r="D111" i="4"/>
  <c r="D161" i="4"/>
  <c r="D54" i="4"/>
  <c r="D211" i="4"/>
  <c r="P69" i="2"/>
  <c r="D22" i="4" s="1"/>
  <c r="E22" i="4" s="1"/>
  <c r="AE70" i="2"/>
  <c r="D203" i="4" s="1"/>
  <c r="E203" i="4" s="1"/>
  <c r="R76" i="2"/>
  <c r="D53" i="4" s="1"/>
  <c r="E53" i="4" s="1"/>
  <c r="J68" i="2"/>
  <c r="C213" i="4"/>
  <c r="AF68" i="2"/>
  <c r="D213" i="4" s="1"/>
  <c r="W69" i="2"/>
  <c r="C106" i="4"/>
  <c r="N70" i="2"/>
  <c r="E71" i="2"/>
  <c r="C156" i="4"/>
  <c r="E156" i="4" s="1"/>
  <c r="AA71" i="2"/>
  <c r="D156" i="4" s="1"/>
  <c r="C49" i="4"/>
  <c r="R72" i="2"/>
  <c r="D49" i="4" s="1"/>
  <c r="I73" i="2"/>
  <c r="AE73" i="2"/>
  <c r="D206" i="4" s="1"/>
  <c r="C206" i="4"/>
  <c r="C99" i="4"/>
  <c r="V74" i="2"/>
  <c r="D99" i="4" s="1"/>
  <c r="M75" i="2"/>
  <c r="D76" i="2"/>
  <c r="C149" i="4"/>
  <c r="Z76" i="2"/>
  <c r="D149" i="4" s="1"/>
  <c r="C42" i="4"/>
  <c r="Q77" i="2"/>
  <c r="D42" i="4" s="1"/>
  <c r="H78" i="2"/>
  <c r="C199" i="4"/>
  <c r="E199" i="4" s="1"/>
  <c r="AD78" i="2"/>
  <c r="D197" i="3"/>
  <c r="D247" i="3"/>
  <c r="D140" i="3"/>
  <c r="D190" i="3"/>
  <c r="D240" i="3"/>
  <c r="E240" i="3" s="1"/>
  <c r="D133" i="3"/>
  <c r="E133" i="3" s="1"/>
  <c r="F133" i="3" s="1"/>
  <c r="G133" i="3" s="1"/>
  <c r="E28" i="3"/>
  <c r="F28" i="3" s="1"/>
  <c r="E21" i="3"/>
  <c r="F21" i="3" s="1"/>
  <c r="G21" i="3" s="1"/>
  <c r="E121" i="3"/>
  <c r="F121" i="3" s="1"/>
  <c r="G121" i="3" s="1"/>
  <c r="E14" i="3"/>
  <c r="F14" i="3" s="1"/>
  <c r="G14" i="3" s="1"/>
  <c r="AD69" i="2"/>
  <c r="D190" i="4" s="1"/>
  <c r="E190" i="4" s="1"/>
  <c r="U70" i="2"/>
  <c r="L71" i="2"/>
  <c r="C72" i="2"/>
  <c r="L63" i="2"/>
  <c r="D130" i="4"/>
  <c r="D180" i="4"/>
  <c r="D73" i="4"/>
  <c r="D123" i="4"/>
  <c r="E123" i="4" s="1"/>
  <c r="D16" i="4"/>
  <c r="D173" i="4"/>
  <c r="D66" i="4"/>
  <c r="E66" i="4" s="1"/>
  <c r="D223" i="4"/>
  <c r="E223" i="4" s="1"/>
  <c r="AD73" i="2"/>
  <c r="S76" i="2"/>
  <c r="K68" i="2"/>
  <c r="K79" i="2" s="1"/>
  <c r="B69" i="2"/>
  <c r="X69" i="2"/>
  <c r="D118" i="4" s="1"/>
  <c r="C118" i="4"/>
  <c r="C11" i="4"/>
  <c r="O70" i="2"/>
  <c r="D11" i="4" s="1"/>
  <c r="F71" i="2"/>
  <c r="C168" i="4"/>
  <c r="E168" i="4" s="1"/>
  <c r="AB71" i="2"/>
  <c r="C61" i="4"/>
  <c r="S72" i="2"/>
  <c r="J73" i="2"/>
  <c r="C218" i="4"/>
  <c r="AF73" i="2"/>
  <c r="C111" i="4"/>
  <c r="W74" i="2"/>
  <c r="N75" i="2"/>
  <c r="D4" i="4" s="1"/>
  <c r="E76" i="2"/>
  <c r="AA76" i="2"/>
  <c r="C161" i="4"/>
  <c r="C54" i="4"/>
  <c r="R77" i="2"/>
  <c r="I78" i="2"/>
  <c r="C211" i="4"/>
  <c r="AE78" i="2"/>
  <c r="F16" i="4"/>
  <c r="G47" i="3"/>
  <c r="G69" i="3"/>
  <c r="E192" i="4"/>
  <c r="D159" i="3"/>
  <c r="E159" i="3" s="1"/>
  <c r="F159" i="3" s="1"/>
  <c r="G159" i="3" s="1"/>
  <c r="D209" i="3"/>
  <c r="E209" i="3" s="1"/>
  <c r="D152" i="3"/>
  <c r="D45" i="3"/>
  <c r="D95" i="3"/>
  <c r="D252" i="3"/>
  <c r="D145" i="3"/>
  <c r="E145" i="3" s="1"/>
  <c r="F145" i="3" s="1"/>
  <c r="G145" i="3" s="1"/>
  <c r="AA68" i="1"/>
  <c r="D184" i="3" s="1"/>
  <c r="E184" i="3" s="1"/>
  <c r="T72" i="1"/>
  <c r="D104" i="3" s="1"/>
  <c r="E104" i="3" s="1"/>
  <c r="F104" i="3" s="1"/>
  <c r="G104" i="3" s="1"/>
  <c r="M73" i="1"/>
  <c r="D21" i="3" s="1"/>
  <c r="E197" i="3"/>
  <c r="M71" i="2"/>
  <c r="Q73" i="2"/>
  <c r="D38" i="4" s="1"/>
  <c r="E38" i="4" s="1"/>
  <c r="Y77" i="2"/>
  <c r="D138" i="4" s="1"/>
  <c r="E138" i="4" s="1"/>
  <c r="D92" i="4"/>
  <c r="E92" i="4" s="1"/>
  <c r="D142" i="4"/>
  <c r="E142" i="4" s="1"/>
  <c r="D35" i="4"/>
  <c r="E35" i="4" s="1"/>
  <c r="D192" i="4"/>
  <c r="D85" i="4"/>
  <c r="E85" i="4" s="1"/>
  <c r="D135" i="4"/>
  <c r="D185" i="4"/>
  <c r="D78" i="4"/>
  <c r="R69" i="2"/>
  <c r="R79" i="2" s="1"/>
  <c r="Q72" i="2"/>
  <c r="L68" i="2"/>
  <c r="E130" i="4"/>
  <c r="F76" i="2"/>
  <c r="E173" i="4"/>
  <c r="F39" i="4"/>
  <c r="F89" i="4"/>
  <c r="F116" i="4"/>
  <c r="F143" i="4"/>
  <c r="D40" i="3"/>
  <c r="E40" i="3" s="1"/>
  <c r="F40" i="3" s="1"/>
  <c r="G40" i="3" s="1"/>
  <c r="D90" i="3"/>
  <c r="E90" i="3" s="1"/>
  <c r="F90" i="3" s="1"/>
  <c r="G90" i="3" s="1"/>
  <c r="D83" i="3"/>
  <c r="E83" i="3" s="1"/>
  <c r="F83" i="3" s="1"/>
  <c r="G83" i="3" s="1"/>
  <c r="D171" i="3"/>
  <c r="E171" i="3" s="1"/>
  <c r="F171" i="3" s="1"/>
  <c r="G171" i="3" s="1"/>
  <c r="D221" i="3"/>
  <c r="E221" i="3" s="1"/>
  <c r="D114" i="3"/>
  <c r="D164" i="3"/>
  <c r="E164" i="3" s="1"/>
  <c r="F164" i="3" s="1"/>
  <c r="G164" i="3" s="1"/>
  <c r="D107" i="3"/>
  <c r="D157" i="3"/>
  <c r="AB71" i="1"/>
  <c r="V76" i="1"/>
  <c r="E52" i="3"/>
  <c r="F52" i="3" s="1"/>
  <c r="E152" i="3"/>
  <c r="F152" i="3" s="1"/>
  <c r="E45" i="3"/>
  <c r="F45" i="3" s="1"/>
  <c r="C202" i="3"/>
  <c r="AB74" i="1"/>
  <c r="D202" i="3" s="1"/>
  <c r="E95" i="3"/>
  <c r="F95" i="3" s="1"/>
  <c r="G95" i="3" s="1"/>
  <c r="E195" i="3"/>
  <c r="D47" i="4"/>
  <c r="E47" i="4" s="1"/>
  <c r="D204" i="4"/>
  <c r="D97" i="4"/>
  <c r="E97" i="4" s="1"/>
  <c r="D147" i="4"/>
  <c r="D40" i="4"/>
  <c r="D197" i="4"/>
  <c r="M68" i="2"/>
  <c r="M79" i="2" s="1"/>
  <c r="D69" i="2"/>
  <c r="X72" i="2"/>
  <c r="E23" i="4"/>
  <c r="E180" i="4"/>
  <c r="E73" i="4"/>
  <c r="E16" i="4"/>
  <c r="D166" i="4"/>
  <c r="D59" i="4"/>
  <c r="D216" i="4"/>
  <c r="D109" i="4"/>
  <c r="E109" i="4" s="1"/>
  <c r="D159" i="4"/>
  <c r="E159" i="4" s="1"/>
  <c r="D102" i="4"/>
  <c r="E102" i="4" s="1"/>
  <c r="E135" i="4"/>
  <c r="E185" i="4"/>
  <c r="E78" i="4"/>
  <c r="E16" i="3"/>
  <c r="F16" i="3" s="1"/>
  <c r="G16" i="3" s="1"/>
  <c r="T67" i="2"/>
  <c r="V47" i="2"/>
  <c r="D33" i="4"/>
  <c r="D83" i="4"/>
  <c r="D183" i="4"/>
  <c r="D76" i="4"/>
  <c r="E76" i="4" s="1"/>
  <c r="D126" i="4"/>
  <c r="E126" i="4" s="1"/>
  <c r="D19" i="4"/>
  <c r="E19" i="4" s="1"/>
  <c r="Q70" i="2"/>
  <c r="E166" i="4"/>
  <c r="E59" i="4"/>
  <c r="E216" i="4"/>
  <c r="G19" i="3"/>
  <c r="F26" i="4"/>
  <c r="F99" i="4"/>
  <c r="E178" i="4"/>
  <c r="E114" i="4"/>
  <c r="E7" i="4"/>
  <c r="E164" i="4"/>
  <c r="G58" i="3"/>
  <c r="F57" i="4"/>
  <c r="E247" i="3"/>
  <c r="E140" i="3"/>
  <c r="F140" i="3" s="1"/>
  <c r="G140" i="3" s="1"/>
  <c r="E190" i="3"/>
  <c r="E26" i="3"/>
  <c r="F26" i="3" s="1"/>
  <c r="D164" i="4"/>
  <c r="D57" i="4"/>
  <c r="D214" i="4"/>
  <c r="D157" i="4"/>
  <c r="D50" i="4"/>
  <c r="D207" i="4"/>
  <c r="D100" i="4"/>
  <c r="D150" i="4"/>
  <c r="D43" i="4"/>
  <c r="Z69" i="2"/>
  <c r="E33" i="4"/>
  <c r="E83" i="4"/>
  <c r="E133" i="4"/>
  <c r="E183" i="4"/>
  <c r="F28" i="4"/>
  <c r="F129" i="4"/>
  <c r="E252" i="3"/>
  <c r="E38" i="3"/>
  <c r="F38" i="3" s="1"/>
  <c r="G38" i="3" s="1"/>
  <c r="D119" i="4"/>
  <c r="E119" i="4" s="1"/>
  <c r="D169" i="4"/>
  <c r="D219" i="4"/>
  <c r="D112" i="4"/>
  <c r="E112" i="4" s="1"/>
  <c r="D162" i="4"/>
  <c r="E162" i="4" s="1"/>
  <c r="D55" i="4"/>
  <c r="E55" i="4" s="1"/>
  <c r="T70" i="2"/>
  <c r="D71" i="4" s="1"/>
  <c r="E71" i="4" s="1"/>
  <c r="E45" i="4"/>
  <c r="E145" i="4"/>
  <c r="E195" i="4"/>
  <c r="C95" i="4"/>
  <c r="E95" i="4" s="1"/>
  <c r="D181" i="4"/>
  <c r="D74" i="4"/>
  <c r="D124" i="4"/>
  <c r="E124" i="4" s="1"/>
  <c r="D17" i="4"/>
  <c r="E17" i="4" s="1"/>
  <c r="D174" i="4"/>
  <c r="D67" i="4"/>
  <c r="E57" i="4"/>
  <c r="E214" i="4"/>
  <c r="E157" i="4"/>
  <c r="E50" i="4"/>
  <c r="E207" i="4"/>
  <c r="E100" i="4"/>
  <c r="E150" i="4"/>
  <c r="E43" i="4"/>
  <c r="F12" i="4"/>
  <c r="F76" i="4"/>
  <c r="D79" i="4"/>
  <c r="AC69" i="2"/>
  <c r="W77" i="2"/>
  <c r="P78" i="2"/>
  <c r="D31" i="4" s="1"/>
  <c r="E31" i="4" s="1"/>
  <c r="E5" i="4"/>
  <c r="F43" i="4"/>
  <c r="G74" i="3"/>
  <c r="G152" i="3"/>
  <c r="F121" i="4"/>
  <c r="E138" i="3"/>
  <c r="F138" i="3" s="1"/>
  <c r="G138" i="3" s="1"/>
  <c r="E31" i="3"/>
  <c r="F31" i="3" s="1"/>
  <c r="G31" i="3" s="1"/>
  <c r="E188" i="3"/>
  <c r="D212" i="4"/>
  <c r="D224" i="4" s="1"/>
  <c r="D48" i="4"/>
  <c r="D98" i="4"/>
  <c r="E98" i="4" s="1"/>
  <c r="D148" i="4"/>
  <c r="E148" i="4" s="1"/>
  <c r="D41" i="4"/>
  <c r="D198" i="4"/>
  <c r="D91" i="4"/>
  <c r="E91" i="4" s="1"/>
  <c r="W70" i="2"/>
  <c r="D107" i="4" s="1"/>
  <c r="E107" i="4" s="1"/>
  <c r="E24" i="4"/>
  <c r="E181" i="4"/>
  <c r="E74" i="4"/>
  <c r="F14" i="4"/>
  <c r="G45" i="3"/>
  <c r="F84" i="4"/>
  <c r="D117" i="4"/>
  <c r="D10" i="4"/>
  <c r="D167" i="4"/>
  <c r="D60" i="4"/>
  <c r="D210" i="4"/>
  <c r="E210" i="4" s="1"/>
  <c r="D103" i="4"/>
  <c r="AE69" i="2"/>
  <c r="D202" i="4" s="1"/>
  <c r="E202" i="4" s="1"/>
  <c r="AF76" i="2"/>
  <c r="E93" i="4"/>
  <c r="E186" i="4"/>
  <c r="F6" i="4"/>
  <c r="D126" i="3"/>
  <c r="E126" i="3" s="1"/>
  <c r="F126" i="3" s="1"/>
  <c r="G126" i="3" s="1"/>
  <c r="D176" i="3"/>
  <c r="E176" i="3" s="1"/>
  <c r="F176" i="3" s="1"/>
  <c r="D226" i="3"/>
  <c r="D169" i="3"/>
  <c r="E112" i="3"/>
  <c r="F112" i="3" s="1"/>
  <c r="G112" i="3" s="1"/>
  <c r="E5" i="3"/>
  <c r="F5" i="3" s="1"/>
  <c r="G5" i="3" s="1"/>
  <c r="E162" i="3"/>
  <c r="F162" i="3" s="1"/>
  <c r="E105" i="3"/>
  <c r="F105" i="3" s="1"/>
  <c r="E155" i="3"/>
  <c r="F155" i="3" s="1"/>
  <c r="G155" i="3" s="1"/>
  <c r="E48" i="3"/>
  <c r="F48" i="3" s="1"/>
  <c r="G48" i="3" s="1"/>
  <c r="E255" i="3"/>
  <c r="D129" i="4"/>
  <c r="D72" i="4"/>
  <c r="E72" i="4" s="1"/>
  <c r="D15" i="4"/>
  <c r="D65" i="4"/>
  <c r="E65" i="4" s="1"/>
  <c r="D222" i="4"/>
  <c r="E222" i="4" s="1"/>
  <c r="D115" i="4"/>
  <c r="O68" i="2"/>
  <c r="D9" i="4" s="1"/>
  <c r="E9" i="4" s="1"/>
  <c r="AF69" i="2"/>
  <c r="Y70" i="2"/>
  <c r="D131" i="4" s="1"/>
  <c r="E131" i="4" s="1"/>
  <c r="P75" i="2"/>
  <c r="D28" i="4" s="1"/>
  <c r="E28" i="4" s="1"/>
  <c r="Z77" i="2"/>
  <c r="E198" i="4"/>
  <c r="G51" i="3"/>
  <c r="E62" i="4"/>
  <c r="E169" i="4"/>
  <c r="E219" i="4"/>
  <c r="E212" i="4"/>
  <c r="G52" i="3"/>
  <c r="E174" i="4"/>
  <c r="E67" i="4"/>
  <c r="E224" i="4"/>
  <c r="F73" i="4"/>
  <c r="F101" i="4"/>
  <c r="E79" i="4"/>
  <c r="G34" i="3"/>
  <c r="E48" i="4"/>
  <c r="E41" i="4"/>
  <c r="F4" i="4"/>
  <c r="F95" i="4"/>
  <c r="E103" i="4"/>
  <c r="F54" i="4"/>
  <c r="G105" i="3"/>
  <c r="F80" i="4"/>
  <c r="G144" i="3"/>
  <c r="F113" i="4"/>
  <c r="F74" i="4"/>
  <c r="G26" i="3"/>
  <c r="F36" i="4"/>
  <c r="F50" i="4"/>
  <c r="G162" i="3"/>
  <c r="F131" i="4"/>
  <c r="E108" i="4"/>
  <c r="E158" i="4"/>
  <c r="E208" i="4"/>
  <c r="E101" i="4"/>
  <c r="E151" i="4"/>
  <c r="G35" i="3"/>
  <c r="F108" i="4"/>
  <c r="F120" i="4"/>
  <c r="G176" i="3"/>
  <c r="D134" i="4"/>
  <c r="D184" i="4"/>
  <c r="E184" i="4" s="1"/>
  <c r="E177" i="4"/>
  <c r="E120" i="4"/>
  <c r="E13" i="4"/>
  <c r="E63" i="4"/>
  <c r="E220" i="4"/>
  <c r="E113" i="4"/>
  <c r="E163" i="4"/>
  <c r="F32" i="4"/>
  <c r="G76" i="3"/>
  <c r="E25" i="4"/>
  <c r="F60" i="4"/>
  <c r="F118" i="4"/>
  <c r="F146" i="4"/>
  <c r="F58" i="4"/>
  <c r="F70" i="4"/>
  <c r="G118" i="3"/>
  <c r="F137" i="4"/>
  <c r="F142" i="4"/>
  <c r="F75" i="4"/>
  <c r="F92" i="4"/>
  <c r="F119" i="4"/>
  <c r="F132" i="4"/>
  <c r="F128" i="4"/>
  <c r="F213" i="3" l="1"/>
  <c r="B213" i="3"/>
  <c r="F223" i="3"/>
  <c r="B223" i="3"/>
  <c r="B201" i="3"/>
  <c r="F201" i="3"/>
  <c r="F242" i="3"/>
  <c r="B242" i="3"/>
  <c r="F218" i="3"/>
  <c r="B218" i="3"/>
  <c r="F253" i="3"/>
  <c r="B253" i="3"/>
  <c r="F250" i="3"/>
  <c r="B250" i="3"/>
  <c r="F249" i="3"/>
  <c r="B249" i="3"/>
  <c r="B240" i="3"/>
  <c r="F240" i="3"/>
  <c r="F237" i="3"/>
  <c r="B237" i="3"/>
  <c r="B235" i="3"/>
  <c r="F235" i="3"/>
  <c r="F199" i="3"/>
  <c r="B199" i="3"/>
  <c r="F183" i="3"/>
  <c r="B183" i="3"/>
  <c r="F184" i="3"/>
  <c r="B184" i="3"/>
  <c r="B209" i="3"/>
  <c r="F209" i="3"/>
  <c r="B189" i="3"/>
  <c r="F189" i="3"/>
  <c r="B234" i="3"/>
  <c r="F234" i="3"/>
  <c r="F182" i="3"/>
  <c r="B182" i="3"/>
  <c r="F227" i="3"/>
  <c r="B227" i="3"/>
  <c r="F181" i="3"/>
  <c r="B181" i="3"/>
  <c r="B185" i="3"/>
  <c r="F185" i="3"/>
  <c r="F225" i="3"/>
  <c r="B225" i="3"/>
  <c r="F210" i="3"/>
  <c r="B210" i="3"/>
  <c r="B229" i="3"/>
  <c r="F229" i="3"/>
  <c r="F228" i="3"/>
  <c r="B228" i="3"/>
  <c r="F216" i="3"/>
  <c r="B216" i="3"/>
  <c r="F251" i="3"/>
  <c r="B251" i="3"/>
  <c r="F231" i="3"/>
  <c r="B231" i="3"/>
  <c r="F192" i="3"/>
  <c r="B192" i="3"/>
  <c r="F238" i="3"/>
  <c r="B238" i="3"/>
  <c r="B204" i="3"/>
  <c r="F204" i="3"/>
  <c r="F239" i="3"/>
  <c r="B239" i="3"/>
  <c r="F180" i="3"/>
  <c r="B180" i="3"/>
  <c r="F221" i="3"/>
  <c r="B221" i="3"/>
  <c r="B178" i="3"/>
  <c r="F178" i="3"/>
  <c r="F212" i="3"/>
  <c r="B212" i="3"/>
  <c r="F215" i="3"/>
  <c r="B215" i="3"/>
  <c r="F193" i="3"/>
  <c r="B193" i="3"/>
  <c r="F208" i="3"/>
  <c r="B208" i="3"/>
  <c r="B200" i="3"/>
  <c r="F200" i="3"/>
  <c r="E224" i="3"/>
  <c r="D115" i="3"/>
  <c r="E115" i="3" s="1"/>
  <c r="F115" i="3" s="1"/>
  <c r="G115" i="3" s="1"/>
  <c r="D3" i="3"/>
  <c r="E3" i="3" s="1"/>
  <c r="F3" i="3" s="1"/>
  <c r="G3" i="3" s="1"/>
  <c r="L79" i="1"/>
  <c r="B244" i="3"/>
  <c r="F244" i="3"/>
  <c r="E27" i="4"/>
  <c r="E87" i="4"/>
  <c r="E160" i="4"/>
  <c r="F188" i="3"/>
  <c r="B188" i="3"/>
  <c r="AC79" i="1"/>
  <c r="E106" i="3"/>
  <c r="F106" i="3" s="1"/>
  <c r="G106" i="3" s="1"/>
  <c r="E149" i="4"/>
  <c r="D27" i="3"/>
  <c r="E27" i="3" s="1"/>
  <c r="F27" i="3" s="1"/>
  <c r="G27" i="3" s="1"/>
  <c r="N79" i="1"/>
  <c r="E42" i="4"/>
  <c r="F254" i="3"/>
  <c r="B254" i="3"/>
  <c r="F205" i="3"/>
  <c r="B205" i="3"/>
  <c r="O79" i="1"/>
  <c r="T79" i="1"/>
  <c r="E214" i="3"/>
  <c r="E108" i="3"/>
  <c r="F108" i="3" s="1"/>
  <c r="G108" i="3" s="1"/>
  <c r="E191" i="4"/>
  <c r="E161" i="4"/>
  <c r="E141" i="3"/>
  <c r="F141" i="3" s="1"/>
  <c r="G141" i="3" s="1"/>
  <c r="E201" i="4"/>
  <c r="E172" i="4"/>
  <c r="E91" i="3"/>
  <c r="F91" i="3" s="1"/>
  <c r="G91" i="3" s="1"/>
  <c r="E37" i="3"/>
  <c r="F37" i="3" s="1"/>
  <c r="G37" i="3" s="1"/>
  <c r="E84" i="3"/>
  <c r="F84" i="3" s="1"/>
  <c r="G84" i="3" s="1"/>
  <c r="E160" i="3"/>
  <c r="F160" i="3" s="1"/>
  <c r="G160" i="3" s="1"/>
  <c r="E151" i="3"/>
  <c r="F151" i="3" s="1"/>
  <c r="G151" i="3" s="1"/>
  <c r="F206" i="3"/>
  <c r="B206" i="3"/>
  <c r="E202" i="3"/>
  <c r="F197" i="3"/>
  <c r="B197" i="3"/>
  <c r="AA79" i="1"/>
  <c r="E146" i="4"/>
  <c r="E119" i="3"/>
  <c r="F119" i="3" s="1"/>
  <c r="G119" i="3" s="1"/>
  <c r="E197" i="4"/>
  <c r="W79" i="1"/>
  <c r="E246" i="3"/>
  <c r="AD79" i="1"/>
  <c r="E134" i="3"/>
  <c r="F134" i="3" s="1"/>
  <c r="G134" i="3" s="1"/>
  <c r="T79" i="2"/>
  <c r="E49" i="4"/>
  <c r="D68" i="4"/>
  <c r="E68" i="4" s="1"/>
  <c r="E39" i="4"/>
  <c r="E226" i="3"/>
  <c r="E40" i="4"/>
  <c r="D99" i="3"/>
  <c r="E99" i="3" s="1"/>
  <c r="F99" i="3" s="1"/>
  <c r="G99" i="3" s="1"/>
  <c r="E110" i="3"/>
  <c r="F110" i="3" s="1"/>
  <c r="G110" i="3" s="1"/>
  <c r="E248" i="3"/>
  <c r="E89" i="4"/>
  <c r="P79" i="2"/>
  <c r="F232" i="3"/>
  <c r="B232" i="3"/>
  <c r="B255" i="3"/>
  <c r="F255" i="3"/>
  <c r="E6" i="3"/>
  <c r="F6" i="3" s="1"/>
  <c r="G6" i="3" s="1"/>
  <c r="E191" i="3"/>
  <c r="E94" i="4"/>
  <c r="F252" i="3"/>
  <c r="B252" i="3"/>
  <c r="E41" i="3"/>
  <c r="F41" i="3" s="1"/>
  <c r="G41" i="3" s="1"/>
  <c r="L79" i="2"/>
  <c r="D46" i="4"/>
  <c r="E46" i="4" s="1"/>
  <c r="E175" i="3"/>
  <c r="F175" i="3" s="1"/>
  <c r="G175" i="3" s="1"/>
  <c r="E60" i="3"/>
  <c r="F60" i="3" s="1"/>
  <c r="G60" i="3" s="1"/>
  <c r="E196" i="4"/>
  <c r="D160" i="3"/>
  <c r="E147" i="4"/>
  <c r="E158" i="3"/>
  <c r="F158" i="3" s="1"/>
  <c r="G158" i="3" s="1"/>
  <c r="D219" i="3"/>
  <c r="E219" i="3" s="1"/>
  <c r="E241" i="3"/>
  <c r="E124" i="3"/>
  <c r="F124" i="3" s="1"/>
  <c r="G124" i="3" s="1"/>
  <c r="E198" i="3"/>
  <c r="E139" i="3"/>
  <c r="F139" i="3" s="1"/>
  <c r="G139" i="3" s="1"/>
  <c r="F220" i="3"/>
  <c r="B220" i="3"/>
  <c r="E203" i="3"/>
  <c r="B211" i="3"/>
  <c r="F211" i="3"/>
  <c r="F195" i="3"/>
  <c r="B195" i="3"/>
  <c r="E65" i="3"/>
  <c r="F65" i="3" s="1"/>
  <c r="G65" i="3" s="1"/>
  <c r="E90" i="4"/>
  <c r="D116" i="4"/>
  <c r="E116" i="4" s="1"/>
  <c r="M79" i="1"/>
  <c r="D15" i="3"/>
  <c r="E15" i="3" s="1"/>
  <c r="F15" i="3" s="1"/>
  <c r="G15" i="3" s="1"/>
  <c r="AB79" i="1"/>
  <c r="E230" i="3"/>
  <c r="E56" i="3"/>
  <c r="F56" i="3" s="1"/>
  <c r="G56" i="3" s="1"/>
  <c r="E53" i="3"/>
  <c r="F53" i="3" s="1"/>
  <c r="G53" i="3" s="1"/>
  <c r="U79" i="2"/>
  <c r="E153" i="4"/>
  <c r="E148" i="3"/>
  <c r="F148" i="3" s="1"/>
  <c r="G148" i="3" s="1"/>
  <c r="D200" i="4"/>
  <c r="E200" i="4" s="1"/>
  <c r="E196" i="3"/>
  <c r="B186" i="3"/>
  <c r="F186" i="3"/>
  <c r="E11" i="4"/>
  <c r="E217" i="4"/>
  <c r="E206" i="4"/>
  <c r="E218" i="4"/>
  <c r="E243" i="3"/>
  <c r="E106" i="4"/>
  <c r="E233" i="3"/>
  <c r="E204" i="4"/>
  <c r="E222" i="3"/>
  <c r="V79" i="1"/>
  <c r="E187" i="3"/>
  <c r="E167" i="3"/>
  <c r="F167" i="3" s="1"/>
  <c r="G167" i="3" s="1"/>
  <c r="E89" i="3"/>
  <c r="F89" i="3" s="1"/>
  <c r="G89" i="3" s="1"/>
  <c r="X79" i="1"/>
  <c r="D147" i="3"/>
  <c r="E147" i="3" s="1"/>
  <c r="F147" i="3" s="1"/>
  <c r="G147" i="3" s="1"/>
  <c r="B194" i="3"/>
  <c r="F194" i="3"/>
  <c r="E67" i="3"/>
  <c r="F67" i="3" s="1"/>
  <c r="G67" i="3" s="1"/>
  <c r="J79" i="2"/>
  <c r="E49" i="3"/>
  <c r="F49" i="3" s="1"/>
  <c r="G49" i="3" s="1"/>
  <c r="E29" i="3"/>
  <c r="F29" i="3" s="1"/>
  <c r="G29" i="3" s="1"/>
  <c r="E10" i="3"/>
  <c r="F10" i="3" s="1"/>
  <c r="G10" i="3" s="1"/>
  <c r="E68" i="3"/>
  <c r="F68" i="3" s="1"/>
  <c r="G68" i="3" s="1"/>
  <c r="E163" i="3"/>
  <c r="F163" i="3" s="1"/>
  <c r="G163" i="3" s="1"/>
  <c r="B245" i="3"/>
  <c r="F245" i="3"/>
  <c r="E99" i="4"/>
  <c r="D176" i="4"/>
  <c r="E176" i="4" s="1"/>
  <c r="E111" i="4"/>
  <c r="E92" i="3"/>
  <c r="F92" i="3" s="1"/>
  <c r="G92" i="3" s="1"/>
  <c r="E15" i="4"/>
  <c r="D80" i="4"/>
  <c r="E80" i="4" s="1"/>
  <c r="E61" i="4"/>
  <c r="E30" i="4"/>
  <c r="E217" i="3"/>
  <c r="E172" i="3"/>
  <c r="F172" i="3" s="1"/>
  <c r="G172" i="3" s="1"/>
  <c r="E179" i="3"/>
  <c r="P79" i="1"/>
  <c r="E211" i="4"/>
  <c r="E34" i="4"/>
  <c r="E54" i="4"/>
  <c r="E72" i="3"/>
  <c r="F72" i="3" s="1"/>
  <c r="G72" i="3" s="1"/>
  <c r="F236" i="3"/>
  <c r="B236" i="3"/>
  <c r="F190" i="3"/>
  <c r="B190" i="3"/>
  <c r="E213" i="4"/>
  <c r="Q79" i="2"/>
  <c r="O79" i="2"/>
  <c r="D39" i="3"/>
  <c r="E39" i="3" s="1"/>
  <c r="F39" i="3" s="1"/>
  <c r="G39" i="3" s="1"/>
  <c r="C79" i="1"/>
  <c r="F247" i="3"/>
  <c r="B247" i="3"/>
  <c r="F207" i="3"/>
  <c r="B207" i="3"/>
  <c r="E43" i="3"/>
  <c r="F43" i="3" s="1"/>
  <c r="G43" i="3" s="1"/>
  <c r="E96" i="3"/>
  <c r="F96" i="3" s="1"/>
  <c r="G96" i="3" s="1"/>
  <c r="E118" i="4"/>
  <c r="E110" i="4"/>
  <c r="E137" i="4"/>
  <c r="E101" i="3"/>
  <c r="F101" i="3" s="1"/>
  <c r="G101" i="3" s="1"/>
  <c r="E80" i="3"/>
  <c r="F80" i="3" s="1"/>
  <c r="G80" i="3" s="1"/>
  <c r="E117" i="3"/>
  <c r="F117" i="3" s="1"/>
  <c r="G117" i="3" s="1"/>
  <c r="B149" i="4" l="1"/>
  <c r="Z138" i="2" s="1"/>
  <c r="G180" i="3"/>
  <c r="Z138" i="1"/>
  <c r="G238" i="3"/>
  <c r="B207" i="4"/>
  <c r="AE136" i="2" s="1"/>
  <c r="AE136" i="1"/>
  <c r="B219" i="4"/>
  <c r="AF136" i="2" s="1"/>
  <c r="G250" i="3"/>
  <c r="AF136" i="1"/>
  <c r="B159" i="4"/>
  <c r="AA136" i="2" s="1"/>
  <c r="G190" i="3"/>
  <c r="AA136" i="1"/>
  <c r="B214" i="4"/>
  <c r="AF131" i="2" s="1"/>
  <c r="AF131" i="1"/>
  <c r="G245" i="3"/>
  <c r="F191" i="3"/>
  <c r="B191" i="3"/>
  <c r="G205" i="3"/>
  <c r="B174" i="4"/>
  <c r="AB139" i="2" s="1"/>
  <c r="AB139" i="1"/>
  <c r="B169" i="4"/>
  <c r="AB134" i="2" s="1"/>
  <c r="G200" i="3"/>
  <c r="AB134" i="1"/>
  <c r="G227" i="3"/>
  <c r="B196" i="4"/>
  <c r="AD137" i="2" s="1"/>
  <c r="AD137" i="1"/>
  <c r="G192" i="3"/>
  <c r="B161" i="4"/>
  <c r="AA138" i="2" s="1"/>
  <c r="AA138" i="1"/>
  <c r="B180" i="4"/>
  <c r="AC133" i="2" s="1"/>
  <c r="G211" i="3"/>
  <c r="AC133" i="1"/>
  <c r="G208" i="3"/>
  <c r="B177" i="4"/>
  <c r="AC130" i="2" s="1"/>
  <c r="AC130" i="1"/>
  <c r="G231" i="3"/>
  <c r="B200" i="4"/>
  <c r="AD141" i="2" s="1"/>
  <c r="AD141" i="1"/>
  <c r="G253" i="3"/>
  <c r="B222" i="4"/>
  <c r="AF139" i="2" s="1"/>
  <c r="AF139" i="1"/>
  <c r="G207" i="3"/>
  <c r="B176" i="4"/>
  <c r="AB141" i="2" s="1"/>
  <c r="AB141" i="1"/>
  <c r="G185" i="3"/>
  <c r="AA131" i="1"/>
  <c r="B154" i="4"/>
  <c r="AA131" i="2" s="1"/>
  <c r="B173" i="4"/>
  <c r="AB138" i="2" s="1"/>
  <c r="G204" i="3"/>
  <c r="AB138" i="1"/>
  <c r="G249" i="3"/>
  <c r="B218" i="4"/>
  <c r="AF135" i="2" s="1"/>
  <c r="AF135" i="1"/>
  <c r="B151" i="4"/>
  <c r="Z140" i="2" s="1"/>
  <c r="G182" i="3"/>
  <c r="Z140" i="1"/>
  <c r="G236" i="3"/>
  <c r="AE134" i="1"/>
  <c r="B205" i="4"/>
  <c r="AE134" i="2" s="1"/>
  <c r="F203" i="3"/>
  <c r="B203" i="3"/>
  <c r="G254" i="3"/>
  <c r="B223" i="4"/>
  <c r="AF140" i="2" s="1"/>
  <c r="AF140" i="1"/>
  <c r="B203" i="4"/>
  <c r="AE132" i="2" s="1"/>
  <c r="G234" i="3"/>
  <c r="AE132" i="1"/>
  <c r="B233" i="3"/>
  <c r="F233" i="3"/>
  <c r="G193" i="3"/>
  <c r="B162" i="4"/>
  <c r="AA139" i="2" s="1"/>
  <c r="AA139" i="1"/>
  <c r="G242" i="3"/>
  <c r="B211" i="4"/>
  <c r="AE140" i="2" s="1"/>
  <c r="AE140" i="1"/>
  <c r="F198" i="3"/>
  <c r="B198" i="3"/>
  <c r="B175" i="4"/>
  <c r="AB140" i="2" s="1"/>
  <c r="G206" i="3"/>
  <c r="AB140" i="1"/>
  <c r="G209" i="3"/>
  <c r="B178" i="4"/>
  <c r="AC131" i="2" s="1"/>
  <c r="AC131" i="1"/>
  <c r="F246" i="3"/>
  <c r="B246" i="3"/>
  <c r="G251" i="3"/>
  <c r="B220" i="4"/>
  <c r="AF137" i="2" s="1"/>
  <c r="AF137" i="1"/>
  <c r="F196" i="3"/>
  <c r="B196" i="3"/>
  <c r="G212" i="3"/>
  <c r="B181" i="4"/>
  <c r="AC134" i="2" s="1"/>
  <c r="AC134" i="1"/>
  <c r="B197" i="4"/>
  <c r="AD138" i="2" s="1"/>
  <c r="G228" i="3"/>
  <c r="AD138" i="1"/>
  <c r="B153" i="4"/>
  <c r="AA130" i="2" s="1"/>
  <c r="G184" i="3"/>
  <c r="AA130" i="1"/>
  <c r="B204" i="4"/>
  <c r="AE133" i="2" s="1"/>
  <c r="G235" i="3"/>
  <c r="AE133" i="1"/>
  <c r="G247" i="3"/>
  <c r="B216" i="4"/>
  <c r="AF133" i="2" s="1"/>
  <c r="AF133" i="1"/>
  <c r="B185" i="4"/>
  <c r="AC138" i="2" s="1"/>
  <c r="G216" i="3"/>
  <c r="AC138" i="1"/>
  <c r="F241" i="3"/>
  <c r="B241" i="3"/>
  <c r="F248" i="3"/>
  <c r="B248" i="3"/>
  <c r="B170" i="4"/>
  <c r="AB135" i="2" s="1"/>
  <c r="G201" i="3"/>
  <c r="AB135" i="1"/>
  <c r="F230" i="3"/>
  <c r="B230" i="3"/>
  <c r="B222" i="3"/>
  <c r="F222" i="3"/>
  <c r="B221" i="4"/>
  <c r="AF138" i="2" s="1"/>
  <c r="G252" i="3"/>
  <c r="AF138" i="1"/>
  <c r="B224" i="4"/>
  <c r="AF141" i="2" s="1"/>
  <c r="G255" i="3"/>
  <c r="AF141" i="1"/>
  <c r="B163" i="4"/>
  <c r="AA140" i="2" s="1"/>
  <c r="AA140" i="1"/>
  <c r="G194" i="3"/>
  <c r="B152" i="4"/>
  <c r="Z141" i="2" s="1"/>
  <c r="G183" i="3"/>
  <c r="Z141" i="1"/>
  <c r="B164" i="4"/>
  <c r="AA141" i="2" s="1"/>
  <c r="G195" i="3"/>
  <c r="AA141" i="1"/>
  <c r="G218" i="3"/>
  <c r="B187" i="4"/>
  <c r="AC140" i="2" s="1"/>
  <c r="AC140" i="1"/>
  <c r="AA132" i="1"/>
  <c r="G186" i="3"/>
  <c r="B155" i="4"/>
  <c r="AA132" i="2" s="1"/>
  <c r="B184" i="4"/>
  <c r="AC137" i="2" s="1"/>
  <c r="G215" i="3"/>
  <c r="AC137" i="1"/>
  <c r="B219" i="3"/>
  <c r="F219" i="3"/>
  <c r="G223" i="3"/>
  <c r="B192" i="4"/>
  <c r="AD133" i="2" s="1"/>
  <c r="AD133" i="1"/>
  <c r="B179" i="3"/>
  <c r="F179" i="3"/>
  <c r="B157" i="4"/>
  <c r="AA134" i="2" s="1"/>
  <c r="G188" i="3"/>
  <c r="AA134" i="1"/>
  <c r="B147" i="4"/>
  <c r="Z136" i="2" s="1"/>
  <c r="G178" i="3"/>
  <c r="Z136" i="1"/>
  <c r="G229" i="3"/>
  <c r="B198" i="4"/>
  <c r="AD139" i="2" s="1"/>
  <c r="AD139" i="1"/>
  <c r="G225" i="3"/>
  <c r="B194" i="4"/>
  <c r="AD135" i="2" s="1"/>
  <c r="AD135" i="1"/>
  <c r="F187" i="3"/>
  <c r="B187" i="3"/>
  <c r="AE135" i="1"/>
  <c r="B206" i="4"/>
  <c r="AE135" i="2" s="1"/>
  <c r="G237" i="3"/>
  <c r="B213" i="4"/>
  <c r="AF130" i="2" s="1"/>
  <c r="G244" i="3"/>
  <c r="AF130" i="1"/>
  <c r="G181" i="3"/>
  <c r="B150" i="4"/>
  <c r="Z139" i="2" s="1"/>
  <c r="Z139" i="1"/>
  <c r="B224" i="3"/>
  <c r="F224" i="3"/>
  <c r="G197" i="3"/>
  <c r="B166" i="4"/>
  <c r="AB131" i="2" s="1"/>
  <c r="AB131" i="1"/>
  <c r="B158" i="4"/>
  <c r="AA135" i="2" s="1"/>
  <c r="G189" i="3"/>
  <c r="AA135" i="1"/>
  <c r="F202" i="3"/>
  <c r="B202" i="3"/>
  <c r="B190" i="4"/>
  <c r="AD131" i="2" s="1"/>
  <c r="G221" i="3"/>
  <c r="AD131" i="1"/>
  <c r="B179" i="4"/>
  <c r="AC132" i="2" s="1"/>
  <c r="G210" i="3"/>
  <c r="AC132" i="1"/>
  <c r="B168" i="4"/>
  <c r="AB133" i="2" s="1"/>
  <c r="G199" i="3"/>
  <c r="AB133" i="1"/>
  <c r="G213" i="3"/>
  <c r="B182" i="4"/>
  <c r="AC135" i="2" s="1"/>
  <c r="AC135" i="1"/>
  <c r="B208" i="4"/>
  <c r="AE137" i="2" s="1"/>
  <c r="G239" i="3"/>
  <c r="AE137" i="1"/>
  <c r="G240" i="3"/>
  <c r="AE138" i="1"/>
  <c r="B209" i="4"/>
  <c r="AE138" i="2" s="1"/>
  <c r="F214" i="3"/>
  <c r="B214" i="3"/>
  <c r="F243" i="3"/>
  <c r="B243" i="3"/>
  <c r="G220" i="3"/>
  <c r="AD130" i="1"/>
  <c r="B189" i="4"/>
  <c r="AD130" i="2" s="1"/>
  <c r="G232" i="3"/>
  <c r="B201" i="4"/>
  <c r="AE130" i="2" s="1"/>
  <c r="AE130" i="1"/>
  <c r="F217" i="3"/>
  <c r="B217" i="3"/>
  <c r="B226" i="3"/>
  <c r="F226" i="3"/>
  <c r="G203" i="3" l="1"/>
  <c r="B172" i="4"/>
  <c r="AB137" i="2" s="1"/>
  <c r="AB137" i="1"/>
  <c r="G198" i="3"/>
  <c r="B167" i="4"/>
  <c r="AB132" i="2" s="1"/>
  <c r="AB132" i="1"/>
  <c r="Z142" i="2"/>
  <c r="AA142" i="2"/>
  <c r="B215" i="4"/>
  <c r="AF132" i="2" s="1"/>
  <c r="G246" i="3"/>
  <c r="AF132" i="1"/>
  <c r="AF142" i="1" s="1"/>
  <c r="B193" i="4"/>
  <c r="AD134" i="2" s="1"/>
  <c r="AD142" i="2" s="1"/>
  <c r="G224" i="3"/>
  <c r="AD134" i="1"/>
  <c r="AF142" i="2"/>
  <c r="G202" i="3"/>
  <c r="AB136" i="1"/>
  <c r="B171" i="4"/>
  <c r="AB136" i="2" s="1"/>
  <c r="B199" i="4"/>
  <c r="AD140" i="2" s="1"/>
  <c r="G230" i="3"/>
  <c r="AD140" i="1"/>
  <c r="B210" i="4"/>
  <c r="AE139" i="2" s="1"/>
  <c r="G241" i="3"/>
  <c r="AE139" i="1"/>
  <c r="B148" i="4"/>
  <c r="Z137" i="2" s="1"/>
  <c r="G179" i="3"/>
  <c r="Z137" i="1"/>
  <c r="Z142" i="1" s="1"/>
  <c r="G187" i="3"/>
  <c r="B156" i="4"/>
  <c r="AA133" i="2" s="1"/>
  <c r="AA133" i="1"/>
  <c r="AA142" i="1" s="1"/>
  <c r="B186" i="4"/>
  <c r="AC139" i="2" s="1"/>
  <c r="AC142" i="2" s="1"/>
  <c r="G217" i="3"/>
  <c r="AC139" i="1"/>
  <c r="AC142" i="1"/>
  <c r="G243" i="3"/>
  <c r="B212" i="4"/>
  <c r="AE141" i="2" s="1"/>
  <c r="AE141" i="1"/>
  <c r="AE142" i="1" s="1"/>
  <c r="G214" i="3"/>
  <c r="B183" i="4"/>
  <c r="AC136" i="2" s="1"/>
  <c r="AC136" i="1"/>
  <c r="B160" i="4"/>
  <c r="AA137" i="2" s="1"/>
  <c r="G191" i="3"/>
  <c r="AA137" i="1"/>
  <c r="B195" i="4"/>
  <c r="AD136" i="2" s="1"/>
  <c r="AD136" i="1"/>
  <c r="G226" i="3"/>
  <c r="G219" i="3"/>
  <c r="B188" i="4"/>
  <c r="AC141" i="2" s="1"/>
  <c r="AC141" i="1"/>
  <c r="B191" i="4"/>
  <c r="AD132" i="2" s="1"/>
  <c r="G222" i="3"/>
  <c r="AD132" i="1"/>
  <c r="AD142" i="1" s="1"/>
  <c r="G248" i="3"/>
  <c r="B217" i="4"/>
  <c r="AF134" i="2" s="1"/>
  <c r="AF134" i="1"/>
  <c r="G196" i="3"/>
  <c r="B165" i="4"/>
  <c r="AB130" i="2" s="1"/>
  <c r="AB142" i="2" s="1"/>
  <c r="AB130" i="1"/>
  <c r="B202" i="4"/>
  <c r="AE131" i="2" s="1"/>
  <c r="AE142" i="2" s="1"/>
  <c r="G233" i="3"/>
  <c r="AE131" i="1"/>
  <c r="AB142" i="1" l="1"/>
</calcChain>
</file>

<file path=xl/sharedStrings.xml><?xml version="1.0" encoding="utf-8"?>
<sst xmlns="http://schemas.openxmlformats.org/spreadsheetml/2006/main" count="321" uniqueCount="80">
  <si>
    <t>US COCONUT OIL SUPPLY AND DEMAND (Million Pounds)</t>
  </si>
  <si>
    <t xml:space="preserve">93/94 </t>
  </si>
  <si>
    <t xml:space="preserve">94/95 </t>
  </si>
  <si>
    <t xml:space="preserve">95/96 </t>
  </si>
  <si>
    <t xml:space="preserve">96/97 </t>
  </si>
  <si>
    <t xml:space="preserve">97/98 </t>
  </si>
  <si>
    <t xml:space="preserve">98/99 </t>
  </si>
  <si>
    <t xml:space="preserve">99/00 </t>
  </si>
  <si>
    <t xml:space="preserve">00/01 </t>
  </si>
  <si>
    <t xml:space="preserve">01/02 </t>
  </si>
  <si>
    <t xml:space="preserve">02/03 </t>
  </si>
  <si>
    <t xml:space="preserve">03/04 </t>
  </si>
  <si>
    <t xml:space="preserve">04/05 </t>
  </si>
  <si>
    <t xml:space="preserve">05/06 </t>
  </si>
  <si>
    <t xml:space="preserve">06/07 </t>
  </si>
  <si>
    <t xml:space="preserve">07/08 </t>
  </si>
  <si>
    <t xml:space="preserve">08/09 </t>
  </si>
  <si>
    <t xml:space="preserve">09/10 </t>
  </si>
  <si>
    <t xml:space="preserve">10/11 </t>
  </si>
  <si>
    <t xml:space="preserve">11/12 </t>
  </si>
  <si>
    <t xml:space="preserve">12/13 </t>
  </si>
  <si>
    <t xml:space="preserve">13/14 </t>
  </si>
  <si>
    <t xml:space="preserve">14/15 </t>
  </si>
  <si>
    <t xml:space="preserve">15/16 </t>
  </si>
  <si>
    <t xml:space="preserve">16/17 </t>
  </si>
  <si>
    <t xml:space="preserve">17/18 </t>
  </si>
  <si>
    <t xml:space="preserve">18/19 </t>
  </si>
  <si>
    <t xml:space="preserve">19/20 </t>
  </si>
  <si>
    <t xml:space="preserve">20/21 </t>
  </si>
  <si>
    <t xml:space="preserve">21/22 </t>
  </si>
  <si>
    <t xml:space="preserve">22/23 </t>
  </si>
  <si>
    <t>23/24</t>
  </si>
  <si>
    <r>
      <t xml:space="preserve">Beginning Stocks </t>
    </r>
    <r>
      <rPr>
        <sz val="9"/>
        <color theme="1"/>
        <rFont val="Helvetica-Normal"/>
      </rPr>
      <t>(October 1)</t>
    </r>
  </si>
  <si>
    <t>Production</t>
  </si>
  <si>
    <t>Imports</t>
  </si>
  <si>
    <t xml:space="preserve">    Total Supply</t>
  </si>
  <si>
    <t>Domestic Use</t>
  </si>
  <si>
    <t xml:space="preserve">    Biodiesel Production</t>
  </si>
  <si>
    <t xml:space="preserve">    Non-Biodiesel Usage</t>
  </si>
  <si>
    <t>Exports</t>
  </si>
  <si>
    <t xml:space="preserve">    Total Use</t>
  </si>
  <si>
    <r>
      <t xml:space="preserve">Carryout </t>
    </r>
    <r>
      <rPr>
        <sz val="9"/>
        <color theme="1"/>
        <rFont val="Helvetica-Normal"/>
      </rPr>
      <t>(September 30)</t>
    </r>
  </si>
  <si>
    <t>Stocks-to-Usage</t>
  </si>
  <si>
    <r>
      <t xml:space="preserve">Decatur </t>
    </r>
    <r>
      <rPr>
        <sz val="9"/>
        <color theme="1"/>
        <rFont val="Helvetica-Normal"/>
      </rPr>
      <t>(crude, ₵/lb)</t>
    </r>
  </si>
  <si>
    <t>Bold numbers are Jacobsen Estimates and Forecasts</t>
  </si>
  <si>
    <t>COCONUT OIL PRODUCTION (Million Pounds)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</si>
  <si>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</si>
  <si>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</si>
  <si>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</si>
  <si>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</si>
  <si>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</si>
  <si>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</si>
  <si>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</si>
  <si>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</si>
  <si>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</si>
  <si>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</si>
  <si>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</si>
  <si>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</si>
  <si>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</si>
  <si>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COCONUT OIL IMPORTS (Million Pounds)</t>
  </si>
  <si>
    <t>COCONUT OIL EXPORTS (Million Pounds)</t>
  </si>
  <si>
    <t>COCONUT OIL DOMESTIC USAGE (Million Pounds)</t>
  </si>
  <si>
    <t>COCONUT OIL BIODIESEL USAGE (Million Pounds)</t>
  </si>
  <si>
    <t>COCONUT OIL NON-BIODIESEL USAGE (Million Pounds)</t>
  </si>
  <si>
    <t>COCONUT OIL END-OF-MONTH STOCKS (Million Pounds)</t>
  </si>
  <si>
    <t>COCONUT OIL, GULF (Crude, Cents per Pound)</t>
  </si>
  <si>
    <t xml:space="preserve">    Average</t>
  </si>
  <si>
    <t>US PALM KERNEL OIL SUPPLY AND DEMAND (Million Pounds)</t>
  </si>
  <si>
    <t>PALM KERNEL OIL PRODUCTION (Million Pounds)</t>
  </si>
  <si>
    <t>PALM KERNEL OIL IMPORTS (Million Pounds)</t>
  </si>
  <si>
    <t>PALM KERNEL OIL EXPORTS (Million Pounds)</t>
  </si>
  <si>
    <t>PALM KERNEL OIL DOMESTIC USAGE (Million Pounds)</t>
  </si>
  <si>
    <t>PALM KERNEL OIL BIODIESEL USAGE (Million Pounds)</t>
  </si>
  <si>
    <t>PALM KERNEL OIL NON-BIODIESEL USAGE (Million Pounds)</t>
  </si>
  <si>
    <t>PALM KERNEL OIL END-OF-MONTH STOCKS (Million Pounds)</t>
  </si>
  <si>
    <t>PALM KERNEL OIL, NEW YORK PORT (RBD, Cents per Pound)</t>
  </si>
  <si>
    <t>Average Price</t>
  </si>
  <si>
    <t>Stocks</t>
  </si>
  <si>
    <t>Usage (t+1)</t>
  </si>
  <si>
    <t>Coconut - Palm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</si>
</sst>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#,##0.0_);[Red]\(#,##0.0\)"/>
    <numFmt numFmtId="166" formatCode="#,##0.0"/>
    <numFmt numFmtId="167" formatCode="[$-409]mmm\-yy;@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Helvetica-Normal"/>
    </font>
    <font>
      <b/>
      <sz val="10"/>
      <name val="Arial"/>
      <family val="2"/>
    </font>
    <font>
      <sz val="9"/>
      <color theme="1"/>
      <name val="Helvetica-Normal"/>
    </font>
    <font>
      <sz val="11"/>
      <color theme="1"/>
      <name val="Arial Narrow"/>
      <family val="2"/>
    </font>
    <font>
      <b/>
      <sz val="9"/>
      <color theme="1"/>
      <name val="Helvetica-Normal"/>
    </font>
    <font>
      <sz val="10"/>
      <color theme="1"/>
      <name val="Helvetica-Norm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335163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1" xfId="0" applyBorder="1"/>
    <xf numFmtId="38" fontId="3" fillId="0" borderId="1" xfId="1" quotePrefix="1" applyNumberFormat="1" applyFont="1" applyBorder="1" applyAlignment="1" applyProtection="1">
      <alignment horizontal="right"/>
    </xf>
    <xf numFmtId="38" fontId="3" fillId="0" borderId="1" xfId="1" quotePrefix="1" applyNumberFormat="1" applyFont="1" applyFill="1" applyBorder="1" applyAlignment="1" applyProtection="1">
      <alignment horizontal="right"/>
    </xf>
    <xf numFmtId="38" fontId="5" fillId="0" borderId="0" xfId="0" applyNumberFormat="1" applyFont="1"/>
    <xf numFmtId="0" fontId="2" fillId="0" borderId="2" xfId="0" applyFont="1" applyBorder="1"/>
    <xf numFmtId="38" fontId="5" fillId="0" borderId="2" xfId="0" applyNumberFormat="1" applyFont="1" applyBorder="1"/>
    <xf numFmtId="164" fontId="5" fillId="0" borderId="0" xfId="2" applyNumberFormat="1" applyFont="1"/>
    <xf numFmtId="0" fontId="5" fillId="0" borderId="0" xfId="0" applyFont="1"/>
    <xf numFmtId="0" fontId="6" fillId="0" borderId="3" xfId="0" applyFont="1" applyBorder="1"/>
    <xf numFmtId="0" fontId="0" fillId="0" borderId="3" xfId="0" applyBorder="1"/>
    <xf numFmtId="0" fontId="7" fillId="0" borderId="0" xfId="0" applyFont="1"/>
    <xf numFmtId="38" fontId="8" fillId="0" borderId="0" xfId="0" applyNumberFormat="1" applyFont="1"/>
    <xf numFmtId="165" fontId="8" fillId="0" borderId="0" xfId="0" applyNumberFormat="1" applyFont="1"/>
    <xf numFmtId="40" fontId="8" fillId="0" borderId="0" xfId="0" applyNumberFormat="1" applyFont="1"/>
    <xf numFmtId="40" fontId="9" fillId="0" borderId="0" xfId="0" applyNumberFormat="1" applyFont="1"/>
    <xf numFmtId="3" fontId="8" fillId="0" borderId="0" xfId="0" applyNumberFormat="1" applyFont="1"/>
    <xf numFmtId="166" fontId="8" fillId="0" borderId="0" xfId="0" applyNumberFormat="1" applyFont="1"/>
    <xf numFmtId="0" fontId="8" fillId="0" borderId="0" xfId="0" applyFont="1" applyAlignment="1">
      <alignment horizontal="center"/>
    </xf>
    <xf numFmtId="167" fontId="7" fillId="0" borderId="0" xfId="0" applyNumberFormat="1" applyFont="1"/>
    <xf numFmtId="164" fontId="8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1.3412073490813648E-3"/>
                  <c:y val="-0.41105606590842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'Coconut Oil Price Analysis'!$E$3:$E$177</c:f>
              <c:numCache>
                <c:formatCode>0.0%</c:formatCode>
                <c:ptCount val="130"/>
                <c:pt idx="0">
                  <c:v>2.4281440130058924</c:v>
                </c:pt>
                <c:pt idx="1">
                  <c:v>3.5796113729958132</c:v>
                </c:pt>
                <c:pt idx="2">
                  <c:v>2.6317804554717235</c:v>
                </c:pt>
                <c:pt idx="3">
                  <c:v>2.8717579223432317</c:v>
                </c:pt>
                <c:pt idx="4">
                  <c:v>1.8433094289846537</c:v>
                </c:pt>
                <c:pt idx="5">
                  <c:v>2.6733057147397887</c:v>
                </c:pt>
                <c:pt idx="6">
                  <c:v>2.553225200929945</c:v>
                </c:pt>
                <c:pt idx="7">
                  <c:v>1.5558423024588173</c:v>
                </c:pt>
                <c:pt idx="8">
                  <c:v>1.5816460424196803</c:v>
                </c:pt>
                <c:pt idx="9">
                  <c:v>1.4343152470721583</c:v>
                </c:pt>
                <c:pt idx="10">
                  <c:v>1.4165017898910206</c:v>
                </c:pt>
                <c:pt idx="11">
                  <c:v>2.1167360981746044</c:v>
                </c:pt>
                <c:pt idx="12">
                  <c:v>2.2869515272555039</c:v>
                </c:pt>
                <c:pt idx="13">
                  <c:v>2.1456460594367739</c:v>
                </c:pt>
                <c:pt idx="14">
                  <c:v>11.599310329571663</c:v>
                </c:pt>
                <c:pt idx="15">
                  <c:v>2.4005678761332296</c:v>
                </c:pt>
                <c:pt idx="16">
                  <c:v>3.3979788346464903</c:v>
                </c:pt>
                <c:pt idx="17">
                  <c:v>9.2287240493381777</c:v>
                </c:pt>
                <c:pt idx="18">
                  <c:v>2.3322535380692249</c:v>
                </c:pt>
                <c:pt idx="19">
                  <c:v>2.5629981676451181</c:v>
                </c:pt>
                <c:pt idx="20">
                  <c:v>1.7425134409125418</c:v>
                </c:pt>
                <c:pt idx="21">
                  <c:v>3.374942182440567</c:v>
                </c:pt>
                <c:pt idx="22">
                  <c:v>2.6346610908232306</c:v>
                </c:pt>
                <c:pt idx="23">
                  <c:v>2.9404726197382471</c:v>
                </c:pt>
                <c:pt idx="24">
                  <c:v>2.9557234804951351</c:v>
                </c:pt>
                <c:pt idx="25">
                  <c:v>2.8709784196621824</c:v>
                </c:pt>
                <c:pt idx="26">
                  <c:v>2.3773700197188616</c:v>
                </c:pt>
                <c:pt idx="27">
                  <c:v>1.8864041861283163</c:v>
                </c:pt>
                <c:pt idx="28">
                  <c:v>2.5334517986331151</c:v>
                </c:pt>
                <c:pt idx="29">
                  <c:v>2.464513198615907</c:v>
                </c:pt>
                <c:pt idx="30">
                  <c:v>2.2779809496813677</c:v>
                </c:pt>
                <c:pt idx="31">
                  <c:v>2.2847582201640155</c:v>
                </c:pt>
                <c:pt idx="32">
                  <c:v>2.2913858412109365</c:v>
                </c:pt>
                <c:pt idx="33">
                  <c:v>2.9241562554840987</c:v>
                </c:pt>
                <c:pt idx="34">
                  <c:v>1.9377686008579131</c:v>
                </c:pt>
                <c:pt idx="35">
                  <c:v>2.5911283286856599</c:v>
                </c:pt>
                <c:pt idx="36">
                  <c:v>1.9784444404223145</c:v>
                </c:pt>
                <c:pt idx="37">
                  <c:v>2.8420593642135383</c:v>
                </c:pt>
                <c:pt idx="38">
                  <c:v>2.9183634941144061</c:v>
                </c:pt>
                <c:pt idx="39">
                  <c:v>2.4066739310117273</c:v>
                </c:pt>
                <c:pt idx="40">
                  <c:v>3.7958306581795473</c:v>
                </c:pt>
                <c:pt idx="41">
                  <c:v>2.6685260518548497</c:v>
                </c:pt>
                <c:pt idx="42">
                  <c:v>6.0711413190721526</c:v>
                </c:pt>
                <c:pt idx="43">
                  <c:v>1.7191378510876656</c:v>
                </c:pt>
                <c:pt idx="44">
                  <c:v>1.322132757495885</c:v>
                </c:pt>
                <c:pt idx="45">
                  <c:v>3.3259088016044793</c:v>
                </c:pt>
                <c:pt idx="46">
                  <c:v>1.0861935988479621</c:v>
                </c:pt>
                <c:pt idx="47">
                  <c:v>1.5322762118725213</c:v>
                </c:pt>
                <c:pt idx="48">
                  <c:v>2.733066045032214</c:v>
                </c:pt>
                <c:pt idx="49">
                  <c:v>1.4441741955024652</c:v>
                </c:pt>
                <c:pt idx="50">
                  <c:v>2.1615325932876308</c:v>
                </c:pt>
                <c:pt idx="51">
                  <c:v>1.7650453410718248</c:v>
                </c:pt>
                <c:pt idx="52">
                  <c:v>2.5490612796900787</c:v>
                </c:pt>
                <c:pt idx="53">
                  <c:v>1.8356316754181805</c:v>
                </c:pt>
                <c:pt idx="54">
                  <c:v>2.0677404416481022</c:v>
                </c:pt>
                <c:pt idx="55">
                  <c:v>2.4603875000297712</c:v>
                </c:pt>
                <c:pt idx="56">
                  <c:v>1.8057329509492468</c:v>
                </c:pt>
                <c:pt idx="57">
                  <c:v>1.8882004277837321</c:v>
                </c:pt>
                <c:pt idx="58">
                  <c:v>1.7349406267337202</c:v>
                </c:pt>
                <c:pt idx="59">
                  <c:v>1.8652993857868092</c:v>
                </c:pt>
                <c:pt idx="60">
                  <c:v>1.9677605750240081</c:v>
                </c:pt>
                <c:pt idx="61">
                  <c:v>1.5701019396156135</c:v>
                </c:pt>
                <c:pt idx="62">
                  <c:v>2.9548653441597876</c:v>
                </c:pt>
                <c:pt idx="63">
                  <c:v>2.1858902182705631</c:v>
                </c:pt>
                <c:pt idx="64">
                  <c:v>2.867177831886361</c:v>
                </c:pt>
                <c:pt idx="65">
                  <c:v>3.2626610401679685</c:v>
                </c:pt>
                <c:pt idx="66">
                  <c:v>1.9421218063382446</c:v>
                </c:pt>
                <c:pt idx="67">
                  <c:v>1.8115288861877827</c:v>
                </c:pt>
                <c:pt idx="68">
                  <c:v>2.4960737580952048</c:v>
                </c:pt>
                <c:pt idx="69">
                  <c:v>1.2963490057409228</c:v>
                </c:pt>
                <c:pt idx="70">
                  <c:v>1.0137404223411284</c:v>
                </c:pt>
                <c:pt idx="71">
                  <c:v>2.7668725730833446</c:v>
                </c:pt>
                <c:pt idx="72">
                  <c:v>1.6399396983291605</c:v>
                </c:pt>
                <c:pt idx="73">
                  <c:v>1.2610246006984305</c:v>
                </c:pt>
                <c:pt idx="74">
                  <c:v>2.2834358248860562</c:v>
                </c:pt>
                <c:pt idx="75">
                  <c:v>2.1841887681249865</c:v>
                </c:pt>
                <c:pt idx="76">
                  <c:v>1.6323150550176211</c:v>
                </c:pt>
                <c:pt idx="77">
                  <c:v>1.5821382198711833</c:v>
                </c:pt>
                <c:pt idx="78">
                  <c:v>1.4199369215241355</c:v>
                </c:pt>
                <c:pt idx="79">
                  <c:v>0.84322784642192661</c:v>
                </c:pt>
                <c:pt idx="80">
                  <c:v>1.3055643177321994</c:v>
                </c:pt>
                <c:pt idx="81">
                  <c:v>1.3159739089669462</c:v>
                </c:pt>
                <c:pt idx="82">
                  <c:v>1.3077335189639026</c:v>
                </c:pt>
                <c:pt idx="83">
                  <c:v>2.1900103399742625</c:v>
                </c:pt>
                <c:pt idx="84">
                  <c:v>1.9983398400334524</c:v>
                </c:pt>
                <c:pt idx="85">
                  <c:v>1.6262608611399498</c:v>
                </c:pt>
                <c:pt idx="86">
                  <c:v>1.7640785227812794</c:v>
                </c:pt>
                <c:pt idx="87">
                  <c:v>2.0033373789055138</c:v>
                </c:pt>
                <c:pt idx="88">
                  <c:v>1.2650765115996292</c:v>
                </c:pt>
                <c:pt idx="89">
                  <c:v>1.232236836391563</c:v>
                </c:pt>
                <c:pt idx="90">
                  <c:v>2.1423860491979925</c:v>
                </c:pt>
                <c:pt idx="91">
                  <c:v>1.5129472720854527</c:v>
                </c:pt>
                <c:pt idx="92">
                  <c:v>1.6955489304931015</c:v>
                </c:pt>
                <c:pt idx="93">
                  <c:v>2.0411832928720632</c:v>
                </c:pt>
                <c:pt idx="94">
                  <c:v>2.7371663418903656</c:v>
                </c:pt>
                <c:pt idx="95">
                  <c:v>0.83768485391049374</c:v>
                </c:pt>
                <c:pt idx="96">
                  <c:v>1.2488331967402206</c:v>
                </c:pt>
                <c:pt idx="97">
                  <c:v>0.98160066077753849</c:v>
                </c:pt>
                <c:pt idx="98">
                  <c:v>1.1853112420876604</c:v>
                </c:pt>
                <c:pt idx="99">
                  <c:v>1.198114269707145</c:v>
                </c:pt>
                <c:pt idx="100">
                  <c:v>1.4637325208107712</c:v>
                </c:pt>
                <c:pt idx="101">
                  <c:v>1.4785365317823076</c:v>
                </c:pt>
                <c:pt idx="102">
                  <c:v>1.3214113491634349</c:v>
                </c:pt>
                <c:pt idx="103">
                  <c:v>1.1195825753531783</c:v>
                </c:pt>
                <c:pt idx="104">
                  <c:v>0.85495168324230242</c:v>
                </c:pt>
                <c:pt idx="105">
                  <c:v>1.2061671157832092</c:v>
                </c:pt>
                <c:pt idx="106">
                  <c:v>1.4338611896765916</c:v>
                </c:pt>
                <c:pt idx="107">
                  <c:v>1.4490844512409318</c:v>
                </c:pt>
                <c:pt idx="108">
                  <c:v>0.93874688288601538</c:v>
                </c:pt>
                <c:pt idx="109">
                  <c:v>1.2866324321853579</c:v>
                </c:pt>
                <c:pt idx="110">
                  <c:v>1.5993673423472023</c:v>
                </c:pt>
                <c:pt idx="111">
                  <c:v>2.0643879124794919</c:v>
                </c:pt>
                <c:pt idx="112">
                  <c:v>1.591570138124043</c:v>
                </c:pt>
                <c:pt idx="113">
                  <c:v>1.751741997179127</c:v>
                </c:pt>
                <c:pt idx="114">
                  <c:v>1.6023449738249593</c:v>
                </c:pt>
                <c:pt idx="115">
                  <c:v>1.2664535735389257</c:v>
                </c:pt>
                <c:pt idx="116">
                  <c:v>1.1370715459584613</c:v>
                </c:pt>
                <c:pt idx="117">
                  <c:v>1.8560503058103022</c:v>
                </c:pt>
                <c:pt idx="118">
                  <c:v>1.2005330831799743</c:v>
                </c:pt>
                <c:pt idx="119">
                  <c:v>3.1998969370419736</c:v>
                </c:pt>
                <c:pt idx="120">
                  <c:v>2.565832751867112</c:v>
                </c:pt>
                <c:pt idx="121">
                  <c:v>1.6965642338872027</c:v>
                </c:pt>
                <c:pt idx="122">
                  <c:v>2.1024786710613812</c:v>
                </c:pt>
                <c:pt idx="123">
                  <c:v>2.0220368475971302</c:v>
                </c:pt>
                <c:pt idx="124">
                  <c:v>1.4664237754324878</c:v>
                </c:pt>
                <c:pt idx="125">
                  <c:v>2.9788212384239694</c:v>
                </c:pt>
                <c:pt idx="126">
                  <c:v>0.91977013664618223</c:v>
                </c:pt>
                <c:pt idx="127">
                  <c:v>2.4204709419948642</c:v>
                </c:pt>
                <c:pt idx="128">
                  <c:v>1.443782899781791</c:v>
                </c:pt>
                <c:pt idx="129">
                  <c:v>2.0027794288120671</c:v>
                </c:pt>
              </c:numCache>
            </c:numRef>
          </c:xVal>
          <c:yVal>
            <c:numRef>
              <c:f>'Coconut Oil Price Analysis'!$B$3:$B$177</c:f>
              <c:numCache>
                <c:formatCode>#,##0.00_);[Red]\(#,##0.00\)</c:formatCode>
                <c:ptCount val="130"/>
                <c:pt idx="0">
                  <c:v>20.882300000000001</c:v>
                </c:pt>
                <c:pt idx="1">
                  <c:v>22.108599999999999</c:v>
                </c:pt>
                <c:pt idx="2">
                  <c:v>25.25</c:v>
                </c:pt>
                <c:pt idx="3">
                  <c:v>27.535699999999999</c:v>
                </c:pt>
                <c:pt idx="4">
                  <c:v>28.175000000000001</c:v>
                </c:pt>
                <c:pt idx="5">
                  <c:v>28.7638</c:v>
                </c:pt>
                <c:pt idx="6">
                  <c:v>32.5</c:v>
                </c:pt>
                <c:pt idx="7">
                  <c:v>34.880899999999997</c:v>
                </c:pt>
                <c:pt idx="8">
                  <c:v>36.5</c:v>
                </c:pt>
                <c:pt idx="9">
                  <c:v>37.125</c:v>
                </c:pt>
                <c:pt idx="10">
                  <c:v>36.261899999999997</c:v>
                </c:pt>
                <c:pt idx="11">
                  <c:v>33.357900000000001</c:v>
                </c:pt>
                <c:pt idx="12">
                  <c:v>32.601100000000002</c:v>
                </c:pt>
                <c:pt idx="13">
                  <c:v>31.720199999999998</c:v>
                </c:pt>
                <c:pt idx="14">
                  <c:v>32.118699999999997</c:v>
                </c:pt>
                <c:pt idx="15">
                  <c:v>32.857100000000003</c:v>
                </c:pt>
                <c:pt idx="16">
                  <c:v>31.837499999999999</c:v>
                </c:pt>
                <c:pt idx="17">
                  <c:v>31.5</c:v>
                </c:pt>
                <c:pt idx="18">
                  <c:v>31.965900000000001</c:v>
                </c:pt>
                <c:pt idx="19">
                  <c:v>33.035699999999999</c:v>
                </c:pt>
                <c:pt idx="20">
                  <c:v>32.113</c:v>
                </c:pt>
                <c:pt idx="21">
                  <c:v>30.25</c:v>
                </c:pt>
                <c:pt idx="22">
                  <c:v>29.8125</c:v>
                </c:pt>
                <c:pt idx="23">
                  <c:v>27.902100000000001</c:v>
                </c:pt>
                <c:pt idx="24">
                  <c:v>26.824999999999999</c:v>
                </c:pt>
                <c:pt idx="25">
                  <c:v>28.642800000000001</c:v>
                </c:pt>
                <c:pt idx="26">
                  <c:v>28.25</c:v>
                </c:pt>
                <c:pt idx="27">
                  <c:v>26.962499999999999</c:v>
                </c:pt>
                <c:pt idx="28">
                  <c:v>27.612500000000001</c:v>
                </c:pt>
                <c:pt idx="29">
                  <c:v>28.328900000000001</c:v>
                </c:pt>
                <c:pt idx="30">
                  <c:v>28.1739</c:v>
                </c:pt>
                <c:pt idx="31">
                  <c:v>28.513100000000001</c:v>
                </c:pt>
                <c:pt idx="32">
                  <c:v>28.579499999999999</c:v>
                </c:pt>
                <c:pt idx="33">
                  <c:v>27.840900000000001</c:v>
                </c:pt>
                <c:pt idx="34">
                  <c:v>28.337499999999999</c:v>
                </c:pt>
                <c:pt idx="35">
                  <c:v>29.826000000000001</c:v>
                </c:pt>
                <c:pt idx="36">
                  <c:v>29.625</c:v>
                </c:pt>
                <c:pt idx="37">
                  <c:v>30.25</c:v>
                </c:pt>
                <c:pt idx="38">
                  <c:v>31.8</c:v>
                </c:pt>
                <c:pt idx="39">
                  <c:v>35.487499999999997</c:v>
                </c:pt>
                <c:pt idx="40">
                  <c:v>35.5625</c:v>
                </c:pt>
                <c:pt idx="41">
                  <c:v>36.342100000000002</c:v>
                </c:pt>
                <c:pt idx="42">
                  <c:v>36.704500000000003</c:v>
                </c:pt>
                <c:pt idx="43">
                  <c:v>39</c:v>
                </c:pt>
                <c:pt idx="44">
                  <c:v>42.136299999999999</c:v>
                </c:pt>
                <c:pt idx="45">
                  <c:v>48.1785</c:v>
                </c:pt>
                <c:pt idx="46">
                  <c:v>45.3095</c:v>
                </c:pt>
                <c:pt idx="47">
                  <c:v>44.282600000000002</c:v>
                </c:pt>
                <c:pt idx="48">
                  <c:v>44.263100000000001</c:v>
                </c:pt>
                <c:pt idx="49">
                  <c:v>47.521700000000003</c:v>
                </c:pt>
                <c:pt idx="50">
                  <c:v>52.375</c:v>
                </c:pt>
                <c:pt idx="51">
                  <c:v>54.075000000000003</c:v>
                </c:pt>
                <c:pt idx="52">
                  <c:v>60.357100000000003</c:v>
                </c:pt>
                <c:pt idx="53">
                  <c:v>64.362499999999997</c:v>
                </c:pt>
                <c:pt idx="54">
                  <c:v>72.075000000000003</c:v>
                </c:pt>
                <c:pt idx="55">
                  <c:v>68.593100000000007</c:v>
                </c:pt>
                <c:pt idx="56">
                  <c:v>70.380899999999997</c:v>
                </c:pt>
                <c:pt idx="57">
                  <c:v>74.642799999999994</c:v>
                </c:pt>
                <c:pt idx="58">
                  <c:v>69.738600000000005</c:v>
                </c:pt>
                <c:pt idx="59">
                  <c:v>57.773800000000001</c:v>
                </c:pt>
                <c:pt idx="60">
                  <c:v>53.904699999999998</c:v>
                </c:pt>
                <c:pt idx="61">
                  <c:v>43.260800000000003</c:v>
                </c:pt>
                <c:pt idx="62">
                  <c:v>35.973599999999998</c:v>
                </c:pt>
                <c:pt idx="63">
                  <c:v>37.636299999999999</c:v>
                </c:pt>
                <c:pt idx="64">
                  <c:v>36.375</c:v>
                </c:pt>
                <c:pt idx="65">
                  <c:v>33.263100000000001</c:v>
                </c:pt>
                <c:pt idx="66">
                  <c:v>31.795400000000001</c:v>
                </c:pt>
                <c:pt idx="67">
                  <c:v>35.333300000000001</c:v>
                </c:pt>
                <c:pt idx="68">
                  <c:v>40.35</c:v>
                </c:pt>
                <c:pt idx="69">
                  <c:v>36.840899999999998</c:v>
                </c:pt>
                <c:pt idx="70">
                  <c:v>33.931800000000003</c:v>
                </c:pt>
                <c:pt idx="71">
                  <c:v>36.0595</c:v>
                </c:pt>
                <c:pt idx="72">
                  <c:v>34.214199999999998</c:v>
                </c:pt>
                <c:pt idx="73">
                  <c:v>34.920400000000001</c:v>
                </c:pt>
                <c:pt idx="74">
                  <c:v>35.674999999999997</c:v>
                </c:pt>
                <c:pt idx="75">
                  <c:v>37.318100000000001</c:v>
                </c:pt>
                <c:pt idx="76">
                  <c:v>37.618400000000001</c:v>
                </c:pt>
                <c:pt idx="77">
                  <c:v>38.5</c:v>
                </c:pt>
                <c:pt idx="78">
                  <c:v>44.152099999999997</c:v>
                </c:pt>
                <c:pt idx="79">
                  <c:v>45.3095</c:v>
                </c:pt>
                <c:pt idx="80">
                  <c:v>45.674999999999997</c:v>
                </c:pt>
                <c:pt idx="81">
                  <c:v>48</c:v>
                </c:pt>
                <c:pt idx="82">
                  <c:v>50.380899999999997</c:v>
                </c:pt>
                <c:pt idx="83">
                  <c:v>56.068100000000001</c:v>
                </c:pt>
                <c:pt idx="84">
                  <c:v>61.333300000000001</c:v>
                </c:pt>
                <c:pt idx="85">
                  <c:v>68.666600000000003</c:v>
                </c:pt>
                <c:pt idx="86">
                  <c:v>72.952299999999994</c:v>
                </c:pt>
                <c:pt idx="87">
                  <c:v>82.045400000000001</c:v>
                </c:pt>
                <c:pt idx="88">
                  <c:v>96.025000000000006</c:v>
                </c:pt>
                <c:pt idx="89">
                  <c:v>106.31570000000001</c:v>
                </c:pt>
                <c:pt idx="90">
                  <c:v>94.021699999999996</c:v>
                </c:pt>
                <c:pt idx="91">
                  <c:v>98.5</c:v>
                </c:pt>
                <c:pt idx="92">
                  <c:v>100.1666</c:v>
                </c:pt>
                <c:pt idx="93">
                  <c:v>91.25</c:v>
                </c:pt>
                <c:pt idx="94">
                  <c:v>79.224999999999994</c:v>
                </c:pt>
                <c:pt idx="95">
                  <c:v>52.7423</c:v>
                </c:pt>
                <c:pt idx="96">
                  <c:v>53.137500000000003</c:v>
                </c:pt>
                <c:pt idx="97">
                  <c:v>52.003599999999999</c:v>
                </c:pt>
                <c:pt idx="98">
                  <c:v>50.287100000000002</c:v>
                </c:pt>
                <c:pt idx="99">
                  <c:v>49.053600000000003</c:v>
                </c:pt>
                <c:pt idx="100">
                  <c:v>51.572299999999998</c:v>
                </c:pt>
                <c:pt idx="101">
                  <c:v>50.597499999999997</c:v>
                </c:pt>
                <c:pt idx="102">
                  <c:v>53.075200000000002</c:v>
                </c:pt>
                <c:pt idx="103">
                  <c:v>54.053699999999999</c:v>
                </c:pt>
                <c:pt idx="104">
                  <c:v>57.121499999999997</c:v>
                </c:pt>
                <c:pt idx="105">
                  <c:v>65.565899999999999</c:v>
                </c:pt>
                <c:pt idx="106">
                  <c:v>74.368600000000001</c:v>
                </c:pt>
                <c:pt idx="107">
                  <c:v>67.023799999999994</c:v>
                </c:pt>
                <c:pt idx="108">
                  <c:v>70.378399999999999</c:v>
                </c:pt>
                <c:pt idx="109">
                  <c:v>70.495999999999995</c:v>
                </c:pt>
                <c:pt idx="110">
                  <c:v>71.260400000000004</c:v>
                </c:pt>
                <c:pt idx="111">
                  <c:v>72.356200000000001</c:v>
                </c:pt>
                <c:pt idx="112">
                  <c:v>70.435199999999995</c:v>
                </c:pt>
                <c:pt idx="113">
                  <c:v>72.356700000000004</c:v>
                </c:pt>
                <c:pt idx="114">
                  <c:v>78.697100000000006</c:v>
                </c:pt>
                <c:pt idx="115">
                  <c:v>85.19</c:v>
                </c:pt>
                <c:pt idx="116">
                  <c:v>83.308899999999994</c:v>
                </c:pt>
                <c:pt idx="117">
                  <c:v>74.369600000000005</c:v>
                </c:pt>
                <c:pt idx="118">
                  <c:v>76.2226</c:v>
                </c:pt>
                <c:pt idx="119">
                  <c:v>80.485200000000006</c:v>
                </c:pt>
                <c:pt idx="120">
                  <c:v>83.306799999999996</c:v>
                </c:pt>
                <c:pt idx="121">
                  <c:v>82.924999999999997</c:v>
                </c:pt>
                <c:pt idx="122">
                  <c:v>83.869600000000005</c:v>
                </c:pt>
                <c:pt idx="123">
                  <c:v>83.075000000000003</c:v>
                </c:pt>
                <c:pt idx="124">
                  <c:v>70.670500000000004</c:v>
                </c:pt>
                <c:pt idx="125">
                  <c:v>73.6524</c:v>
                </c:pt>
                <c:pt idx="126">
                  <c:v>69.644999999999996</c:v>
                </c:pt>
                <c:pt idx="127">
                  <c:v>66.819000000000003</c:v>
                </c:pt>
                <c:pt idx="128">
                  <c:v>60.539499999999997</c:v>
                </c:pt>
                <c:pt idx="129">
                  <c:v>54.5595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9B-4ED8-AF91-08E268FEA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995808"/>
        <c:axId val="915990560"/>
      </c:scatterChart>
      <c:valAx>
        <c:axId val="91599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0560"/>
        <c:crosses val="autoZero"/>
        <c:crossBetween val="midCat"/>
      </c:valAx>
      <c:valAx>
        <c:axId val="9159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5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2.7909667541557305E-2"/>
                  <c:y val="-0.24964384660250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'Palm Kernel Oil Price Analysis'!$E$3:$E$146</c:f>
              <c:numCache>
                <c:formatCode>0.0%</c:formatCode>
                <c:ptCount val="99"/>
                <c:pt idx="0">
                  <c:v>2.2018469368044444</c:v>
                </c:pt>
                <c:pt idx="1">
                  <c:v>3.1240978122641794</c:v>
                </c:pt>
                <c:pt idx="2">
                  <c:v>2.9437718226578569</c:v>
                </c:pt>
                <c:pt idx="3">
                  <c:v>2.3973705282112943</c:v>
                </c:pt>
                <c:pt idx="4">
                  <c:v>1.2065345988804896</c:v>
                </c:pt>
                <c:pt idx="5">
                  <c:v>1.0000000000000191</c:v>
                </c:pt>
                <c:pt idx="6">
                  <c:v>1.0001427392512499</c:v>
                </c:pt>
                <c:pt idx="7">
                  <c:v>2.8235550496577133</c:v>
                </c:pt>
                <c:pt idx="8">
                  <c:v>1.5090527132509495</c:v>
                </c:pt>
                <c:pt idx="9">
                  <c:v>1.1769489638322657</c:v>
                </c:pt>
                <c:pt idx="10">
                  <c:v>1.7025476569519087</c:v>
                </c:pt>
                <c:pt idx="11">
                  <c:v>1.2152167698466503</c:v>
                </c:pt>
                <c:pt idx="12">
                  <c:v>1.3499277143722934</c:v>
                </c:pt>
                <c:pt idx="13">
                  <c:v>1.2068348659719892</c:v>
                </c:pt>
                <c:pt idx="14">
                  <c:v>1.1657112031831893</c:v>
                </c:pt>
                <c:pt idx="15">
                  <c:v>2.1680419364138679</c:v>
                </c:pt>
                <c:pt idx="16">
                  <c:v>1.9367244647654045</c:v>
                </c:pt>
                <c:pt idx="17">
                  <c:v>0.99999999999998168</c:v>
                </c:pt>
                <c:pt idx="18">
                  <c:v>1.000615227750824</c:v>
                </c:pt>
                <c:pt idx="19">
                  <c:v>1.6466830702748236</c:v>
                </c:pt>
                <c:pt idx="20">
                  <c:v>1.7497631805236458</c:v>
                </c:pt>
                <c:pt idx="21">
                  <c:v>1.52291296411598</c:v>
                </c:pt>
                <c:pt idx="22">
                  <c:v>3.4268138794007408</c:v>
                </c:pt>
                <c:pt idx="23">
                  <c:v>2.8040150789821929</c:v>
                </c:pt>
                <c:pt idx="24">
                  <c:v>2.7093813982433295</c:v>
                </c:pt>
                <c:pt idx="25">
                  <c:v>2.6664892381690386</c:v>
                </c:pt>
                <c:pt idx="26">
                  <c:v>2.0710383811747173</c:v>
                </c:pt>
                <c:pt idx="27">
                  <c:v>1.604106843816463</c:v>
                </c:pt>
                <c:pt idx="28">
                  <c:v>2.1517769490156491</c:v>
                </c:pt>
                <c:pt idx="29">
                  <c:v>0.99999999999996858</c:v>
                </c:pt>
                <c:pt idx="30">
                  <c:v>0.99990817190973647</c:v>
                </c:pt>
                <c:pt idx="31">
                  <c:v>1.154582114304455</c:v>
                </c:pt>
                <c:pt idx="32">
                  <c:v>1.1797241063821875</c:v>
                </c:pt>
                <c:pt idx="33">
                  <c:v>1.0859792839076141</c:v>
                </c:pt>
                <c:pt idx="34">
                  <c:v>1.2301902000459168</c:v>
                </c:pt>
                <c:pt idx="35">
                  <c:v>2.2040985741472534</c:v>
                </c:pt>
                <c:pt idx="36">
                  <c:v>2.0270750772414599</c:v>
                </c:pt>
                <c:pt idx="37">
                  <c:v>1.5221553218696995</c:v>
                </c:pt>
                <c:pt idx="38">
                  <c:v>1.8467881551900229</c:v>
                </c:pt>
                <c:pt idx="39">
                  <c:v>2.1396501444138321</c:v>
                </c:pt>
                <c:pt idx="40">
                  <c:v>1.4188106038094455</c:v>
                </c:pt>
                <c:pt idx="41">
                  <c:v>1</c:v>
                </c:pt>
                <c:pt idx="42">
                  <c:v>1.0005017659750866</c:v>
                </c:pt>
                <c:pt idx="43">
                  <c:v>0.97407084635280805</c:v>
                </c:pt>
                <c:pt idx="44">
                  <c:v>1.2974475140351107</c:v>
                </c:pt>
                <c:pt idx="45">
                  <c:v>1.8239875332459139</c:v>
                </c:pt>
                <c:pt idx="46">
                  <c:v>1.172921517262433</c:v>
                </c:pt>
                <c:pt idx="47">
                  <c:v>1.3125822583392823</c:v>
                </c:pt>
                <c:pt idx="48">
                  <c:v>0.9517231156737076</c:v>
                </c:pt>
                <c:pt idx="49">
                  <c:v>0.85581605052254373</c:v>
                </c:pt>
                <c:pt idx="50">
                  <c:v>1.2220840694491844</c:v>
                </c:pt>
                <c:pt idx="51">
                  <c:v>0.72494636239274701</c:v>
                </c:pt>
                <c:pt idx="52">
                  <c:v>1.2663515454428864</c:v>
                </c:pt>
                <c:pt idx="53">
                  <c:v>0.99999999999995293</c:v>
                </c:pt>
                <c:pt idx="54">
                  <c:v>1.0005755106801979</c:v>
                </c:pt>
                <c:pt idx="55">
                  <c:v>1.8891912418523924</c:v>
                </c:pt>
                <c:pt idx="56">
                  <c:v>1.7325015699436581</c:v>
                </c:pt>
                <c:pt idx="57">
                  <c:v>2.1194737801996766</c:v>
                </c:pt>
                <c:pt idx="58">
                  <c:v>2.046439900752838</c:v>
                </c:pt>
                <c:pt idx="59">
                  <c:v>1.4902712143037888</c:v>
                </c:pt>
                <c:pt idx="60">
                  <c:v>1.3557958986049923</c:v>
                </c:pt>
                <c:pt idx="61">
                  <c:v>1.1406421041717243</c:v>
                </c:pt>
                <c:pt idx="62">
                  <c:v>1.0754150755995739</c:v>
                </c:pt>
                <c:pt idx="63">
                  <c:v>1.2972753951799965</c:v>
                </c:pt>
                <c:pt idx="64">
                  <c:v>2.2527359200579098</c:v>
                </c:pt>
                <c:pt idx="65">
                  <c:v>1.3612773717956217</c:v>
                </c:pt>
                <c:pt idx="66">
                  <c:v>3.3010697364866921</c:v>
                </c:pt>
                <c:pt idx="67">
                  <c:v>1.1325527940814151</c:v>
                </c:pt>
                <c:pt idx="68">
                  <c:v>0</c:v>
                </c:pt>
                <c:pt idx="69">
                  <c:v>0</c:v>
                </c:pt>
                <c:pt idx="70">
                  <c:v>4.805000348318071</c:v>
                </c:pt>
                <c:pt idx="71">
                  <c:v>1.8203590852284823</c:v>
                </c:pt>
                <c:pt idx="72">
                  <c:v>1.8929971023103429</c:v>
                </c:pt>
                <c:pt idx="73">
                  <c:v>1.2003430873291037</c:v>
                </c:pt>
                <c:pt idx="74">
                  <c:v>1.4392925192099246</c:v>
                </c:pt>
                <c:pt idx="75">
                  <c:v>2.0118606609651106</c:v>
                </c:pt>
                <c:pt idx="76">
                  <c:v>3.7692238241160632</c:v>
                </c:pt>
                <c:pt idx="77">
                  <c:v>1.6344478259948056</c:v>
                </c:pt>
                <c:pt idx="78">
                  <c:v>1.2026381422510362</c:v>
                </c:pt>
                <c:pt idx="79">
                  <c:v>1.2266173596376588</c:v>
                </c:pt>
                <c:pt idx="80">
                  <c:v>0</c:v>
                </c:pt>
                <c:pt idx="81">
                  <c:v>0</c:v>
                </c:pt>
                <c:pt idx="82">
                  <c:v>1.1796366718085363</c:v>
                </c:pt>
                <c:pt idx="83">
                  <c:v>1.6773099423996416</c:v>
                </c:pt>
                <c:pt idx="84">
                  <c:v>0.94201722724453851</c:v>
                </c:pt>
                <c:pt idx="85">
                  <c:v>0.84803846471121991</c:v>
                </c:pt>
                <c:pt idx="86">
                  <c:v>0.84155114922768393</c:v>
                </c:pt>
                <c:pt idx="87">
                  <c:v>1.5982313490374258</c:v>
                </c:pt>
                <c:pt idx="88">
                  <c:v>0.70312721581953874</c:v>
                </c:pt>
                <c:pt idx="89">
                  <c:v>2.534474331422945</c:v>
                </c:pt>
                <c:pt idx="90">
                  <c:v>1.1031154160815846</c:v>
                </c:pt>
                <c:pt idx="91">
                  <c:v>1.0915238321196055</c:v>
                </c:pt>
                <c:pt idx="92">
                  <c:v>0</c:v>
                </c:pt>
                <c:pt idx="93">
                  <c:v>0</c:v>
                </c:pt>
                <c:pt idx="94">
                  <c:v>1.1224592513193217</c:v>
                </c:pt>
                <c:pt idx="95">
                  <c:v>2.7271571145251241</c:v>
                </c:pt>
                <c:pt idx="96">
                  <c:v>1.0644524451337172</c:v>
                </c:pt>
                <c:pt idx="97">
                  <c:v>1.3183631489432301</c:v>
                </c:pt>
                <c:pt idx="98">
                  <c:v>1.3459157913415063</c:v>
                </c:pt>
              </c:numCache>
            </c:numRef>
          </c:xVal>
          <c:yVal>
            <c:numRef>
              <c:f>'Palm Kernel Oil Price Analysis'!$B$3:$B$146</c:f>
              <c:numCache>
                <c:formatCode>#,##0.00_);[Red]\(#,##0.00\)</c:formatCode>
                <c:ptCount val="99"/>
                <c:pt idx="0">
                  <c:v>29.982099999999999</c:v>
                </c:pt>
                <c:pt idx="1">
                  <c:v>28.908999999999999</c:v>
                </c:pt>
                <c:pt idx="2">
                  <c:v>27.5227</c:v>
                </c:pt>
                <c:pt idx="3">
                  <c:v>29.175000000000001</c:v>
                </c:pt>
                <c:pt idx="4">
                  <c:v>29.521699999999999</c:v>
                </c:pt>
                <c:pt idx="5">
                  <c:v>28.2</c:v>
                </c:pt>
                <c:pt idx="6">
                  <c:v>28.829499999999999</c:v>
                </c:pt>
                <c:pt idx="7">
                  <c:v>31.274999999999999</c:v>
                </c:pt>
                <c:pt idx="8">
                  <c:v>34.15</c:v>
                </c:pt>
                <c:pt idx="9">
                  <c:v>34.837499999999999</c:v>
                </c:pt>
                <c:pt idx="10">
                  <c:v>35.131500000000003</c:v>
                </c:pt>
                <c:pt idx="11">
                  <c:v>35.886299999999999</c:v>
                </c:pt>
                <c:pt idx="12">
                  <c:v>39.837499999999999</c:v>
                </c:pt>
                <c:pt idx="13">
                  <c:v>42.875</c:v>
                </c:pt>
                <c:pt idx="14">
                  <c:v>47.690399999999997</c:v>
                </c:pt>
                <c:pt idx="15">
                  <c:v>47.452300000000001</c:v>
                </c:pt>
                <c:pt idx="16">
                  <c:v>46.869500000000002</c:v>
                </c:pt>
                <c:pt idx="17">
                  <c:v>47.631500000000003</c:v>
                </c:pt>
                <c:pt idx="18">
                  <c:v>50.891300000000001</c:v>
                </c:pt>
                <c:pt idx="19">
                  <c:v>55.424999999999997</c:v>
                </c:pt>
                <c:pt idx="20">
                  <c:v>57.6</c:v>
                </c:pt>
                <c:pt idx="21">
                  <c:v>64.8095</c:v>
                </c:pt>
                <c:pt idx="22">
                  <c:v>69.224999999999994</c:v>
                </c:pt>
                <c:pt idx="23">
                  <c:v>70.825000000000003</c:v>
                </c:pt>
                <c:pt idx="24">
                  <c:v>69.181799999999996</c:v>
                </c:pt>
                <c:pt idx="25">
                  <c:v>71.345200000000006</c:v>
                </c:pt>
                <c:pt idx="26">
                  <c:v>72.5</c:v>
                </c:pt>
                <c:pt idx="27">
                  <c:v>67.2727</c:v>
                </c:pt>
                <c:pt idx="28">
                  <c:v>54.857100000000003</c:v>
                </c:pt>
                <c:pt idx="29">
                  <c:v>50.785699999999999</c:v>
                </c:pt>
                <c:pt idx="30">
                  <c:v>40.956499999999998</c:v>
                </c:pt>
                <c:pt idx="31">
                  <c:v>29.368400000000001</c:v>
                </c:pt>
                <c:pt idx="32">
                  <c:v>29.4772</c:v>
                </c:pt>
                <c:pt idx="33">
                  <c:v>31.975000000000001</c:v>
                </c:pt>
                <c:pt idx="34">
                  <c:v>32.026299999999999</c:v>
                </c:pt>
                <c:pt idx="35">
                  <c:v>31.908999999999999</c:v>
                </c:pt>
                <c:pt idx="36">
                  <c:v>38.3095</c:v>
                </c:pt>
                <c:pt idx="37">
                  <c:v>42.375</c:v>
                </c:pt>
                <c:pt idx="38">
                  <c:v>40.875</c:v>
                </c:pt>
                <c:pt idx="39">
                  <c:v>35.590899999999998</c:v>
                </c:pt>
                <c:pt idx="40">
                  <c:v>38.916600000000003</c:v>
                </c:pt>
                <c:pt idx="41">
                  <c:v>38.285699999999999</c:v>
                </c:pt>
                <c:pt idx="42">
                  <c:v>38.386299999999999</c:v>
                </c:pt>
                <c:pt idx="43">
                  <c:v>40.487499999999997</c:v>
                </c:pt>
                <c:pt idx="44">
                  <c:v>44.193100000000001</c:v>
                </c:pt>
                <c:pt idx="45">
                  <c:v>45.920999999999999</c:v>
                </c:pt>
                <c:pt idx="46">
                  <c:v>46.420999999999999</c:v>
                </c:pt>
                <c:pt idx="47">
                  <c:v>52.489100000000001</c:v>
                </c:pt>
                <c:pt idx="48">
                  <c:v>53.357100000000003</c:v>
                </c:pt>
                <c:pt idx="49">
                  <c:v>53.6</c:v>
                </c:pt>
                <c:pt idx="50">
                  <c:v>54.386299999999999</c:v>
                </c:pt>
                <c:pt idx="51">
                  <c:v>56.321399999999997</c:v>
                </c:pt>
                <c:pt idx="52">
                  <c:v>59.602200000000003</c:v>
                </c:pt>
                <c:pt idx="53">
                  <c:v>64.25</c:v>
                </c:pt>
                <c:pt idx="54">
                  <c:v>72.142799999999994</c:v>
                </c:pt>
                <c:pt idx="55">
                  <c:v>81.5</c:v>
                </c:pt>
                <c:pt idx="56">
                  <c:v>94.454499999999996</c:v>
                </c:pt>
                <c:pt idx="57">
                  <c:v>108.2375</c:v>
                </c:pt>
                <c:pt idx="58">
                  <c:v>113.7368</c:v>
                </c:pt>
                <c:pt idx="59">
                  <c:v>103.43470000000001</c:v>
                </c:pt>
                <c:pt idx="60">
                  <c:v>94.375</c:v>
                </c:pt>
                <c:pt idx="61">
                  <c:v>96.297600000000003</c:v>
                </c:pt>
                <c:pt idx="62">
                  <c:v>89.704499999999996</c:v>
                </c:pt>
                <c:pt idx="63">
                  <c:v>72.724999999999994</c:v>
                </c:pt>
                <c:pt idx="64">
                  <c:v>50.8095</c:v>
                </c:pt>
                <c:pt idx="65">
                  <c:v>48.090899999999998</c:v>
                </c:pt>
                <c:pt idx="66">
                  <c:v>46.159100000000002</c:v>
                </c:pt>
                <c:pt idx="67">
                  <c:v>41.333300000000001</c:v>
                </c:pt>
                <c:pt idx="68">
                  <c:v>41.369</c:v>
                </c:pt>
                <c:pt idx="69">
                  <c:v>47.7273</c:v>
                </c:pt>
                <c:pt idx="70">
                  <c:v>44.4375</c:v>
                </c:pt>
                <c:pt idx="71">
                  <c:v>45.3386</c:v>
                </c:pt>
                <c:pt idx="72">
                  <c:v>49.210500000000003</c:v>
                </c:pt>
                <c:pt idx="73">
                  <c:v>53.375</c:v>
                </c:pt>
                <c:pt idx="74">
                  <c:v>56.5227</c:v>
                </c:pt>
                <c:pt idx="75">
                  <c:v>69.023799999999994</c:v>
                </c:pt>
                <c:pt idx="76">
                  <c:v>63.464300000000001</c:v>
                </c:pt>
                <c:pt idx="77">
                  <c:v>66.954499999999996</c:v>
                </c:pt>
                <c:pt idx="78">
                  <c:v>65.599999999999994</c:v>
                </c:pt>
                <c:pt idx="79">
                  <c:v>71.021699999999996</c:v>
                </c:pt>
                <c:pt idx="80">
                  <c:v>73.714299999999994</c:v>
                </c:pt>
                <c:pt idx="81">
                  <c:v>69.8095</c:v>
                </c:pt>
                <c:pt idx="82">
                  <c:v>75.535700000000006</c:v>
                </c:pt>
                <c:pt idx="83">
                  <c:v>83.047600000000003</c:v>
                </c:pt>
                <c:pt idx="84">
                  <c:v>90.2</c:v>
                </c:pt>
                <c:pt idx="85">
                  <c:v>84.881600000000006</c:v>
                </c:pt>
                <c:pt idx="86">
                  <c:v>64.760900000000007</c:v>
                </c:pt>
                <c:pt idx="87">
                  <c:v>53.276299999999999</c:v>
                </c:pt>
                <c:pt idx="88">
                  <c:v>54.665500000000002</c:v>
                </c:pt>
                <c:pt idx="89">
                  <c:v>54.170499999999997</c:v>
                </c:pt>
                <c:pt idx="90">
                  <c:v>52.7</c:v>
                </c:pt>
                <c:pt idx="91">
                  <c:v>57.912999999999997</c:v>
                </c:pt>
                <c:pt idx="92">
                  <c:v>68.5</c:v>
                </c:pt>
                <c:pt idx="93">
                  <c:v>70.409099999999995</c:v>
                </c:pt>
                <c:pt idx="94">
                  <c:v>72.369</c:v>
                </c:pt>
                <c:pt idx="95">
                  <c:v>68.150000000000006</c:v>
                </c:pt>
                <c:pt idx="96">
                  <c:v>67.369</c:v>
                </c:pt>
                <c:pt idx="97">
                  <c:v>62.447400000000002</c:v>
                </c:pt>
                <c:pt idx="98">
                  <c:v>53.678600000000003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EC-4980-BEF0-F9AA284C3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15584"/>
        <c:axId val="1120315912"/>
      </c:scatterChart>
      <c:valAx>
        <c:axId val="112031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315912"/>
        <c:crosses val="autoZero"/>
        <c:crossBetween val="midCat"/>
      </c:valAx>
      <c:valAx>
        <c:axId val="112031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31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253477690288713"/>
                  <c:y val="-0.26372047244094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'Palm Kernel Oil Price Analysis'!$E$3:$E$146</c:f>
              <c:numCache>
                <c:formatCode>0.0%</c:formatCode>
                <c:ptCount val="99"/>
                <c:pt idx="0">
                  <c:v>2.2018469368044444</c:v>
                </c:pt>
                <c:pt idx="1">
                  <c:v>3.1240978122641794</c:v>
                </c:pt>
                <c:pt idx="2">
                  <c:v>2.9437718226578569</c:v>
                </c:pt>
                <c:pt idx="3">
                  <c:v>2.3973705282112943</c:v>
                </c:pt>
                <c:pt idx="4">
                  <c:v>1.2065345988804896</c:v>
                </c:pt>
                <c:pt idx="5">
                  <c:v>1.0000000000000191</c:v>
                </c:pt>
                <c:pt idx="6">
                  <c:v>1.0001427392512499</c:v>
                </c:pt>
                <c:pt idx="7">
                  <c:v>2.8235550496577133</c:v>
                </c:pt>
                <c:pt idx="8">
                  <c:v>1.5090527132509495</c:v>
                </c:pt>
                <c:pt idx="9">
                  <c:v>1.1769489638322657</c:v>
                </c:pt>
                <c:pt idx="10">
                  <c:v>1.7025476569519087</c:v>
                </c:pt>
                <c:pt idx="11">
                  <c:v>1.2152167698466503</c:v>
                </c:pt>
                <c:pt idx="12">
                  <c:v>1.3499277143722934</c:v>
                </c:pt>
                <c:pt idx="13">
                  <c:v>1.2068348659719892</c:v>
                </c:pt>
                <c:pt idx="14">
                  <c:v>1.1657112031831893</c:v>
                </c:pt>
                <c:pt idx="15">
                  <c:v>2.1680419364138679</c:v>
                </c:pt>
                <c:pt idx="16">
                  <c:v>1.9367244647654045</c:v>
                </c:pt>
                <c:pt idx="17">
                  <c:v>0.99999999999998168</c:v>
                </c:pt>
                <c:pt idx="18">
                  <c:v>1.000615227750824</c:v>
                </c:pt>
                <c:pt idx="19">
                  <c:v>1.6466830702748236</c:v>
                </c:pt>
                <c:pt idx="20">
                  <c:v>1.7497631805236458</c:v>
                </c:pt>
                <c:pt idx="21">
                  <c:v>1.52291296411598</c:v>
                </c:pt>
                <c:pt idx="22">
                  <c:v>3.4268138794007408</c:v>
                </c:pt>
                <c:pt idx="23">
                  <c:v>2.8040150789821929</c:v>
                </c:pt>
                <c:pt idx="24">
                  <c:v>2.7093813982433295</c:v>
                </c:pt>
                <c:pt idx="25">
                  <c:v>2.6664892381690386</c:v>
                </c:pt>
                <c:pt idx="26">
                  <c:v>2.0710383811747173</c:v>
                </c:pt>
                <c:pt idx="27">
                  <c:v>1.604106843816463</c:v>
                </c:pt>
                <c:pt idx="28">
                  <c:v>2.1517769490156491</c:v>
                </c:pt>
                <c:pt idx="29">
                  <c:v>0.99999999999996858</c:v>
                </c:pt>
                <c:pt idx="30">
                  <c:v>0.99990817190973647</c:v>
                </c:pt>
                <c:pt idx="31">
                  <c:v>1.154582114304455</c:v>
                </c:pt>
                <c:pt idx="32">
                  <c:v>1.1797241063821875</c:v>
                </c:pt>
                <c:pt idx="33">
                  <c:v>1.0859792839076141</c:v>
                </c:pt>
                <c:pt idx="34">
                  <c:v>1.2301902000459168</c:v>
                </c:pt>
                <c:pt idx="35">
                  <c:v>2.2040985741472534</c:v>
                </c:pt>
                <c:pt idx="36">
                  <c:v>2.0270750772414599</c:v>
                </c:pt>
                <c:pt idx="37">
                  <c:v>1.5221553218696995</c:v>
                </c:pt>
                <c:pt idx="38">
                  <c:v>1.8467881551900229</c:v>
                </c:pt>
                <c:pt idx="39">
                  <c:v>2.1396501444138321</c:v>
                </c:pt>
                <c:pt idx="40">
                  <c:v>1.4188106038094455</c:v>
                </c:pt>
                <c:pt idx="41">
                  <c:v>1</c:v>
                </c:pt>
                <c:pt idx="42">
                  <c:v>1.0005017659750866</c:v>
                </c:pt>
                <c:pt idx="43">
                  <c:v>0.97407084635280805</c:v>
                </c:pt>
                <c:pt idx="44">
                  <c:v>1.2974475140351107</c:v>
                </c:pt>
                <c:pt idx="45">
                  <c:v>1.8239875332459139</c:v>
                </c:pt>
                <c:pt idx="46">
                  <c:v>1.172921517262433</c:v>
                </c:pt>
                <c:pt idx="47">
                  <c:v>1.3125822583392823</c:v>
                </c:pt>
                <c:pt idx="48">
                  <c:v>0.9517231156737076</c:v>
                </c:pt>
                <c:pt idx="49">
                  <c:v>0.85581605052254373</c:v>
                </c:pt>
                <c:pt idx="50">
                  <c:v>1.2220840694491844</c:v>
                </c:pt>
                <c:pt idx="51">
                  <c:v>0.72494636239274701</c:v>
                </c:pt>
                <c:pt idx="52">
                  <c:v>1.2663515454428864</c:v>
                </c:pt>
                <c:pt idx="53">
                  <c:v>0.99999999999995293</c:v>
                </c:pt>
                <c:pt idx="54">
                  <c:v>1.0005755106801979</c:v>
                </c:pt>
                <c:pt idx="55">
                  <c:v>1.8891912418523924</c:v>
                </c:pt>
                <c:pt idx="56">
                  <c:v>1.7325015699436581</c:v>
                </c:pt>
                <c:pt idx="57">
                  <c:v>2.1194737801996766</c:v>
                </c:pt>
                <c:pt idx="58">
                  <c:v>2.046439900752838</c:v>
                </c:pt>
                <c:pt idx="59">
                  <c:v>1.4902712143037888</c:v>
                </c:pt>
                <c:pt idx="60">
                  <c:v>1.3557958986049923</c:v>
                </c:pt>
                <c:pt idx="61">
                  <c:v>1.1406421041717243</c:v>
                </c:pt>
                <c:pt idx="62">
                  <c:v>1.0754150755995739</c:v>
                </c:pt>
                <c:pt idx="63">
                  <c:v>1.2972753951799965</c:v>
                </c:pt>
                <c:pt idx="64">
                  <c:v>2.2527359200579098</c:v>
                </c:pt>
                <c:pt idx="65">
                  <c:v>1.3612773717956217</c:v>
                </c:pt>
                <c:pt idx="66">
                  <c:v>3.3010697364866921</c:v>
                </c:pt>
                <c:pt idx="67">
                  <c:v>1.1325527940814151</c:v>
                </c:pt>
                <c:pt idx="68">
                  <c:v>0</c:v>
                </c:pt>
                <c:pt idx="69">
                  <c:v>0</c:v>
                </c:pt>
                <c:pt idx="70">
                  <c:v>4.805000348318071</c:v>
                </c:pt>
                <c:pt idx="71">
                  <c:v>1.8203590852284823</c:v>
                </c:pt>
                <c:pt idx="72">
                  <c:v>1.8929971023103429</c:v>
                </c:pt>
                <c:pt idx="73">
                  <c:v>1.2003430873291037</c:v>
                </c:pt>
                <c:pt idx="74">
                  <c:v>1.4392925192099246</c:v>
                </c:pt>
                <c:pt idx="75">
                  <c:v>2.0118606609651106</c:v>
                </c:pt>
                <c:pt idx="76">
                  <c:v>3.7692238241160632</c:v>
                </c:pt>
                <c:pt idx="77">
                  <c:v>1.6344478259948056</c:v>
                </c:pt>
                <c:pt idx="78">
                  <c:v>1.2026381422510362</c:v>
                </c:pt>
                <c:pt idx="79">
                  <c:v>1.2266173596376588</c:v>
                </c:pt>
                <c:pt idx="80">
                  <c:v>0</c:v>
                </c:pt>
                <c:pt idx="81">
                  <c:v>0</c:v>
                </c:pt>
                <c:pt idx="82">
                  <c:v>1.1796366718085363</c:v>
                </c:pt>
                <c:pt idx="83">
                  <c:v>1.6773099423996416</c:v>
                </c:pt>
                <c:pt idx="84">
                  <c:v>0.94201722724453851</c:v>
                </c:pt>
                <c:pt idx="85">
                  <c:v>0.84803846471121991</c:v>
                </c:pt>
                <c:pt idx="86">
                  <c:v>0.84155114922768393</c:v>
                </c:pt>
                <c:pt idx="87">
                  <c:v>1.5982313490374258</c:v>
                </c:pt>
                <c:pt idx="88">
                  <c:v>0.70312721581953874</c:v>
                </c:pt>
                <c:pt idx="89">
                  <c:v>2.534474331422945</c:v>
                </c:pt>
                <c:pt idx="90">
                  <c:v>1.1031154160815846</c:v>
                </c:pt>
                <c:pt idx="91">
                  <c:v>1.0915238321196055</c:v>
                </c:pt>
                <c:pt idx="92">
                  <c:v>0</c:v>
                </c:pt>
                <c:pt idx="93">
                  <c:v>0</c:v>
                </c:pt>
                <c:pt idx="94">
                  <c:v>1.1224592513193217</c:v>
                </c:pt>
                <c:pt idx="95">
                  <c:v>2.7271571145251241</c:v>
                </c:pt>
                <c:pt idx="96">
                  <c:v>1.0644524451337172</c:v>
                </c:pt>
                <c:pt idx="97">
                  <c:v>1.3183631489432301</c:v>
                </c:pt>
                <c:pt idx="98">
                  <c:v>1.3459157913415063</c:v>
                </c:pt>
              </c:numCache>
            </c:numRef>
          </c:xVal>
          <c:yVal>
            <c:numRef>
              <c:f>'Palm Kernel Oil Price Analysis'!$B$3:$B$146</c:f>
              <c:numCache>
                <c:formatCode>#,##0.00_);[Red]\(#,##0.00\)</c:formatCode>
                <c:ptCount val="99"/>
                <c:pt idx="0">
                  <c:v>29.982099999999999</c:v>
                </c:pt>
                <c:pt idx="1">
                  <c:v>28.908999999999999</c:v>
                </c:pt>
                <c:pt idx="2">
                  <c:v>27.5227</c:v>
                </c:pt>
                <c:pt idx="3">
                  <c:v>29.175000000000001</c:v>
                </c:pt>
                <c:pt idx="4">
                  <c:v>29.521699999999999</c:v>
                </c:pt>
                <c:pt idx="5">
                  <c:v>28.2</c:v>
                </c:pt>
                <c:pt idx="6">
                  <c:v>28.829499999999999</c:v>
                </c:pt>
                <c:pt idx="7">
                  <c:v>31.274999999999999</c:v>
                </c:pt>
                <c:pt idx="8">
                  <c:v>34.15</c:v>
                </c:pt>
                <c:pt idx="9">
                  <c:v>34.837499999999999</c:v>
                </c:pt>
                <c:pt idx="10">
                  <c:v>35.131500000000003</c:v>
                </c:pt>
                <c:pt idx="11">
                  <c:v>35.886299999999999</c:v>
                </c:pt>
                <c:pt idx="12">
                  <c:v>39.837499999999999</c:v>
                </c:pt>
                <c:pt idx="13">
                  <c:v>42.875</c:v>
                </c:pt>
                <c:pt idx="14">
                  <c:v>47.690399999999997</c:v>
                </c:pt>
                <c:pt idx="15">
                  <c:v>47.452300000000001</c:v>
                </c:pt>
                <c:pt idx="16">
                  <c:v>46.869500000000002</c:v>
                </c:pt>
                <c:pt idx="17">
                  <c:v>47.631500000000003</c:v>
                </c:pt>
                <c:pt idx="18">
                  <c:v>50.891300000000001</c:v>
                </c:pt>
                <c:pt idx="19">
                  <c:v>55.424999999999997</c:v>
                </c:pt>
                <c:pt idx="20">
                  <c:v>57.6</c:v>
                </c:pt>
                <c:pt idx="21">
                  <c:v>64.8095</c:v>
                </c:pt>
                <c:pt idx="22">
                  <c:v>69.224999999999994</c:v>
                </c:pt>
                <c:pt idx="23">
                  <c:v>70.825000000000003</c:v>
                </c:pt>
                <c:pt idx="24">
                  <c:v>69.181799999999996</c:v>
                </c:pt>
                <c:pt idx="25">
                  <c:v>71.345200000000006</c:v>
                </c:pt>
                <c:pt idx="26">
                  <c:v>72.5</c:v>
                </c:pt>
                <c:pt idx="27">
                  <c:v>67.2727</c:v>
                </c:pt>
                <c:pt idx="28">
                  <c:v>54.857100000000003</c:v>
                </c:pt>
                <c:pt idx="29">
                  <c:v>50.785699999999999</c:v>
                </c:pt>
                <c:pt idx="30">
                  <c:v>40.956499999999998</c:v>
                </c:pt>
                <c:pt idx="31">
                  <c:v>29.368400000000001</c:v>
                </c:pt>
                <c:pt idx="32">
                  <c:v>29.4772</c:v>
                </c:pt>
                <c:pt idx="33">
                  <c:v>31.975000000000001</c:v>
                </c:pt>
                <c:pt idx="34">
                  <c:v>32.026299999999999</c:v>
                </c:pt>
                <c:pt idx="35">
                  <c:v>31.908999999999999</c:v>
                </c:pt>
                <c:pt idx="36">
                  <c:v>38.3095</c:v>
                </c:pt>
                <c:pt idx="37">
                  <c:v>42.375</c:v>
                </c:pt>
                <c:pt idx="38">
                  <c:v>40.875</c:v>
                </c:pt>
                <c:pt idx="39">
                  <c:v>35.590899999999998</c:v>
                </c:pt>
                <c:pt idx="40">
                  <c:v>38.916600000000003</c:v>
                </c:pt>
                <c:pt idx="41">
                  <c:v>38.285699999999999</c:v>
                </c:pt>
                <c:pt idx="42">
                  <c:v>38.386299999999999</c:v>
                </c:pt>
                <c:pt idx="43">
                  <c:v>40.487499999999997</c:v>
                </c:pt>
                <c:pt idx="44">
                  <c:v>44.193100000000001</c:v>
                </c:pt>
                <c:pt idx="45">
                  <c:v>45.920999999999999</c:v>
                </c:pt>
                <c:pt idx="46">
                  <c:v>46.420999999999999</c:v>
                </c:pt>
                <c:pt idx="47">
                  <c:v>52.489100000000001</c:v>
                </c:pt>
                <c:pt idx="48">
                  <c:v>53.357100000000003</c:v>
                </c:pt>
                <c:pt idx="49">
                  <c:v>53.6</c:v>
                </c:pt>
                <c:pt idx="50">
                  <c:v>54.386299999999999</c:v>
                </c:pt>
                <c:pt idx="51">
                  <c:v>56.321399999999997</c:v>
                </c:pt>
                <c:pt idx="52">
                  <c:v>59.602200000000003</c:v>
                </c:pt>
                <c:pt idx="53">
                  <c:v>64.25</c:v>
                </c:pt>
                <c:pt idx="54">
                  <c:v>72.142799999999994</c:v>
                </c:pt>
                <c:pt idx="55">
                  <c:v>81.5</c:v>
                </c:pt>
                <c:pt idx="56">
                  <c:v>94.454499999999996</c:v>
                </c:pt>
                <c:pt idx="57">
                  <c:v>108.2375</c:v>
                </c:pt>
                <c:pt idx="58">
                  <c:v>113.7368</c:v>
                </c:pt>
                <c:pt idx="59">
                  <c:v>103.43470000000001</c:v>
                </c:pt>
                <c:pt idx="60">
                  <c:v>94.375</c:v>
                </c:pt>
                <c:pt idx="61">
                  <c:v>96.297600000000003</c:v>
                </c:pt>
                <c:pt idx="62">
                  <c:v>89.704499999999996</c:v>
                </c:pt>
                <c:pt idx="63">
                  <c:v>72.724999999999994</c:v>
                </c:pt>
                <c:pt idx="64">
                  <c:v>50.8095</c:v>
                </c:pt>
                <c:pt idx="65">
                  <c:v>48.090899999999998</c:v>
                </c:pt>
                <c:pt idx="66">
                  <c:v>46.159100000000002</c:v>
                </c:pt>
                <c:pt idx="67">
                  <c:v>41.333300000000001</c:v>
                </c:pt>
                <c:pt idx="68">
                  <c:v>41.369</c:v>
                </c:pt>
                <c:pt idx="69">
                  <c:v>47.7273</c:v>
                </c:pt>
                <c:pt idx="70">
                  <c:v>44.4375</c:v>
                </c:pt>
                <c:pt idx="71">
                  <c:v>45.3386</c:v>
                </c:pt>
                <c:pt idx="72">
                  <c:v>49.210500000000003</c:v>
                </c:pt>
                <c:pt idx="73">
                  <c:v>53.375</c:v>
                </c:pt>
                <c:pt idx="74">
                  <c:v>56.5227</c:v>
                </c:pt>
                <c:pt idx="75">
                  <c:v>69.023799999999994</c:v>
                </c:pt>
                <c:pt idx="76">
                  <c:v>63.464300000000001</c:v>
                </c:pt>
                <c:pt idx="77">
                  <c:v>66.954499999999996</c:v>
                </c:pt>
                <c:pt idx="78">
                  <c:v>65.599999999999994</c:v>
                </c:pt>
                <c:pt idx="79">
                  <c:v>71.021699999999996</c:v>
                </c:pt>
                <c:pt idx="80">
                  <c:v>73.714299999999994</c:v>
                </c:pt>
                <c:pt idx="81">
                  <c:v>69.8095</c:v>
                </c:pt>
                <c:pt idx="82">
                  <c:v>75.535700000000006</c:v>
                </c:pt>
                <c:pt idx="83">
                  <c:v>83.047600000000003</c:v>
                </c:pt>
                <c:pt idx="84">
                  <c:v>90.2</c:v>
                </c:pt>
                <c:pt idx="85">
                  <c:v>84.881600000000006</c:v>
                </c:pt>
                <c:pt idx="86">
                  <c:v>64.760900000000007</c:v>
                </c:pt>
                <c:pt idx="87">
                  <c:v>53.276299999999999</c:v>
                </c:pt>
                <c:pt idx="88">
                  <c:v>54.665500000000002</c:v>
                </c:pt>
                <c:pt idx="89">
                  <c:v>54.170499999999997</c:v>
                </c:pt>
                <c:pt idx="90">
                  <c:v>52.7</c:v>
                </c:pt>
                <c:pt idx="91">
                  <c:v>57.912999999999997</c:v>
                </c:pt>
                <c:pt idx="92">
                  <c:v>68.5</c:v>
                </c:pt>
                <c:pt idx="93">
                  <c:v>70.409099999999995</c:v>
                </c:pt>
                <c:pt idx="94">
                  <c:v>72.369</c:v>
                </c:pt>
                <c:pt idx="95">
                  <c:v>68.150000000000006</c:v>
                </c:pt>
                <c:pt idx="96">
                  <c:v>67.369</c:v>
                </c:pt>
                <c:pt idx="97">
                  <c:v>62.447400000000002</c:v>
                </c:pt>
                <c:pt idx="98">
                  <c:v>53.678600000000003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B-4ED2-8955-EF0C019B8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261816"/>
        <c:axId val="915261488"/>
      </c:scatterChart>
      <c:valAx>
        <c:axId val="91526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61488"/>
        <c:crosses val="autoZero"/>
        <c:crossBetween val="midCat"/>
      </c:valAx>
      <c:valAx>
        <c:axId val="9152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61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0253477690288713"/>
                  <c:y val="-0.263720472440944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'Palm Kernel Oil Price Analysis'!$D$4:$D$147</c:f>
              <c:numCache>
                <c:formatCode>#,##0_);[Red]\(#,##0\)</c:formatCode>
                <c:ptCount val="99"/>
                <c:pt idx="0">
                  <c:v>32.777462856</c:v>
                </c:pt>
                <c:pt idx="1">
                  <c:v>35.294855124400009</c:v>
                </c:pt>
                <c:pt idx="2">
                  <c:v>43.422574347599998</c:v>
                </c:pt>
                <c:pt idx="3">
                  <c:v>72.35598554820001</c:v>
                </c:pt>
                <c:pt idx="4">
                  <c:v>75.599999999998545</c:v>
                </c:pt>
                <c:pt idx="5">
                  <c:v>45808.461334528205</c:v>
                </c:pt>
                <c:pt idx="6">
                  <c:v>25.039355973799996</c:v>
                </c:pt>
                <c:pt idx="7">
                  <c:v>54.272458000199997</c:v>
                </c:pt>
                <c:pt idx="8">
                  <c:v>87.6843458564</c:v>
                </c:pt>
                <c:pt idx="9">
                  <c:v>51.334833209000017</c:v>
                </c:pt>
                <c:pt idx="10">
                  <c:v>62.622572275400003</c:v>
                </c:pt>
                <c:pt idx="11">
                  <c:v>51.336082119199986</c:v>
                </c:pt>
                <c:pt idx="12">
                  <c:v>46.568094430000016</c:v>
                </c:pt>
                <c:pt idx="13">
                  <c:v>59.448686613599982</c:v>
                </c:pt>
                <c:pt idx="14">
                  <c:v>34.316679373400014</c:v>
                </c:pt>
                <c:pt idx="15">
                  <c:v>55.506088736799988</c:v>
                </c:pt>
                <c:pt idx="16">
                  <c:v>78.900000000001455</c:v>
                </c:pt>
                <c:pt idx="17">
                  <c:v>45817.811610814999</c:v>
                </c:pt>
                <c:pt idx="18">
                  <c:v>40.323484949000026</c:v>
                </c:pt>
                <c:pt idx="19">
                  <c:v>41.777082072399992</c:v>
                </c:pt>
                <c:pt idx="20">
                  <c:v>52.465243833800002</c:v>
                </c:pt>
                <c:pt idx="21">
                  <c:v>24.133204460600016</c:v>
                </c:pt>
                <c:pt idx="22">
                  <c:v>28.566180189400001</c:v>
                </c:pt>
                <c:pt idx="23">
                  <c:v>34.731175190400002</c:v>
                </c:pt>
                <c:pt idx="24">
                  <c:v>37.314982777999994</c:v>
                </c:pt>
                <c:pt idx="25">
                  <c:v>47.802107821800021</c:v>
                </c:pt>
                <c:pt idx="26">
                  <c:v>59.846387645600011</c:v>
                </c:pt>
                <c:pt idx="27">
                  <c:v>36.713842499399995</c:v>
                </c:pt>
                <c:pt idx="28">
                  <c:v>92.80000000000291</c:v>
                </c:pt>
                <c:pt idx="29">
                  <c:v>45882.213276022201</c:v>
                </c:pt>
                <c:pt idx="30">
                  <c:v>61.234276128200023</c:v>
                </c:pt>
                <c:pt idx="31">
                  <c:v>67.642934113400003</c:v>
                </c:pt>
                <c:pt idx="32">
                  <c:v>52.303023493799955</c:v>
                </c:pt>
                <c:pt idx="33">
                  <c:v>76.410948482999984</c:v>
                </c:pt>
                <c:pt idx="34">
                  <c:v>41.014499560200015</c:v>
                </c:pt>
                <c:pt idx="35">
                  <c:v>58.359949923999984</c:v>
                </c:pt>
                <c:pt idx="36">
                  <c:v>66.813155358599985</c:v>
                </c:pt>
                <c:pt idx="37">
                  <c:v>64.165453772799992</c:v>
                </c:pt>
                <c:pt idx="38">
                  <c:v>45.94209023219998</c:v>
                </c:pt>
                <c:pt idx="39">
                  <c:v>58.711148462200015</c:v>
                </c:pt>
                <c:pt idx="40">
                  <c:v>77.5</c:v>
                </c:pt>
                <c:pt idx="41">
                  <c:v>45886.975477006003</c:v>
                </c:pt>
                <c:pt idx="42">
                  <c:v>50.509673073799995</c:v>
                </c:pt>
                <c:pt idx="43">
                  <c:v>49.096398359800006</c:v>
                </c:pt>
                <c:pt idx="44">
                  <c:v>27.467292997800008</c:v>
                </c:pt>
                <c:pt idx="45">
                  <c:v>82.130814877399985</c:v>
                </c:pt>
                <c:pt idx="46">
                  <c:v>55.181303525800033</c:v>
                </c:pt>
                <c:pt idx="47">
                  <c:v>76.623125780000009</c:v>
                </c:pt>
                <c:pt idx="48">
                  <c:v>62.629112841799994</c:v>
                </c:pt>
                <c:pt idx="49">
                  <c:v>39.030866363800001</c:v>
                </c:pt>
                <c:pt idx="50">
                  <c:v>59.649930316599992</c:v>
                </c:pt>
                <c:pt idx="51">
                  <c:v>59.841203078800007</c:v>
                </c:pt>
                <c:pt idx="52">
                  <c:v>74.285000000003492</c:v>
                </c:pt>
                <c:pt idx="53">
                  <c:v>45914.575671324397</c:v>
                </c:pt>
                <c:pt idx="54">
                  <c:v>41.06095681659999</c:v>
                </c:pt>
                <c:pt idx="55">
                  <c:v>49.788699471600012</c:v>
                </c:pt>
                <c:pt idx="56">
                  <c:v>40.733695696800005</c:v>
                </c:pt>
                <c:pt idx="57">
                  <c:v>49.090618279599965</c:v>
                </c:pt>
                <c:pt idx="58">
                  <c:v>62.846949670000008</c:v>
                </c:pt>
                <c:pt idx="59">
                  <c:v>46.279827269400002</c:v>
                </c:pt>
                <c:pt idx="60">
                  <c:v>52.0242061756</c:v>
                </c:pt>
                <c:pt idx="61">
                  <c:v>64.306333032800012</c:v>
                </c:pt>
                <c:pt idx="62">
                  <c:v>50.085741425000002</c:v>
                </c:pt>
                <c:pt idx="63">
                  <c:v>39.161436640000041</c:v>
                </c:pt>
                <c:pt idx="64">
                  <c:v>66.194444914000016</c:v>
                </c:pt>
                <c:pt idx="65">
                  <c:v>25.601700886800007</c:v>
                </c:pt>
                <c:pt idx="66">
                  <c:v>86.139030789399996</c:v>
                </c:pt>
                <c:pt idx="67">
                  <c:v>0</c:v>
                </c:pt>
                <c:pt idx="68">
                  <c:v>0</c:v>
                </c:pt>
                <c:pt idx="69">
                  <c:v>18.807074599200011</c:v>
                </c:pt>
                <c:pt idx="70">
                  <c:v>67.388902000400009</c:v>
                </c:pt>
                <c:pt idx="71">
                  <c:v>65.957311740000023</c:v>
                </c:pt>
                <c:pt idx="72">
                  <c:v>109.99105288619997</c:v>
                </c:pt>
                <c:pt idx="73">
                  <c:v>88.36216287000002</c:v>
                </c:pt>
                <c:pt idx="74">
                  <c:v>57.740579282599988</c:v>
                </c:pt>
                <c:pt idx="75">
                  <c:v>29.461237958200023</c:v>
                </c:pt>
                <c:pt idx="76">
                  <c:v>71.04968305079997</c:v>
                </c:pt>
                <c:pt idx="77">
                  <c:v>87.694707405999992</c:v>
                </c:pt>
                <c:pt idx="78">
                  <c:v>77.524583565400008</c:v>
                </c:pt>
                <c:pt idx="79">
                  <c:v>0</c:v>
                </c:pt>
                <c:pt idx="80">
                  <c:v>0</c:v>
                </c:pt>
                <c:pt idx="81">
                  <c:v>78.469924013200014</c:v>
                </c:pt>
                <c:pt idx="82">
                  <c:v>48.388194661199996</c:v>
                </c:pt>
                <c:pt idx="83">
                  <c:v>80.90616370459999</c:v>
                </c:pt>
                <c:pt idx="84">
                  <c:v>84.857000000000014</c:v>
                </c:pt>
                <c:pt idx="85">
                  <c:v>73.798247506400017</c:v>
                </c:pt>
                <c:pt idx="86">
                  <c:v>41.213057195799983</c:v>
                </c:pt>
                <c:pt idx="87">
                  <c:v>103.225985806</c:v>
                </c:pt>
                <c:pt idx="88">
                  <c:v>24.680068456199997</c:v>
                </c:pt>
                <c:pt idx="89">
                  <c:v>85.547712074600028</c:v>
                </c:pt>
                <c:pt idx="90">
                  <c:v>78.984074798059993</c:v>
                </c:pt>
                <c:pt idx="91">
                  <c:v>0</c:v>
                </c:pt>
                <c:pt idx="92">
                  <c:v>0</c:v>
                </c:pt>
                <c:pt idx="93">
                  <c:v>97.742523722839991</c:v>
                </c:pt>
                <c:pt idx="94">
                  <c:v>43.007056460120019</c:v>
                </c:pt>
                <c:pt idx="95">
                  <c:v>103.22490262699999</c:v>
                </c:pt>
                <c:pt idx="96">
                  <c:v>68.400728640120008</c:v>
                </c:pt>
                <c:pt idx="97">
                  <c:v>69.883272493779984</c:v>
                </c:pt>
                <c:pt idx="98">
                  <c:v>80.868208424519992</c:v>
                </c:pt>
              </c:numCache>
            </c:numRef>
          </c:xVal>
          <c:yVal>
            <c:numRef>
              <c:f>'Palm Kernel Oil Price Analysis'!$B$3:$B$146</c:f>
              <c:numCache>
                <c:formatCode>#,##0.00_);[Red]\(#,##0.00\)</c:formatCode>
                <c:ptCount val="99"/>
                <c:pt idx="0">
                  <c:v>29.982099999999999</c:v>
                </c:pt>
                <c:pt idx="1">
                  <c:v>28.908999999999999</c:v>
                </c:pt>
                <c:pt idx="2">
                  <c:v>27.5227</c:v>
                </c:pt>
                <c:pt idx="3">
                  <c:v>29.175000000000001</c:v>
                </c:pt>
                <c:pt idx="4">
                  <c:v>29.521699999999999</c:v>
                </c:pt>
                <c:pt idx="5">
                  <c:v>28.2</c:v>
                </c:pt>
                <c:pt idx="6">
                  <c:v>28.829499999999999</c:v>
                </c:pt>
                <c:pt idx="7">
                  <c:v>31.274999999999999</c:v>
                </c:pt>
                <c:pt idx="8">
                  <c:v>34.15</c:v>
                </c:pt>
                <c:pt idx="9">
                  <c:v>34.837499999999999</c:v>
                </c:pt>
                <c:pt idx="10">
                  <c:v>35.131500000000003</c:v>
                </c:pt>
                <c:pt idx="11">
                  <c:v>35.886299999999999</c:v>
                </c:pt>
                <c:pt idx="12">
                  <c:v>39.837499999999999</c:v>
                </c:pt>
                <c:pt idx="13">
                  <c:v>42.875</c:v>
                </c:pt>
                <c:pt idx="14">
                  <c:v>47.690399999999997</c:v>
                </c:pt>
                <c:pt idx="15">
                  <c:v>47.452300000000001</c:v>
                </c:pt>
                <c:pt idx="16">
                  <c:v>46.869500000000002</c:v>
                </c:pt>
                <c:pt idx="17">
                  <c:v>47.631500000000003</c:v>
                </c:pt>
                <c:pt idx="18">
                  <c:v>50.891300000000001</c:v>
                </c:pt>
                <c:pt idx="19">
                  <c:v>55.424999999999997</c:v>
                </c:pt>
                <c:pt idx="20">
                  <c:v>57.6</c:v>
                </c:pt>
                <c:pt idx="21">
                  <c:v>64.8095</c:v>
                </c:pt>
                <c:pt idx="22">
                  <c:v>69.224999999999994</c:v>
                </c:pt>
                <c:pt idx="23">
                  <c:v>70.825000000000003</c:v>
                </c:pt>
                <c:pt idx="24">
                  <c:v>69.181799999999996</c:v>
                </c:pt>
                <c:pt idx="25">
                  <c:v>71.345200000000006</c:v>
                </c:pt>
                <c:pt idx="26">
                  <c:v>72.5</c:v>
                </c:pt>
                <c:pt idx="27">
                  <c:v>67.2727</c:v>
                </c:pt>
                <c:pt idx="28">
                  <c:v>54.857100000000003</c:v>
                </c:pt>
                <c:pt idx="29">
                  <c:v>50.785699999999999</c:v>
                </c:pt>
                <c:pt idx="30">
                  <c:v>40.956499999999998</c:v>
                </c:pt>
                <c:pt idx="31">
                  <c:v>29.368400000000001</c:v>
                </c:pt>
                <c:pt idx="32">
                  <c:v>29.4772</c:v>
                </c:pt>
                <c:pt idx="33">
                  <c:v>31.975000000000001</c:v>
                </c:pt>
                <c:pt idx="34">
                  <c:v>32.026299999999999</c:v>
                </c:pt>
                <c:pt idx="35">
                  <c:v>31.908999999999999</c:v>
                </c:pt>
                <c:pt idx="36">
                  <c:v>38.3095</c:v>
                </c:pt>
                <c:pt idx="37">
                  <c:v>42.375</c:v>
                </c:pt>
                <c:pt idx="38">
                  <c:v>40.875</c:v>
                </c:pt>
                <c:pt idx="39">
                  <c:v>35.590899999999998</c:v>
                </c:pt>
                <c:pt idx="40">
                  <c:v>38.916600000000003</c:v>
                </c:pt>
                <c:pt idx="41">
                  <c:v>38.285699999999999</c:v>
                </c:pt>
                <c:pt idx="42">
                  <c:v>38.386299999999999</c:v>
                </c:pt>
                <c:pt idx="43">
                  <c:v>40.487499999999997</c:v>
                </c:pt>
                <c:pt idx="44">
                  <c:v>44.193100000000001</c:v>
                </c:pt>
                <c:pt idx="45">
                  <c:v>45.920999999999999</c:v>
                </c:pt>
                <c:pt idx="46">
                  <c:v>46.420999999999999</c:v>
                </c:pt>
                <c:pt idx="47">
                  <c:v>52.489100000000001</c:v>
                </c:pt>
                <c:pt idx="48">
                  <c:v>53.357100000000003</c:v>
                </c:pt>
                <c:pt idx="49">
                  <c:v>53.6</c:v>
                </c:pt>
                <c:pt idx="50">
                  <c:v>54.386299999999999</c:v>
                </c:pt>
                <c:pt idx="51">
                  <c:v>56.321399999999997</c:v>
                </c:pt>
                <c:pt idx="52">
                  <c:v>59.602200000000003</c:v>
                </c:pt>
                <c:pt idx="53">
                  <c:v>64.25</c:v>
                </c:pt>
                <c:pt idx="54">
                  <c:v>72.142799999999994</c:v>
                </c:pt>
                <c:pt idx="55">
                  <c:v>81.5</c:v>
                </c:pt>
                <c:pt idx="56">
                  <c:v>94.454499999999996</c:v>
                </c:pt>
                <c:pt idx="57">
                  <c:v>108.2375</c:v>
                </c:pt>
                <c:pt idx="58">
                  <c:v>113.7368</c:v>
                </c:pt>
                <c:pt idx="59">
                  <c:v>103.43470000000001</c:v>
                </c:pt>
                <c:pt idx="60">
                  <c:v>94.375</c:v>
                </c:pt>
                <c:pt idx="61">
                  <c:v>96.297600000000003</c:v>
                </c:pt>
                <c:pt idx="62">
                  <c:v>89.704499999999996</c:v>
                </c:pt>
                <c:pt idx="63">
                  <c:v>72.724999999999994</c:v>
                </c:pt>
                <c:pt idx="64">
                  <c:v>50.8095</c:v>
                </c:pt>
                <c:pt idx="65">
                  <c:v>48.090899999999998</c:v>
                </c:pt>
                <c:pt idx="66">
                  <c:v>46.159100000000002</c:v>
                </c:pt>
                <c:pt idx="67">
                  <c:v>41.333300000000001</c:v>
                </c:pt>
                <c:pt idx="68">
                  <c:v>41.369</c:v>
                </c:pt>
                <c:pt idx="69">
                  <c:v>47.7273</c:v>
                </c:pt>
                <c:pt idx="70">
                  <c:v>44.4375</c:v>
                </c:pt>
                <c:pt idx="71">
                  <c:v>45.3386</c:v>
                </c:pt>
                <c:pt idx="72">
                  <c:v>49.210500000000003</c:v>
                </c:pt>
                <c:pt idx="73">
                  <c:v>53.375</c:v>
                </c:pt>
                <c:pt idx="74">
                  <c:v>56.5227</c:v>
                </c:pt>
                <c:pt idx="75">
                  <c:v>69.023799999999994</c:v>
                </c:pt>
                <c:pt idx="76">
                  <c:v>63.464300000000001</c:v>
                </c:pt>
                <c:pt idx="77">
                  <c:v>66.954499999999996</c:v>
                </c:pt>
                <c:pt idx="78">
                  <c:v>65.599999999999994</c:v>
                </c:pt>
                <c:pt idx="79">
                  <c:v>71.021699999999996</c:v>
                </c:pt>
                <c:pt idx="80">
                  <c:v>73.714299999999994</c:v>
                </c:pt>
                <c:pt idx="81">
                  <c:v>69.8095</c:v>
                </c:pt>
                <c:pt idx="82">
                  <c:v>75.535700000000006</c:v>
                </c:pt>
                <c:pt idx="83">
                  <c:v>83.047600000000003</c:v>
                </c:pt>
                <c:pt idx="84">
                  <c:v>90.2</c:v>
                </c:pt>
                <c:pt idx="85">
                  <c:v>84.881600000000006</c:v>
                </c:pt>
                <c:pt idx="86">
                  <c:v>64.760900000000007</c:v>
                </c:pt>
                <c:pt idx="87">
                  <c:v>53.276299999999999</c:v>
                </c:pt>
                <c:pt idx="88">
                  <c:v>54.665500000000002</c:v>
                </c:pt>
                <c:pt idx="89">
                  <c:v>54.170499999999997</c:v>
                </c:pt>
                <c:pt idx="90">
                  <c:v>52.7</c:v>
                </c:pt>
                <c:pt idx="91">
                  <c:v>57.912999999999997</c:v>
                </c:pt>
                <c:pt idx="92">
                  <c:v>68.5</c:v>
                </c:pt>
                <c:pt idx="93">
                  <c:v>70.409099999999995</c:v>
                </c:pt>
                <c:pt idx="94">
                  <c:v>72.369</c:v>
                </c:pt>
                <c:pt idx="95">
                  <c:v>68.150000000000006</c:v>
                </c:pt>
                <c:pt idx="96">
                  <c:v>67.369</c:v>
                </c:pt>
                <c:pt idx="97">
                  <c:v>62.447400000000002</c:v>
                </c:pt>
                <c:pt idx="98">
                  <c:v>53.678600000000003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0D-43BD-A030-FEC7A5A0C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261816"/>
        <c:axId val="915261488"/>
      </c:scatterChart>
      <c:valAx>
        <c:axId val="91526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61488"/>
        <c:crosses val="autoZero"/>
        <c:crossBetween val="midCat"/>
      </c:valAx>
      <c:valAx>
        <c:axId val="9152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61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2</xdr:row>
      <xdr:rowOff>9525</xdr:rowOff>
    </xdr:from>
    <xdr:to>
      <xdr:col>16</xdr:col>
      <xdr:colOff>333375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82B3B-CB92-47E2-941F-CA6ED61A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604837</xdr:colOff>
      <xdr:row>1</xdr:row>
      <xdr:rowOff>171450</xdr:rowOff>
    </xdr:from>
    <xdr:to>
      <xdr:col>15</xdr:col>
      <xdr:colOff>300037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2DB47-CBCE-4BEC-A151-6F01753F67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</xdr:colOff>
      <xdr:row>16</xdr:row>
      <xdr:rowOff>123825</xdr:rowOff>
    </xdr:from>
    <xdr:to>
      <xdr:col>15</xdr:col>
      <xdr:colOff>319087</xdr:colOff>
      <xdr:row>30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5F2519-EA83-46AB-A260-E15A2606A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2</xdr:row>
      <xdr:rowOff>0</xdr:rowOff>
    </xdr:from>
    <xdr:to>
      <xdr:col>23</xdr:col>
      <xdr:colOff>304800</xdr:colOff>
      <xdr:row>15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86409B-B038-47BA-874A-C0C7747D0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Lauric%20Oils%20Price%20Analysis%20-%2004162018%20-%20HOBO.xlsx" TargetMode="External"/><Relationship Id="rId1" Type="http://schemas.openxmlformats.org/officeDocument/2006/relationships/externalLinkPath" Target="/Users/torem/Dropbox/FM%20Files/HOBO/Biofuel%20Model/Lauric%20Oils%20Price%20Analysis%20-%2004162018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BO_NonBioUse_chart"/>
      <sheetName val="SBO_Nonbiochart_data"/>
      <sheetName val="USDA Comp"/>
      <sheetName val="Long-Term Comparison"/>
      <sheetName val="Chart1"/>
      <sheetName val="Chart2"/>
      <sheetName val="Chart3"/>
      <sheetName val="Chart5 (2)"/>
      <sheetName val="Chart5 (3)"/>
      <sheetName val="Chart4"/>
      <sheetName val="Chart5"/>
      <sheetName val="Chart6"/>
      <sheetName val="Chart7"/>
      <sheetName val="Chart9"/>
      <sheetName val="Chart8"/>
      <sheetName val="Chart10"/>
      <sheetName val="Chart11"/>
      <sheetName val="Chart12"/>
      <sheetName val="VO CY Balance Sheets"/>
      <sheetName val="Chart13"/>
      <sheetName val="VO MY Balance Sheets"/>
      <sheetName val="Soy Complex"/>
      <sheetName val="Chart14"/>
      <sheetName val="Sheet1"/>
      <sheetName val="Chart15"/>
      <sheetName val="Price Spreads"/>
      <sheetName val="Acreage-Yield Scenario"/>
      <sheetName val="Chart16"/>
      <sheetName val="Chart17"/>
      <sheetName val="SBO Biofuel Use Data"/>
      <sheetName val="Slaughter"/>
      <sheetName val="Chart18"/>
      <sheetName val="Chart19"/>
      <sheetName val="Chart20"/>
      <sheetName val="Chart21"/>
      <sheetName val="Crop Progress"/>
      <sheetName val="Soy Monthly Bal"/>
      <sheetName val="Meal Monthly Bal"/>
      <sheetName val="Meal Domestic Use"/>
      <sheetName val="Meal and Co-Product Dom Use"/>
      <sheetName val="Oil Monthly Bal"/>
      <sheetName val="Oil Domestic Supply"/>
      <sheetName val="Chart22"/>
      <sheetName val="Chart23"/>
      <sheetName val="Oil Domestic Use"/>
      <sheetName val="Oil Biodiesel Use"/>
      <sheetName val="Oil Non-Biodiesel Use"/>
      <sheetName val="Chart24"/>
      <sheetName val="Chart25"/>
      <sheetName val="Veg Oil Imports"/>
      <sheetName val="SBO Stocks Cont"/>
      <sheetName val="Veg Oil Stocks"/>
      <sheetName val="Chart26"/>
      <sheetName val="Chart27"/>
      <sheetName val="Sun Complex"/>
      <sheetName val="Sunflower Meal Monthly Bal"/>
      <sheetName val="Sunflower Oil Monthly Bal"/>
      <sheetName val="Canola USDA Comp"/>
      <sheetName val="Chart28"/>
      <sheetName val="Chart29"/>
      <sheetName val="Chart30"/>
      <sheetName val="Chart31"/>
      <sheetName val="Chart32"/>
      <sheetName val="Chart33"/>
      <sheetName val="Chart34"/>
      <sheetName val="Chart35"/>
      <sheetName val="Canola Complex"/>
      <sheetName val="Canola State Production"/>
      <sheetName val="Canola Meal Monthly Bal"/>
      <sheetName val="Canola Oil Monthly Bal"/>
      <sheetName val="Chart36"/>
      <sheetName val="Chart37"/>
      <sheetName val="Chart38"/>
      <sheetName val="Chart39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Chart40"/>
      <sheetName val="Chart41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Inedible Tallow Price Chart"/>
      <sheetName val="Tallow Imports"/>
      <sheetName val="Chart42"/>
      <sheetName val="Chart43"/>
      <sheetName val="Chart44"/>
      <sheetName val="Chart45"/>
      <sheetName val="Chart46"/>
      <sheetName val="Chart47"/>
      <sheetName val="Chart48"/>
      <sheetName val="Chart49"/>
      <sheetName val="Chart50"/>
      <sheetName val="Chart51"/>
      <sheetName val="Grease Complex"/>
      <sheetName val="Chart56"/>
      <sheetName val="Chart52"/>
      <sheetName val="Chart53"/>
      <sheetName val="Chart54"/>
      <sheetName val="China UCO Monthly Export US-EU"/>
      <sheetName val="UCO Imports by Origin"/>
      <sheetName val="Chart55"/>
      <sheetName val="UCO-YG Combined Bal Sheets"/>
      <sheetName val="Yellow Grease Complex"/>
      <sheetName val="Used Cooking Oil Complex"/>
      <sheetName val="Chart57"/>
      <sheetName val="Chart58"/>
      <sheetName val="Chart59"/>
      <sheetName val="CWG Complex"/>
      <sheetName val="Lard Complex"/>
      <sheetName val="Feather Meal Complex"/>
      <sheetName val="Poultry Byproduct Complex"/>
      <sheetName val="Chart60"/>
      <sheetName val="Chart61"/>
      <sheetName val="Chart62"/>
      <sheetName val="Chart63"/>
      <sheetName val="Chart64"/>
      <sheetName val="Chart65"/>
      <sheetName val="Chart66"/>
      <sheetName val="Chart67"/>
      <sheetName val="Chart68"/>
      <sheetName val="Chart69"/>
      <sheetName val="Chart70"/>
      <sheetName val="Chart71"/>
      <sheetName val="Chart72"/>
      <sheetName val="Chart73"/>
      <sheetName val="Chart74"/>
      <sheetName val="Chart75"/>
      <sheetName val="Chart76"/>
      <sheetName val="Chart77"/>
      <sheetName val="Complex Template Meal-Oil"/>
      <sheetName val="Complex Template"/>
      <sheetName val="Monthly Bal Templat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 refreshError="1"/>
      <sheetData sheetId="23"/>
      <sheetData sheetId="24" refreshError="1"/>
      <sheetData sheetId="25"/>
      <sheetData sheetId="26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/>
      <sheetData sheetId="52" refreshError="1"/>
      <sheetData sheetId="53" refreshError="1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>
        <row r="17">
          <cell r="C17">
            <v>72.3</v>
          </cell>
        </row>
        <row r="141">
          <cell r="B141" t="str">
            <v xml:space="preserve">93/94 </v>
          </cell>
          <cell r="C141" t="str">
            <v xml:space="preserve">94/95 </v>
          </cell>
          <cell r="D141" t="str">
            <v xml:space="preserve">95/96 </v>
          </cell>
          <cell r="E141" t="str">
            <v xml:space="preserve">96/97 </v>
          </cell>
          <cell r="F141" t="str">
            <v xml:space="preserve">97/98 </v>
          </cell>
          <cell r="G141" t="str">
            <v xml:space="preserve">98/99 </v>
          </cell>
          <cell r="H141" t="str">
            <v xml:space="preserve">99/00 </v>
          </cell>
          <cell r="I141" t="str">
            <v xml:space="preserve">00/01 </v>
          </cell>
          <cell r="J141" t="str">
            <v xml:space="preserve">01/02 </v>
          </cell>
          <cell r="K141" t="str">
            <v xml:space="preserve">02/03 </v>
          </cell>
          <cell r="L141" t="str">
            <v xml:space="preserve">03/04 </v>
          </cell>
          <cell r="M141" t="str">
            <v xml:space="preserve">04/05 </v>
          </cell>
          <cell r="N141" t="str">
            <v xml:space="preserve">05/06 </v>
          </cell>
          <cell r="O141" t="str">
            <v xml:space="preserve">06/07 </v>
          </cell>
          <cell r="P141" t="str">
            <v xml:space="preserve">07/08 </v>
          </cell>
          <cell r="Q141" t="str">
            <v xml:space="preserve">08/09 </v>
          </cell>
          <cell r="R141" t="str">
            <v xml:space="preserve">09/10 </v>
          </cell>
          <cell r="S141" t="str">
            <v xml:space="preserve">10/11 </v>
          </cell>
          <cell r="T141" t="str">
            <v xml:space="preserve">11/12 </v>
          </cell>
          <cell r="U141" t="str">
            <v xml:space="preserve">12/13 </v>
          </cell>
          <cell r="V141" t="str">
            <v xml:space="preserve">13/14 </v>
          </cell>
          <cell r="W141" t="str">
            <v xml:space="preserve">14/15 </v>
          </cell>
          <cell r="X141" t="str">
            <v xml:space="preserve">15/16 </v>
          </cell>
          <cell r="Y141" t="str">
            <v xml:space="preserve">16/17 </v>
          </cell>
          <cell r="Z141" t="str">
            <v xml:space="preserve">17/18 </v>
          </cell>
          <cell r="AA141" t="str">
            <v>18/19</v>
          </cell>
          <cell r="AB141" t="str">
            <v>19/20</v>
          </cell>
          <cell r="AC141" t="str">
            <v>20/21</v>
          </cell>
          <cell r="AD141" t="str">
            <v>21/22</v>
          </cell>
          <cell r="AE141" t="str">
            <v>22/23</v>
          </cell>
          <cell r="AF141" t="str">
            <v>23/24</v>
          </cell>
        </row>
        <row r="142">
          <cell r="B142">
            <v>17.691650625599998</v>
          </cell>
          <cell r="C142">
            <v>14.337538714799999</v>
          </cell>
          <cell r="D142">
            <v>32.301019233000005</v>
          </cell>
          <cell r="E142">
            <v>51.728589221400007</v>
          </cell>
          <cell r="F142">
            <v>39.271152148199995</v>
          </cell>
          <cell r="G142">
            <v>29.966324534999998</v>
          </cell>
          <cell r="H142">
            <v>55.859169000599998</v>
          </cell>
          <cell r="I142">
            <v>54.343932299999999</v>
          </cell>
          <cell r="J142">
            <v>17.459283466799999</v>
          </cell>
          <cell r="K142">
            <v>60.909737540400002</v>
          </cell>
          <cell r="L142">
            <v>60.243500771999997</v>
          </cell>
          <cell r="M142">
            <v>37.997762480999995</v>
          </cell>
          <cell r="N142">
            <v>34.029222418800003</v>
          </cell>
          <cell r="O142">
            <v>64.161334528200001</v>
          </cell>
          <cell r="P142">
            <v>38.211610815</v>
          </cell>
          <cell r="Q142">
            <v>74.913276022199994</v>
          </cell>
          <cell r="R142">
            <v>26.175477006000001</v>
          </cell>
          <cell r="S142">
            <v>51.147671324400001</v>
          </cell>
          <cell r="T142">
            <v>122.377464909</v>
          </cell>
          <cell r="U142">
            <v>36.117219915</v>
          </cell>
          <cell r="V142">
            <v>43.430392013400002</v>
          </cell>
          <cell r="W142">
            <v>62.641027197</v>
          </cell>
          <cell r="X142">
            <v>48.034304135999996</v>
          </cell>
          <cell r="Y142">
            <v>40.304458479600001</v>
          </cell>
          <cell r="Z142">
            <v>92.555168140160006</v>
          </cell>
          <cell r="AA142">
            <v>69.958251859539999</v>
          </cell>
          <cell r="AB142">
            <v>89.930687079640009</v>
          </cell>
          <cell r="AC142">
            <v>82.385822667500008</v>
          </cell>
          <cell r="AD142">
            <v>76.61120197676</v>
          </cell>
          <cell r="AE142">
            <v>113.69952644138</v>
          </cell>
          <cell r="AF142">
            <v>88.278299855892143</v>
          </cell>
        </row>
        <row r="143">
          <cell r="B143">
            <v>44.954226739800006</v>
          </cell>
          <cell r="C143">
            <v>28.120835458799998</v>
          </cell>
          <cell r="D143">
            <v>26.892199618199999</v>
          </cell>
          <cell r="E143">
            <v>32.515969878</v>
          </cell>
          <cell r="F143">
            <v>28.139133821400002</v>
          </cell>
          <cell r="G143">
            <v>26.4241583676</v>
          </cell>
          <cell r="H143">
            <v>34.553040606000003</v>
          </cell>
          <cell r="I143">
            <v>30.928862500200001</v>
          </cell>
          <cell r="J143">
            <v>31.387423876200003</v>
          </cell>
          <cell r="K143">
            <v>31.927335804000002</v>
          </cell>
          <cell r="L143">
            <v>43.681939383600003</v>
          </cell>
          <cell r="M143">
            <v>27.311959646999998</v>
          </cell>
          <cell r="N143">
            <v>43.836924310199997</v>
          </cell>
          <cell r="O143">
            <v>36.239355973800002</v>
          </cell>
          <cell r="P143">
            <v>47.023484949000007</v>
          </cell>
          <cell r="Q143">
            <v>70.334276128200003</v>
          </cell>
          <cell r="R143">
            <v>65.009673073800002</v>
          </cell>
          <cell r="S143">
            <v>49.747956816600002</v>
          </cell>
          <cell r="T143">
            <v>76.095173876399997</v>
          </cell>
          <cell r="U143">
            <v>38.355572631599998</v>
          </cell>
          <cell r="V143">
            <v>81.673969847400002</v>
          </cell>
          <cell r="W143">
            <v>28.225114079399997</v>
          </cell>
          <cell r="X143">
            <v>51.111074599200002</v>
          </cell>
          <cell r="Y143">
            <v>67.065924013200004</v>
          </cell>
          <cell r="Z143">
            <v>105.31752372283999</v>
          </cell>
          <cell r="AA143">
            <v>32.934961480300004</v>
          </cell>
          <cell r="AB143">
            <v>60.19730783264</v>
          </cell>
          <cell r="AC143">
            <v>66.91053887452</v>
          </cell>
          <cell r="AD143">
            <v>95.488355525420005</v>
          </cell>
          <cell r="AE143">
            <v>61.472722390420003</v>
          </cell>
          <cell r="AF143">
            <v>77.423247643250633</v>
          </cell>
        </row>
        <row r="144">
          <cell r="B144">
            <v>7.8757916328000004</v>
          </cell>
          <cell r="C144">
            <v>36.178508406599995</v>
          </cell>
          <cell r="D144">
            <v>7.9891092036000009</v>
          </cell>
          <cell r="E144">
            <v>49.252357791000001</v>
          </cell>
          <cell r="F144">
            <v>29.531352614400003</v>
          </cell>
          <cell r="G144">
            <v>11.029723865999999</v>
          </cell>
          <cell r="H144">
            <v>35.809013759400003</v>
          </cell>
          <cell r="I144">
            <v>17.904837573000002</v>
          </cell>
          <cell r="J144">
            <v>21.7294158186</v>
          </cell>
          <cell r="K144">
            <v>46.694114422200002</v>
          </cell>
          <cell r="L144">
            <v>37.810369610999999</v>
          </cell>
          <cell r="M144">
            <v>45.874215500399998</v>
          </cell>
          <cell r="N144">
            <v>23.5235372022</v>
          </cell>
          <cell r="O144">
            <v>75.572458000200001</v>
          </cell>
          <cell r="P144">
            <v>48.577082072400003</v>
          </cell>
          <cell r="Q144">
            <v>44.642934113400003</v>
          </cell>
          <cell r="R144">
            <v>35.496398359800004</v>
          </cell>
          <cell r="S144">
            <v>49.8636994716</v>
          </cell>
          <cell r="T144">
            <v>30.628152059399998</v>
          </cell>
          <cell r="U144">
            <v>49.578200922600004</v>
          </cell>
          <cell r="V144">
            <v>38.4792519258</v>
          </cell>
          <cell r="W144">
            <v>60.037368614999998</v>
          </cell>
          <cell r="X144">
            <v>69.573902000400011</v>
          </cell>
          <cell r="Y144">
            <v>43.441194661200001</v>
          </cell>
          <cell r="Z144">
            <v>35.598056460119999</v>
          </cell>
          <cell r="AA144">
            <v>78.894209445480001</v>
          </cell>
          <cell r="AB144">
            <v>59.962182905020001</v>
          </cell>
          <cell r="AC144">
            <v>71.239753373140005</v>
          </cell>
          <cell r="AD144">
            <v>58.775416117440002</v>
          </cell>
          <cell r="AE144">
            <v>76.707521824560004</v>
          </cell>
          <cell r="AF144">
            <v>65.326624367392213</v>
          </cell>
        </row>
        <row r="145">
          <cell r="B145">
            <v>50.916626938800007</v>
          </cell>
          <cell r="C145">
            <v>26.977738951800003</v>
          </cell>
          <cell r="D145">
            <v>22.942839767400002</v>
          </cell>
          <cell r="E145">
            <v>54.775376825400002</v>
          </cell>
          <cell r="F145">
            <v>38.753286440400004</v>
          </cell>
          <cell r="G145">
            <v>24.330428854200004</v>
          </cell>
          <cell r="H145">
            <v>19.859014513800002</v>
          </cell>
          <cell r="I145">
            <v>39.571642126800008</v>
          </cell>
          <cell r="J145">
            <v>16.40238768</v>
          </cell>
          <cell r="K145">
            <v>56.330076259800009</v>
          </cell>
          <cell r="L145">
            <v>57.588694959599998</v>
          </cell>
          <cell r="M145">
            <v>54.038371690800005</v>
          </cell>
          <cell r="N145">
            <v>28.442489808599998</v>
          </cell>
          <cell r="O145">
            <v>71.884345856400003</v>
          </cell>
          <cell r="P145">
            <v>55.265243833800007</v>
          </cell>
          <cell r="Q145">
            <v>89.503023493799986</v>
          </cell>
          <cell r="R145">
            <v>73.700292997800005</v>
          </cell>
          <cell r="S145">
            <v>54.860695696800001</v>
          </cell>
          <cell r="T145">
            <v>53.0004356532</v>
          </cell>
          <cell r="U145">
            <v>49.175416483200003</v>
          </cell>
          <cell r="V145">
            <v>63.487381582799998</v>
          </cell>
          <cell r="W145">
            <v>71.995238343000011</v>
          </cell>
          <cell r="X145">
            <v>73.12731174000001</v>
          </cell>
          <cell r="Y145">
            <v>76.65316370459999</v>
          </cell>
          <cell r="Z145">
            <v>83.523902626999998</v>
          </cell>
          <cell r="AA145">
            <v>62.128237487359996</v>
          </cell>
          <cell r="AB145">
            <v>39.586663782599999</v>
          </cell>
          <cell r="AC145">
            <v>89.433128999999994</v>
          </cell>
          <cell r="AD145">
            <v>62.749982215140001</v>
          </cell>
          <cell r="AE145">
            <v>45.374684153700002</v>
          </cell>
          <cell r="AF145">
            <v>72.396828375987042</v>
          </cell>
        </row>
        <row r="146">
          <cell r="B146">
            <v>21.432232772999999</v>
          </cell>
          <cell r="C146">
            <v>30.523432514400003</v>
          </cell>
          <cell r="D146">
            <v>22.265579889000001</v>
          </cell>
          <cell r="E146">
            <v>37.411553491200003</v>
          </cell>
          <cell r="F146">
            <v>20.315591730000001</v>
          </cell>
          <cell r="G146">
            <v>33.022592013599997</v>
          </cell>
          <cell r="H146">
            <v>44.909913837599994</v>
          </cell>
          <cell r="I146">
            <v>39.725083818000002</v>
          </cell>
          <cell r="J146">
            <v>35.167909681800005</v>
          </cell>
          <cell r="K146">
            <v>13.062385350000001</v>
          </cell>
          <cell r="L146">
            <v>42.837789619799999</v>
          </cell>
          <cell r="M146">
            <v>29.183683725000002</v>
          </cell>
          <cell r="N146">
            <v>58.552776160199997</v>
          </cell>
          <cell r="O146">
            <v>40.034833209000006</v>
          </cell>
          <cell r="P146">
            <v>21.533204460599997</v>
          </cell>
          <cell r="Q146">
            <v>72.810948483000004</v>
          </cell>
          <cell r="R146">
            <v>58.2278148774</v>
          </cell>
          <cell r="S146">
            <v>42.288618279600001</v>
          </cell>
          <cell r="T146">
            <v>60.101523115199996</v>
          </cell>
          <cell r="U146">
            <v>44.702679369600006</v>
          </cell>
          <cell r="V146">
            <v>31.66939503</v>
          </cell>
          <cell r="W146">
            <v>50.137733986200004</v>
          </cell>
          <cell r="X146">
            <v>105.14305288620001</v>
          </cell>
          <cell r="Y146">
            <v>75</v>
          </cell>
          <cell r="Z146">
            <v>72.280728640120003</v>
          </cell>
          <cell r="AA146">
            <v>76.354304222020005</v>
          </cell>
          <cell r="AB146">
            <v>94.754338319520002</v>
          </cell>
          <cell r="AC146">
            <v>68.957009999999997</v>
          </cell>
          <cell r="AD146">
            <v>59.307600362340004</v>
          </cell>
          <cell r="AE146">
            <v>89.412270686639999</v>
          </cell>
          <cell r="AF146">
            <v>79.74161817010075</v>
          </cell>
        </row>
        <row r="147">
          <cell r="B147">
            <v>41.338646659800006</v>
          </cell>
          <cell r="C147">
            <v>17.787110758200001</v>
          </cell>
          <cell r="D147">
            <v>43.349482386000005</v>
          </cell>
          <cell r="E147">
            <v>16.737049299599999</v>
          </cell>
          <cell r="F147">
            <v>23.900086639800001</v>
          </cell>
          <cell r="G147">
            <v>46.980053895600001</v>
          </cell>
          <cell r="H147">
            <v>53.895071260800002</v>
          </cell>
          <cell r="I147">
            <v>1.8238837805999999</v>
          </cell>
          <cell r="J147">
            <v>8.5327689888000009</v>
          </cell>
          <cell r="K147">
            <v>77.147219494800012</v>
          </cell>
          <cell r="L147">
            <v>23.635091075400002</v>
          </cell>
          <cell r="M147">
            <v>37.930301047800008</v>
          </cell>
          <cell r="N147">
            <v>69.593523136200005</v>
          </cell>
          <cell r="O147">
            <v>55.822572275399999</v>
          </cell>
          <cell r="P147">
            <v>42.566180189400001</v>
          </cell>
          <cell r="Q147">
            <v>68.914499560199999</v>
          </cell>
          <cell r="R147">
            <v>55.675303525800004</v>
          </cell>
          <cell r="S147">
            <v>31.933949670000001</v>
          </cell>
          <cell r="T147">
            <v>61.182228819599999</v>
          </cell>
          <cell r="U147">
            <v>51.048683796600002</v>
          </cell>
          <cell r="V147">
            <v>69.410980434600006</v>
          </cell>
          <cell r="W147">
            <v>60.2218954764</v>
          </cell>
          <cell r="X147">
            <v>77.349162870000001</v>
          </cell>
          <cell r="Y147">
            <v>77.561247506400008</v>
          </cell>
          <cell r="Z147">
            <v>71.278272493779994</v>
          </cell>
          <cell r="AA147">
            <v>55.51750584314</v>
          </cell>
          <cell r="AB147">
            <v>89.146519177979997</v>
          </cell>
          <cell r="AC147">
            <v>52.719175999999997</v>
          </cell>
          <cell r="AD147">
            <v>47.42927535346</v>
          </cell>
          <cell r="AE147">
            <v>62.472962893659997</v>
          </cell>
          <cell r="AF147">
            <v>67.820039754848906</v>
          </cell>
        </row>
        <row r="148">
          <cell r="B148">
            <v>13.727078883000001</v>
          </cell>
          <cell r="C148">
            <v>3.7185359274000001</v>
          </cell>
          <cell r="D148">
            <v>20.620490952599997</v>
          </cell>
          <cell r="E148">
            <v>19.8645260688</v>
          </cell>
          <cell r="F148">
            <v>26.052238636200002</v>
          </cell>
          <cell r="G148">
            <v>10.144127208600001</v>
          </cell>
          <cell r="H148">
            <v>13.5956834118</v>
          </cell>
          <cell r="I148">
            <v>32.969240161200005</v>
          </cell>
          <cell r="J148">
            <v>51.541637275800007</v>
          </cell>
          <cell r="K148">
            <v>20.825961722999999</v>
          </cell>
          <cell r="L148">
            <v>43.431935248800009</v>
          </cell>
          <cell r="M148">
            <v>43.307594567999999</v>
          </cell>
          <cell r="N148">
            <v>41.430138472800003</v>
          </cell>
          <cell r="O148">
            <v>38.236082119199999</v>
          </cell>
          <cell r="P148">
            <v>40.131175190400008</v>
          </cell>
          <cell r="Q148">
            <v>41.759949924000004</v>
          </cell>
          <cell r="R148">
            <v>57.298125779999999</v>
          </cell>
          <cell r="S148">
            <v>42.874827269399994</v>
          </cell>
          <cell r="T148">
            <v>37.216664906399998</v>
          </cell>
          <cell r="U148">
            <v>75.302612267400008</v>
          </cell>
          <cell r="V148">
            <v>45.458423791200005</v>
          </cell>
          <cell r="W148">
            <v>63.245314087200001</v>
          </cell>
          <cell r="X148">
            <v>52.620579282600005</v>
          </cell>
          <cell r="Y148">
            <v>47.926057195799999</v>
          </cell>
          <cell r="Z148">
            <v>68.900208424519988</v>
          </cell>
          <cell r="AA148">
            <v>64.142872154239996</v>
          </cell>
          <cell r="AB148">
            <v>59.117694395539999</v>
          </cell>
          <cell r="AC148">
            <v>85.625414000000006</v>
          </cell>
          <cell r="AD148">
            <v>67.058693747760003</v>
          </cell>
          <cell r="AE148">
            <v>64.527330655574261</v>
          </cell>
          <cell r="AF148">
            <v>73.989491116699199</v>
          </cell>
        </row>
        <row r="149">
          <cell r="B149">
            <v>18.009777580200002</v>
          </cell>
          <cell r="C149">
            <v>20.008267423200003</v>
          </cell>
          <cell r="D149">
            <v>21.875141332800002</v>
          </cell>
          <cell r="E149">
            <v>13.743613548000001</v>
          </cell>
          <cell r="F149">
            <v>37.776197969999998</v>
          </cell>
          <cell r="G149">
            <v>27.170202452400005</v>
          </cell>
          <cell r="H149">
            <v>35.953636962600001</v>
          </cell>
          <cell r="I149">
            <v>30.284451489599999</v>
          </cell>
          <cell r="J149">
            <v>29.6905263228</v>
          </cell>
          <cell r="K149">
            <v>27.403892384400002</v>
          </cell>
          <cell r="L149">
            <v>23.735842300799998</v>
          </cell>
          <cell r="M149">
            <v>58.437253967400004</v>
          </cell>
          <cell r="N149">
            <v>34.277462856</v>
          </cell>
          <cell r="O149">
            <v>59.668094430000004</v>
          </cell>
          <cell r="P149">
            <v>36.814982778000001</v>
          </cell>
          <cell r="Q149">
            <v>83.613155358600011</v>
          </cell>
          <cell r="R149">
            <v>56.729112841800003</v>
          </cell>
          <cell r="S149">
            <v>61.839206175599998</v>
          </cell>
          <cell r="T149">
            <v>41.439838809599998</v>
          </cell>
          <cell r="U149">
            <v>53.089502381999999</v>
          </cell>
          <cell r="V149">
            <v>53.654987925</v>
          </cell>
          <cell r="W149">
            <v>41.050061640000003</v>
          </cell>
          <cell r="X149">
            <v>34.542237958199998</v>
          </cell>
          <cell r="Y149">
            <v>93.195985805999996</v>
          </cell>
          <cell r="Z149">
            <v>54.367016077660004</v>
          </cell>
          <cell r="AA149">
            <v>65.259878151160009</v>
          </cell>
          <cell r="AB149">
            <v>47.258293844740002</v>
          </cell>
          <cell r="AC149">
            <v>57.714129</v>
          </cell>
          <cell r="AD149">
            <v>57.786403743859999</v>
          </cell>
          <cell r="AE149">
            <v>62.958893412280347</v>
          </cell>
          <cell r="AF149">
            <v>60.588330663277148</v>
          </cell>
        </row>
        <row r="150">
          <cell r="B150">
            <v>16.711034760000004</v>
          </cell>
          <cell r="C150">
            <v>21.5252678214</v>
          </cell>
          <cell r="D150">
            <v>8.1899502678000005</v>
          </cell>
          <cell r="E150">
            <v>43.210811662200001</v>
          </cell>
          <cell r="F150">
            <v>30.697377190200001</v>
          </cell>
          <cell r="G150">
            <v>24.6683974068</v>
          </cell>
          <cell r="H150">
            <v>15.546994344</v>
          </cell>
          <cell r="I150">
            <v>13.916014988400001</v>
          </cell>
          <cell r="J150">
            <v>24.583960384200005</v>
          </cell>
          <cell r="K150">
            <v>10.597177029600001</v>
          </cell>
          <cell r="L150">
            <v>45.116486919000003</v>
          </cell>
          <cell r="M150">
            <v>45.183948352199998</v>
          </cell>
          <cell r="N150">
            <v>35.494855124400004</v>
          </cell>
          <cell r="O150">
            <v>64.548686613599997</v>
          </cell>
          <cell r="P150">
            <v>44.802107821800007</v>
          </cell>
          <cell r="Q150">
            <v>43.965453772799997</v>
          </cell>
          <cell r="R150">
            <v>34.574866363799998</v>
          </cell>
          <cell r="S150">
            <v>60.1253330328</v>
          </cell>
          <cell r="T150">
            <v>42.101666334000001</v>
          </cell>
          <cell r="U150">
            <v>73.2659824638</v>
          </cell>
          <cell r="V150">
            <v>49.549099912199999</v>
          </cell>
          <cell r="W150">
            <v>60.598444913999998</v>
          </cell>
          <cell r="X150">
            <v>60.3876830508</v>
          </cell>
          <cell r="Y150">
            <v>56.498068456200002</v>
          </cell>
          <cell r="Z150">
            <v>39.355515989460002</v>
          </cell>
          <cell r="AA150">
            <v>18.262886891920001</v>
          </cell>
          <cell r="AB150">
            <v>74.912081501179998</v>
          </cell>
          <cell r="AC150">
            <v>59.145180000000003</v>
          </cell>
          <cell r="AD150">
            <v>33.711399984240003</v>
          </cell>
          <cell r="AE150">
            <v>49.166062090743957</v>
          </cell>
          <cell r="AF150">
            <v>48.358769499929323</v>
          </cell>
        </row>
        <row r="151">
          <cell r="B151">
            <v>10.9164062952</v>
          </cell>
          <cell r="C151">
            <v>30.915193843800001</v>
          </cell>
          <cell r="D151">
            <v>23.284997101799998</v>
          </cell>
          <cell r="E151">
            <v>18.835849443600001</v>
          </cell>
          <cell r="F151">
            <v>22.917927538799997</v>
          </cell>
          <cell r="G151">
            <v>42.699559820400005</v>
          </cell>
          <cell r="H151">
            <v>46.249442164800008</v>
          </cell>
          <cell r="I151">
            <v>30.735296688599998</v>
          </cell>
          <cell r="J151">
            <v>34.9677300042</v>
          </cell>
          <cell r="K151">
            <v>48.931364827800003</v>
          </cell>
          <cell r="L151">
            <v>70.073028421199993</v>
          </cell>
          <cell r="M151">
            <v>32.561164629000004</v>
          </cell>
          <cell r="N151">
            <v>26.622574347600001</v>
          </cell>
          <cell r="O151">
            <v>67.416679373400015</v>
          </cell>
          <cell r="P151">
            <v>42.846387645599997</v>
          </cell>
          <cell r="Q151">
            <v>30.942090232200002</v>
          </cell>
          <cell r="R151">
            <v>92.186930316599998</v>
          </cell>
          <cell r="S151">
            <v>74.047741424999998</v>
          </cell>
          <cell r="T151">
            <v>44.321720687999999</v>
          </cell>
          <cell r="U151">
            <v>36.9785657304</v>
          </cell>
          <cell r="V151">
            <v>45.218340455400003</v>
          </cell>
          <cell r="W151">
            <v>38.6457008868</v>
          </cell>
          <cell r="X151">
            <v>77.322707406000006</v>
          </cell>
          <cell r="Y151">
            <v>77.391712074599994</v>
          </cell>
          <cell r="Z151">
            <v>65.09924512872</v>
          </cell>
          <cell r="AA151">
            <v>95.853647831700002</v>
          </cell>
          <cell r="AB151">
            <v>71.91816565340001</v>
          </cell>
          <cell r="AC151">
            <v>87.013016000000007</v>
          </cell>
          <cell r="AD151">
            <v>87.510289897139998</v>
          </cell>
          <cell r="AE151">
            <v>78.704888595774094</v>
          </cell>
          <cell r="AF151">
            <v>87.410030492671495</v>
          </cell>
        </row>
        <row r="152">
          <cell r="B152">
            <v>27.597678658200003</v>
          </cell>
          <cell r="C152">
            <v>19.050359164200003</v>
          </cell>
          <cell r="D152">
            <v>6.2038063079999999</v>
          </cell>
          <cell r="E152">
            <v>21.915044991000002</v>
          </cell>
          <cell r="F152">
            <v>27.982826121599999</v>
          </cell>
          <cell r="G152">
            <v>57.98574738180001</v>
          </cell>
          <cell r="H152">
            <v>20.144072138400002</v>
          </cell>
          <cell r="I152">
            <v>27.047405007000002</v>
          </cell>
          <cell r="J152">
            <v>31.9013212644</v>
          </cell>
          <cell r="K152">
            <v>33.759156223799998</v>
          </cell>
          <cell r="L152">
            <v>50.087248142400007</v>
          </cell>
          <cell r="M152">
            <v>44.198261856000002</v>
          </cell>
          <cell r="N152">
            <v>60.6559855482</v>
          </cell>
          <cell r="O152">
            <v>26.906088736800001</v>
          </cell>
          <cell r="P152">
            <v>50.513842499399999</v>
          </cell>
          <cell r="Q152">
            <v>52.911148462200003</v>
          </cell>
          <cell r="R152">
            <v>58.346203078799995</v>
          </cell>
          <cell r="S152">
            <v>38.466465118199999</v>
          </cell>
          <cell r="T152">
            <v>43.562669333400002</v>
          </cell>
          <cell r="U152">
            <v>39.436719260400004</v>
          </cell>
          <cell r="V152">
            <v>33.367615356599998</v>
          </cell>
          <cell r="W152">
            <v>69.683030789399993</v>
          </cell>
          <cell r="X152">
            <v>67.275583565399998</v>
          </cell>
          <cell r="Y152">
            <v>97.951074798060006</v>
          </cell>
          <cell r="Z152">
            <v>65.400263943520002</v>
          </cell>
          <cell r="AA152">
            <v>58.531710808779998</v>
          </cell>
          <cell r="AB152">
            <v>96.025872746099992</v>
          </cell>
          <cell r="AC152">
            <v>35.471516000000001</v>
          </cell>
          <cell r="AD152">
            <v>53.304616313519993</v>
          </cell>
          <cell r="AE152">
            <v>70.008716765469586</v>
          </cell>
          <cell r="AF152">
            <v>66.241580493825765</v>
          </cell>
        </row>
        <row r="157">
          <cell r="B157" t="str">
            <v xml:space="preserve">93/94 </v>
          </cell>
          <cell r="C157" t="str">
            <v xml:space="preserve">94/95 </v>
          </cell>
          <cell r="D157" t="str">
            <v xml:space="preserve">95/96 </v>
          </cell>
          <cell r="E157" t="str">
            <v xml:space="preserve">96/97 </v>
          </cell>
          <cell r="F157" t="str">
            <v xml:space="preserve">97/98 </v>
          </cell>
          <cell r="G157" t="str">
            <v xml:space="preserve">98/99 </v>
          </cell>
          <cell r="H157" t="str">
            <v xml:space="preserve">99/00 </v>
          </cell>
          <cell r="I157" t="str">
            <v xml:space="preserve">00/01 </v>
          </cell>
          <cell r="J157" t="str">
            <v xml:space="preserve">01/02 </v>
          </cell>
          <cell r="K157" t="str">
            <v xml:space="preserve">02/03 </v>
          </cell>
          <cell r="L157" t="str">
            <v xml:space="preserve">03/04 </v>
          </cell>
          <cell r="M157" t="str">
            <v xml:space="preserve">04/05 </v>
          </cell>
          <cell r="N157" t="str">
            <v xml:space="preserve">05/06 </v>
          </cell>
          <cell r="O157" t="str">
            <v xml:space="preserve">06/07 </v>
          </cell>
          <cell r="P157" t="str">
            <v xml:space="preserve">07/08 </v>
          </cell>
          <cell r="Q157" t="str">
            <v xml:space="preserve">08/09 </v>
          </cell>
          <cell r="R157" t="str">
            <v xml:space="preserve">09/10 </v>
          </cell>
          <cell r="S157" t="str">
            <v xml:space="preserve">10/11 </v>
          </cell>
          <cell r="T157" t="str">
            <v xml:space="preserve">11/12 </v>
          </cell>
          <cell r="U157" t="str">
            <v xml:space="preserve">12/13 </v>
          </cell>
          <cell r="V157" t="str">
            <v xml:space="preserve">13/14 </v>
          </cell>
          <cell r="W157" t="str">
            <v xml:space="preserve">14/15 </v>
          </cell>
          <cell r="X157" t="str">
            <v xml:space="preserve">15/16 </v>
          </cell>
          <cell r="Y157" t="str">
            <v xml:space="preserve">16/17 </v>
          </cell>
          <cell r="Z157" t="str">
            <v xml:space="preserve">17/18 </v>
          </cell>
          <cell r="AA157" t="str">
            <v>18/19</v>
          </cell>
          <cell r="AB157" t="str">
            <v>19/20</v>
          </cell>
          <cell r="AC157" t="str">
            <v>20/21</v>
          </cell>
          <cell r="AD157" t="str">
            <v>21/22</v>
          </cell>
          <cell r="AE157" t="str">
            <v>22/23</v>
          </cell>
          <cell r="AF157" t="str">
            <v>23/24</v>
          </cell>
        </row>
        <row r="158">
          <cell r="B158">
            <v>0.36001477260000003</v>
          </cell>
          <cell r="C158">
            <v>0.28792363319999997</v>
          </cell>
          <cell r="D158">
            <v>1.1091453281999999</v>
          </cell>
          <cell r="E158">
            <v>0.3723606558</v>
          </cell>
          <cell r="F158">
            <v>0.117947277</v>
          </cell>
          <cell r="G158">
            <v>9.2594124000000014E-2</v>
          </cell>
          <cell r="H158">
            <v>0.21605295599999999</v>
          </cell>
          <cell r="I158">
            <v>0.14682782520000001</v>
          </cell>
          <cell r="J158">
            <v>0.2442721176</v>
          </cell>
          <cell r="K158">
            <v>0.13470240420000001</v>
          </cell>
          <cell r="L158">
            <v>0.15763047299999999</v>
          </cell>
          <cell r="M158">
            <v>0.17747207100000001</v>
          </cell>
          <cell r="N158">
            <v>0.24383119319999999</v>
          </cell>
          <cell r="O158">
            <v>8.9066728800000008E-2</v>
          </cell>
          <cell r="P158">
            <v>0.31283586180000006</v>
          </cell>
          <cell r="Q158">
            <v>0.57276079560000004</v>
          </cell>
          <cell r="R158">
            <v>0.1181677392</v>
          </cell>
          <cell r="S158">
            <v>0.36706956300000004</v>
          </cell>
          <cell r="T158">
            <v>0.1536621534</v>
          </cell>
          <cell r="U158">
            <v>0.21318694740000002</v>
          </cell>
          <cell r="V158">
            <v>0.14285950559999999</v>
          </cell>
          <cell r="W158">
            <v>0.2462562774</v>
          </cell>
          <cell r="X158">
            <v>0.2239895952</v>
          </cell>
          <cell r="Y158">
            <v>8.1350551800000004E-2</v>
          </cell>
          <cell r="Z158">
            <v>3.2721388917800001</v>
          </cell>
          <cell r="AA158">
            <v>2.4916262500799999</v>
          </cell>
          <cell r="AB158">
            <v>4.7198158425000001</v>
          </cell>
          <cell r="AC158">
            <v>2.87159030246</v>
          </cell>
          <cell r="AD158">
            <v>5.3486175589</v>
          </cell>
          <cell r="AE158">
            <v>7.6758761602599996</v>
          </cell>
          <cell r="AF158">
            <v>3.8023383413319469</v>
          </cell>
        </row>
        <row r="159">
          <cell r="B159">
            <v>0.4389402402</v>
          </cell>
          <cell r="C159">
            <v>0.26742064859999998</v>
          </cell>
          <cell r="D159">
            <v>0.25507476540000001</v>
          </cell>
          <cell r="E159">
            <v>0.23655594060000001</v>
          </cell>
          <cell r="F159">
            <v>0.13955257259999998</v>
          </cell>
          <cell r="G159">
            <v>2.1146734224000001</v>
          </cell>
          <cell r="H159">
            <v>0.20128198860000002</v>
          </cell>
          <cell r="I159">
            <v>0.15608723760000001</v>
          </cell>
          <cell r="J159">
            <v>0.31349724839999998</v>
          </cell>
          <cell r="K159">
            <v>0.17151959160000002</v>
          </cell>
          <cell r="L159">
            <v>0.16644896100000001</v>
          </cell>
          <cell r="M159">
            <v>0.2129664852</v>
          </cell>
          <cell r="N159">
            <v>0.29343518819999997</v>
          </cell>
          <cell r="O159">
            <v>0.16777173419999999</v>
          </cell>
          <cell r="P159">
            <v>0.4742141922</v>
          </cell>
          <cell r="Q159">
            <v>0.92483892899999998</v>
          </cell>
          <cell r="R159">
            <v>0.46407293100000002</v>
          </cell>
          <cell r="S159">
            <v>0.38602931219999997</v>
          </cell>
          <cell r="T159">
            <v>0.109128789</v>
          </cell>
          <cell r="U159">
            <v>0.12103374779999999</v>
          </cell>
          <cell r="V159">
            <v>0.26697972420000005</v>
          </cell>
          <cell r="W159">
            <v>0.14859152280000001</v>
          </cell>
          <cell r="X159">
            <v>0.1183882014</v>
          </cell>
          <cell r="Y159">
            <v>0.25044505919999999</v>
          </cell>
          <cell r="Z159">
            <v>4.0353342433799995</v>
          </cell>
          <cell r="AA159">
            <v>2.6182618275</v>
          </cell>
          <cell r="AB159">
            <v>6.3994166125999996</v>
          </cell>
          <cell r="AC159">
            <v>3.5556397960600004</v>
          </cell>
          <cell r="AD159">
            <v>4.5413474442600004</v>
          </cell>
          <cell r="AE159">
            <v>6.8122140706399996</v>
          </cell>
          <cell r="AF159">
            <v>4.2996344907858033</v>
          </cell>
        </row>
        <row r="160">
          <cell r="B160">
            <v>0.42438973500000005</v>
          </cell>
          <cell r="C160">
            <v>0.10626278040000001</v>
          </cell>
          <cell r="D160">
            <v>0.22443051959999999</v>
          </cell>
          <cell r="E160">
            <v>0.1042786206</v>
          </cell>
          <cell r="F160">
            <v>4.60765998E-2</v>
          </cell>
          <cell r="G160">
            <v>3.9021809400000003E-2</v>
          </cell>
          <cell r="H160">
            <v>0.60252319259999998</v>
          </cell>
          <cell r="I160">
            <v>5.1588154800000001E-2</v>
          </cell>
          <cell r="J160">
            <v>0.28373485139999999</v>
          </cell>
          <cell r="K160">
            <v>8.6862106800000005E-2</v>
          </cell>
          <cell r="L160">
            <v>4.8060759600000003E-2</v>
          </cell>
          <cell r="M160">
            <v>0.1490324472</v>
          </cell>
          <cell r="N160">
            <v>0.29145102839999998</v>
          </cell>
          <cell r="O160">
            <v>0.17659022220000001</v>
          </cell>
          <cell r="P160">
            <v>0.19577043359999999</v>
          </cell>
          <cell r="Q160">
            <v>1.3439375712000001</v>
          </cell>
          <cell r="R160">
            <v>4.1226431399999999E-2</v>
          </cell>
          <cell r="S160">
            <v>3.4833027600000004E-2</v>
          </cell>
          <cell r="T160">
            <v>0.1507961448</v>
          </cell>
          <cell r="U160">
            <v>0.1225769832</v>
          </cell>
          <cell r="V160">
            <v>0.2239895952</v>
          </cell>
          <cell r="W160">
            <v>4.8060759599999996E-2</v>
          </cell>
          <cell r="X160">
            <v>0.42659435699999998</v>
          </cell>
          <cell r="Y160">
            <v>0.2945374992</v>
          </cell>
          <cell r="Z160">
            <v>2.0810576628600002</v>
          </cell>
          <cell r="AA160">
            <v>2.47216606934</v>
          </cell>
          <cell r="AB160">
            <v>6.2551198243600004</v>
          </cell>
          <cell r="AC160">
            <v>2.0781453598399997</v>
          </cell>
          <cell r="AD160">
            <v>11.0681403866</v>
          </cell>
          <cell r="AE160">
            <v>3.82436754172</v>
          </cell>
          <cell r="AF160">
            <v>4.8697943610517926</v>
          </cell>
        </row>
        <row r="161">
          <cell r="B161">
            <v>0.26565695099999997</v>
          </cell>
          <cell r="C161">
            <v>0.18342455040000002</v>
          </cell>
          <cell r="D161">
            <v>0.14859152280000001</v>
          </cell>
          <cell r="E161">
            <v>2.3148531000000003E-2</v>
          </cell>
          <cell r="F161">
            <v>0.11397895740000001</v>
          </cell>
          <cell r="G161">
            <v>4.9824457200000005E-2</v>
          </cell>
          <cell r="H161">
            <v>0.29255333939999995</v>
          </cell>
          <cell r="I161">
            <v>5.0706306000000007E-2</v>
          </cell>
          <cell r="J161">
            <v>0.15718954860000001</v>
          </cell>
          <cell r="K161">
            <v>0.1241202186</v>
          </cell>
          <cell r="L161">
            <v>0.13205685779999998</v>
          </cell>
          <cell r="M161">
            <v>0.17416513800000002</v>
          </cell>
          <cell r="N161">
            <v>0.58202020799999998</v>
          </cell>
          <cell r="O161">
            <v>0.1878337944</v>
          </cell>
          <cell r="P161">
            <v>0.46252969560000001</v>
          </cell>
          <cell r="Q161">
            <v>0.72708433560000008</v>
          </cell>
          <cell r="R161">
            <v>4.6297062E-2</v>
          </cell>
          <cell r="S161">
            <v>0.26499556439999999</v>
          </cell>
          <cell r="T161">
            <v>4.65175242E-2</v>
          </cell>
          <cell r="U161">
            <v>0.31812695459999996</v>
          </cell>
          <cell r="V161">
            <v>0.13911164819999999</v>
          </cell>
          <cell r="W161">
            <v>0.28638039780000002</v>
          </cell>
          <cell r="X161">
            <v>7.1209290600000003E-2</v>
          </cell>
          <cell r="Y161">
            <v>0.2092186278</v>
          </cell>
          <cell r="Z161">
            <v>2.64891486398</v>
          </cell>
          <cell r="AA161">
            <v>2.9529297573600002</v>
          </cell>
          <cell r="AB161">
            <v>2.9797489596599998</v>
          </cell>
          <cell r="AC161">
            <v>2.8650540000000002</v>
          </cell>
          <cell r="AD161">
            <v>3.2372419617999997</v>
          </cell>
          <cell r="AE161">
            <v>4.3161388974000001</v>
          </cell>
          <cell r="AF161">
            <v>2.9851233174741494</v>
          </cell>
        </row>
        <row r="162">
          <cell r="B162">
            <v>0.27557775000000001</v>
          </cell>
          <cell r="C162">
            <v>0.16644896100000001</v>
          </cell>
          <cell r="D162">
            <v>4.9383532799999998E-2</v>
          </cell>
          <cell r="E162">
            <v>3.72581118E-2</v>
          </cell>
          <cell r="F162">
            <v>0.1219155966</v>
          </cell>
          <cell r="G162">
            <v>1.3007269800000002E-2</v>
          </cell>
          <cell r="H162">
            <v>0.36640817640000001</v>
          </cell>
          <cell r="I162">
            <v>7.4295761400000007E-2</v>
          </cell>
          <cell r="J162">
            <v>7.8925467599999993E-2</v>
          </cell>
          <cell r="K162">
            <v>0.49648087439999999</v>
          </cell>
          <cell r="L162">
            <v>0.12015189900000001</v>
          </cell>
          <cell r="M162">
            <v>0.47465511660000004</v>
          </cell>
          <cell r="N162">
            <v>0.25772031180000005</v>
          </cell>
          <cell r="O162">
            <v>0.34259825880000006</v>
          </cell>
          <cell r="P162">
            <v>8.79644178E-2</v>
          </cell>
          <cell r="Q162">
            <v>0.17262190259999999</v>
          </cell>
          <cell r="R162">
            <v>0.24669720179999999</v>
          </cell>
          <cell r="S162">
            <v>0.21980081340000002</v>
          </cell>
          <cell r="T162">
            <v>0.20326614839999999</v>
          </cell>
          <cell r="U162">
            <v>0.138891186</v>
          </cell>
          <cell r="V162">
            <v>3.9462733800000004E-2</v>
          </cell>
          <cell r="W162">
            <v>0.32518174499999997</v>
          </cell>
          <cell r="X162">
            <v>3.5273952000000004E-2</v>
          </cell>
          <cell r="Y162">
            <v>0.22795791479999999</v>
          </cell>
          <cell r="Z162">
            <v>3.2846060178799998</v>
          </cell>
          <cell r="AA162">
            <v>1.8956667578199999</v>
          </cell>
          <cell r="AB162">
            <v>2.57041275502</v>
          </cell>
          <cell r="AC162">
            <v>2.6337820000000001</v>
          </cell>
          <cell r="AD162">
            <v>3.03538474998</v>
          </cell>
          <cell r="AE162">
            <v>3.5019793452600001</v>
          </cell>
          <cell r="AF162">
            <v>2.7281541340535975</v>
          </cell>
        </row>
        <row r="163">
          <cell r="B163">
            <v>0.38272237919999996</v>
          </cell>
          <cell r="C163">
            <v>0.18408593700000001</v>
          </cell>
          <cell r="D163">
            <v>0.15167799360000001</v>
          </cell>
          <cell r="E163">
            <v>0.17659022220000001</v>
          </cell>
          <cell r="F163">
            <v>3.02033214E-2</v>
          </cell>
          <cell r="G163">
            <v>5.7981558600000004E-2</v>
          </cell>
          <cell r="H163">
            <v>7.7161770000000003E-3</v>
          </cell>
          <cell r="I163">
            <v>0.13646610179999999</v>
          </cell>
          <cell r="J163">
            <v>0.1287499248</v>
          </cell>
          <cell r="K163">
            <v>5.2470003600000002E-2</v>
          </cell>
          <cell r="L163">
            <v>8.8625804400000008E-2</v>
          </cell>
          <cell r="M163">
            <v>0.46782078839999997</v>
          </cell>
          <cell r="N163">
            <v>0.15895324620000001</v>
          </cell>
          <cell r="O163">
            <v>0.35141674680000001</v>
          </cell>
          <cell r="P163">
            <v>0.77867249039999997</v>
          </cell>
          <cell r="Q163">
            <v>0.23677640280000004</v>
          </cell>
          <cell r="R163">
            <v>0.40124120399999996</v>
          </cell>
          <cell r="S163">
            <v>0.24846089939999999</v>
          </cell>
          <cell r="T163">
            <v>0.1086878646</v>
          </cell>
          <cell r="U163">
            <v>4.2108280200000001E-2</v>
          </cell>
          <cell r="V163">
            <v>8.4657484800000002E-2</v>
          </cell>
          <cell r="W163">
            <v>3.3730716600000002E-2</v>
          </cell>
          <cell r="X163">
            <v>1.006409943</v>
          </cell>
          <cell r="Y163">
            <v>0.21142324980000002</v>
          </cell>
          <cell r="Z163">
            <v>3.3821891129399999</v>
          </cell>
          <cell r="AA163">
            <v>3.0271306527000004</v>
          </cell>
          <cell r="AB163">
            <v>3.27306042294</v>
          </cell>
          <cell r="AC163">
            <v>2.306073</v>
          </cell>
          <cell r="AD163">
            <v>11.678866423620001</v>
          </cell>
          <cell r="AE163">
            <v>3.6677799969799998</v>
          </cell>
          <cell r="AF163">
            <v>4.8113864811202864</v>
          </cell>
        </row>
        <row r="164">
          <cell r="B164">
            <v>0.37169926920000002</v>
          </cell>
          <cell r="C164">
            <v>0.17350375139999999</v>
          </cell>
          <cell r="D164">
            <v>0.17019681840000001</v>
          </cell>
          <cell r="E164">
            <v>7.4516223600000001E-2</v>
          </cell>
          <cell r="F164">
            <v>0.15211891800000002</v>
          </cell>
          <cell r="G164">
            <v>8.0909627400000003E-2</v>
          </cell>
          <cell r="H164">
            <v>9.7003368000000006E-3</v>
          </cell>
          <cell r="I164">
            <v>0.14330043000000001</v>
          </cell>
          <cell r="J164">
            <v>0.17504698680000003</v>
          </cell>
          <cell r="K164">
            <v>0.1119947976</v>
          </cell>
          <cell r="L164">
            <v>0.65807966699999998</v>
          </cell>
          <cell r="M164">
            <v>0.23104438559999999</v>
          </cell>
          <cell r="N164">
            <v>0.23391039419999998</v>
          </cell>
          <cell r="O164">
            <v>0.15718954860000001</v>
          </cell>
          <cell r="P164">
            <v>0.58466575440000002</v>
          </cell>
          <cell r="Q164">
            <v>0.5870908386</v>
          </cell>
          <cell r="R164">
            <v>0.33289792200000001</v>
          </cell>
          <cell r="S164">
            <v>0.29034871740000001</v>
          </cell>
          <cell r="T164">
            <v>7.0547904000000008E-2</v>
          </cell>
          <cell r="U164">
            <v>3.5273952000000004E-2</v>
          </cell>
          <cell r="V164">
            <v>4.4092440000000004E-2</v>
          </cell>
          <cell r="W164">
            <v>0.103617234</v>
          </cell>
          <cell r="X164">
            <v>1.2145262598</v>
          </cell>
          <cell r="Y164">
            <v>0.30269460059999997</v>
          </cell>
          <cell r="Z164">
            <v>2.97471360758</v>
          </cell>
          <cell r="AA164">
            <v>2.36017137334</v>
          </cell>
          <cell r="AB164">
            <v>2.1977526087000001</v>
          </cell>
          <cell r="AC164">
            <v>4.2190719999999997</v>
          </cell>
          <cell r="AD164">
            <v>3.7545979325799999</v>
          </cell>
          <cell r="AE164">
            <v>3.7755695103657869</v>
          </cell>
          <cell r="AF164">
            <v>3.1523146518859972</v>
          </cell>
        </row>
        <row r="165">
          <cell r="B165">
            <v>0.30798569339999998</v>
          </cell>
          <cell r="C165">
            <v>0.1022944608</v>
          </cell>
          <cell r="D165">
            <v>3.8139960600000002E-2</v>
          </cell>
          <cell r="E165">
            <v>0.25331106780000001</v>
          </cell>
          <cell r="F165">
            <v>5.8422482999999997E-2</v>
          </cell>
          <cell r="G165">
            <v>8.4877947000000009E-2</v>
          </cell>
          <cell r="H165">
            <v>0.10383769620000001</v>
          </cell>
          <cell r="I165">
            <v>0.18540871019999999</v>
          </cell>
          <cell r="J165">
            <v>0.2112027876</v>
          </cell>
          <cell r="K165">
            <v>7.3854837000000007E-2</v>
          </cell>
          <cell r="L165">
            <v>6.3934037999999999E-2</v>
          </cell>
          <cell r="M165">
            <v>6.6579584400000003E-2</v>
          </cell>
          <cell r="N165">
            <v>0.1832040882</v>
          </cell>
          <cell r="O165">
            <v>0.43034221439999998</v>
          </cell>
          <cell r="P165">
            <v>0.5945865534</v>
          </cell>
          <cell r="Q165">
            <v>0.22332820860000002</v>
          </cell>
          <cell r="R165">
            <v>0.11001063779999999</v>
          </cell>
          <cell r="S165">
            <v>7.5177610200000008E-2</v>
          </cell>
          <cell r="T165">
            <v>0.38426561459999997</v>
          </cell>
          <cell r="U165">
            <v>0.1126561842</v>
          </cell>
          <cell r="V165">
            <v>0.10538093159999999</v>
          </cell>
          <cell r="W165">
            <v>5.99657184E-2</v>
          </cell>
          <cell r="X165">
            <v>0.35428275539999998</v>
          </cell>
          <cell r="Y165">
            <v>8.1350551800000004E-2</v>
          </cell>
          <cell r="Z165">
            <v>2.7743886066599996</v>
          </cell>
          <cell r="AA165">
            <v>3.0632004405200002</v>
          </cell>
          <cell r="AB165">
            <v>1.98194897076</v>
          </cell>
          <cell r="AC165">
            <v>4.1699350000000006</v>
          </cell>
          <cell r="AD165">
            <v>6.7539569871399996</v>
          </cell>
          <cell r="AE165">
            <v>3.7807122372659792</v>
          </cell>
          <cell r="AF165">
            <v>3.8103970882186173</v>
          </cell>
        </row>
        <row r="166">
          <cell r="B166">
            <v>1.4621053104000001</v>
          </cell>
          <cell r="C166">
            <v>0.18408593700000001</v>
          </cell>
          <cell r="D166">
            <v>0.1232383698</v>
          </cell>
          <cell r="E166">
            <v>0</v>
          </cell>
          <cell r="F166">
            <v>0.15498492659999999</v>
          </cell>
          <cell r="G166">
            <v>1.7636976000000003E-3</v>
          </cell>
          <cell r="H166">
            <v>0.25066552140000004</v>
          </cell>
          <cell r="I166">
            <v>0.17659022220000001</v>
          </cell>
          <cell r="J166">
            <v>0.24471304199999999</v>
          </cell>
          <cell r="K166">
            <v>9.1932737400000006E-2</v>
          </cell>
          <cell r="L166">
            <v>0.1704172806</v>
          </cell>
          <cell r="M166">
            <v>0.13646610179999999</v>
          </cell>
          <cell r="N166">
            <v>0.16248064140000001</v>
          </cell>
          <cell r="O166">
            <v>9.4798746000000003E-2</v>
          </cell>
          <cell r="P166">
            <v>0.39683196000000004</v>
          </cell>
          <cell r="Q166">
            <v>0.17945623080000001</v>
          </cell>
          <cell r="R166">
            <v>0.18849518100000001</v>
          </cell>
          <cell r="S166">
            <v>7.0327441800000001E-2</v>
          </cell>
          <cell r="T166">
            <v>0.1084674024</v>
          </cell>
          <cell r="U166">
            <v>0.20988001439999998</v>
          </cell>
          <cell r="V166">
            <v>0.13095454680000002</v>
          </cell>
          <cell r="W166">
            <v>4.60765998E-2</v>
          </cell>
          <cell r="X166">
            <v>0.19797505559999998</v>
          </cell>
          <cell r="Y166">
            <v>0.30335598720000001</v>
          </cell>
          <cell r="Z166">
            <v>2.8245767809600002</v>
          </cell>
          <cell r="AA166">
            <v>3.6284716223800002</v>
          </cell>
          <cell r="AB166">
            <v>1.72981760446</v>
          </cell>
          <cell r="AC166">
            <v>7.7835219999999996</v>
          </cell>
          <cell r="AD166">
            <v>8.64180616244</v>
          </cell>
          <cell r="AE166">
            <v>5.0958594385624094</v>
          </cell>
          <cell r="AF166">
            <v>5.0026591390789914</v>
          </cell>
        </row>
        <row r="167">
          <cell r="B167">
            <v>0.47465511660000004</v>
          </cell>
          <cell r="C167">
            <v>6.3934037999999999E-2</v>
          </cell>
          <cell r="D167">
            <v>0.23413085640000003</v>
          </cell>
          <cell r="E167">
            <v>7.2752525999999998E-2</v>
          </cell>
          <cell r="F167">
            <v>8.3334711599999986E-2</v>
          </cell>
          <cell r="G167">
            <v>0.1186086636</v>
          </cell>
          <cell r="H167">
            <v>8.4216560400000001E-2</v>
          </cell>
          <cell r="I167">
            <v>0.18166085280000002</v>
          </cell>
          <cell r="J167">
            <v>0.28505762460000006</v>
          </cell>
          <cell r="K167">
            <v>0.11265618420000001</v>
          </cell>
          <cell r="L167">
            <v>0.28373485139999999</v>
          </cell>
          <cell r="M167">
            <v>0.4184372556</v>
          </cell>
          <cell r="N167">
            <v>0.24008333580000002</v>
          </cell>
          <cell r="O167">
            <v>0.29475796139999999</v>
          </cell>
          <cell r="P167">
            <v>0.64352916179999997</v>
          </cell>
          <cell r="Q167">
            <v>0.18717240780000002</v>
          </cell>
          <cell r="R167">
            <v>6.3272651400000005E-2</v>
          </cell>
          <cell r="S167">
            <v>9.0389501999999997E-3</v>
          </cell>
          <cell r="T167">
            <v>0.22266682199999999</v>
          </cell>
          <cell r="U167">
            <v>0.1148608062</v>
          </cell>
          <cell r="V167">
            <v>0.17813345760000002</v>
          </cell>
          <cell r="W167">
            <v>0.29365565040000002</v>
          </cell>
          <cell r="X167">
            <v>4.2769666800000002E-2</v>
          </cell>
          <cell r="Y167">
            <v>0.112435722</v>
          </cell>
          <cell r="Z167">
            <v>2.4370023803400001</v>
          </cell>
          <cell r="AA167">
            <v>2.4884493926599998</v>
          </cell>
          <cell r="AB167">
            <v>2.9483022599800002</v>
          </cell>
          <cell r="AC167">
            <v>3.3859209999999997</v>
          </cell>
          <cell r="AD167">
            <v>9.7481947094399999</v>
          </cell>
          <cell r="AE167">
            <v>3.5618678416176222</v>
          </cell>
          <cell r="AF167">
            <v>4.2707405034456229</v>
          </cell>
        </row>
        <row r="168">
          <cell r="B168">
            <v>0.422185113</v>
          </cell>
          <cell r="C168">
            <v>0.20392753499999999</v>
          </cell>
          <cell r="D168">
            <v>0.23170577219999999</v>
          </cell>
          <cell r="E168">
            <v>2.99828592E-2</v>
          </cell>
          <cell r="F168">
            <v>1.1838820139999999</v>
          </cell>
          <cell r="G168">
            <v>6.0186180600000007E-2</v>
          </cell>
          <cell r="H168">
            <v>0.29938766760000002</v>
          </cell>
          <cell r="I168">
            <v>0.27160943040000002</v>
          </cell>
          <cell r="J168">
            <v>0.27557775000000001</v>
          </cell>
          <cell r="K168">
            <v>0.1880542566</v>
          </cell>
          <cell r="L168">
            <v>0.1880542566</v>
          </cell>
          <cell r="M168">
            <v>2.4471304199999998E-2</v>
          </cell>
          <cell r="N168">
            <v>0.57364264440000001</v>
          </cell>
          <cell r="O168">
            <v>0.16248064140000001</v>
          </cell>
          <cell r="P168">
            <v>0.46539570420000004</v>
          </cell>
          <cell r="Q168">
            <v>0.15785093519999999</v>
          </cell>
          <cell r="R168">
            <v>0.41931910440000003</v>
          </cell>
          <cell r="S168">
            <v>0.26345232900000004</v>
          </cell>
          <cell r="T168">
            <v>0.20216383740000002</v>
          </cell>
          <cell r="U168">
            <v>5.1367692600000001E-2</v>
          </cell>
          <cell r="V168">
            <v>0.35714876400000001</v>
          </cell>
          <cell r="W168">
            <v>0.42901944120000002</v>
          </cell>
          <cell r="X168">
            <v>1.1684496599999998E-2</v>
          </cell>
          <cell r="Y168">
            <v>3.0439541079199999</v>
          </cell>
          <cell r="Z168">
            <v>3.1822962175399998</v>
          </cell>
          <cell r="AA168">
            <v>3.1495818613599997</v>
          </cell>
          <cell r="AB168">
            <v>2.7635683316999997</v>
          </cell>
          <cell r="AC168">
            <v>4.4230489999999998</v>
          </cell>
          <cell r="AD168">
            <v>4.7616198469399995</v>
          </cell>
          <cell r="AE168">
            <v>5.187537968059071</v>
          </cell>
          <cell r="AF168">
            <v>3.7162087158408461</v>
          </cell>
        </row>
        <row r="189">
          <cell r="B189" t="str">
            <v xml:space="preserve">93/94 </v>
          </cell>
          <cell r="C189" t="str">
            <v xml:space="preserve">94/95 </v>
          </cell>
          <cell r="D189" t="str">
            <v xml:space="preserve">95/96 </v>
          </cell>
          <cell r="E189" t="str">
            <v xml:space="preserve">96/97 </v>
          </cell>
          <cell r="F189" t="str">
            <v xml:space="preserve">97/98 </v>
          </cell>
          <cell r="G189" t="str">
            <v xml:space="preserve">98/99 </v>
          </cell>
          <cell r="H189" t="str">
            <v xml:space="preserve">99/00 </v>
          </cell>
          <cell r="I189" t="str">
            <v xml:space="preserve">00/01 </v>
          </cell>
          <cell r="J189" t="str">
            <v xml:space="preserve">01/02 </v>
          </cell>
          <cell r="K189" t="str">
            <v xml:space="preserve">02/03 </v>
          </cell>
          <cell r="L189" t="str">
            <v xml:space="preserve">03/04 </v>
          </cell>
          <cell r="M189" t="str">
            <v xml:space="preserve">04/05 </v>
          </cell>
          <cell r="N189" t="str">
            <v xml:space="preserve">05/06 </v>
          </cell>
          <cell r="O189" t="str">
            <v xml:space="preserve">06/07 </v>
          </cell>
          <cell r="P189" t="str">
            <v xml:space="preserve">07/08 </v>
          </cell>
          <cell r="Q189" t="str">
            <v xml:space="preserve">08/09 </v>
          </cell>
          <cell r="R189" t="str">
            <v xml:space="preserve">09/10 </v>
          </cell>
          <cell r="S189" t="str">
            <v xml:space="preserve">10/11 </v>
          </cell>
          <cell r="T189" t="str">
            <v xml:space="preserve">11/12 </v>
          </cell>
          <cell r="U189" t="str">
            <v xml:space="preserve">12/13 </v>
          </cell>
          <cell r="V189" t="str">
            <v xml:space="preserve">13/14 </v>
          </cell>
          <cell r="W189" t="str">
            <v xml:space="preserve">14/15 </v>
          </cell>
          <cell r="X189" t="str">
            <v xml:space="preserve">15/16 </v>
          </cell>
          <cell r="Y189" t="str">
            <v xml:space="preserve">16/17 </v>
          </cell>
          <cell r="Z189" t="str">
            <v xml:space="preserve">17/18 </v>
          </cell>
          <cell r="AA189" t="str">
            <v>18/19</v>
          </cell>
          <cell r="AB189" t="str">
            <v>19/20</v>
          </cell>
          <cell r="AC189" t="str">
            <v>20/21</v>
          </cell>
          <cell r="AD189" t="str">
            <v>21/22</v>
          </cell>
          <cell r="AE189" t="str">
            <v>22/23</v>
          </cell>
          <cell r="AF189" t="str">
            <v>23/24</v>
          </cell>
        </row>
        <row r="190">
          <cell r="B190">
            <v>78.400000000000006</v>
          </cell>
          <cell r="C190">
            <v>50</v>
          </cell>
          <cell r="D190">
            <v>53.5</v>
          </cell>
          <cell r="E190">
            <v>38.799999999999997</v>
          </cell>
          <cell r="F190">
            <v>48</v>
          </cell>
          <cell r="G190">
            <v>70.7</v>
          </cell>
          <cell r="H190">
            <v>77.2</v>
          </cell>
          <cell r="I190">
            <v>85</v>
          </cell>
          <cell r="J190">
            <v>120.1</v>
          </cell>
          <cell r="K190">
            <v>106.062</v>
          </cell>
          <cell r="L190">
            <v>63.8</v>
          </cell>
          <cell r="M190">
            <v>38.799999999999997</v>
          </cell>
          <cell r="N190">
            <v>59.3</v>
          </cell>
          <cell r="O190">
            <v>70.7</v>
          </cell>
          <cell r="P190">
            <v>66.400000000000006</v>
          </cell>
          <cell r="Q190">
            <v>70.7</v>
          </cell>
          <cell r="R190">
            <v>49.2</v>
          </cell>
          <cell r="S190">
            <v>77.571999999999989</v>
          </cell>
          <cell r="T190">
            <v>82</v>
          </cell>
          <cell r="U190">
            <v>81.416666666666671</v>
          </cell>
          <cell r="V190">
            <v>75</v>
          </cell>
          <cell r="W190">
            <v>76.888625000000005</v>
          </cell>
          <cell r="X190">
            <v>90.367999999999995</v>
          </cell>
          <cell r="Y190">
            <v>92.566000000000003</v>
          </cell>
          <cell r="Z190">
            <v>109.712</v>
          </cell>
          <cell r="AA190">
            <v>65.625</v>
          </cell>
          <cell r="AB190">
            <v>73.522000000000006</v>
          </cell>
          <cell r="AC190">
            <v>96.637</v>
          </cell>
          <cell r="AD190">
            <v>53.622999999999998</v>
          </cell>
          <cell r="AE190">
            <v>50.988999999999997</v>
          </cell>
          <cell r="AF190">
            <v>60.917000000000002</v>
          </cell>
        </row>
        <row r="191">
          <cell r="B191">
            <v>83.5</v>
          </cell>
          <cell r="C191">
            <v>57.1</v>
          </cell>
          <cell r="D191">
            <v>48.8</v>
          </cell>
          <cell r="E191">
            <v>51.8</v>
          </cell>
          <cell r="F191">
            <v>53.1</v>
          </cell>
          <cell r="G191">
            <v>74.599999999999994</v>
          </cell>
          <cell r="H191">
            <v>75.5</v>
          </cell>
          <cell r="I191">
            <v>89</v>
          </cell>
          <cell r="J191">
            <v>110.98699999999999</v>
          </cell>
          <cell r="K191">
            <v>70.531999999999996</v>
          </cell>
          <cell r="L191">
            <v>49.7</v>
          </cell>
          <cell r="M191">
            <v>36.299999999999997</v>
          </cell>
          <cell r="N191">
            <v>64.5</v>
          </cell>
          <cell r="O191">
            <v>81.900000000000006</v>
          </cell>
          <cell r="P191">
            <v>73.099999999999994</v>
          </cell>
          <cell r="Q191">
            <v>79.8</v>
          </cell>
          <cell r="R191">
            <v>63.7</v>
          </cell>
          <cell r="S191">
            <v>86.259</v>
          </cell>
          <cell r="T191">
            <v>82</v>
          </cell>
          <cell r="U191">
            <v>80.833333333333343</v>
          </cell>
          <cell r="V191">
            <v>75</v>
          </cell>
          <cell r="W191">
            <v>78.777250000000009</v>
          </cell>
          <cell r="X191">
            <v>122.672</v>
          </cell>
          <cell r="Y191">
            <v>81.162000000000006</v>
          </cell>
          <cell r="Z191">
            <v>117.28700000000001</v>
          </cell>
          <cell r="AA191">
            <v>58.539000000000001</v>
          </cell>
          <cell r="AB191">
            <v>69.665000000000006</v>
          </cell>
          <cell r="AC191">
            <v>93.980999999999995</v>
          </cell>
          <cell r="AD191">
            <v>70.558999999999997</v>
          </cell>
          <cell r="AE191">
            <v>62.253</v>
          </cell>
          <cell r="AF191">
            <v>85.835999999999999</v>
          </cell>
        </row>
        <row r="192">
          <cell r="B192">
            <v>76</v>
          </cell>
          <cell r="C192">
            <v>60.7</v>
          </cell>
          <cell r="D192">
            <v>48.7</v>
          </cell>
          <cell r="E192">
            <v>51.8</v>
          </cell>
          <cell r="F192">
            <v>61.3</v>
          </cell>
          <cell r="G192">
            <v>55.9</v>
          </cell>
          <cell r="H192">
            <v>60</v>
          </cell>
          <cell r="I192">
            <v>97.3</v>
          </cell>
          <cell r="J192">
            <v>121.251</v>
          </cell>
          <cell r="K192">
            <v>62.954999999999998</v>
          </cell>
          <cell r="L192">
            <v>55.4</v>
          </cell>
          <cell r="M192">
            <v>55.8</v>
          </cell>
          <cell r="N192">
            <v>73.400000000000006</v>
          </cell>
          <cell r="O192">
            <v>103.2</v>
          </cell>
          <cell r="P192">
            <v>79.900000000000006</v>
          </cell>
          <cell r="Q192">
            <v>56.8</v>
          </cell>
          <cell r="R192">
            <v>50.1</v>
          </cell>
          <cell r="S192">
            <v>86.334000000000003</v>
          </cell>
          <cell r="T192">
            <v>82</v>
          </cell>
          <cell r="U192">
            <v>80.250000000000014</v>
          </cell>
          <cell r="V192">
            <v>75</v>
          </cell>
          <cell r="W192">
            <v>80.665875000000014</v>
          </cell>
          <cell r="X192">
            <v>124.857</v>
          </cell>
          <cell r="Y192">
            <v>76.215000000000003</v>
          </cell>
          <cell r="Z192">
            <v>109.878</v>
          </cell>
          <cell r="AA192">
            <v>61.585999999999999</v>
          </cell>
          <cell r="AB192">
            <v>78.385999999999996</v>
          </cell>
          <cell r="AC192">
            <v>74.882999999999996</v>
          </cell>
          <cell r="AD192">
            <v>66.930999999999997</v>
          </cell>
          <cell r="AE192">
            <v>62.652999999999999</v>
          </cell>
          <cell r="AF192">
            <v>92.256</v>
          </cell>
        </row>
        <row r="193">
          <cell r="B193">
            <v>109.4</v>
          </cell>
          <cell r="C193">
            <v>66.900000000000006</v>
          </cell>
          <cell r="D193">
            <v>58.3</v>
          </cell>
          <cell r="E193">
            <v>80.599999999999994</v>
          </cell>
          <cell r="F193">
            <v>59.6</v>
          </cell>
          <cell r="G193">
            <v>51.6</v>
          </cell>
          <cell r="H193">
            <v>58.4</v>
          </cell>
          <cell r="I193">
            <v>108.5</v>
          </cell>
          <cell r="J193">
            <v>100.303</v>
          </cell>
          <cell r="K193">
            <v>76.599999999999994</v>
          </cell>
          <cell r="L193">
            <v>66.900000000000006</v>
          </cell>
          <cell r="M193">
            <v>66.099999999999994</v>
          </cell>
          <cell r="N193">
            <v>51</v>
          </cell>
          <cell r="O193">
            <v>87.4</v>
          </cell>
          <cell r="P193">
            <v>82.7</v>
          </cell>
          <cell r="Q193">
            <v>94</v>
          </cell>
          <cell r="R193">
            <v>96.332999999999998</v>
          </cell>
          <cell r="S193">
            <v>100.461</v>
          </cell>
          <cell r="T193">
            <v>82</v>
          </cell>
          <cell r="U193">
            <v>79.666666666666686</v>
          </cell>
          <cell r="V193">
            <v>75</v>
          </cell>
          <cell r="W193">
            <v>82.554500000000019</v>
          </cell>
          <cell r="X193">
            <v>132.02699999999999</v>
          </cell>
          <cell r="Y193">
            <v>71.962000000000003</v>
          </cell>
          <cell r="Z193">
            <v>90.177000000000007</v>
          </cell>
          <cell r="AA193">
            <v>64.754999999999995</v>
          </cell>
          <cell r="AB193">
            <v>53.07</v>
          </cell>
          <cell r="AC193">
            <v>68.643000000000001</v>
          </cell>
          <cell r="AD193">
            <v>60.478999999999999</v>
          </cell>
          <cell r="AE193">
            <v>52.523000000000003</v>
          </cell>
          <cell r="AF193">
            <v>90.578000000000003</v>
          </cell>
        </row>
        <row r="194">
          <cell r="B194">
            <v>90</v>
          </cell>
          <cell r="C194">
            <v>77</v>
          </cell>
          <cell r="D194">
            <v>71.8</v>
          </cell>
          <cell r="E194">
            <v>90.8</v>
          </cell>
          <cell r="F194">
            <v>53.1</v>
          </cell>
          <cell r="G194">
            <v>67.599999999999994</v>
          </cell>
          <cell r="H194">
            <v>59.3</v>
          </cell>
          <cell r="I194">
            <v>142.9</v>
          </cell>
          <cell r="J194">
            <v>131.29900000000001</v>
          </cell>
          <cell r="K194">
            <v>74.2</v>
          </cell>
          <cell r="L194">
            <v>71.900000000000006</v>
          </cell>
          <cell r="M194">
            <v>47.1</v>
          </cell>
          <cell r="N194">
            <v>70.3</v>
          </cell>
          <cell r="O194">
            <v>76.099999999999994</v>
          </cell>
          <cell r="P194">
            <v>80.099999999999994</v>
          </cell>
          <cell r="Q194">
            <v>90.4</v>
          </cell>
          <cell r="R194">
            <v>72.430000000000007</v>
          </cell>
          <cell r="S194">
            <v>93.659000000000006</v>
          </cell>
          <cell r="T194">
            <v>82</v>
          </cell>
          <cell r="U194">
            <v>79.083333333333357</v>
          </cell>
          <cell r="V194">
            <v>75</v>
          </cell>
          <cell r="W194">
            <v>84.443125000000023</v>
          </cell>
          <cell r="X194">
            <v>127.179</v>
          </cell>
          <cell r="Y194">
            <v>62.104999999999997</v>
          </cell>
          <cell r="Z194">
            <v>94.057000000000002</v>
          </cell>
          <cell r="AA194">
            <v>65.707999999999998</v>
          </cell>
          <cell r="AB194">
            <v>55.32</v>
          </cell>
          <cell r="AC194">
            <v>73.793000000000006</v>
          </cell>
          <cell r="AD194">
            <v>56.191000000000003</v>
          </cell>
          <cell r="AE194">
            <v>55.149000000000001</v>
          </cell>
          <cell r="AF194">
            <v>98.361999999999995</v>
          </cell>
        </row>
        <row r="195">
          <cell r="B195">
            <v>112.7</v>
          </cell>
          <cell r="C195">
            <v>71.599999999999994</v>
          </cell>
          <cell r="D195">
            <v>78.2</v>
          </cell>
          <cell r="E195">
            <v>69.7</v>
          </cell>
          <cell r="F195">
            <v>52.9</v>
          </cell>
          <cell r="G195">
            <v>108.4</v>
          </cell>
          <cell r="H195">
            <v>71.3</v>
          </cell>
          <cell r="I195">
            <v>114.521</v>
          </cell>
          <cell r="J195">
            <v>125.21899999999999</v>
          </cell>
          <cell r="K195">
            <v>95.7</v>
          </cell>
          <cell r="L195">
            <v>54.4</v>
          </cell>
          <cell r="M195">
            <v>54.2</v>
          </cell>
          <cell r="N195">
            <v>111.7</v>
          </cell>
          <cell r="O195">
            <v>69.3</v>
          </cell>
          <cell r="P195">
            <v>94.1</v>
          </cell>
          <cell r="Q195">
            <v>118.3</v>
          </cell>
          <cell r="R195">
            <v>72.923999999999992</v>
          </cell>
          <cell r="S195">
            <v>62.746000000000002</v>
          </cell>
          <cell r="T195">
            <v>82</v>
          </cell>
          <cell r="U195">
            <v>78.500000000000028</v>
          </cell>
          <cell r="V195">
            <v>75</v>
          </cell>
          <cell r="W195">
            <v>86.331750000000028</v>
          </cell>
          <cell r="X195">
            <v>116.166</v>
          </cell>
          <cell r="Y195">
            <v>65.867999999999995</v>
          </cell>
          <cell r="Z195">
            <v>95.451999999999998</v>
          </cell>
          <cell r="AA195">
            <v>62.244</v>
          </cell>
          <cell r="AB195">
            <v>54.192999999999998</v>
          </cell>
          <cell r="AC195">
            <v>52.938000000000002</v>
          </cell>
          <cell r="AD195">
            <v>58.658000000000001</v>
          </cell>
          <cell r="AE195">
            <v>57.765999999999998</v>
          </cell>
          <cell r="AF195">
            <v>95.054063583242879</v>
          </cell>
        </row>
        <row r="196">
          <cell r="B196">
            <v>94.5</v>
          </cell>
          <cell r="C196">
            <v>51.3</v>
          </cell>
          <cell r="D196">
            <v>76.8</v>
          </cell>
          <cell r="E196">
            <v>65.099999999999994</v>
          </cell>
          <cell r="F196">
            <v>73.400000000000006</v>
          </cell>
          <cell r="G196">
            <v>89.3</v>
          </cell>
          <cell r="H196">
            <v>78.900000000000006</v>
          </cell>
          <cell r="I196">
            <v>123.3</v>
          </cell>
          <cell r="J196">
            <v>119</v>
          </cell>
          <cell r="K196">
            <v>71.099999999999994</v>
          </cell>
          <cell r="L196">
            <v>81.099999999999994</v>
          </cell>
          <cell r="M196">
            <v>37.4</v>
          </cell>
          <cell r="N196">
            <v>102.4</v>
          </cell>
          <cell r="O196">
            <v>56.2</v>
          </cell>
          <cell r="P196">
            <v>99.5</v>
          </cell>
          <cell r="Q196">
            <v>101.7</v>
          </cell>
          <cell r="R196">
            <v>53.598999999999997</v>
          </cell>
          <cell r="S196">
            <v>59.341000000000001</v>
          </cell>
          <cell r="T196">
            <v>82</v>
          </cell>
          <cell r="U196">
            <v>77.9166666666667</v>
          </cell>
          <cell r="V196">
            <v>75</v>
          </cell>
          <cell r="W196">
            <v>88.220375000000033</v>
          </cell>
          <cell r="X196">
            <v>111.04600000000001</v>
          </cell>
          <cell r="Y196">
            <v>72.581000000000003</v>
          </cell>
          <cell r="Z196">
            <v>83.483999999999995</v>
          </cell>
          <cell r="AA196">
            <v>65.501000000000005</v>
          </cell>
          <cell r="AB196">
            <v>56.93</v>
          </cell>
          <cell r="AC196">
            <v>64.594999999999999</v>
          </cell>
          <cell r="AD196">
            <v>63.768000000000001</v>
          </cell>
          <cell r="AE196">
            <v>51.052999999999997</v>
          </cell>
          <cell r="AF196">
            <v>98.616219650319834</v>
          </cell>
        </row>
        <row r="197">
          <cell r="B197">
            <v>97.3</v>
          </cell>
          <cell r="C197">
            <v>55.3</v>
          </cell>
          <cell r="D197">
            <v>70</v>
          </cell>
          <cell r="E197">
            <v>53.9</v>
          </cell>
          <cell r="F197">
            <v>88.4</v>
          </cell>
          <cell r="G197">
            <v>88.7</v>
          </cell>
          <cell r="H197">
            <v>78.599999999999994</v>
          </cell>
          <cell r="I197">
            <v>108.61</v>
          </cell>
          <cell r="J197">
            <v>129.19399999999999</v>
          </cell>
          <cell r="K197">
            <v>73.3</v>
          </cell>
          <cell r="L197">
            <v>41.8</v>
          </cell>
          <cell r="M197">
            <v>54.9</v>
          </cell>
          <cell r="N197">
            <v>103.9</v>
          </cell>
          <cell r="O197">
            <v>69.3</v>
          </cell>
          <cell r="P197">
            <v>99</v>
          </cell>
          <cell r="Q197">
            <v>118.5</v>
          </cell>
          <cell r="R197">
            <v>47.698999999999998</v>
          </cell>
          <cell r="S197">
            <v>69.156000000000006</v>
          </cell>
          <cell r="T197">
            <v>82</v>
          </cell>
          <cell r="U197">
            <v>77.333333333333371</v>
          </cell>
          <cell r="V197">
            <v>75</v>
          </cell>
          <cell r="W197">
            <v>90.108999999999995</v>
          </cell>
          <cell r="X197">
            <v>116.127</v>
          </cell>
          <cell r="Y197">
            <v>62.551000000000002</v>
          </cell>
          <cell r="Z197">
            <v>73.45</v>
          </cell>
          <cell r="AA197">
            <v>67.759</v>
          </cell>
          <cell r="AB197">
            <v>43.722000000000001</v>
          </cell>
          <cell r="AC197">
            <v>50.005000000000003</v>
          </cell>
          <cell r="AD197">
            <v>60.22</v>
          </cell>
          <cell r="AE197">
            <v>53.832999999999998</v>
          </cell>
          <cell r="AF197">
            <v>91.452050663360808</v>
          </cell>
        </row>
        <row r="198">
          <cell r="B198">
            <v>81.8</v>
          </cell>
          <cell r="C198">
            <v>50.3</v>
          </cell>
          <cell r="D198">
            <v>49.6</v>
          </cell>
          <cell r="E198">
            <v>74.099999999999994</v>
          </cell>
          <cell r="F198">
            <v>91.4</v>
          </cell>
          <cell r="G198">
            <v>78.2</v>
          </cell>
          <cell r="H198">
            <v>53.9</v>
          </cell>
          <cell r="I198">
            <v>117.622</v>
          </cell>
          <cell r="J198">
            <v>102.429</v>
          </cell>
          <cell r="K198">
            <v>34.700000000000003</v>
          </cell>
          <cell r="L198">
            <v>32.5</v>
          </cell>
          <cell r="M198">
            <v>49.2</v>
          </cell>
          <cell r="N198">
            <v>104.1</v>
          </cell>
          <cell r="O198">
            <v>74.400000000000006</v>
          </cell>
          <cell r="P198">
            <v>96</v>
          </cell>
          <cell r="Q198">
            <v>98.3</v>
          </cell>
          <cell r="R198">
            <v>43.243000000000002</v>
          </cell>
          <cell r="S198">
            <v>64.974999999999994</v>
          </cell>
          <cell r="T198">
            <v>82</v>
          </cell>
          <cell r="U198">
            <v>76.750000000000043</v>
          </cell>
          <cell r="V198">
            <v>75</v>
          </cell>
          <cell r="W198">
            <v>84.513000000000005</v>
          </cell>
          <cell r="X198">
            <v>105.465</v>
          </cell>
          <cell r="Y198">
            <v>94.369</v>
          </cell>
          <cell r="Z198">
            <v>65.546000000000006</v>
          </cell>
          <cell r="AA198">
            <v>71.366</v>
          </cell>
          <cell r="AB198">
            <v>67.751000000000005</v>
          </cell>
          <cell r="AC198">
            <v>37.694000000000003</v>
          </cell>
          <cell r="AD198">
            <v>60.323</v>
          </cell>
          <cell r="AE198">
            <v>62.207000000000001</v>
          </cell>
          <cell r="AF198">
            <v>93.993827545310083</v>
          </cell>
        </row>
        <row r="199">
          <cell r="B199">
            <v>58.6</v>
          </cell>
          <cell r="C199">
            <v>60.4</v>
          </cell>
          <cell r="D199">
            <v>56.6</v>
          </cell>
          <cell r="E199">
            <v>53.7</v>
          </cell>
          <cell r="F199">
            <v>72.5</v>
          </cell>
          <cell r="G199">
            <v>62.9</v>
          </cell>
          <cell r="H199">
            <v>90.1</v>
          </cell>
          <cell r="I199">
            <v>126.804</v>
          </cell>
          <cell r="J199">
            <v>132.364</v>
          </cell>
          <cell r="K199">
            <v>52.4</v>
          </cell>
          <cell r="L199">
            <v>60.6</v>
          </cell>
          <cell r="M199">
            <v>59.8</v>
          </cell>
          <cell r="N199">
            <v>87.3</v>
          </cell>
          <cell r="O199">
            <v>107.5</v>
          </cell>
          <cell r="P199">
            <v>79</v>
          </cell>
          <cell r="Q199">
            <v>83.3</v>
          </cell>
          <cell r="R199">
            <v>75.78</v>
          </cell>
          <cell r="S199">
            <v>88.936999999999998</v>
          </cell>
          <cell r="T199">
            <v>82</v>
          </cell>
          <cell r="U199">
            <v>76.166666666666714</v>
          </cell>
          <cell r="V199">
            <v>75</v>
          </cell>
          <cell r="W199">
            <v>97.557000000000002</v>
          </cell>
          <cell r="X199">
            <v>95.093000000000004</v>
          </cell>
          <cell r="Y199">
            <v>86.212999999999994</v>
          </cell>
          <cell r="Z199">
            <v>63.32</v>
          </cell>
          <cell r="AA199">
            <v>75.927000000000007</v>
          </cell>
          <cell r="AB199">
            <v>72.567999999999998</v>
          </cell>
          <cell r="AC199">
            <v>34.884999999999998</v>
          </cell>
          <cell r="AD199">
            <v>54.01</v>
          </cell>
          <cell r="AE199">
            <v>60.642000000000003</v>
          </cell>
          <cell r="AF199">
            <v>95.114426517545297</v>
          </cell>
        </row>
        <row r="200">
          <cell r="B200">
            <v>54.4</v>
          </cell>
          <cell r="C200">
            <v>50.1</v>
          </cell>
          <cell r="D200">
            <v>32</v>
          </cell>
          <cell r="E200">
            <v>61.5</v>
          </cell>
          <cell r="F200">
            <v>76.3</v>
          </cell>
          <cell r="G200">
            <v>85.3</v>
          </cell>
          <cell r="H200">
            <v>65.5</v>
          </cell>
          <cell r="I200">
            <v>129.66900000000001</v>
          </cell>
          <cell r="J200">
            <v>137.21600000000001</v>
          </cell>
          <cell r="K200">
            <v>43.2</v>
          </cell>
          <cell r="L200">
            <v>53.2</v>
          </cell>
          <cell r="M200">
            <v>58</v>
          </cell>
          <cell r="N200">
            <v>75.599999999999994</v>
          </cell>
          <cell r="O200">
            <v>78.900000000000006</v>
          </cell>
          <cell r="P200">
            <v>92.8</v>
          </cell>
          <cell r="Q200">
            <v>77.5</v>
          </cell>
          <cell r="R200">
            <v>74.284999999999997</v>
          </cell>
          <cell r="S200">
            <v>85.468500000000006</v>
          </cell>
          <cell r="T200">
            <v>82</v>
          </cell>
          <cell r="U200">
            <v>75.583333333333385</v>
          </cell>
          <cell r="V200">
            <v>75</v>
          </cell>
          <cell r="W200">
            <v>81.100999999999999</v>
          </cell>
          <cell r="X200">
            <v>84.843999999999994</v>
          </cell>
          <cell r="Y200">
            <v>105.18</v>
          </cell>
          <cell r="Z200">
            <v>61.12</v>
          </cell>
          <cell r="AA200">
            <v>75.588999999999999</v>
          </cell>
          <cell r="AB200">
            <v>81.265000000000001</v>
          </cell>
          <cell r="AC200">
            <v>39.51</v>
          </cell>
          <cell r="AD200">
            <v>53.192</v>
          </cell>
          <cell r="AE200">
            <v>48.116999999999997</v>
          </cell>
          <cell r="AF200">
            <v>98.40235072660947</v>
          </cell>
        </row>
      </sheetData>
      <sheetData sheetId="86">
        <row r="18">
          <cell r="B18">
            <v>101.230730685</v>
          </cell>
          <cell r="C18">
            <v>75.960471472200012</v>
          </cell>
          <cell r="D18">
            <v>114.30281637180002</v>
          </cell>
          <cell r="E18">
            <v>79.485882512399996</v>
          </cell>
          <cell r="F18">
            <v>81.098343043200003</v>
          </cell>
          <cell r="G18">
            <v>86.987329329600001</v>
          </cell>
          <cell r="H18">
            <v>41.731069375800004</v>
          </cell>
          <cell r="I18">
            <v>132.695095869</v>
          </cell>
          <cell r="J18">
            <v>88.911964335600018</v>
          </cell>
          <cell r="K18">
            <v>132.70766221439999</v>
          </cell>
          <cell r="L18">
            <v>61.580383552800008</v>
          </cell>
          <cell r="M18">
            <v>73.868946580800014</v>
          </cell>
          <cell r="N18">
            <v>79.242712705800002</v>
          </cell>
          <cell r="O18">
            <v>67.1104573776</v>
          </cell>
          <cell r="P18">
            <v>61.380203875200003</v>
          </cell>
          <cell r="Q18">
            <v>73.986012008999992</v>
          </cell>
          <cell r="R18">
            <v>88.389468921600013</v>
          </cell>
          <cell r="S18">
            <v>74.060748694799997</v>
          </cell>
          <cell r="T18">
            <v>111.02829131519999</v>
          </cell>
          <cell r="U18">
            <v>78.43449828060001</v>
          </cell>
          <cell r="V18">
            <v>115.8151870638</v>
          </cell>
          <cell r="W18">
            <v>162.07895927160001</v>
          </cell>
          <cell r="X18">
            <v>120.9581292654</v>
          </cell>
          <cell r="Y18">
            <v>74.662169576400004</v>
          </cell>
          <cell r="Z18">
            <v>64.91705753654</v>
          </cell>
          <cell r="AA18">
            <v>105.32275308148</v>
          </cell>
          <cell r="AB18">
            <v>121.50790908211999</v>
          </cell>
          <cell r="AC18">
            <v>97.723513921659986</v>
          </cell>
          <cell r="AD18">
            <v>58.508892991779994</v>
          </cell>
          <cell r="AE18">
            <v>96.407159570480005</v>
          </cell>
          <cell r="AF18">
            <v>86.189332478307179</v>
          </cell>
        </row>
        <row r="19">
          <cell r="B19">
            <v>105.8774124744</v>
          </cell>
          <cell r="C19">
            <v>50.213572983000006</v>
          </cell>
          <cell r="D19">
            <v>74.427156871199998</v>
          </cell>
          <cell r="E19">
            <v>72.2860279848</v>
          </cell>
          <cell r="F19">
            <v>76.749726148199997</v>
          </cell>
          <cell r="G19">
            <v>79.235657915399997</v>
          </cell>
          <cell r="H19">
            <v>93.01961604600001</v>
          </cell>
          <cell r="I19">
            <v>81.224447421600004</v>
          </cell>
          <cell r="J19">
            <v>103.1293511514</v>
          </cell>
          <cell r="K19">
            <v>58.037996923199998</v>
          </cell>
          <cell r="L19">
            <v>50.043155702400007</v>
          </cell>
          <cell r="M19">
            <v>103.63707559800001</v>
          </cell>
          <cell r="N19">
            <v>99.021038054399995</v>
          </cell>
          <cell r="O19">
            <v>63.478783557</v>
          </cell>
          <cell r="P19">
            <v>168.68003846400001</v>
          </cell>
          <cell r="Q19">
            <v>115.3422956448</v>
          </cell>
          <cell r="R19">
            <v>122.322349359</v>
          </cell>
          <cell r="S19">
            <v>103.36987541160001</v>
          </cell>
          <cell r="T19">
            <v>105.01628712120001</v>
          </cell>
          <cell r="U19">
            <v>91.403628119999993</v>
          </cell>
          <cell r="V19">
            <v>72.441674297999995</v>
          </cell>
          <cell r="W19">
            <v>76.638172275000002</v>
          </cell>
          <cell r="X19">
            <v>70.690763505600003</v>
          </cell>
          <cell r="Y19">
            <v>102.0803920038</v>
          </cell>
          <cell r="Z19">
            <v>96.003054929100003</v>
          </cell>
          <cell r="AA19">
            <v>64.036706473519999</v>
          </cell>
          <cell r="AB19">
            <v>77.382682290319991</v>
          </cell>
          <cell r="AC19">
            <v>37.12198239816</v>
          </cell>
          <cell r="AD19">
            <v>147.19907567133998</v>
          </cell>
          <cell r="AE19">
            <v>102.0364495062</v>
          </cell>
          <cell r="AF19">
            <v>81.141525559956747</v>
          </cell>
        </row>
        <row r="20">
          <cell r="B20">
            <v>68.105623748400006</v>
          </cell>
          <cell r="C20">
            <v>122.83183750320001</v>
          </cell>
          <cell r="D20">
            <v>43.1182175382</v>
          </cell>
          <cell r="E20">
            <v>139.1625749682</v>
          </cell>
          <cell r="F20">
            <v>243.84883017600001</v>
          </cell>
          <cell r="G20">
            <v>91.061250323400003</v>
          </cell>
          <cell r="H20">
            <v>56.325446553599996</v>
          </cell>
          <cell r="I20">
            <v>114.76336190760001</v>
          </cell>
          <cell r="J20">
            <v>73.945667426400007</v>
          </cell>
          <cell r="K20">
            <v>29.60807346</v>
          </cell>
          <cell r="L20">
            <v>51.812585319600004</v>
          </cell>
          <cell r="M20">
            <v>59.133694057200003</v>
          </cell>
          <cell r="N20">
            <v>88.503447878999992</v>
          </cell>
          <cell r="O20">
            <v>97.361619075000007</v>
          </cell>
          <cell r="P20">
            <v>91.256138908200001</v>
          </cell>
          <cell r="Q20">
            <v>48.588987031199999</v>
          </cell>
          <cell r="R20">
            <v>133.55533937339999</v>
          </cell>
          <cell r="S20">
            <v>99.792655754400002</v>
          </cell>
          <cell r="T20">
            <v>79.404091036200001</v>
          </cell>
          <cell r="U20">
            <v>86.582119806000009</v>
          </cell>
          <cell r="V20">
            <v>90.119215342800004</v>
          </cell>
          <cell r="W20">
            <v>94.396622947200001</v>
          </cell>
          <cell r="X20">
            <v>92.916219274200003</v>
          </cell>
          <cell r="Y20">
            <v>89.301521042999994</v>
          </cell>
          <cell r="Z20">
            <v>27.60923449086</v>
          </cell>
          <cell r="AA20">
            <v>92.690406144819988</v>
          </cell>
          <cell r="AB20">
            <v>98.845689752479998</v>
          </cell>
          <cell r="AC20">
            <v>91.581894548760005</v>
          </cell>
          <cell r="AD20">
            <v>73.023674557020001</v>
          </cell>
          <cell r="AE20">
            <v>81.005549768660003</v>
          </cell>
          <cell r="AF20">
            <v>73.831922222439943</v>
          </cell>
        </row>
        <row r="21">
          <cell r="B21">
            <v>170.2578864294</v>
          </cell>
          <cell r="C21">
            <v>73.718591360399998</v>
          </cell>
          <cell r="D21">
            <v>135.36489311100001</v>
          </cell>
          <cell r="E21">
            <v>108.12744968760001</v>
          </cell>
          <cell r="F21">
            <v>216.35631198720003</v>
          </cell>
          <cell r="G21">
            <v>89.375596342200012</v>
          </cell>
          <cell r="H21">
            <v>74.352199723200002</v>
          </cell>
          <cell r="I21">
            <v>83.273864032800006</v>
          </cell>
          <cell r="J21">
            <v>94.898615376600006</v>
          </cell>
          <cell r="K21">
            <v>104.8745299266</v>
          </cell>
          <cell r="L21">
            <v>51.265177676999997</v>
          </cell>
          <cell r="M21">
            <v>32.002733876400001</v>
          </cell>
          <cell r="N21">
            <v>88.364777155200002</v>
          </cell>
          <cell r="O21">
            <v>103.62715479900001</v>
          </cell>
          <cell r="P21">
            <v>104.12760399299999</v>
          </cell>
          <cell r="Q21">
            <v>95.372388644400019</v>
          </cell>
          <cell r="R21">
            <v>85.211947233000004</v>
          </cell>
          <cell r="S21">
            <v>63.813886100999994</v>
          </cell>
          <cell r="T21">
            <v>73.027001439000003</v>
          </cell>
          <cell r="U21">
            <v>129.3542116902</v>
          </cell>
          <cell r="V21">
            <v>112.87135530720001</v>
          </cell>
          <cell r="W21">
            <v>107.340840558</v>
          </cell>
          <cell r="X21">
            <v>83.197584111599994</v>
          </cell>
          <cell r="Y21">
            <v>95.795896530600004</v>
          </cell>
          <cell r="Z21">
            <v>153.83296243941999</v>
          </cell>
          <cell r="AA21">
            <v>69.613292763520008</v>
          </cell>
          <cell r="AB21">
            <v>113.20137712003999</v>
          </cell>
          <cell r="AC21">
            <v>94.84372463742001</v>
          </cell>
          <cell r="AD21">
            <v>125.40712347284</v>
          </cell>
          <cell r="AE21">
            <v>36.293607456259998</v>
          </cell>
          <cell r="AF21">
            <v>107.14472681982927</v>
          </cell>
        </row>
        <row r="22">
          <cell r="B22">
            <v>51.082194051000002</v>
          </cell>
          <cell r="C22">
            <v>151.95202811460001</v>
          </cell>
          <cell r="D22">
            <v>65.567662901999995</v>
          </cell>
          <cell r="E22">
            <v>81.447334705800003</v>
          </cell>
          <cell r="F22">
            <v>132.51563963819999</v>
          </cell>
          <cell r="G22">
            <v>37.513847952000006</v>
          </cell>
          <cell r="H22">
            <v>58.393381989600002</v>
          </cell>
          <cell r="I22">
            <v>161.71365340620002</v>
          </cell>
          <cell r="J22">
            <v>74.969714345400007</v>
          </cell>
          <cell r="K22">
            <v>67.346351931599997</v>
          </cell>
          <cell r="L22">
            <v>119.2892304114</v>
          </cell>
          <cell r="M22">
            <v>72.705126626999999</v>
          </cell>
          <cell r="N22">
            <v>94.00684577760002</v>
          </cell>
          <cell r="O22">
            <v>63.129350969999997</v>
          </cell>
          <cell r="P22">
            <v>62.192607082199999</v>
          </cell>
          <cell r="Q22">
            <v>96.21411332400001</v>
          </cell>
          <cell r="R22">
            <v>91.827797392799994</v>
          </cell>
          <cell r="S22">
            <v>131.20433047260002</v>
          </cell>
          <cell r="T22">
            <v>94.098117128400006</v>
          </cell>
          <cell r="U22">
            <v>65.352271332599997</v>
          </cell>
          <cell r="V22">
            <v>60.199628794199995</v>
          </cell>
          <cell r="W22">
            <v>74.385048591</v>
          </cell>
          <cell r="X22">
            <v>87.487117136999998</v>
          </cell>
          <cell r="Y22">
            <v>93.472445404799998</v>
          </cell>
          <cell r="Z22">
            <v>71.057076355319992</v>
          </cell>
          <cell r="AA22">
            <v>79.051187207959998</v>
          </cell>
          <cell r="AB22">
            <v>94.215981138619995</v>
          </cell>
          <cell r="AC22">
            <v>43.004113587820001</v>
          </cell>
          <cell r="AD22">
            <v>109.84270468864001</v>
          </cell>
          <cell r="AE22">
            <v>132.97009663366001</v>
          </cell>
          <cell r="AF22">
            <v>76.413900448160732</v>
          </cell>
        </row>
        <row r="23">
          <cell r="B23">
            <v>105.66268229160001</v>
          </cell>
          <cell r="C23">
            <v>63.399637627200001</v>
          </cell>
          <cell r="D23">
            <v>88.549744941</v>
          </cell>
          <cell r="E23">
            <v>150.32942632260003</v>
          </cell>
          <cell r="F23">
            <v>118.09983684239999</v>
          </cell>
          <cell r="G23">
            <v>62.0883284616</v>
          </cell>
          <cell r="H23">
            <v>102.76580898360001</v>
          </cell>
          <cell r="I23">
            <v>22.327750229400003</v>
          </cell>
          <cell r="J23">
            <v>133.44334457580001</v>
          </cell>
          <cell r="K23">
            <v>88.295552024399996</v>
          </cell>
          <cell r="L23">
            <v>61.145632094400007</v>
          </cell>
          <cell r="M23">
            <v>23.003687334599999</v>
          </cell>
          <cell r="N23">
            <v>97.016595731999999</v>
          </cell>
          <cell r="O23">
            <v>78.164432085600012</v>
          </cell>
          <cell r="P23">
            <v>105.04097888760001</v>
          </cell>
          <cell r="Q23">
            <v>17.895578160600003</v>
          </cell>
          <cell r="R23">
            <v>74.7309537828</v>
          </cell>
          <cell r="S23">
            <v>123.93414850320001</v>
          </cell>
          <cell r="T23">
            <v>98.223846739199999</v>
          </cell>
          <cell r="U23">
            <v>125.3940491916</v>
          </cell>
          <cell r="V23">
            <v>117.981448641</v>
          </cell>
          <cell r="W23">
            <v>92.978389614600005</v>
          </cell>
          <cell r="X23">
            <v>98.633465506799993</v>
          </cell>
          <cell r="Y23">
            <v>110.1634181046</v>
          </cell>
          <cell r="Z23">
            <v>107.10275886024</v>
          </cell>
          <cell r="AA23">
            <v>47.359044978740002</v>
          </cell>
          <cell r="AB23">
            <v>96.611677758639999</v>
          </cell>
          <cell r="AC23">
            <v>70.885841315299999</v>
          </cell>
          <cell r="AD23">
            <v>57.813211923060003</v>
          </cell>
          <cell r="AE23">
            <v>44.250433775459996</v>
          </cell>
          <cell r="AF23">
            <v>73.066503013295801</v>
          </cell>
        </row>
        <row r="24">
          <cell r="B24">
            <v>64.115037466199993</v>
          </cell>
          <cell r="C24">
            <v>55.101881343599999</v>
          </cell>
          <cell r="D24">
            <v>38.591246723399998</v>
          </cell>
          <cell r="E24">
            <v>67.52823324660001</v>
          </cell>
          <cell r="F24">
            <v>99.589389605999997</v>
          </cell>
          <cell r="G24">
            <v>28.142220292200005</v>
          </cell>
          <cell r="H24">
            <v>66.232576897199991</v>
          </cell>
          <cell r="I24">
            <v>86.945882436000005</v>
          </cell>
          <cell r="J24">
            <v>56.282235962400001</v>
          </cell>
          <cell r="K24">
            <v>58.713493104000001</v>
          </cell>
          <cell r="L24">
            <v>20.764893693599998</v>
          </cell>
          <cell r="M24">
            <v>61.552164391200002</v>
          </cell>
          <cell r="N24">
            <v>131.0960835324</v>
          </cell>
          <cell r="O24">
            <v>5.4476209620000002</v>
          </cell>
          <cell r="P24">
            <v>127.44015886980002</v>
          </cell>
          <cell r="Q24">
            <v>63.1518381144</v>
          </cell>
          <cell r="R24">
            <v>79.057083533400004</v>
          </cell>
          <cell r="S24">
            <v>67.596796990799987</v>
          </cell>
          <cell r="T24">
            <v>39.787474620600001</v>
          </cell>
          <cell r="U24">
            <v>130.1637488886</v>
          </cell>
          <cell r="V24">
            <v>104.8502790846</v>
          </cell>
          <cell r="W24">
            <v>106.10977963320001</v>
          </cell>
          <cell r="X24">
            <v>76.6498567716</v>
          </cell>
          <cell r="Y24">
            <v>87.614544288600001</v>
          </cell>
          <cell r="Z24">
            <v>69.191634937700002</v>
          </cell>
          <cell r="AA24">
            <v>102.77273085684</v>
          </cell>
          <cell r="AB24">
            <v>81.304884253779989</v>
          </cell>
          <cell r="AC24">
            <v>89.595783255439997</v>
          </cell>
          <cell r="AD24">
            <v>111.0462794991</v>
          </cell>
          <cell r="AE24">
            <v>95.378573987022406</v>
          </cell>
          <cell r="AF24">
            <v>87.330465640447557</v>
          </cell>
        </row>
        <row r="25">
          <cell r="B25">
            <v>65.875869057600013</v>
          </cell>
          <cell r="C25">
            <v>163.99852364699998</v>
          </cell>
          <cell r="D25">
            <v>111.44187840239999</v>
          </cell>
          <cell r="E25">
            <v>93.093470882999995</v>
          </cell>
          <cell r="F25">
            <v>64.14061108140001</v>
          </cell>
          <cell r="G25">
            <v>64.894591805400012</v>
          </cell>
          <cell r="H25">
            <v>94.739441668200001</v>
          </cell>
          <cell r="I25">
            <v>66.15144680760001</v>
          </cell>
          <cell r="J25">
            <v>80.893754121600011</v>
          </cell>
          <cell r="K25">
            <v>32.329899781199998</v>
          </cell>
          <cell r="L25">
            <v>61.791586340400002</v>
          </cell>
          <cell r="M25">
            <v>83.562669514800007</v>
          </cell>
          <cell r="N25">
            <v>83.328318196200001</v>
          </cell>
          <cell r="O25">
            <v>77.467551071399996</v>
          </cell>
          <cell r="P25">
            <v>71.101925508600004</v>
          </cell>
          <cell r="Q25">
            <v>73.922077971000007</v>
          </cell>
          <cell r="R25">
            <v>142.88243366879999</v>
          </cell>
          <cell r="S25">
            <v>106.77006392220001</v>
          </cell>
          <cell r="T25">
            <v>104.69573508240001</v>
          </cell>
          <cell r="U25">
            <v>114.93135410399999</v>
          </cell>
          <cell r="V25">
            <v>65.249535947400005</v>
          </cell>
          <cell r="W25">
            <v>84.891836118599997</v>
          </cell>
          <cell r="X25">
            <v>87.923191368600001</v>
          </cell>
          <cell r="Y25">
            <v>118.98366980220001</v>
          </cell>
          <cell r="Z25">
            <v>107.87276428302</v>
          </cell>
          <cell r="AA25">
            <v>99.848322268420006</v>
          </cell>
          <cell r="AB25">
            <v>80.471531279920001</v>
          </cell>
          <cell r="AC25">
            <v>75.185344150180001</v>
          </cell>
          <cell r="AD25">
            <v>73.078031667739992</v>
          </cell>
          <cell r="AE25">
            <v>106.87374495881969</v>
          </cell>
          <cell r="AF25">
            <v>83.972141874133257</v>
          </cell>
        </row>
        <row r="26">
          <cell r="B26">
            <v>46.687059631800004</v>
          </cell>
          <cell r="C26">
            <v>88.609710659399994</v>
          </cell>
          <cell r="D26">
            <v>87.717279673800007</v>
          </cell>
          <cell r="E26">
            <v>56.434575342599999</v>
          </cell>
          <cell r="F26">
            <v>89.938436338800003</v>
          </cell>
          <cell r="G26">
            <v>48.281662724400007</v>
          </cell>
          <cell r="H26">
            <v>98.558287896600007</v>
          </cell>
          <cell r="I26">
            <v>117.68228143560002</v>
          </cell>
          <cell r="J26">
            <v>161.24825770199999</v>
          </cell>
          <cell r="K26">
            <v>65.861539014599998</v>
          </cell>
          <cell r="L26">
            <v>49.925869812000002</v>
          </cell>
          <cell r="M26">
            <v>183.56057557740002</v>
          </cell>
          <cell r="N26">
            <v>84.159460690199992</v>
          </cell>
          <cell r="O26">
            <v>98.276978129399993</v>
          </cell>
          <cell r="P26">
            <v>96.873515764199993</v>
          </cell>
          <cell r="Q26">
            <v>52.367268214799999</v>
          </cell>
          <cell r="R26">
            <v>144.29427359760001</v>
          </cell>
          <cell r="S26">
            <v>93.718481220000001</v>
          </cell>
          <cell r="T26">
            <v>89.61832522440001</v>
          </cell>
          <cell r="U26">
            <v>89.988260796000006</v>
          </cell>
          <cell r="V26">
            <v>119.98765466099999</v>
          </cell>
          <cell r="W26">
            <v>132.6384370836</v>
          </cell>
          <cell r="X26">
            <v>77.283465134400004</v>
          </cell>
          <cell r="Y26">
            <v>53.604722543400001</v>
          </cell>
          <cell r="Z26">
            <v>70.999240354240001</v>
          </cell>
          <cell r="AA26">
            <v>88.797902617379989</v>
          </cell>
          <cell r="AB26">
            <v>64.880575484779996</v>
          </cell>
          <cell r="AC26">
            <v>92.75148514192</v>
          </cell>
          <cell r="AD26">
            <v>83.112569036639997</v>
          </cell>
          <cell r="AE26">
            <v>82.207585721324378</v>
          </cell>
          <cell r="AF26">
            <v>77.062409607432301</v>
          </cell>
        </row>
        <row r="27">
          <cell r="B27">
            <v>64.865049870600004</v>
          </cell>
          <cell r="C27">
            <v>78.619906990800004</v>
          </cell>
          <cell r="D27">
            <v>17.929529339399998</v>
          </cell>
          <cell r="E27">
            <v>104.60600696700001</v>
          </cell>
          <cell r="F27">
            <v>95.016562653600005</v>
          </cell>
          <cell r="G27">
            <v>59.487315426000002</v>
          </cell>
          <cell r="H27">
            <v>72.424037322000004</v>
          </cell>
          <cell r="I27">
            <v>97.578112955399988</v>
          </cell>
          <cell r="J27">
            <v>107.7341451228</v>
          </cell>
          <cell r="K27">
            <v>88.327078118999992</v>
          </cell>
          <cell r="L27">
            <v>106.2779922918</v>
          </cell>
          <cell r="M27">
            <v>64.875411593999999</v>
          </cell>
          <cell r="N27">
            <v>64.904733066600002</v>
          </cell>
          <cell r="O27">
            <v>61.601547924000009</v>
          </cell>
          <cell r="P27">
            <v>93.212740933199996</v>
          </cell>
          <cell r="Q27">
            <v>102.9243213054</v>
          </cell>
          <cell r="R27">
            <v>138.2891037318</v>
          </cell>
          <cell r="S27">
            <v>110.1202075134</v>
          </cell>
          <cell r="T27">
            <v>137.95223749019999</v>
          </cell>
          <cell r="U27">
            <v>115.7968887012</v>
          </cell>
          <cell r="V27">
            <v>125.8049907324</v>
          </cell>
          <cell r="W27">
            <v>94.809989572199996</v>
          </cell>
          <cell r="X27">
            <v>147.76412816339999</v>
          </cell>
          <cell r="Y27">
            <v>55.035742683599999</v>
          </cell>
          <cell r="Z27">
            <v>82.986667597679997</v>
          </cell>
          <cell r="AA27">
            <v>100.7136334138</v>
          </cell>
          <cell r="AB27">
            <v>102.64883341746</v>
          </cell>
          <cell r="AC27">
            <v>106.57594506965999</v>
          </cell>
          <cell r="AD27">
            <v>117.00857508120001</v>
          </cell>
          <cell r="AE27">
            <v>99.251780213953268</v>
          </cell>
          <cell r="AF27">
            <v>98.108908599795726</v>
          </cell>
        </row>
        <row r="28">
          <cell r="B28">
            <v>91.140175791000004</v>
          </cell>
          <cell r="C28">
            <v>83.469193542000014</v>
          </cell>
          <cell r="D28">
            <v>73.552803785999998</v>
          </cell>
          <cell r="E28">
            <v>114.02922278160001</v>
          </cell>
          <cell r="F28">
            <v>55.019208018600004</v>
          </cell>
          <cell r="G28">
            <v>50.654717845200004</v>
          </cell>
          <cell r="H28">
            <v>91.187575164000009</v>
          </cell>
          <cell r="I28">
            <v>51.996891718800008</v>
          </cell>
          <cell r="J28">
            <v>52.920628336800007</v>
          </cell>
          <cell r="K28">
            <v>47.176706178000003</v>
          </cell>
          <cell r="L28">
            <v>109.9462628376</v>
          </cell>
          <cell r="M28">
            <v>98.5027314222</v>
          </cell>
          <cell r="N28">
            <v>103.58857391400001</v>
          </cell>
          <cell r="O28">
            <v>115.1255813022</v>
          </cell>
          <cell r="P28">
            <v>103.4721698724</v>
          </cell>
          <cell r="Q28">
            <v>101.1850950096</v>
          </cell>
          <cell r="R28">
            <v>155.1522574098</v>
          </cell>
          <cell r="S28">
            <v>65.792313883800006</v>
          </cell>
          <cell r="T28">
            <v>97.426875886199994</v>
          </cell>
          <cell r="U28">
            <v>108.02758031099999</v>
          </cell>
          <cell r="V28">
            <v>111.319080957</v>
          </cell>
          <cell r="W28">
            <v>117.489817935</v>
          </cell>
          <cell r="X28">
            <v>105.32052495720001</v>
          </cell>
          <cell r="Y28">
            <v>85.725376634260002</v>
          </cell>
          <cell r="Z28">
            <v>76.549280814819994</v>
          </cell>
          <cell r="AA28">
            <v>82.812555528559997</v>
          </cell>
          <cell r="AB28">
            <v>74.990806276760011</v>
          </cell>
          <cell r="AC28">
            <v>75.638278919940007</v>
          </cell>
          <cell r="AD28">
            <v>56.038133469999998</v>
          </cell>
          <cell r="AE28">
            <v>87.676299150786363</v>
          </cell>
          <cell r="AF28">
            <v>70.42232019858541</v>
          </cell>
        </row>
        <row r="29">
          <cell r="B29">
            <v>64.27288840140001</v>
          </cell>
          <cell r="C29">
            <v>92.084194931399992</v>
          </cell>
          <cell r="D29">
            <v>23.322696137999998</v>
          </cell>
          <cell r="E29">
            <v>121.6530261198</v>
          </cell>
          <cell r="F29">
            <v>166.28978729160002</v>
          </cell>
          <cell r="G29">
            <v>49.498173143999999</v>
          </cell>
          <cell r="H29">
            <v>65.296714858200005</v>
          </cell>
          <cell r="I29">
            <v>98.560712980800005</v>
          </cell>
          <cell r="J29">
            <v>64.471745305799999</v>
          </cell>
          <cell r="K29">
            <v>88.945033665600008</v>
          </cell>
          <cell r="L29">
            <v>52.485876878400006</v>
          </cell>
          <cell r="M29">
            <v>74.712655420199994</v>
          </cell>
          <cell r="N29">
            <v>97.728468175800003</v>
          </cell>
          <cell r="O29">
            <v>84.074803205399988</v>
          </cell>
          <cell r="P29">
            <v>97.713697208400006</v>
          </cell>
          <cell r="Q29">
            <v>117.22614514380001</v>
          </cell>
          <cell r="R29">
            <v>78.682738717800007</v>
          </cell>
          <cell r="S29">
            <v>36.8310765186</v>
          </cell>
          <cell r="T29">
            <v>131.23872257580001</v>
          </cell>
          <cell r="U29">
            <v>78.333526593000002</v>
          </cell>
          <cell r="V29">
            <v>72.0518971284</v>
          </cell>
          <cell r="W29">
            <v>115.879341564</v>
          </cell>
          <cell r="X29">
            <v>109.07014605480001</v>
          </cell>
          <cell r="Y29">
            <v>69.795802230219991</v>
          </cell>
          <cell r="Z29">
            <v>55.322090530959997</v>
          </cell>
          <cell r="AA29">
            <v>63.0420458635</v>
          </cell>
          <cell r="AB29">
            <v>53.920005121839999</v>
          </cell>
          <cell r="AC29">
            <v>104.35363078953999</v>
          </cell>
          <cell r="AD29">
            <v>166.80228333846</v>
          </cell>
          <cell r="AE29">
            <v>155.64871925737407</v>
          </cell>
          <cell r="AF29">
            <v>85.315843537615933</v>
          </cell>
        </row>
        <row r="34">
          <cell r="B34">
            <v>0.32121342540000003</v>
          </cell>
          <cell r="C34">
            <v>0.96165611639999993</v>
          </cell>
          <cell r="D34">
            <v>0.60847567200000008</v>
          </cell>
          <cell r="E34">
            <v>0.93299603040000001</v>
          </cell>
          <cell r="F34">
            <v>0.4742141922</v>
          </cell>
          <cell r="G34">
            <v>0.38867485860000006</v>
          </cell>
          <cell r="H34">
            <v>0.34568472960000002</v>
          </cell>
          <cell r="I34">
            <v>0.18562917240000001</v>
          </cell>
          <cell r="J34">
            <v>0.83114249400000006</v>
          </cell>
          <cell r="K34">
            <v>1.4003758944000002</v>
          </cell>
          <cell r="L34">
            <v>0.65256811200000009</v>
          </cell>
          <cell r="M34">
            <v>1.0941538986000001</v>
          </cell>
          <cell r="N34">
            <v>1.1973302081999999</v>
          </cell>
          <cell r="O34">
            <v>0.22443051959999999</v>
          </cell>
          <cell r="P34">
            <v>0.91227258360000008</v>
          </cell>
          <cell r="Q34">
            <v>0.76235828760000002</v>
          </cell>
          <cell r="R34">
            <v>1.4314610646000001</v>
          </cell>
          <cell r="S34">
            <v>3.1091784065999999</v>
          </cell>
          <cell r="T34">
            <v>2.6581127454000004</v>
          </cell>
          <cell r="U34">
            <v>1.7520131034000002</v>
          </cell>
          <cell r="V34">
            <v>2.5542750492000001</v>
          </cell>
          <cell r="W34">
            <v>2.8113339744000001</v>
          </cell>
          <cell r="X34">
            <v>5.0862834161999997</v>
          </cell>
          <cell r="Y34">
            <v>5.5186097904000002</v>
          </cell>
          <cell r="Z34">
            <v>4.0036318077799997</v>
          </cell>
          <cell r="AA34">
            <v>3.5350971469000001</v>
          </cell>
          <cell r="AB34">
            <v>3.32740430594</v>
          </cell>
          <cell r="AC34">
            <v>4.515723146</v>
          </cell>
          <cell r="AD34">
            <v>6.0357777713200003</v>
          </cell>
          <cell r="AE34">
            <v>4.64408494088</v>
          </cell>
          <cell r="AF34">
            <v>3.5863175061406705</v>
          </cell>
        </row>
        <row r="35">
          <cell r="B35">
            <v>1.523393802</v>
          </cell>
          <cell r="C35">
            <v>0.87567585840000006</v>
          </cell>
          <cell r="D35">
            <v>1.6847721324000002</v>
          </cell>
          <cell r="E35">
            <v>0.53616407040000003</v>
          </cell>
          <cell r="F35">
            <v>0.64220638860000012</v>
          </cell>
          <cell r="G35">
            <v>1.1583083988</v>
          </cell>
          <cell r="H35">
            <v>1.0017802367999999</v>
          </cell>
          <cell r="I35">
            <v>0.50485843800000008</v>
          </cell>
          <cell r="J35">
            <v>1.1997552924000001</v>
          </cell>
          <cell r="K35">
            <v>0.26940480840000003</v>
          </cell>
          <cell r="L35">
            <v>0.44886103919999998</v>
          </cell>
          <cell r="M35">
            <v>0.4016821284</v>
          </cell>
          <cell r="N35">
            <v>0.93696435000000011</v>
          </cell>
          <cell r="O35">
            <v>0.51632247240000007</v>
          </cell>
          <cell r="P35">
            <v>0.20988001440000001</v>
          </cell>
          <cell r="Q35">
            <v>0.76676753160000011</v>
          </cell>
          <cell r="R35">
            <v>1.6658123832</v>
          </cell>
          <cell r="S35">
            <v>3.8322944226</v>
          </cell>
          <cell r="T35">
            <v>1.1175228918</v>
          </cell>
          <cell r="U35">
            <v>2.5183397106000003</v>
          </cell>
          <cell r="V35">
            <v>2.1589863245999998</v>
          </cell>
          <cell r="W35">
            <v>4.9850912663999996</v>
          </cell>
          <cell r="X35">
            <v>8.0223989957999997</v>
          </cell>
          <cell r="Y35">
            <v>5.3380512485999994</v>
          </cell>
          <cell r="Z35">
            <v>3.9718522104799998</v>
          </cell>
          <cell r="AA35">
            <v>3.6609280380199998</v>
          </cell>
          <cell r="AB35">
            <v>3.5096051258399998</v>
          </cell>
          <cell r="AC35">
            <v>3.4669060456799996</v>
          </cell>
          <cell r="AD35">
            <v>5.0300940612999998</v>
          </cell>
          <cell r="AE35">
            <v>3.9916474934599999</v>
          </cell>
          <cell r="AF35">
            <v>3.2885551866437401</v>
          </cell>
        </row>
        <row r="36">
          <cell r="B36">
            <v>0.54013239000000002</v>
          </cell>
          <cell r="C36">
            <v>0.53373898620000004</v>
          </cell>
          <cell r="D36">
            <v>2.1750800652000004</v>
          </cell>
          <cell r="E36">
            <v>6.3934037999999999E-2</v>
          </cell>
          <cell r="F36">
            <v>0.15498492659999999</v>
          </cell>
          <cell r="G36">
            <v>2.5688255544000005</v>
          </cell>
          <cell r="H36">
            <v>1.2374543286000002</v>
          </cell>
          <cell r="I36">
            <v>0.23677640280000004</v>
          </cell>
          <cell r="J36">
            <v>0.2574998496</v>
          </cell>
          <cell r="K36">
            <v>0.64176546420000014</v>
          </cell>
          <cell r="L36">
            <v>0.746264547</v>
          </cell>
          <cell r="M36">
            <v>0.50574028680000005</v>
          </cell>
          <cell r="N36">
            <v>4.4271014382000002</v>
          </cell>
          <cell r="O36">
            <v>0.45459305639999997</v>
          </cell>
          <cell r="P36">
            <v>0.61773508440000002</v>
          </cell>
          <cell r="Q36">
            <v>0.62280571500000004</v>
          </cell>
          <cell r="R36">
            <v>1.0661551992</v>
          </cell>
          <cell r="S36">
            <v>1.0826898642</v>
          </cell>
          <cell r="T36">
            <v>1.4380749306</v>
          </cell>
          <cell r="U36">
            <v>2.1276806922000002</v>
          </cell>
          <cell r="V36">
            <v>2.1931579655999998</v>
          </cell>
          <cell r="W36">
            <v>2.8009722510000001</v>
          </cell>
          <cell r="X36">
            <v>5.9943672180000007</v>
          </cell>
          <cell r="Y36">
            <v>3.0538423944000002</v>
          </cell>
          <cell r="Z36">
            <v>3.5269665083400001</v>
          </cell>
          <cell r="AA36">
            <v>3.3153736945999999</v>
          </cell>
          <cell r="AB36">
            <v>2.8853184712000002</v>
          </cell>
          <cell r="AC36">
            <v>2.6015089201199997</v>
          </cell>
          <cell r="AD36">
            <v>4.0630683629800002</v>
          </cell>
          <cell r="AE36">
            <v>3.8047596514400004</v>
          </cell>
          <cell r="AF36">
            <v>2.7448299046394831</v>
          </cell>
        </row>
        <row r="37">
          <cell r="B37">
            <v>0.8703847656</v>
          </cell>
          <cell r="C37">
            <v>0.37081742039999999</v>
          </cell>
          <cell r="D37">
            <v>1.478199051</v>
          </cell>
          <cell r="E37">
            <v>1.4087534580000001</v>
          </cell>
          <cell r="F37">
            <v>0.40631183460000003</v>
          </cell>
          <cell r="G37">
            <v>0.23545362959999999</v>
          </cell>
          <cell r="H37">
            <v>0.90786333959999999</v>
          </cell>
          <cell r="I37">
            <v>0.31063123980000001</v>
          </cell>
          <cell r="J37">
            <v>0.44842011480000005</v>
          </cell>
          <cell r="K37">
            <v>0.53197528859999998</v>
          </cell>
          <cell r="L37">
            <v>0.49758318540000002</v>
          </cell>
          <cell r="M37">
            <v>0.63934037999999993</v>
          </cell>
          <cell r="N37">
            <v>0.82915833420000018</v>
          </cell>
          <cell r="O37">
            <v>0.50948814419999999</v>
          </cell>
          <cell r="P37">
            <v>0.75442164840000003</v>
          </cell>
          <cell r="Q37">
            <v>0.91866598739999994</v>
          </cell>
          <cell r="R37">
            <v>0.99869376599999993</v>
          </cell>
          <cell r="S37">
            <v>1.235690631</v>
          </cell>
          <cell r="T37">
            <v>1.5189845580000001</v>
          </cell>
          <cell r="U37">
            <v>2.1122483382000001</v>
          </cell>
          <cell r="V37">
            <v>1.1505922218</v>
          </cell>
          <cell r="W37">
            <v>2.6109338345999999</v>
          </cell>
          <cell r="X37">
            <v>1.4226425765999999</v>
          </cell>
          <cell r="Y37">
            <v>6.5658052403999996</v>
          </cell>
          <cell r="Z37">
            <v>3.9084671808600002</v>
          </cell>
          <cell r="AA37">
            <v>3.5906094785000002</v>
          </cell>
          <cell r="AB37">
            <v>3.4892564832399997</v>
          </cell>
          <cell r="AC37">
            <v>3.3822640700200002</v>
          </cell>
          <cell r="AD37">
            <v>4.9516580909399996</v>
          </cell>
          <cell r="AE37">
            <v>4.0287424295800003</v>
          </cell>
          <cell r="AF37">
            <v>3.235452705819895</v>
          </cell>
        </row>
        <row r="38">
          <cell r="B38">
            <v>1.3080022325999998</v>
          </cell>
          <cell r="C38">
            <v>0.67924403820000012</v>
          </cell>
          <cell r="D38">
            <v>1.5948235548</v>
          </cell>
          <cell r="E38">
            <v>0.25353153</v>
          </cell>
          <cell r="F38">
            <v>0.36530586540000004</v>
          </cell>
          <cell r="G38">
            <v>0.28571901119999998</v>
          </cell>
          <cell r="H38">
            <v>1.0344086423999999</v>
          </cell>
          <cell r="I38">
            <v>0.67351202099999996</v>
          </cell>
          <cell r="J38">
            <v>0.27734144759999996</v>
          </cell>
          <cell r="K38">
            <v>0.55534428180000006</v>
          </cell>
          <cell r="L38">
            <v>0.57915419940000001</v>
          </cell>
          <cell r="M38">
            <v>4.1080926348000002</v>
          </cell>
          <cell r="N38">
            <v>0.43320822300000006</v>
          </cell>
          <cell r="O38">
            <v>0.49603995000000001</v>
          </cell>
          <cell r="P38">
            <v>0.69842424960000005</v>
          </cell>
          <cell r="Q38">
            <v>1.0771783091999996</v>
          </cell>
          <cell r="R38">
            <v>0.61045983179999996</v>
          </cell>
          <cell r="S38">
            <v>2.2526827595999999</v>
          </cell>
          <cell r="T38">
            <v>1.7326124298000001</v>
          </cell>
          <cell r="U38">
            <v>2.0827064034</v>
          </cell>
          <cell r="V38">
            <v>1.351433286</v>
          </cell>
          <cell r="W38">
            <v>4.3598604671999999</v>
          </cell>
          <cell r="X38">
            <v>2.8717406172</v>
          </cell>
          <cell r="Y38">
            <v>4.4242354296000004</v>
          </cell>
          <cell r="Z38">
            <v>3.8248261026799999</v>
          </cell>
          <cell r="AA38">
            <v>3.3930446618199999</v>
          </cell>
          <cell r="AB38">
            <v>3.4184242472599999</v>
          </cell>
          <cell r="AC38">
            <v>3.5215431431400002</v>
          </cell>
          <cell r="AD38">
            <v>4.8572518533000002</v>
          </cell>
          <cell r="AE38">
            <v>3.75020853416</v>
          </cell>
          <cell r="AF38">
            <v>3.1840188141549106</v>
          </cell>
        </row>
        <row r="39">
          <cell r="B39">
            <v>1.0275743142000002</v>
          </cell>
          <cell r="C39">
            <v>2.0187723654000003</v>
          </cell>
          <cell r="D39">
            <v>0.37897452180000007</v>
          </cell>
          <cell r="E39">
            <v>1.2912471054000003</v>
          </cell>
          <cell r="F39">
            <v>0.19444766040000003</v>
          </cell>
          <cell r="G39">
            <v>0.18011761740000001</v>
          </cell>
          <cell r="H39">
            <v>2.8657881378000001</v>
          </cell>
          <cell r="I39">
            <v>0.38580884999999998</v>
          </cell>
          <cell r="J39">
            <v>0.42196465080000001</v>
          </cell>
          <cell r="K39">
            <v>0.65763874259999999</v>
          </cell>
          <cell r="L39">
            <v>0.71804538539999996</v>
          </cell>
          <cell r="M39">
            <v>0.54145516319999998</v>
          </cell>
          <cell r="N39">
            <v>0.8853761952000001</v>
          </cell>
          <cell r="O39">
            <v>0.6111212184</v>
          </cell>
          <cell r="P39">
            <v>0.38426561460000003</v>
          </cell>
          <cell r="Q39">
            <v>0.77624740619999988</v>
          </cell>
          <cell r="R39">
            <v>0.45988414920000004</v>
          </cell>
          <cell r="S39">
            <v>3.487712004</v>
          </cell>
          <cell r="T39">
            <v>2.2072675463999998</v>
          </cell>
          <cell r="U39">
            <v>2.0103948018</v>
          </cell>
          <cell r="V39">
            <v>3.1552550064</v>
          </cell>
          <cell r="W39">
            <v>8.9503243956000009</v>
          </cell>
          <cell r="X39">
            <v>5.7511974114000006</v>
          </cell>
          <cell r="Y39">
            <v>5.0655599694000006</v>
          </cell>
          <cell r="Z39">
            <v>4.4963555593000004</v>
          </cell>
          <cell r="AA39">
            <v>3.29992371764</v>
          </cell>
          <cell r="AB39">
            <v>4.41243890362</v>
          </cell>
          <cell r="AC39">
            <v>4.6513227083399995</v>
          </cell>
          <cell r="AD39">
            <v>4.5844609929799995</v>
          </cell>
          <cell r="AE39">
            <v>4.4936041935399995</v>
          </cell>
          <cell r="AF39">
            <v>3.5908164212024034</v>
          </cell>
        </row>
        <row r="40">
          <cell r="B40">
            <v>0.74383946280000002</v>
          </cell>
          <cell r="C40">
            <v>4.7454488550000002</v>
          </cell>
          <cell r="D40">
            <v>0.346125654</v>
          </cell>
          <cell r="E40">
            <v>1.5383852316</v>
          </cell>
          <cell r="F40">
            <v>1.7617134402000001</v>
          </cell>
          <cell r="G40">
            <v>0.14197765680000002</v>
          </cell>
          <cell r="H40">
            <v>2.3549772203999999</v>
          </cell>
          <cell r="I40">
            <v>0.17151959160000002</v>
          </cell>
          <cell r="J40">
            <v>0.51389738819999997</v>
          </cell>
          <cell r="K40">
            <v>0.89419468320000006</v>
          </cell>
          <cell r="L40">
            <v>0.71253383040000007</v>
          </cell>
          <cell r="M40">
            <v>0.78264080999999996</v>
          </cell>
          <cell r="N40">
            <v>0.31261539960000007</v>
          </cell>
          <cell r="O40">
            <v>0.35450321760000003</v>
          </cell>
          <cell r="P40">
            <v>0.98127725220000017</v>
          </cell>
          <cell r="Q40">
            <v>1.1311915482000001</v>
          </cell>
          <cell r="R40">
            <v>0.93387787920000009</v>
          </cell>
          <cell r="S40">
            <v>2.2079289330000003</v>
          </cell>
          <cell r="T40">
            <v>1.7610520535999998</v>
          </cell>
          <cell r="U40">
            <v>2.5392836195999999</v>
          </cell>
          <cell r="V40">
            <v>2.8287504881999999</v>
          </cell>
          <cell r="W40">
            <v>5.6680831620000003</v>
          </cell>
          <cell r="X40">
            <v>2.8516785570000001</v>
          </cell>
          <cell r="Y40">
            <v>1.9409492088</v>
          </cell>
          <cell r="Z40">
            <v>3.5303968970599997</v>
          </cell>
          <cell r="AA40">
            <v>3.8665661731399998</v>
          </cell>
          <cell r="AB40">
            <v>3.76452974568</v>
          </cell>
          <cell r="AC40">
            <v>6.07773609916</v>
          </cell>
          <cell r="AD40">
            <v>4.3827889692399999</v>
          </cell>
          <cell r="AE40">
            <v>4.3606613776642273</v>
          </cell>
          <cell r="AF40">
            <v>3.6205409342713097</v>
          </cell>
        </row>
        <row r="41">
          <cell r="B41">
            <v>1.4111785422000001</v>
          </cell>
          <cell r="C41">
            <v>2.4288320574000002</v>
          </cell>
          <cell r="D41">
            <v>0.38250191699999997</v>
          </cell>
          <cell r="E41">
            <v>0.26433417780000001</v>
          </cell>
          <cell r="F41">
            <v>0.49846503419999999</v>
          </cell>
          <cell r="G41">
            <v>0.64330869960000003</v>
          </cell>
          <cell r="H41">
            <v>1.1435374314</v>
          </cell>
          <cell r="I41">
            <v>0.6402222287999999</v>
          </cell>
          <cell r="J41">
            <v>0.41953956660000008</v>
          </cell>
          <cell r="K41">
            <v>0.7037153424</v>
          </cell>
          <cell r="L41">
            <v>0.89265144780000005</v>
          </cell>
          <cell r="M41">
            <v>0.82519001460000008</v>
          </cell>
          <cell r="N41">
            <v>0.50728352219999995</v>
          </cell>
          <cell r="O41">
            <v>0.62170340400000002</v>
          </cell>
          <cell r="P41">
            <v>0.56791062720000007</v>
          </cell>
          <cell r="Q41">
            <v>0.85825934460000008</v>
          </cell>
          <cell r="R41">
            <v>1.7398876823999998</v>
          </cell>
          <cell r="S41">
            <v>1.415367324</v>
          </cell>
          <cell r="T41">
            <v>1.5666043932</v>
          </cell>
          <cell r="U41">
            <v>2.1702298968</v>
          </cell>
          <cell r="V41">
            <v>3.936352581</v>
          </cell>
          <cell r="W41">
            <v>9.286529250600001</v>
          </cell>
          <cell r="X41">
            <v>4.2390471816000002</v>
          </cell>
          <cell r="Y41">
            <v>2.1638364929999998</v>
          </cell>
          <cell r="Z41">
            <v>4.5001585287999992</v>
          </cell>
          <cell r="AA41">
            <v>3.8539844068000004</v>
          </cell>
          <cell r="AB41">
            <v>2.9868213806199999</v>
          </cell>
          <cell r="AC41">
            <v>5.9316623872000003</v>
          </cell>
          <cell r="AD41">
            <v>4.6028673653599999</v>
          </cell>
          <cell r="AE41">
            <v>4.4189284287028414</v>
          </cell>
          <cell r="AF41">
            <v>3.6629847481075926</v>
          </cell>
        </row>
        <row r="42">
          <cell r="B42">
            <v>0.60516873900000012</v>
          </cell>
          <cell r="C42">
            <v>0.5926023936</v>
          </cell>
          <cell r="D42">
            <v>0.24008333580000002</v>
          </cell>
          <cell r="E42">
            <v>1.4034623652</v>
          </cell>
          <cell r="F42">
            <v>0.2740345146</v>
          </cell>
          <cell r="G42">
            <v>2.5628730750000002</v>
          </cell>
          <cell r="H42">
            <v>1.4839310682</v>
          </cell>
          <cell r="I42">
            <v>2.0798403948000002</v>
          </cell>
          <cell r="J42">
            <v>1.0591004088</v>
          </cell>
          <cell r="K42">
            <v>0.57672911520000003</v>
          </cell>
          <cell r="L42">
            <v>0.79101837360000005</v>
          </cell>
          <cell r="M42">
            <v>0.88581711960000009</v>
          </cell>
          <cell r="N42">
            <v>0.86906199240000004</v>
          </cell>
          <cell r="O42">
            <v>0.81967845960000008</v>
          </cell>
          <cell r="P42">
            <v>0.65697735599999996</v>
          </cell>
          <cell r="Q42">
            <v>0.68960576159999998</v>
          </cell>
          <cell r="R42">
            <v>1.6078308245999999</v>
          </cell>
          <cell r="S42">
            <v>1.7330533542</v>
          </cell>
          <cell r="T42">
            <v>2.3395448664000003</v>
          </cell>
          <cell r="U42">
            <v>1.8393161346</v>
          </cell>
          <cell r="V42">
            <v>5.1255256877999997</v>
          </cell>
          <cell r="W42">
            <v>5.0677645914000005</v>
          </cell>
          <cell r="X42">
            <v>4.2954855048000002</v>
          </cell>
          <cell r="Y42">
            <v>1.9627749666000001</v>
          </cell>
          <cell r="Z42">
            <v>3.7153204226600001</v>
          </cell>
          <cell r="AA42">
            <v>4.2294752852000004</v>
          </cell>
          <cell r="AB42">
            <v>3.2242302945599999</v>
          </cell>
          <cell r="AC42">
            <v>5.5059414467200005</v>
          </cell>
          <cell r="AD42">
            <v>4.2118427344399993</v>
          </cell>
          <cell r="AE42">
            <v>4.2373372652964933</v>
          </cell>
          <cell r="AF42">
            <v>3.4974326476247115</v>
          </cell>
        </row>
        <row r="43">
          <cell r="B43">
            <v>1.6730876358</v>
          </cell>
          <cell r="C43">
            <v>0.28858501980000001</v>
          </cell>
          <cell r="D43">
            <v>0.59083869600000005</v>
          </cell>
          <cell r="E43">
            <v>1.5324327522000001</v>
          </cell>
          <cell r="F43">
            <v>0.34766888940000001</v>
          </cell>
          <cell r="G43">
            <v>0.12125421</v>
          </cell>
          <cell r="H43">
            <v>0.71165198159999998</v>
          </cell>
          <cell r="I43">
            <v>1.6896223008</v>
          </cell>
          <cell r="J43">
            <v>0.78352265879999994</v>
          </cell>
          <cell r="K43">
            <v>0.56129676119999994</v>
          </cell>
          <cell r="L43">
            <v>1.9506495455999999</v>
          </cell>
          <cell r="M43">
            <v>0.82717417439999996</v>
          </cell>
          <cell r="N43">
            <v>0.48126898260000001</v>
          </cell>
          <cell r="O43">
            <v>2.5979265648000007</v>
          </cell>
          <cell r="P43">
            <v>0.78352265879999994</v>
          </cell>
          <cell r="Q43">
            <v>0.87413262299999972</v>
          </cell>
          <cell r="R43">
            <v>0.57893373719999996</v>
          </cell>
          <cell r="S43">
            <v>1.9579247981999999</v>
          </cell>
          <cell r="T43">
            <v>3.4526585141999999</v>
          </cell>
          <cell r="U43">
            <v>1.3132933253999999</v>
          </cell>
          <cell r="V43">
            <v>4.0020503166000001</v>
          </cell>
          <cell r="W43">
            <v>4.1420438136</v>
          </cell>
          <cell r="X43">
            <v>6.0157520513999998</v>
          </cell>
          <cell r="Y43">
            <v>1.8902429027999998</v>
          </cell>
          <cell r="Z43">
            <v>4.1974024734400004</v>
          </cell>
          <cell r="AA43">
            <v>3.6899650880400001</v>
          </cell>
          <cell r="AB43">
            <v>3.2540014830400001</v>
          </cell>
          <cell r="AC43">
            <v>3.96188732808</v>
          </cell>
          <cell r="AD43">
            <v>4.8974244389399999</v>
          </cell>
          <cell r="AE43">
            <v>3.8635144826676893</v>
          </cell>
          <cell r="AF43">
            <v>3.3490529875161377</v>
          </cell>
        </row>
        <row r="44">
          <cell r="B44">
            <v>8.1762816114000003</v>
          </cell>
          <cell r="C44">
            <v>3.2438808108000003</v>
          </cell>
          <cell r="D44">
            <v>0.92461846679999993</v>
          </cell>
          <cell r="E44">
            <v>0.82430816579999999</v>
          </cell>
          <cell r="F44">
            <v>0.32650451819999998</v>
          </cell>
          <cell r="G44">
            <v>2.3871647016000002</v>
          </cell>
          <cell r="H44">
            <v>0.72355694040000007</v>
          </cell>
          <cell r="I44">
            <v>0.48104852039999996</v>
          </cell>
          <cell r="J44">
            <v>0.59150008260000009</v>
          </cell>
          <cell r="K44">
            <v>0.74031206760000012</v>
          </cell>
          <cell r="L44">
            <v>2.6991187146000004</v>
          </cell>
          <cell r="M44">
            <v>3.228668919</v>
          </cell>
          <cell r="N44">
            <v>3.2709976614</v>
          </cell>
          <cell r="O44">
            <v>0.79167976020000008</v>
          </cell>
          <cell r="P44">
            <v>1.1946846618</v>
          </cell>
          <cell r="Q44">
            <v>4.304524455000001</v>
          </cell>
          <cell r="R44">
            <v>1.4916472452</v>
          </cell>
          <cell r="S44">
            <v>2.4958525662000004</v>
          </cell>
          <cell r="T44">
            <v>2.3399857907999997</v>
          </cell>
          <cell r="U44">
            <v>3.0088681056</v>
          </cell>
          <cell r="V44">
            <v>3.6814982777999998</v>
          </cell>
          <cell r="W44">
            <v>6.2163726533999997</v>
          </cell>
          <cell r="X44">
            <v>6.4072929186000005</v>
          </cell>
          <cell r="Y44">
            <v>4.6308946994199998</v>
          </cell>
          <cell r="Z44">
            <v>3.47343833474</v>
          </cell>
          <cell r="AA44">
            <v>3.25235242728</v>
          </cell>
          <cell r="AB44">
            <v>3.12482177414</v>
          </cell>
          <cell r="AC44">
            <v>3.78463147084</v>
          </cell>
          <cell r="AD44">
            <v>4.4017575197200003</v>
          </cell>
          <cell r="AE44">
            <v>4.1528522343147234</v>
          </cell>
          <cell r="AF44">
            <v>3.0202408817024455</v>
          </cell>
        </row>
        <row r="45">
          <cell r="B45">
            <v>0.5425574742</v>
          </cell>
          <cell r="C45">
            <v>1.2030622254000003</v>
          </cell>
          <cell r="D45">
            <v>1.3203481157999999</v>
          </cell>
          <cell r="E45">
            <v>1.6111377575999999</v>
          </cell>
          <cell r="F45">
            <v>8.6200720200000011E-2</v>
          </cell>
          <cell r="G45">
            <v>0.28417577579999997</v>
          </cell>
          <cell r="H45">
            <v>0.27182989260000001</v>
          </cell>
          <cell r="I45">
            <v>0.9669472092000001</v>
          </cell>
          <cell r="J45">
            <v>0.46760032619999997</v>
          </cell>
          <cell r="K45">
            <v>4.9255664723999999</v>
          </cell>
          <cell r="L45">
            <v>0.46693893960000005</v>
          </cell>
          <cell r="M45">
            <v>0.65741828039999994</v>
          </cell>
          <cell r="N45">
            <v>0.71099059499999995</v>
          </cell>
          <cell r="O45">
            <v>1.0172125908</v>
          </cell>
          <cell r="P45">
            <v>0.72598202460000005</v>
          </cell>
          <cell r="Q45">
            <v>1.1069407062000001</v>
          </cell>
          <cell r="R45">
            <v>0.96628582259999996</v>
          </cell>
          <cell r="S45">
            <v>1.1433169691999998</v>
          </cell>
          <cell r="T45">
            <v>3.3653554829999996</v>
          </cell>
          <cell r="U45">
            <v>1.7365807494000001</v>
          </cell>
          <cell r="V45">
            <v>4.8953631509999997</v>
          </cell>
          <cell r="W45">
            <v>2.9687439852000002</v>
          </cell>
          <cell r="X45">
            <v>5.7981558599999996</v>
          </cell>
          <cell r="Y45">
            <v>3.9898352958199998</v>
          </cell>
          <cell r="Z45">
            <v>3.5659111206399996</v>
          </cell>
          <cell r="AA45">
            <v>3.4234000746</v>
          </cell>
          <cell r="AB45">
            <v>3.4421724138999998</v>
          </cell>
          <cell r="AC45">
            <v>4.1094866370799998</v>
          </cell>
          <cell r="AD45">
            <v>4.6875512288000003</v>
          </cell>
          <cell r="AE45">
            <v>6.253658968294026</v>
          </cell>
          <cell r="AF45">
            <v>3.2197572621766994</v>
          </cell>
        </row>
        <row r="66">
          <cell r="B66">
            <v>335</v>
          </cell>
          <cell r="C66">
            <v>166.2</v>
          </cell>
          <cell r="D66">
            <v>199.8</v>
          </cell>
          <cell r="E66">
            <v>78.599999999999994</v>
          </cell>
          <cell r="F66">
            <v>162.10000000000002</v>
          </cell>
          <cell r="G66">
            <v>431.8</v>
          </cell>
          <cell r="H66">
            <v>106.4</v>
          </cell>
          <cell r="I66">
            <v>178.1</v>
          </cell>
          <cell r="J66">
            <v>236.33</v>
          </cell>
          <cell r="K66">
            <v>273.81200000000001</v>
          </cell>
          <cell r="L66">
            <v>188.79999999999998</v>
          </cell>
          <cell r="M66">
            <v>147.69999999999999</v>
          </cell>
          <cell r="N66">
            <v>239.5</v>
          </cell>
          <cell r="O66">
            <v>177</v>
          </cell>
          <cell r="P66">
            <v>142.80000000000001</v>
          </cell>
          <cell r="Q66">
            <v>163.19999999999999</v>
          </cell>
          <cell r="R66">
            <v>159.80000000000001</v>
          </cell>
          <cell r="S66">
            <v>166.96799999999999</v>
          </cell>
          <cell r="T66">
            <v>181.5</v>
          </cell>
          <cell r="U66">
            <v>165</v>
          </cell>
          <cell r="V66">
            <v>165</v>
          </cell>
          <cell r="W66">
            <v>158.31475</v>
          </cell>
          <cell r="X66">
            <v>143.1</v>
          </cell>
          <cell r="Y66">
            <v>157.29134662103024</v>
          </cell>
          <cell r="Z66">
            <v>139.00630702101583</v>
          </cell>
          <cell r="AA66">
            <v>143.77958682782159</v>
          </cell>
          <cell r="AB66">
            <v>209.71387121095336</v>
          </cell>
          <cell r="AC66">
            <v>129.09399999999999</v>
          </cell>
          <cell r="AD66">
            <v>126.65</v>
          </cell>
          <cell r="AE66">
            <v>120.85</v>
          </cell>
          <cell r="AF66">
            <v>105.85</v>
          </cell>
        </row>
        <row r="67">
          <cell r="B67">
            <v>299.2</v>
          </cell>
          <cell r="C67">
            <v>152.89999999999998</v>
          </cell>
          <cell r="D67">
            <v>187.7</v>
          </cell>
          <cell r="E67">
            <v>65.099999999999994</v>
          </cell>
          <cell r="F67">
            <v>194.2</v>
          </cell>
          <cell r="G67">
            <v>447.3</v>
          </cell>
          <cell r="H67">
            <v>142.30000000000001</v>
          </cell>
          <cell r="I67">
            <v>165.4</v>
          </cell>
          <cell r="J67">
            <v>231.191</v>
          </cell>
          <cell r="K67">
            <v>264.11500000000001</v>
          </cell>
          <cell r="L67">
            <v>186.1</v>
          </cell>
          <cell r="M67">
            <v>182.5</v>
          </cell>
          <cell r="N67">
            <v>255.10000000000002</v>
          </cell>
          <cell r="O67">
            <v>178.2</v>
          </cell>
          <cell r="P67">
            <v>212.6</v>
          </cell>
          <cell r="Q67">
            <v>174.6</v>
          </cell>
          <cell r="R67">
            <v>155.4</v>
          </cell>
          <cell r="S67">
            <v>167.66800000000001</v>
          </cell>
          <cell r="T67">
            <v>180</v>
          </cell>
          <cell r="U67">
            <v>165</v>
          </cell>
          <cell r="V67">
            <v>165</v>
          </cell>
          <cell r="W67">
            <v>151.62950000000001</v>
          </cell>
          <cell r="X67">
            <v>116.027</v>
          </cell>
          <cell r="Y67">
            <v>160.54395664192188</v>
          </cell>
          <cell r="Z67">
            <v>140.21663603429442</v>
          </cell>
          <cell r="AA67">
            <v>152.74724153863224</v>
          </cell>
          <cell r="AB67">
            <v>276.49085015362624</v>
          </cell>
          <cell r="AC67">
            <v>117.925</v>
          </cell>
          <cell r="AD67">
            <v>142.90699999999998</v>
          </cell>
          <cell r="AE67">
            <v>135.00700000000001</v>
          </cell>
          <cell r="AF67">
            <v>127.907</v>
          </cell>
        </row>
        <row r="68">
          <cell r="B68">
            <v>291.8</v>
          </cell>
          <cell r="C68">
            <v>155.6</v>
          </cell>
          <cell r="D68">
            <v>164.8</v>
          </cell>
          <cell r="E68">
            <v>125.9</v>
          </cell>
          <cell r="F68">
            <v>274.2</v>
          </cell>
          <cell r="G68">
            <v>401.7</v>
          </cell>
          <cell r="H68">
            <v>93.7</v>
          </cell>
          <cell r="I68">
            <v>245.5</v>
          </cell>
          <cell r="J68">
            <v>245.864</v>
          </cell>
          <cell r="K68">
            <v>195.3</v>
          </cell>
          <cell r="L68">
            <v>167.2</v>
          </cell>
          <cell r="M68">
            <v>225.9</v>
          </cell>
          <cell r="N68">
            <v>236.3</v>
          </cell>
          <cell r="O68">
            <v>214.5</v>
          </cell>
          <cell r="P68">
            <v>205.5</v>
          </cell>
          <cell r="Q68">
            <v>164.1</v>
          </cell>
          <cell r="R68">
            <v>220.9</v>
          </cell>
          <cell r="S68">
            <v>172.41499999999999</v>
          </cell>
          <cell r="T68">
            <v>178.5</v>
          </cell>
          <cell r="U68">
            <v>165</v>
          </cell>
          <cell r="V68">
            <v>165</v>
          </cell>
          <cell r="W68">
            <v>144.94425000000001</v>
          </cell>
          <cell r="X68">
            <v>130.46899999999999</v>
          </cell>
          <cell r="Y68">
            <v>158.19730295345474</v>
          </cell>
          <cell r="Z68">
            <v>120.75468873497756</v>
          </cell>
          <cell r="AA68">
            <v>167.08259799768132</v>
          </cell>
          <cell r="AB68">
            <v>253.13608562744065</v>
          </cell>
          <cell r="AC68">
            <v>122.423</v>
          </cell>
          <cell r="AD68">
            <v>145.14699999999999</v>
          </cell>
          <cell r="AE68">
            <v>126.947</v>
          </cell>
          <cell r="AF68">
            <v>123.14700000000001</v>
          </cell>
        </row>
        <row r="69">
          <cell r="B69">
            <v>316.5</v>
          </cell>
          <cell r="C69">
            <v>173.6</v>
          </cell>
          <cell r="D69">
            <v>229.10000000000002</v>
          </cell>
          <cell r="E69">
            <v>147.39999999999998</v>
          </cell>
          <cell r="F69">
            <v>332.40000000000003</v>
          </cell>
          <cell r="G69">
            <v>446.5</v>
          </cell>
          <cell r="H69">
            <v>115.3</v>
          </cell>
          <cell r="I69">
            <v>280.10000000000002</v>
          </cell>
          <cell r="J69">
            <v>238.827</v>
          </cell>
          <cell r="K69">
            <v>191.60000000000002</v>
          </cell>
          <cell r="L69">
            <v>160.24299999999999</v>
          </cell>
          <cell r="M69">
            <v>163.80000000000001</v>
          </cell>
          <cell r="N69">
            <v>199.4</v>
          </cell>
          <cell r="O69">
            <v>229</v>
          </cell>
          <cell r="P69">
            <v>193.2</v>
          </cell>
          <cell r="Q69">
            <v>184.4</v>
          </cell>
          <cell r="R69">
            <v>204.976</v>
          </cell>
          <cell r="S69">
            <v>150.16499999999999</v>
          </cell>
          <cell r="T69">
            <v>177</v>
          </cell>
          <cell r="U69">
            <v>165</v>
          </cell>
          <cell r="V69">
            <v>165</v>
          </cell>
          <cell r="W69">
            <v>138.25900000000001</v>
          </cell>
          <cell r="X69">
            <v>114.932</v>
          </cell>
          <cell r="Y69">
            <v>155.26458265204894</v>
          </cell>
          <cell r="Z69">
            <v>143.29975224859282</v>
          </cell>
          <cell r="AA69">
            <v>171.58373281925287</v>
          </cell>
          <cell r="AB69">
            <v>237.19932110125507</v>
          </cell>
          <cell r="AC69">
            <v>119.64700000000001</v>
          </cell>
          <cell r="AD69">
            <v>135.79500000000002</v>
          </cell>
          <cell r="AE69">
            <v>133.995</v>
          </cell>
          <cell r="AF69">
            <v>130.29500000000002</v>
          </cell>
        </row>
        <row r="70">
          <cell r="B70">
            <v>284.5</v>
          </cell>
          <cell r="C70">
            <v>168.1</v>
          </cell>
          <cell r="D70">
            <v>200.4</v>
          </cell>
          <cell r="E70">
            <v>141.1</v>
          </cell>
          <cell r="F70">
            <v>344.5</v>
          </cell>
          <cell r="G70">
            <v>387.5</v>
          </cell>
          <cell r="H70">
            <v>91.7</v>
          </cell>
          <cell r="I70">
            <v>357.65800000000002</v>
          </cell>
          <cell r="J70">
            <v>249.60499999999999</v>
          </cell>
          <cell r="K70">
            <v>212.39999999999998</v>
          </cell>
          <cell r="L70">
            <v>192.60000000000002</v>
          </cell>
          <cell r="M70">
            <v>188.3</v>
          </cell>
          <cell r="N70">
            <v>214.7</v>
          </cell>
          <cell r="O70">
            <v>231.8</v>
          </cell>
          <cell r="P70">
            <v>179.6</v>
          </cell>
          <cell r="Q70">
            <v>216.3</v>
          </cell>
          <cell r="R70">
            <v>171.23</v>
          </cell>
          <cell r="S70">
            <v>162.66900000000001</v>
          </cell>
          <cell r="T70">
            <v>175.5</v>
          </cell>
          <cell r="U70">
            <v>165</v>
          </cell>
          <cell r="V70">
            <v>165</v>
          </cell>
          <cell r="W70">
            <v>131.57375000000002</v>
          </cell>
          <cell r="X70">
            <v>99.762999999999991</v>
          </cell>
          <cell r="Y70">
            <v>126.13910114020408</v>
          </cell>
          <cell r="Z70">
            <v>155.15357614491393</v>
          </cell>
          <cell r="AA70">
            <v>174.5844893669672</v>
          </cell>
          <cell r="AB70">
            <v>219.8233915491852</v>
          </cell>
          <cell r="AC70">
            <v>102.715</v>
          </cell>
          <cell r="AD70">
            <v>149.13400000000001</v>
          </cell>
          <cell r="AE70">
            <v>147.53399999999999</v>
          </cell>
          <cell r="AF70">
            <v>139.53399999999999</v>
          </cell>
        </row>
        <row r="71">
          <cell r="B71">
            <v>251.5</v>
          </cell>
          <cell r="C71">
            <v>163.69999999999999</v>
          </cell>
          <cell r="D71">
            <v>217.6</v>
          </cell>
          <cell r="E71">
            <v>204.6</v>
          </cell>
          <cell r="F71">
            <v>337.4</v>
          </cell>
          <cell r="G71">
            <v>366.4</v>
          </cell>
          <cell r="H71">
            <v>89.2</v>
          </cell>
          <cell r="I71">
            <v>276.416</v>
          </cell>
          <cell r="J71">
            <v>251.33199999999999</v>
          </cell>
          <cell r="K71">
            <v>223.2</v>
          </cell>
          <cell r="L71">
            <v>181.7</v>
          </cell>
          <cell r="M71">
            <v>190.89999999999998</v>
          </cell>
          <cell r="N71">
            <v>224.60000000000002</v>
          </cell>
          <cell r="O71">
            <v>223.1</v>
          </cell>
          <cell r="P71">
            <v>186.8</v>
          </cell>
          <cell r="Q71">
            <v>167.9</v>
          </cell>
          <cell r="R71">
            <v>137.73400000000001</v>
          </cell>
          <cell r="S71">
            <v>154.59200000000001</v>
          </cell>
          <cell r="T71">
            <v>174</v>
          </cell>
          <cell r="U71">
            <v>165</v>
          </cell>
          <cell r="V71">
            <v>165</v>
          </cell>
          <cell r="W71">
            <v>124.88850000000002</v>
          </cell>
          <cell r="X71">
            <v>81.707999999999998</v>
          </cell>
          <cell r="Y71">
            <v>125.3692173003967</v>
          </cell>
          <cell r="Z71">
            <v>154.79310340131417</v>
          </cell>
          <cell r="AA71">
            <v>159.64277478292254</v>
          </cell>
          <cell r="AB71">
            <v>210.98746199711536</v>
          </cell>
          <cell r="AC71">
            <v>97.498000000000005</v>
          </cell>
          <cell r="AD71">
            <v>135.429</v>
          </cell>
          <cell r="AE71">
            <v>126.82899999999999</v>
          </cell>
          <cell r="AF71">
            <v>128.06833480141023</v>
          </cell>
        </row>
        <row r="72">
          <cell r="B72">
            <v>237.6</v>
          </cell>
          <cell r="C72">
            <v>148.5</v>
          </cell>
          <cell r="D72">
            <v>173.6</v>
          </cell>
          <cell r="E72">
            <v>174.5</v>
          </cell>
          <cell r="F72">
            <v>318.8</v>
          </cell>
          <cell r="G72">
            <v>309.7</v>
          </cell>
          <cell r="H72">
            <v>102.30000000000001</v>
          </cell>
          <cell r="I72">
            <v>286.875</v>
          </cell>
          <cell r="J72">
            <v>233.3</v>
          </cell>
          <cell r="K72">
            <v>222.1</v>
          </cell>
          <cell r="L72">
            <v>131.30000000000001</v>
          </cell>
          <cell r="M72">
            <v>170.6</v>
          </cell>
          <cell r="N72">
            <v>257.10000000000002</v>
          </cell>
          <cell r="O72">
            <v>191.8</v>
          </cell>
          <cell r="P72">
            <v>223.9</v>
          </cell>
          <cell r="Q72">
            <v>144.6</v>
          </cell>
          <cell r="R72">
            <v>119.791</v>
          </cell>
          <cell r="S72">
            <v>150.03</v>
          </cell>
          <cell r="T72">
            <v>172.5</v>
          </cell>
          <cell r="U72">
            <v>165</v>
          </cell>
          <cell r="V72">
            <v>165</v>
          </cell>
          <cell r="W72">
            <v>118.20325000000003</v>
          </cell>
          <cell r="X72">
            <v>90.616</v>
          </cell>
          <cell r="Y72">
            <v>145.43752272470911</v>
          </cell>
          <cell r="Z72">
            <v>146.69559647223932</v>
          </cell>
          <cell r="AA72">
            <v>166.25183962170314</v>
          </cell>
          <cell r="AB72">
            <v>191.70933192466723</v>
          </cell>
          <cell r="AC72">
            <v>128.59200000000001</v>
          </cell>
          <cell r="AD72">
            <v>172.64800000000002</v>
          </cell>
          <cell r="AE72">
            <v>156.14800000000002</v>
          </cell>
          <cell r="AF72">
            <v>134.19348834212269</v>
          </cell>
        </row>
        <row r="73">
          <cell r="B73">
            <v>199.89999999999998</v>
          </cell>
          <cell r="C73">
            <v>183.6</v>
          </cell>
          <cell r="D73">
            <v>175.9</v>
          </cell>
          <cell r="E73">
            <v>249.8</v>
          </cell>
          <cell r="F73">
            <v>300.60000000000002</v>
          </cell>
          <cell r="G73">
            <v>240.4</v>
          </cell>
          <cell r="H73">
            <v>103.9</v>
          </cell>
          <cell r="I73">
            <v>196.81799999999998</v>
          </cell>
          <cell r="J73">
            <v>231.64699999999999</v>
          </cell>
          <cell r="K73">
            <v>184.3</v>
          </cell>
          <cell r="L73">
            <v>108.7</v>
          </cell>
          <cell r="M73">
            <v>187.6</v>
          </cell>
          <cell r="N73">
            <v>227.9</v>
          </cell>
          <cell r="O73">
            <v>157.69999999999999</v>
          </cell>
          <cell r="P73">
            <v>204</v>
          </cell>
          <cell r="Q73">
            <v>138.69999999999999</v>
          </cell>
          <cell r="R73">
            <v>120.61099999999999</v>
          </cell>
          <cell r="S73">
            <v>157.636</v>
          </cell>
          <cell r="T73">
            <v>171</v>
          </cell>
          <cell r="U73">
            <v>165</v>
          </cell>
          <cell r="V73">
            <v>165</v>
          </cell>
          <cell r="W73">
            <v>111.518</v>
          </cell>
          <cell r="X73">
            <v>115.34200000000001</v>
          </cell>
          <cell r="Y73">
            <v>143.2770734998233</v>
          </cell>
          <cell r="Z73">
            <v>157.03591229278408</v>
          </cell>
          <cell r="AA73">
            <v>167.49558994895784</v>
          </cell>
          <cell r="AB73">
            <v>190.23401963629215</v>
          </cell>
          <cell r="AC73">
            <v>129.506</v>
          </cell>
          <cell r="AD73">
            <v>154.42700000000002</v>
          </cell>
          <cell r="AE73">
            <v>128.92700000000002</v>
          </cell>
          <cell r="AF73">
            <v>129.44945730258513</v>
          </cell>
        </row>
        <row r="74">
          <cell r="B74">
            <v>151.4</v>
          </cell>
          <cell r="C74">
            <v>163.80000000000001</v>
          </cell>
          <cell r="D74">
            <v>171.5</v>
          </cell>
          <cell r="E74">
            <v>143.69999999999999</v>
          </cell>
          <cell r="F74">
            <v>366.29999999999995</v>
          </cell>
          <cell r="G74">
            <v>134.70000000000002</v>
          </cell>
          <cell r="H74">
            <v>137.60000000000002</v>
          </cell>
          <cell r="I74">
            <v>257.62</v>
          </cell>
          <cell r="J74">
            <v>303.25</v>
          </cell>
          <cell r="K74">
            <v>155.10000000000002</v>
          </cell>
          <cell r="L74">
            <v>89.9</v>
          </cell>
          <cell r="M74">
            <v>263.5</v>
          </cell>
          <cell r="N74">
            <v>212.6</v>
          </cell>
          <cell r="O74">
            <v>136.69999999999999</v>
          </cell>
          <cell r="P74">
            <v>187.9</v>
          </cell>
          <cell r="Q74">
            <v>135.5</v>
          </cell>
          <cell r="R74">
            <v>172.52300000000002</v>
          </cell>
          <cell r="S74">
            <v>158.38399999999999</v>
          </cell>
          <cell r="T74">
            <v>169.5</v>
          </cell>
          <cell r="U74">
            <v>165</v>
          </cell>
          <cell r="V74">
            <v>165</v>
          </cell>
          <cell r="W74">
            <v>111.03</v>
          </cell>
          <cell r="X74">
            <v>113.029</v>
          </cell>
          <cell r="Y74">
            <v>152.10626848130423</v>
          </cell>
          <cell r="Z74">
            <v>154.33475395249863</v>
          </cell>
          <cell r="AA74">
            <v>182.24513197763974</v>
          </cell>
          <cell r="AB74">
            <v>117.59365384243858</v>
          </cell>
          <cell r="AC74">
            <v>193.83699999999999</v>
          </cell>
          <cell r="AD74">
            <v>121.46700000000001</v>
          </cell>
          <cell r="AE74">
            <v>120.167</v>
          </cell>
          <cell r="AF74">
            <v>120.56314196384069</v>
          </cell>
        </row>
        <row r="75">
          <cell r="B75">
            <v>163.69999999999999</v>
          </cell>
          <cell r="C75">
            <v>136.89999999999998</v>
          </cell>
          <cell r="D75">
            <v>116.7</v>
          </cell>
          <cell r="E75">
            <v>143.39999999999998</v>
          </cell>
          <cell r="F75">
            <v>424.6</v>
          </cell>
          <cell r="G75">
            <v>197.5</v>
          </cell>
          <cell r="H75">
            <v>164.3</v>
          </cell>
          <cell r="I75">
            <v>260.85500000000002</v>
          </cell>
          <cell r="J75">
            <v>301.64400000000001</v>
          </cell>
          <cell r="K75">
            <v>198.2</v>
          </cell>
          <cell r="L75">
            <v>133.5</v>
          </cell>
          <cell r="M75">
            <v>250.29999999999998</v>
          </cell>
          <cell r="N75">
            <v>204.8</v>
          </cell>
          <cell r="O75">
            <v>157.19999999999999</v>
          </cell>
          <cell r="P75">
            <v>181.6</v>
          </cell>
          <cell r="Q75">
            <v>133.9</v>
          </cell>
          <cell r="R75">
            <v>179.71300000000002</v>
          </cell>
          <cell r="S75">
            <v>190.91</v>
          </cell>
          <cell r="T75">
            <v>168</v>
          </cell>
          <cell r="U75">
            <v>165</v>
          </cell>
          <cell r="V75">
            <v>165</v>
          </cell>
          <cell r="W75">
            <v>116.93299999999999</v>
          </cell>
          <cell r="X75">
            <v>140.38900000000001</v>
          </cell>
          <cell r="Y75">
            <v>147.86056798797887</v>
          </cell>
          <cell r="Z75">
            <v>154.9805014832518</v>
          </cell>
          <cell r="AA75">
            <v>184.43505069255781</v>
          </cell>
          <cell r="AB75">
            <v>138.32</v>
          </cell>
          <cell r="AC75">
            <v>150.72200000000001</v>
          </cell>
          <cell r="AD75">
            <v>176.27699999999999</v>
          </cell>
          <cell r="AE75">
            <v>168.85399999999998</v>
          </cell>
          <cell r="AF75">
            <v>123.63596856230703</v>
          </cell>
        </row>
        <row r="76">
          <cell r="B76">
            <v>156</v>
          </cell>
          <cell r="C76">
            <v>124.1</v>
          </cell>
          <cell r="D76">
            <v>113.9</v>
          </cell>
          <cell r="E76">
            <v>154.30000000000001</v>
          </cell>
          <cell r="F76">
            <v>434.4</v>
          </cell>
          <cell r="G76">
            <v>191.8</v>
          </cell>
          <cell r="H76">
            <v>161.4</v>
          </cell>
          <cell r="I76">
            <v>246.42399999999998</v>
          </cell>
          <cell r="J76">
            <v>245.75400000000002</v>
          </cell>
          <cell r="K76">
            <v>191.89999999999998</v>
          </cell>
          <cell r="L76">
            <v>149.19999999999999</v>
          </cell>
          <cell r="M76">
            <v>253.79999999999998</v>
          </cell>
          <cell r="N76">
            <v>202.7</v>
          </cell>
          <cell r="O76">
            <v>127.6</v>
          </cell>
          <cell r="P76">
            <v>180.4</v>
          </cell>
          <cell r="Q76">
            <v>103</v>
          </cell>
          <cell r="R76">
            <v>197.44200000000001</v>
          </cell>
          <cell r="S76">
            <v>186.95499999999998</v>
          </cell>
          <cell r="T76">
            <v>166.5</v>
          </cell>
          <cell r="U76">
            <v>165</v>
          </cell>
          <cell r="V76">
            <v>165</v>
          </cell>
          <cell r="W76">
            <v>115.298</v>
          </cell>
          <cell r="X76">
            <v>136.596</v>
          </cell>
          <cell r="Y76">
            <v>146.43300043385543</v>
          </cell>
          <cell r="Z76">
            <v>149.05657358098196</v>
          </cell>
          <cell r="AA76">
            <v>187.17596940747586</v>
          </cell>
          <cell r="AB76">
            <v>118.05900000000001</v>
          </cell>
          <cell r="AC76">
            <v>142.59300000000002</v>
          </cell>
          <cell r="AD76">
            <v>169.03899999999999</v>
          </cell>
          <cell r="AE76">
            <v>153.339</v>
          </cell>
          <cell r="AF76">
            <v>113.03783092633206</v>
          </cell>
        </row>
        <row r="77">
          <cell r="B77">
            <v>164.10000000000002</v>
          </cell>
          <cell r="C77">
            <v>162.9</v>
          </cell>
          <cell r="D77">
            <v>84</v>
          </cell>
          <cell r="E77">
            <v>149.6</v>
          </cell>
          <cell r="F77">
            <v>392.7</v>
          </cell>
          <cell r="G77">
            <v>152.1</v>
          </cell>
          <cell r="H77">
            <v>136.4</v>
          </cell>
          <cell r="I77">
            <v>259.70500000000004</v>
          </cell>
          <cell r="J77">
            <v>226.50299999999999</v>
          </cell>
          <cell r="K77">
            <v>216.3</v>
          </cell>
          <cell r="L77">
            <v>131.19999999999999</v>
          </cell>
          <cell r="M77">
            <v>242.2</v>
          </cell>
          <cell r="N77">
            <v>222.2</v>
          </cell>
          <cell r="O77">
            <v>128.4</v>
          </cell>
          <cell r="P77">
            <v>181.4</v>
          </cell>
          <cell r="Q77">
            <v>183</v>
          </cell>
          <cell r="R77">
            <v>185.96899999999999</v>
          </cell>
          <cell r="S77">
            <v>183</v>
          </cell>
          <cell r="T77">
            <v>165</v>
          </cell>
          <cell r="U77">
            <v>165</v>
          </cell>
          <cell r="V77">
            <v>165</v>
          </cell>
          <cell r="W77">
            <v>133.905</v>
          </cell>
          <cell r="X77">
            <v>160.25987547312474</v>
          </cell>
          <cell r="Y77">
            <v>146.58100911003544</v>
          </cell>
          <cell r="Z77">
            <v>152.51926043258075</v>
          </cell>
          <cell r="AA77">
            <v>210.33216551951185</v>
          </cell>
          <cell r="AB77">
            <v>113.483</v>
          </cell>
          <cell r="AC77">
            <v>114.749</v>
          </cell>
          <cell r="AD77">
            <v>146.328</v>
          </cell>
          <cell r="AE77">
            <v>137.62799999999999</v>
          </cell>
          <cell r="AF77">
            <v>103.84057849366457</v>
          </cell>
        </row>
      </sheetData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conut Oil Balance Sheet"/>
      <sheetName val="Palm Kernel Oil Balance Sheet"/>
      <sheetName val="Coconut Oil Price Analysis"/>
      <sheetName val="Palm Kernel Oil Price Analysis"/>
    </sheetNames>
    <sheetDataSet>
      <sheetData sheetId="0"/>
      <sheetData sheetId="1"/>
      <sheetData sheetId="2">
        <row r="3">
          <cell r="B3">
            <v>20.882300000000001</v>
          </cell>
          <cell r="E3">
            <v>2.4281440130058924</v>
          </cell>
        </row>
        <row r="4">
          <cell r="B4">
            <v>22.108599999999999</v>
          </cell>
          <cell r="E4">
            <v>3.5796113729958132</v>
          </cell>
        </row>
        <row r="5">
          <cell r="B5">
            <v>25.25</v>
          </cell>
          <cell r="E5">
            <v>2.6317804554717235</v>
          </cell>
        </row>
        <row r="6">
          <cell r="B6">
            <v>27.535699999999999</v>
          </cell>
          <cell r="E6">
            <v>2.8717579223432317</v>
          </cell>
        </row>
        <row r="7">
          <cell r="B7">
            <v>28.175000000000001</v>
          </cell>
          <cell r="E7">
            <v>1.8433094289846537</v>
          </cell>
        </row>
        <row r="8">
          <cell r="B8">
            <v>28.7638</v>
          </cell>
          <cell r="E8">
            <v>2.6733057147397887</v>
          </cell>
        </row>
        <row r="9">
          <cell r="B9">
            <v>32.5</v>
          </cell>
          <cell r="E9">
            <v>2.553225200929945</v>
          </cell>
        </row>
        <row r="10">
          <cell r="B10">
            <v>34.880899999999997</v>
          </cell>
          <cell r="E10">
            <v>1.5558423024588173</v>
          </cell>
        </row>
        <row r="11">
          <cell r="B11">
            <v>36.5</v>
          </cell>
          <cell r="E11">
            <v>1.5816460424196803</v>
          </cell>
        </row>
        <row r="12">
          <cell r="B12">
            <v>37.125</v>
          </cell>
          <cell r="E12">
            <v>1.4343152470721583</v>
          </cell>
        </row>
        <row r="13">
          <cell r="B13">
            <v>36.261899999999997</v>
          </cell>
          <cell r="E13">
            <v>1.4165017898910206</v>
          </cell>
        </row>
        <row r="14">
          <cell r="B14">
            <v>33.357900000000001</v>
          </cell>
          <cell r="E14">
            <v>2.1167360981746044</v>
          </cell>
        </row>
        <row r="15">
          <cell r="B15">
            <v>32.601100000000002</v>
          </cell>
          <cell r="E15">
            <v>2.2869515272555039</v>
          </cell>
        </row>
        <row r="16">
          <cell r="B16">
            <v>31.720199999999998</v>
          </cell>
          <cell r="E16">
            <v>2.1456460594367739</v>
          </cell>
        </row>
        <row r="17">
          <cell r="B17">
            <v>32.118699999999997</v>
          </cell>
          <cell r="E17">
            <v>11.599310329571663</v>
          </cell>
        </row>
        <row r="18">
          <cell r="B18">
            <v>32.857100000000003</v>
          </cell>
          <cell r="E18">
            <v>2.4005678761332296</v>
          </cell>
        </row>
        <row r="19">
          <cell r="B19">
            <v>31.837499999999999</v>
          </cell>
          <cell r="E19">
            <v>3.3979788346464903</v>
          </cell>
        </row>
        <row r="20">
          <cell r="B20">
            <v>31.5</v>
          </cell>
          <cell r="E20">
            <v>9.2287240493381777</v>
          </cell>
        </row>
        <row r="21">
          <cell r="B21">
            <v>31.965900000000001</v>
          </cell>
          <cell r="E21">
            <v>2.3322535380692249</v>
          </cell>
        </row>
        <row r="22">
          <cell r="B22">
            <v>33.035699999999999</v>
          </cell>
          <cell r="E22">
            <v>2.5629981676451181</v>
          </cell>
        </row>
        <row r="23">
          <cell r="B23">
            <v>32.113</v>
          </cell>
          <cell r="E23">
            <v>1.7425134409125418</v>
          </cell>
        </row>
        <row r="24">
          <cell r="B24">
            <v>30.25</v>
          </cell>
          <cell r="E24">
            <v>3.374942182440567</v>
          </cell>
        </row>
        <row r="25">
          <cell r="B25">
            <v>29.8125</v>
          </cell>
          <cell r="E25">
            <v>2.6346610908232306</v>
          </cell>
        </row>
        <row r="26">
          <cell r="B26">
            <v>27.902100000000001</v>
          </cell>
          <cell r="E26">
            <v>2.9404726197382471</v>
          </cell>
        </row>
        <row r="27">
          <cell r="B27">
            <v>26.824999999999999</v>
          </cell>
          <cell r="E27">
            <v>2.9557234804951351</v>
          </cell>
        </row>
        <row r="28">
          <cell r="B28">
            <v>28.642800000000001</v>
          </cell>
          <cell r="E28">
            <v>2.8709784196621824</v>
          </cell>
        </row>
        <row r="29">
          <cell r="B29">
            <v>28.25</v>
          </cell>
          <cell r="E29">
            <v>2.3773700197188616</v>
          </cell>
        </row>
        <row r="30">
          <cell r="B30">
            <v>26.962499999999999</v>
          </cell>
          <cell r="E30">
            <v>1.8864041861283163</v>
          </cell>
        </row>
        <row r="31">
          <cell r="B31">
            <v>27.612500000000001</v>
          </cell>
          <cell r="E31">
            <v>2.5334517986331151</v>
          </cell>
        </row>
        <row r="32">
          <cell r="B32">
            <v>28.328900000000001</v>
          </cell>
          <cell r="E32">
            <v>2.464513198615907</v>
          </cell>
        </row>
        <row r="33">
          <cell r="B33">
            <v>28.1739</v>
          </cell>
          <cell r="E33">
            <v>2.2779809496813677</v>
          </cell>
        </row>
        <row r="34">
          <cell r="B34">
            <v>28.513100000000001</v>
          </cell>
          <cell r="E34">
            <v>2.2847582201640155</v>
          </cell>
        </row>
        <row r="35">
          <cell r="B35">
            <v>28.579499999999999</v>
          </cell>
          <cell r="E35">
            <v>2.2913858412109365</v>
          </cell>
        </row>
        <row r="36">
          <cell r="B36">
            <v>27.840900000000001</v>
          </cell>
          <cell r="E36">
            <v>2.9241562554840987</v>
          </cell>
        </row>
        <row r="37">
          <cell r="B37">
            <v>28.337499999999999</v>
          </cell>
          <cell r="E37">
            <v>1.9377686008579131</v>
          </cell>
        </row>
        <row r="38">
          <cell r="B38">
            <v>29.826000000000001</v>
          </cell>
          <cell r="E38">
            <v>2.5911283286856599</v>
          </cell>
        </row>
        <row r="39">
          <cell r="B39">
            <v>29.625</v>
          </cell>
          <cell r="E39">
            <v>1.9784444404223145</v>
          </cell>
        </row>
        <row r="40">
          <cell r="B40">
            <v>30.25</v>
          </cell>
          <cell r="E40">
            <v>2.8420593642135383</v>
          </cell>
        </row>
        <row r="41">
          <cell r="B41">
            <v>31.8</v>
          </cell>
          <cell r="E41">
            <v>2.9183634941144061</v>
          </cell>
        </row>
        <row r="42">
          <cell r="B42">
            <v>35.487499999999997</v>
          </cell>
          <cell r="E42">
            <v>2.4066739310117273</v>
          </cell>
        </row>
        <row r="43">
          <cell r="B43">
            <v>35.5625</v>
          </cell>
          <cell r="E43">
            <v>3.7958306581795473</v>
          </cell>
        </row>
        <row r="44">
          <cell r="B44">
            <v>36.342100000000002</v>
          </cell>
          <cell r="E44">
            <v>2.6685260518548497</v>
          </cell>
        </row>
        <row r="45">
          <cell r="B45">
            <v>36.704500000000003</v>
          </cell>
          <cell r="E45">
            <v>6.0711413190721526</v>
          </cell>
        </row>
        <row r="46">
          <cell r="B46">
            <v>39</v>
          </cell>
          <cell r="E46">
            <v>1.7191378510876656</v>
          </cell>
        </row>
        <row r="47">
          <cell r="B47">
            <v>42.136299999999999</v>
          </cell>
          <cell r="E47">
            <v>1.322132757495885</v>
          </cell>
        </row>
        <row r="48">
          <cell r="B48">
            <v>48.1785</v>
          </cell>
          <cell r="E48">
            <v>3.3259088016044793</v>
          </cell>
        </row>
        <row r="49">
          <cell r="B49">
            <v>45.3095</v>
          </cell>
          <cell r="E49">
            <v>1.0861935988479621</v>
          </cell>
        </row>
        <row r="50">
          <cell r="B50">
            <v>44.282600000000002</v>
          </cell>
          <cell r="E50">
            <v>1.5322762118725213</v>
          </cell>
        </row>
        <row r="51">
          <cell r="B51">
            <v>44.263100000000001</v>
          </cell>
          <cell r="E51">
            <v>2.733066045032214</v>
          </cell>
        </row>
        <row r="52">
          <cell r="B52">
            <v>47.521700000000003</v>
          </cell>
          <cell r="E52">
            <v>1.4441741955024652</v>
          </cell>
        </row>
        <row r="53">
          <cell r="B53">
            <v>52.375</v>
          </cell>
          <cell r="E53">
            <v>2.1615325932876308</v>
          </cell>
        </row>
        <row r="54">
          <cell r="B54">
            <v>54.075000000000003</v>
          </cell>
          <cell r="E54">
            <v>1.7650453410718248</v>
          </cell>
        </row>
        <row r="55">
          <cell r="B55">
            <v>60.357100000000003</v>
          </cell>
          <cell r="E55">
            <v>2.5490612796900787</v>
          </cell>
        </row>
        <row r="56">
          <cell r="B56">
            <v>64.362499999999997</v>
          </cell>
          <cell r="E56">
            <v>1.8356316754181805</v>
          </cell>
        </row>
        <row r="57">
          <cell r="B57">
            <v>72.075000000000003</v>
          </cell>
          <cell r="E57">
            <v>2.0677404416481022</v>
          </cell>
        </row>
        <row r="58">
          <cell r="B58">
            <v>68.593100000000007</v>
          </cell>
          <cell r="E58">
            <v>2.4603875000297712</v>
          </cell>
        </row>
        <row r="59">
          <cell r="B59">
            <v>70.380899999999997</v>
          </cell>
          <cell r="E59">
            <v>1.8057329509492468</v>
          </cell>
        </row>
        <row r="60">
          <cell r="B60">
            <v>74.642799999999994</v>
          </cell>
          <cell r="E60">
            <v>1.8882004277837321</v>
          </cell>
        </row>
        <row r="61">
          <cell r="B61">
            <v>69.738600000000005</v>
          </cell>
          <cell r="E61">
            <v>1.7349406267337202</v>
          </cell>
        </row>
        <row r="62">
          <cell r="B62">
            <v>57.773800000000001</v>
          </cell>
          <cell r="E62">
            <v>1.8652993857868092</v>
          </cell>
        </row>
        <row r="63">
          <cell r="B63">
            <v>53.904699999999998</v>
          </cell>
          <cell r="E63">
            <v>1.9677605750240081</v>
          </cell>
        </row>
        <row r="64">
          <cell r="B64">
            <v>43.260800000000003</v>
          </cell>
          <cell r="E64">
            <v>1.5701019396156135</v>
          </cell>
        </row>
        <row r="65">
          <cell r="B65">
            <v>35.973599999999998</v>
          </cell>
          <cell r="E65">
            <v>2.9548653441597876</v>
          </cell>
        </row>
        <row r="66">
          <cell r="B66">
            <v>37.636299999999999</v>
          </cell>
          <cell r="E66">
            <v>2.1858902182705631</v>
          </cell>
        </row>
        <row r="67">
          <cell r="B67">
            <v>36.375</v>
          </cell>
          <cell r="E67">
            <v>2.867177831886361</v>
          </cell>
        </row>
        <row r="68">
          <cell r="B68">
            <v>33.263100000000001</v>
          </cell>
          <cell r="E68">
            <v>3.2626610401679685</v>
          </cell>
        </row>
        <row r="69">
          <cell r="B69">
            <v>31.795400000000001</v>
          </cell>
          <cell r="E69">
            <v>1.9421218063382446</v>
          </cell>
        </row>
        <row r="70">
          <cell r="B70">
            <v>35.333300000000001</v>
          </cell>
          <cell r="E70">
            <v>1.8115288861877827</v>
          </cell>
        </row>
        <row r="71">
          <cell r="B71">
            <v>40.35</v>
          </cell>
          <cell r="E71">
            <v>2.4960737580952048</v>
          </cell>
        </row>
        <row r="72">
          <cell r="B72">
            <v>36.840899999999998</v>
          </cell>
          <cell r="E72">
            <v>1.2963490057409228</v>
          </cell>
        </row>
        <row r="73">
          <cell r="B73">
            <v>33.931800000000003</v>
          </cell>
          <cell r="E73">
            <v>1.0137404223411284</v>
          </cell>
        </row>
        <row r="74">
          <cell r="B74">
            <v>36.0595</v>
          </cell>
          <cell r="E74">
            <v>2.7668725730833446</v>
          </cell>
        </row>
        <row r="75">
          <cell r="B75">
            <v>34.214199999999998</v>
          </cell>
          <cell r="E75">
            <v>1.6399396983291605</v>
          </cell>
        </row>
        <row r="76">
          <cell r="B76">
            <v>34.920400000000001</v>
          </cell>
          <cell r="E76">
            <v>1.2610246006984305</v>
          </cell>
        </row>
        <row r="77">
          <cell r="B77">
            <v>35.674999999999997</v>
          </cell>
          <cell r="E77">
            <v>2.2834358248860562</v>
          </cell>
        </row>
        <row r="78">
          <cell r="B78">
            <v>37.318100000000001</v>
          </cell>
          <cell r="E78">
            <v>2.1841887681249865</v>
          </cell>
        </row>
        <row r="79">
          <cell r="B79">
            <v>37.618400000000001</v>
          </cell>
          <cell r="E79">
            <v>1.6323150550176211</v>
          </cell>
        </row>
        <row r="80">
          <cell r="B80">
            <v>38.5</v>
          </cell>
          <cell r="E80">
            <v>1.5821382198711833</v>
          </cell>
        </row>
        <row r="81">
          <cell r="B81">
            <v>44.152099999999997</v>
          </cell>
          <cell r="E81">
            <v>1.4199369215241355</v>
          </cell>
        </row>
        <row r="82">
          <cell r="B82">
            <v>45.3095</v>
          </cell>
          <cell r="E82">
            <v>0.84322784642192661</v>
          </cell>
        </row>
        <row r="83">
          <cell r="B83">
            <v>45.674999999999997</v>
          </cell>
          <cell r="E83">
            <v>1.3055643177321994</v>
          </cell>
        </row>
        <row r="84">
          <cell r="B84">
            <v>48</v>
          </cell>
          <cell r="E84">
            <v>1.3159739089669462</v>
          </cell>
        </row>
        <row r="85">
          <cell r="B85">
            <v>50.380899999999997</v>
          </cell>
          <cell r="E85">
            <v>1.3077335189639026</v>
          </cell>
        </row>
        <row r="86">
          <cell r="B86">
            <v>56.068100000000001</v>
          </cell>
          <cell r="E86">
            <v>2.1900103399742625</v>
          </cell>
        </row>
        <row r="87">
          <cell r="B87">
            <v>61.333300000000001</v>
          </cell>
          <cell r="E87">
            <v>1.9983398400334524</v>
          </cell>
        </row>
        <row r="88">
          <cell r="B88">
            <v>68.666600000000003</v>
          </cell>
          <cell r="E88">
            <v>1.6262608611399498</v>
          </cell>
        </row>
        <row r="89">
          <cell r="B89">
            <v>72.952299999999994</v>
          </cell>
          <cell r="E89">
            <v>1.7640785227812794</v>
          </cell>
        </row>
        <row r="90">
          <cell r="B90">
            <v>82.045400000000001</v>
          </cell>
          <cell r="E90">
            <v>2.0033373789055138</v>
          </cell>
        </row>
        <row r="91">
          <cell r="B91">
            <v>96.025000000000006</v>
          </cell>
          <cell r="E91">
            <v>1.2650765115996292</v>
          </cell>
        </row>
        <row r="92">
          <cell r="B92">
            <v>106.31570000000001</v>
          </cell>
          <cell r="E92">
            <v>1.232236836391563</v>
          </cell>
        </row>
        <row r="93">
          <cell r="B93">
            <v>94.021699999999996</v>
          </cell>
          <cell r="E93">
            <v>2.1423860491979925</v>
          </cell>
        </row>
        <row r="94">
          <cell r="B94">
            <v>98.5</v>
          </cell>
          <cell r="E94">
            <v>1.5129472720854527</v>
          </cell>
        </row>
        <row r="95">
          <cell r="B95">
            <v>100.1666</v>
          </cell>
          <cell r="E95">
            <v>1.6955489304931015</v>
          </cell>
        </row>
        <row r="96">
          <cell r="B96">
            <v>91.25</v>
          </cell>
          <cell r="E96">
            <v>2.0411832928720632</v>
          </cell>
        </row>
        <row r="97">
          <cell r="B97">
            <v>79.224999999999994</v>
          </cell>
          <cell r="E97">
            <v>2.7371663418903656</v>
          </cell>
        </row>
        <row r="98">
          <cell r="B98">
            <v>70.217299999999994</v>
          </cell>
          <cell r="E98">
            <v>4.5837946661709745</v>
          </cell>
        </row>
        <row r="99">
          <cell r="B99">
            <v>63.690399999999997</v>
          </cell>
          <cell r="E99">
            <v>1.6262576980521593</v>
          </cell>
        </row>
        <row r="100">
          <cell r="B100">
            <v>58.285699999999999</v>
          </cell>
          <cell r="E100">
            <v>1.7039647635622097</v>
          </cell>
        </row>
        <row r="101">
          <cell r="B101">
            <v>70.952299999999994</v>
          </cell>
          <cell r="E101">
            <v>2.2248565887658294</v>
          </cell>
        </row>
        <row r="102">
          <cell r="B102">
            <v>69.547600000000003</v>
          </cell>
          <cell r="E102">
            <v>2.3951050834388043</v>
          </cell>
        </row>
        <row r="103">
          <cell r="B103">
            <v>70.400000000000006</v>
          </cell>
          <cell r="E103">
            <v>1.8515009010299568</v>
          </cell>
        </row>
        <row r="104">
          <cell r="B104">
            <v>69.125</v>
          </cell>
          <cell r="E104">
            <v>1.759859910528436</v>
          </cell>
        </row>
        <row r="105">
          <cell r="B105">
            <v>65.920400000000001</v>
          </cell>
          <cell r="E105">
            <v>4.2143531809326102</v>
          </cell>
        </row>
        <row r="106">
          <cell r="B106">
            <v>65.275000000000006</v>
          </cell>
          <cell r="E106">
            <v>1.6243590184309458</v>
          </cell>
        </row>
        <row r="107">
          <cell r="B107">
            <v>57.193199999999997</v>
          </cell>
          <cell r="E107">
            <v>1.8766806740452355</v>
          </cell>
        </row>
        <row r="108">
          <cell r="B108">
            <v>53.261899999999997</v>
          </cell>
          <cell r="E108">
            <v>1.2154699203869825</v>
          </cell>
        </row>
        <row r="109">
          <cell r="B109">
            <v>52.9405</v>
          </cell>
          <cell r="E109">
            <v>1.6982240518062846</v>
          </cell>
        </row>
        <row r="110">
          <cell r="B110">
            <v>49.347799999999999</v>
          </cell>
          <cell r="E110">
            <v>1.2543438475906734</v>
          </cell>
        </row>
        <row r="111">
          <cell r="B111">
            <v>47.776299999999999</v>
          </cell>
          <cell r="E111">
            <v>2.1036661624290791</v>
          </cell>
        </row>
        <row r="112">
          <cell r="B112">
            <v>44.391300000000001</v>
          </cell>
          <cell r="E112">
            <v>1.8051799845776186</v>
          </cell>
        </row>
        <row r="113">
          <cell r="B113">
            <v>41.704500000000003</v>
          </cell>
          <cell r="E113">
            <v>1.9057052468766851</v>
          </cell>
        </row>
        <row r="114">
          <cell r="B114">
            <v>37.524999999999999</v>
          </cell>
          <cell r="E114">
            <v>1.275567280292123</v>
          </cell>
        </row>
        <row r="115">
          <cell r="B115">
            <v>41.071399999999997</v>
          </cell>
          <cell r="E115">
            <v>2.5247783533070911</v>
          </cell>
        </row>
        <row r="116">
          <cell r="B116">
            <v>42.223700000000001</v>
          </cell>
          <cell r="E116">
            <v>1.3158519169269567</v>
          </cell>
        </row>
        <row r="117">
          <cell r="B117">
            <v>40.024999999999999</v>
          </cell>
          <cell r="E117">
            <v>1.2676340487182369</v>
          </cell>
        </row>
        <row r="118">
          <cell r="B118">
            <v>39.5</v>
          </cell>
          <cell r="E118">
            <v>1.4356395718673383</v>
          </cell>
        </row>
        <row r="119">
          <cell r="B119">
            <v>40.045499999999997</v>
          </cell>
          <cell r="E119">
            <v>1.8335724964620528</v>
          </cell>
        </row>
        <row r="120">
          <cell r="B120">
            <v>42.6</v>
          </cell>
          <cell r="E120">
            <v>1.4249087505775975</v>
          </cell>
        </row>
        <row r="121">
          <cell r="B121">
            <v>41.195700000000002</v>
          </cell>
          <cell r="E121">
            <v>1.5273877238107383</v>
          </cell>
        </row>
        <row r="122">
          <cell r="B122">
            <v>41.863599999999998</v>
          </cell>
          <cell r="E122">
            <v>2.1063777819846634</v>
          </cell>
        </row>
        <row r="123">
          <cell r="B123">
            <v>46.625</v>
          </cell>
          <cell r="E123">
            <v>1.4246836203710067</v>
          </cell>
        </row>
        <row r="124">
          <cell r="B124">
            <v>46.152200000000001</v>
          </cell>
          <cell r="E124">
            <v>2.2776944569398965</v>
          </cell>
        </row>
        <row r="125">
          <cell r="B125">
            <v>59.997500000000002</v>
          </cell>
          <cell r="E125">
            <v>1.8309080851665729</v>
          </cell>
        </row>
        <row r="126">
          <cell r="B126">
            <v>59.964300000000001</v>
          </cell>
          <cell r="E126">
            <v>1.4618412222562791</v>
          </cell>
        </row>
        <row r="127">
          <cell r="B127">
            <v>58.714500000000001</v>
          </cell>
          <cell r="E127">
            <v>2.740880688219411</v>
          </cell>
        </row>
        <row r="128">
          <cell r="B128">
            <v>62.726999999999997</v>
          </cell>
          <cell r="E128">
            <v>1.3985249537159905</v>
          </cell>
        </row>
        <row r="129">
          <cell r="B129">
            <v>64.2333</v>
          </cell>
          <cell r="E129">
            <v>1.5736724922483736</v>
          </cell>
        </row>
        <row r="130">
          <cell r="B130">
            <v>62.517899999999997</v>
          </cell>
          <cell r="E130">
            <v>2.5287536164703521</v>
          </cell>
        </row>
        <row r="131">
          <cell r="B131">
            <v>65.281000000000006</v>
          </cell>
          <cell r="E131">
            <v>1.3751414715636621</v>
          </cell>
        </row>
        <row r="132">
          <cell r="B132">
            <v>63.914299999999997</v>
          </cell>
          <cell r="E132">
            <v>1.3115536914665946</v>
          </cell>
        </row>
        <row r="133">
          <cell r="B133">
            <v>57.375500000000002</v>
          </cell>
          <cell r="E133">
            <v>1.4822256757916978</v>
          </cell>
        </row>
        <row r="134">
          <cell r="B134">
            <v>57.042400000000001</v>
          </cell>
          <cell r="E134">
            <v>2.2900160381060046</v>
          </cell>
        </row>
        <row r="135">
          <cell r="B135">
            <v>55.574800000000003</v>
          </cell>
          <cell r="E135">
            <v>0.97769545279863168</v>
          </cell>
        </row>
        <row r="136">
          <cell r="B136">
            <v>53.4602</v>
          </cell>
          <cell r="E136">
            <v>1.9000029724835257</v>
          </cell>
        </row>
        <row r="137">
          <cell r="B137">
            <v>54.964500000000001</v>
          </cell>
          <cell r="E137">
            <v>1.5000661897035039</v>
          </cell>
        </row>
        <row r="138">
          <cell r="B138">
            <v>55.721899999999998</v>
          </cell>
          <cell r="E138">
            <v>1.2711498683388895</v>
          </cell>
        </row>
        <row r="139">
          <cell r="B139">
            <v>54.511499999999998</v>
          </cell>
          <cell r="E139">
            <v>1.7054211271321118</v>
          </cell>
        </row>
        <row r="140">
          <cell r="B140">
            <v>54.736800000000002</v>
          </cell>
          <cell r="E140">
            <v>1.3201780559971181</v>
          </cell>
        </row>
        <row r="141">
          <cell r="B141">
            <v>52.805700000000002</v>
          </cell>
          <cell r="E141">
            <v>1.1072163410579967</v>
          </cell>
        </row>
        <row r="142">
          <cell r="B142">
            <v>49.8155</v>
          </cell>
          <cell r="E142">
            <v>1.2907513768992049</v>
          </cell>
        </row>
        <row r="143">
          <cell r="B143">
            <v>52.7423</v>
          </cell>
          <cell r="E143">
            <v>0.83768485391049374</v>
          </cell>
        </row>
        <row r="144">
          <cell r="B144">
            <v>53.137500000000003</v>
          </cell>
          <cell r="E144">
            <v>1.2488331967402206</v>
          </cell>
        </row>
        <row r="145">
          <cell r="B145">
            <v>52.003599999999999</v>
          </cell>
          <cell r="E145">
            <v>0.98160066077753849</v>
          </cell>
        </row>
        <row r="146">
          <cell r="B146">
            <v>50.287100000000002</v>
          </cell>
          <cell r="E146">
            <v>1.1853112420876604</v>
          </cell>
        </row>
        <row r="147">
          <cell r="B147">
            <v>49.053600000000003</v>
          </cell>
          <cell r="E147">
            <v>1.198114269707145</v>
          </cell>
        </row>
        <row r="148">
          <cell r="B148">
            <v>51.572299999999998</v>
          </cell>
          <cell r="E148">
            <v>1.4637325208107712</v>
          </cell>
        </row>
        <row r="149">
          <cell r="B149">
            <v>50.597499999999997</v>
          </cell>
          <cell r="E149">
            <v>1.4785365317823076</v>
          </cell>
        </row>
        <row r="150">
          <cell r="B150">
            <v>53.075200000000002</v>
          </cell>
          <cell r="E150">
            <v>1.3214113491634349</v>
          </cell>
        </row>
        <row r="151">
          <cell r="B151">
            <v>54.053699999999999</v>
          </cell>
          <cell r="E151">
            <v>1.1195825753531783</v>
          </cell>
        </row>
        <row r="152">
          <cell r="B152">
            <v>57.121499999999997</v>
          </cell>
          <cell r="E152">
            <v>0.85495168324230242</v>
          </cell>
        </row>
        <row r="153">
          <cell r="B153">
            <v>65.565899999999999</v>
          </cell>
          <cell r="E153">
            <v>1.2061671157832092</v>
          </cell>
        </row>
        <row r="154">
          <cell r="B154">
            <v>74.368600000000001</v>
          </cell>
          <cell r="E154">
            <v>1.4338611896765916</v>
          </cell>
        </row>
        <row r="155">
          <cell r="B155">
            <v>67.023799999999994</v>
          </cell>
          <cell r="E155">
            <v>1.4490844512409318</v>
          </cell>
        </row>
        <row r="156">
          <cell r="B156">
            <v>70.378399999999999</v>
          </cell>
          <cell r="E156">
            <v>0.93874688288601538</v>
          </cell>
        </row>
        <row r="157">
          <cell r="B157">
            <v>70.495999999999995</v>
          </cell>
          <cell r="E157">
            <v>1.2866324321853579</v>
          </cell>
        </row>
        <row r="158">
          <cell r="B158">
            <v>71.260400000000004</v>
          </cell>
          <cell r="E158">
            <v>1.5993673423472023</v>
          </cell>
        </row>
        <row r="159">
          <cell r="B159">
            <v>72.356200000000001</v>
          </cell>
          <cell r="E159">
            <v>2.0643879124794919</v>
          </cell>
        </row>
        <row r="160">
          <cell r="B160">
            <v>70.435199999999995</v>
          </cell>
          <cell r="E160">
            <v>1.591570138124043</v>
          </cell>
        </row>
        <row r="161">
          <cell r="B161">
            <v>72.356700000000004</v>
          </cell>
          <cell r="E161">
            <v>1.751741997179127</v>
          </cell>
        </row>
        <row r="162">
          <cell r="B162">
            <v>78.697100000000006</v>
          </cell>
          <cell r="E162">
            <v>1.6023449738249593</v>
          </cell>
        </row>
        <row r="163">
          <cell r="B163">
            <v>85.19</v>
          </cell>
          <cell r="E163">
            <v>1.2664535735389257</v>
          </cell>
        </row>
        <row r="164">
          <cell r="B164">
            <v>83.308899999999994</v>
          </cell>
          <cell r="E164">
            <v>1.1370715459584613</v>
          </cell>
        </row>
        <row r="165">
          <cell r="B165">
            <v>74.369600000000005</v>
          </cell>
          <cell r="E165">
            <v>1.8560503058103022</v>
          </cell>
        </row>
        <row r="166">
          <cell r="B166">
            <v>76.2226</v>
          </cell>
          <cell r="E166">
            <v>1.2005330831799743</v>
          </cell>
        </row>
        <row r="167">
          <cell r="B167">
            <v>80.485200000000006</v>
          </cell>
          <cell r="E167">
            <v>3.1998969370419736</v>
          </cell>
        </row>
        <row r="168">
          <cell r="B168">
            <v>83.306799999999996</v>
          </cell>
          <cell r="E168">
            <v>2.565832751867112</v>
          </cell>
        </row>
        <row r="169">
          <cell r="B169">
            <v>82.924999999999997</v>
          </cell>
          <cell r="E169">
            <v>1.6965642338872027</v>
          </cell>
        </row>
        <row r="170">
          <cell r="B170">
            <v>83.869600000000005</v>
          </cell>
          <cell r="E170">
            <v>2.1024786710613812</v>
          </cell>
        </row>
        <row r="171">
          <cell r="B171">
            <v>83.075000000000003</v>
          </cell>
          <cell r="E171">
            <v>2.0220368475971302</v>
          </cell>
        </row>
        <row r="172">
          <cell r="B172">
            <v>70.670500000000004</v>
          </cell>
          <cell r="E172">
            <v>1.4664237754324878</v>
          </cell>
        </row>
        <row r="173">
          <cell r="B173">
            <v>73.6524</v>
          </cell>
          <cell r="E173">
            <v>2.9788212384239694</v>
          </cell>
        </row>
        <row r="174">
          <cell r="B174">
            <v>69.644999999999996</v>
          </cell>
          <cell r="E174">
            <v>0.91977013664618223</v>
          </cell>
        </row>
        <row r="175">
          <cell r="B175">
            <v>66.819000000000003</v>
          </cell>
          <cell r="E175">
            <v>2.4204709419948642</v>
          </cell>
        </row>
        <row r="176">
          <cell r="B176">
            <v>60.539499999999997</v>
          </cell>
          <cell r="E176">
            <v>1.443782899781791</v>
          </cell>
        </row>
        <row r="177">
          <cell r="B177">
            <v>54.5595</v>
          </cell>
          <cell r="E177">
            <v>2.0027794288120671</v>
          </cell>
        </row>
      </sheetData>
      <sheetData sheetId="3">
        <row r="3">
          <cell r="B3">
            <v>29.982099999999999</v>
          </cell>
          <cell r="E3">
            <v>2.2018469368044444</v>
          </cell>
        </row>
        <row r="4">
          <cell r="B4">
            <v>28.908999999999999</v>
          </cell>
          <cell r="D4">
            <v>32.777462856</v>
          </cell>
          <cell r="E4">
            <v>3.1240978122641794</v>
          </cell>
        </row>
        <row r="5">
          <cell r="B5">
            <v>27.5227</v>
          </cell>
          <cell r="D5">
            <v>35.294855124400009</v>
          </cell>
          <cell r="E5">
            <v>2.9437718226578569</v>
          </cell>
        </row>
        <row r="6">
          <cell r="B6">
            <v>29.175000000000001</v>
          </cell>
          <cell r="D6">
            <v>43.422574347599998</v>
          </cell>
          <cell r="E6">
            <v>2.3973705282112943</v>
          </cell>
        </row>
        <row r="7">
          <cell r="B7">
            <v>29.521699999999999</v>
          </cell>
          <cell r="D7">
            <v>72.35598554820001</v>
          </cell>
          <cell r="E7">
            <v>1.2065345988804896</v>
          </cell>
        </row>
        <row r="8">
          <cell r="B8">
            <v>28.2</v>
          </cell>
          <cell r="D8">
            <v>75.599999999998545</v>
          </cell>
          <cell r="E8">
            <v>1.0000000000000191</v>
          </cell>
        </row>
        <row r="9">
          <cell r="B9">
            <v>28.829499999999999</v>
          </cell>
          <cell r="D9">
            <v>45443.461334528205</v>
          </cell>
          <cell r="E9">
            <v>1.0001438857270062</v>
          </cell>
        </row>
        <row r="10">
          <cell r="B10">
            <v>31.274999999999999</v>
          </cell>
          <cell r="D10">
            <v>25.039355973799996</v>
          </cell>
          <cell r="E10">
            <v>2.8235550496577133</v>
          </cell>
        </row>
        <row r="11">
          <cell r="B11">
            <v>34.15</v>
          </cell>
          <cell r="D11">
            <v>54.272458000199997</v>
          </cell>
          <cell r="E11">
            <v>1.5090527132509495</v>
          </cell>
        </row>
        <row r="12">
          <cell r="B12">
            <v>34.837499999999999</v>
          </cell>
          <cell r="D12">
            <v>87.6843458564</v>
          </cell>
          <cell r="E12">
            <v>1.1769489638322657</v>
          </cell>
        </row>
        <row r="13">
          <cell r="B13">
            <v>35.131500000000003</v>
          </cell>
          <cell r="D13">
            <v>51.334833209000017</v>
          </cell>
          <cell r="E13">
            <v>1.7025476569519087</v>
          </cell>
        </row>
        <row r="14">
          <cell r="B14">
            <v>35.886299999999999</v>
          </cell>
          <cell r="D14">
            <v>62.622572275400003</v>
          </cell>
          <cell r="E14">
            <v>1.2152167698466503</v>
          </cell>
        </row>
        <row r="15">
          <cell r="B15">
            <v>39.837499999999999</v>
          </cell>
          <cell r="D15">
            <v>51.336082119199986</v>
          </cell>
          <cell r="E15">
            <v>1.3499277143722934</v>
          </cell>
        </row>
        <row r="16">
          <cell r="B16">
            <v>42.875</v>
          </cell>
          <cell r="D16">
            <v>46.568094430000016</v>
          </cell>
          <cell r="E16">
            <v>1.2068348659719892</v>
          </cell>
        </row>
        <row r="17">
          <cell r="B17">
            <v>47.690399999999997</v>
          </cell>
          <cell r="D17">
            <v>59.448686613599982</v>
          </cell>
          <cell r="E17">
            <v>1.1657112031831893</v>
          </cell>
        </row>
        <row r="18">
          <cell r="B18">
            <v>47.452300000000001</v>
          </cell>
          <cell r="D18">
            <v>34.316679373400014</v>
          </cell>
          <cell r="E18">
            <v>2.1680419364138679</v>
          </cell>
        </row>
        <row r="19">
          <cell r="B19">
            <v>46.869500000000002</v>
          </cell>
          <cell r="D19">
            <v>55.506088736799988</v>
          </cell>
          <cell r="E19">
            <v>1.9367244647654045</v>
          </cell>
        </row>
        <row r="20">
          <cell r="B20">
            <v>47.631500000000003</v>
          </cell>
          <cell r="D20">
            <v>78.900000000001455</v>
          </cell>
          <cell r="E20">
            <v>0.99999999999998168</v>
          </cell>
        </row>
        <row r="21">
          <cell r="B21">
            <v>50.891300000000001</v>
          </cell>
          <cell r="D21">
            <v>45452.811610814999</v>
          </cell>
          <cell r="E21">
            <v>1.0006201682181151</v>
          </cell>
        </row>
        <row r="22">
          <cell r="B22">
            <v>55.424999999999997</v>
          </cell>
          <cell r="D22">
            <v>40.323484949000026</v>
          </cell>
          <cell r="E22">
            <v>1.6466830702748236</v>
          </cell>
        </row>
        <row r="23">
          <cell r="B23">
            <v>57.6</v>
          </cell>
          <cell r="D23">
            <v>41.777082072399992</v>
          </cell>
          <cell r="E23">
            <v>1.7497631805236458</v>
          </cell>
        </row>
        <row r="24">
          <cell r="B24">
            <v>64.8095</v>
          </cell>
          <cell r="D24">
            <v>52.465243833800002</v>
          </cell>
          <cell r="E24">
            <v>1.52291296411598</v>
          </cell>
        </row>
        <row r="25">
          <cell r="B25">
            <v>69.224999999999994</v>
          </cell>
          <cell r="D25">
            <v>24.133204460600016</v>
          </cell>
          <cell r="E25">
            <v>3.4268138794007408</v>
          </cell>
        </row>
        <row r="26">
          <cell r="B26">
            <v>70.825000000000003</v>
          </cell>
          <cell r="D26">
            <v>28.566180189400001</v>
          </cell>
          <cell r="E26">
            <v>2.8040150789821929</v>
          </cell>
        </row>
        <row r="27">
          <cell r="B27">
            <v>69.181799999999996</v>
          </cell>
          <cell r="D27">
            <v>34.731175190400002</v>
          </cell>
          <cell r="E27">
            <v>2.7093813982433295</v>
          </cell>
        </row>
        <row r="28">
          <cell r="B28">
            <v>71.345200000000006</v>
          </cell>
          <cell r="D28">
            <v>37.314982777999994</v>
          </cell>
          <cell r="E28">
            <v>2.6664892381690386</v>
          </cell>
        </row>
        <row r="29">
          <cell r="B29">
            <v>72.5</v>
          </cell>
          <cell r="D29">
            <v>47.802107821800021</v>
          </cell>
          <cell r="E29">
            <v>2.0710383811747173</v>
          </cell>
        </row>
        <row r="30">
          <cell r="B30">
            <v>67.2727</v>
          </cell>
          <cell r="D30">
            <v>59.846387645600011</v>
          </cell>
          <cell r="E30">
            <v>1.604106843816463</v>
          </cell>
        </row>
        <row r="31">
          <cell r="B31">
            <v>54.857100000000003</v>
          </cell>
          <cell r="D31">
            <v>36.713842499399995</v>
          </cell>
          <cell r="E31">
            <v>2.1517769490156491</v>
          </cell>
        </row>
        <row r="32">
          <cell r="B32">
            <v>50.785699999999999</v>
          </cell>
          <cell r="D32">
            <v>92.80000000000291</v>
          </cell>
          <cell r="E32">
            <v>0.99999999999996858</v>
          </cell>
        </row>
        <row r="33">
          <cell r="B33">
            <v>40.956499999999998</v>
          </cell>
          <cell r="D33">
            <v>45517.213276022201</v>
          </cell>
          <cell r="E33">
            <v>0.9999074355453913</v>
          </cell>
        </row>
        <row r="34">
          <cell r="B34">
            <v>29.368400000000001</v>
          </cell>
          <cell r="D34">
            <v>61.234276128200023</v>
          </cell>
          <cell r="E34">
            <v>1.154582114304455</v>
          </cell>
        </row>
        <row r="35">
          <cell r="B35">
            <v>29.4772</v>
          </cell>
          <cell r="D35">
            <v>67.642934113400003</v>
          </cell>
          <cell r="E35">
            <v>1.1797241063821875</v>
          </cell>
        </row>
        <row r="36">
          <cell r="B36">
            <v>31.975000000000001</v>
          </cell>
          <cell r="D36">
            <v>52.303023493799955</v>
          </cell>
          <cell r="E36">
            <v>1.0859792839076141</v>
          </cell>
        </row>
        <row r="37">
          <cell r="B37">
            <v>32.026299999999999</v>
          </cell>
          <cell r="D37">
            <v>76.410948482999984</v>
          </cell>
          <cell r="E37">
            <v>1.2301902000459168</v>
          </cell>
        </row>
        <row r="38">
          <cell r="B38">
            <v>31.908999999999999</v>
          </cell>
          <cell r="D38">
            <v>41.014499560200015</v>
          </cell>
          <cell r="E38">
            <v>2.2040985741472534</v>
          </cell>
        </row>
        <row r="39">
          <cell r="B39">
            <v>38.3095</v>
          </cell>
          <cell r="D39">
            <v>58.359949923999984</v>
          </cell>
          <cell r="E39">
            <v>2.0270750772414599</v>
          </cell>
        </row>
        <row r="40">
          <cell r="B40">
            <v>42.375</v>
          </cell>
          <cell r="D40">
            <v>66.813155358599985</v>
          </cell>
          <cell r="E40">
            <v>1.5221553218696995</v>
          </cell>
        </row>
        <row r="41">
          <cell r="B41">
            <v>40.875</v>
          </cell>
          <cell r="D41">
            <v>64.165453772799992</v>
          </cell>
          <cell r="E41">
            <v>1.8467881551900229</v>
          </cell>
        </row>
        <row r="42">
          <cell r="B42">
            <v>35.590899999999998</v>
          </cell>
          <cell r="D42">
            <v>45.94209023219998</v>
          </cell>
          <cell r="E42">
            <v>2.1396501444138321</v>
          </cell>
        </row>
        <row r="43">
          <cell r="B43">
            <v>38.916600000000003</v>
          </cell>
          <cell r="D43">
            <v>58.711148462200015</v>
          </cell>
          <cell r="E43">
            <v>1.4188106038094455</v>
          </cell>
        </row>
        <row r="44">
          <cell r="B44">
            <v>38.285699999999999</v>
          </cell>
          <cell r="D44">
            <v>77.5</v>
          </cell>
          <cell r="E44">
            <v>1</v>
          </cell>
        </row>
        <row r="45">
          <cell r="B45">
            <v>38.386299999999999</v>
          </cell>
          <cell r="D45">
            <v>45521.975477006003</v>
          </cell>
          <cell r="E45">
            <v>1.0005057891875897</v>
          </cell>
        </row>
        <row r="46">
          <cell r="B46">
            <v>40.487499999999997</v>
          </cell>
          <cell r="D46">
            <v>50.509673073799995</v>
          </cell>
          <cell r="E46">
            <v>0.97407084635280805</v>
          </cell>
        </row>
        <row r="47">
          <cell r="B47">
            <v>44.193100000000001</v>
          </cell>
          <cell r="D47">
            <v>49.096398359800006</v>
          </cell>
          <cell r="E47">
            <v>1.2974475140351107</v>
          </cell>
        </row>
        <row r="48">
          <cell r="B48">
            <v>45.920999999999999</v>
          </cell>
          <cell r="D48">
            <v>27.467292997800008</v>
          </cell>
          <cell r="E48">
            <v>1.8239875332459139</v>
          </cell>
        </row>
        <row r="49">
          <cell r="B49">
            <v>46.420999999999999</v>
          </cell>
          <cell r="D49">
            <v>82.130814877399985</v>
          </cell>
          <cell r="E49">
            <v>1.172921517262433</v>
          </cell>
        </row>
        <row r="50">
          <cell r="B50">
            <v>52.489100000000001</v>
          </cell>
          <cell r="D50">
            <v>55.181303525800033</v>
          </cell>
          <cell r="E50">
            <v>1.3125822583392823</v>
          </cell>
        </row>
        <row r="51">
          <cell r="B51">
            <v>53.357100000000003</v>
          </cell>
          <cell r="D51">
            <v>76.623125780000009</v>
          </cell>
          <cell r="E51">
            <v>0.9517231156737076</v>
          </cell>
        </row>
        <row r="52">
          <cell r="B52">
            <v>53.6</v>
          </cell>
          <cell r="D52">
            <v>62.629112841799994</v>
          </cell>
          <cell r="E52">
            <v>0.85581605052254373</v>
          </cell>
        </row>
        <row r="53">
          <cell r="B53">
            <v>54.386299999999999</v>
          </cell>
          <cell r="D53">
            <v>39.030866363800001</v>
          </cell>
          <cell r="E53">
            <v>1.2220840694491844</v>
          </cell>
        </row>
        <row r="54">
          <cell r="B54">
            <v>56.321399999999997</v>
          </cell>
          <cell r="D54">
            <v>59.649930316599992</v>
          </cell>
          <cell r="E54">
            <v>0.72494636239274701</v>
          </cell>
        </row>
        <row r="55">
          <cell r="B55">
            <v>59.602200000000003</v>
          </cell>
          <cell r="D55">
            <v>59.841203078800007</v>
          </cell>
          <cell r="E55">
            <v>1.2663515454428864</v>
          </cell>
        </row>
        <row r="56">
          <cell r="B56">
            <v>64.25</v>
          </cell>
          <cell r="D56">
            <v>74.285000000003492</v>
          </cell>
          <cell r="E56">
            <v>0.99999999999995293</v>
          </cell>
        </row>
        <row r="57">
          <cell r="B57">
            <v>72.142799999999994</v>
          </cell>
          <cell r="D57">
            <v>45549.575671324397</v>
          </cell>
          <cell r="E57">
            <v>1.000580122389422</v>
          </cell>
        </row>
        <row r="58">
          <cell r="B58">
            <v>81.5</v>
          </cell>
          <cell r="D58">
            <v>41.06095681659999</v>
          </cell>
          <cell r="E58">
            <v>1.8891912418523924</v>
          </cell>
        </row>
        <row r="59">
          <cell r="B59">
            <v>94.454499999999996</v>
          </cell>
          <cell r="D59">
            <v>49.788699471600012</v>
          </cell>
          <cell r="E59">
            <v>1.7325015699436581</v>
          </cell>
        </row>
        <row r="60">
          <cell r="B60">
            <v>108.2375</v>
          </cell>
          <cell r="D60">
            <v>40.733695696800005</v>
          </cell>
          <cell r="E60">
            <v>2.1194737801996766</v>
          </cell>
        </row>
        <row r="61">
          <cell r="B61">
            <v>113.7368</v>
          </cell>
          <cell r="D61">
            <v>49.090618279599965</v>
          </cell>
          <cell r="E61">
            <v>2.046439900752838</v>
          </cell>
        </row>
        <row r="62">
          <cell r="B62">
            <v>103.43470000000001</v>
          </cell>
          <cell r="D62">
            <v>62.846949670000008</v>
          </cell>
          <cell r="E62">
            <v>1.4902712143037888</v>
          </cell>
        </row>
        <row r="63">
          <cell r="B63">
            <v>94.375</v>
          </cell>
          <cell r="D63">
            <v>46.279827269400002</v>
          </cell>
          <cell r="E63">
            <v>1.3557958986049923</v>
          </cell>
        </row>
        <row r="64">
          <cell r="B64">
            <v>96.297600000000003</v>
          </cell>
          <cell r="D64">
            <v>52.0242061756</v>
          </cell>
          <cell r="E64">
            <v>1.1406421041717243</v>
          </cell>
        </row>
        <row r="65">
          <cell r="B65">
            <v>89.704499999999996</v>
          </cell>
          <cell r="D65">
            <v>64.306333032800012</v>
          </cell>
          <cell r="E65">
            <v>1.0754150755995739</v>
          </cell>
        </row>
        <row r="66">
          <cell r="B66">
            <v>72.724999999999994</v>
          </cell>
          <cell r="D66">
            <v>50.085741425000002</v>
          </cell>
          <cell r="E66">
            <v>1.2972753951799965</v>
          </cell>
        </row>
        <row r="67">
          <cell r="B67">
            <v>72.543400000000005</v>
          </cell>
          <cell r="D67">
            <v>41.934965118199983</v>
          </cell>
          <cell r="E67">
            <v>2.1208316198503501</v>
          </cell>
        </row>
        <row r="68">
          <cell r="B68">
            <v>65.904700000000005</v>
          </cell>
          <cell r="D68">
            <v>85.468500000002678</v>
          </cell>
          <cell r="E68">
            <v>0.99999999999996869</v>
          </cell>
        </row>
        <row r="69">
          <cell r="B69">
            <v>55.523800000000001</v>
          </cell>
          <cell r="D69">
            <v>45648.377464908997</v>
          </cell>
          <cell r="E69">
            <v>0.99911546768688464</v>
          </cell>
        </row>
        <row r="70">
          <cell r="B70">
            <v>65.642799999999994</v>
          </cell>
          <cell r="D70">
            <v>76.095173876399983</v>
          </cell>
          <cell r="E70">
            <v>1.0775979056594458</v>
          </cell>
        </row>
        <row r="71">
          <cell r="B71">
            <v>69.452299999999994</v>
          </cell>
          <cell r="D71">
            <v>30.628152059399998</v>
          </cell>
          <cell r="E71">
            <v>2.6772754634680487</v>
          </cell>
        </row>
        <row r="72">
          <cell r="B72">
            <v>71.45</v>
          </cell>
          <cell r="D72">
            <v>53.000435653199986</v>
          </cell>
          <cell r="E72">
            <v>1.5471570938879466</v>
          </cell>
        </row>
        <row r="73">
          <cell r="B73">
            <v>68.712500000000006</v>
          </cell>
          <cell r="D73">
            <v>60.101523115200003</v>
          </cell>
          <cell r="E73">
            <v>1.364358101920744</v>
          </cell>
        </row>
        <row r="74">
          <cell r="B74">
            <v>71.761300000000006</v>
          </cell>
          <cell r="D74">
            <v>61.182228819599999</v>
          </cell>
          <cell r="E74">
            <v>1.3402584636428108</v>
          </cell>
        </row>
        <row r="75">
          <cell r="B75">
            <v>72.012500000000003</v>
          </cell>
          <cell r="D75">
            <v>37.216664906400005</v>
          </cell>
          <cell r="E75">
            <v>2.2033140316637772</v>
          </cell>
        </row>
        <row r="76">
          <cell r="B76">
            <v>63.045499999999997</v>
          </cell>
          <cell r="D76">
            <v>41.439838809599991</v>
          </cell>
          <cell r="E76">
            <v>1.9787721756534393</v>
          </cell>
        </row>
        <row r="77">
          <cell r="B77">
            <v>57.345199999999998</v>
          </cell>
          <cell r="D77">
            <v>42.101666334000008</v>
          </cell>
          <cell r="E77">
            <v>1.9476663785580222</v>
          </cell>
        </row>
        <row r="78">
          <cell r="B78">
            <v>56.404800000000002</v>
          </cell>
          <cell r="D78">
            <v>44.321720688000006</v>
          </cell>
          <cell r="E78">
            <v>1.850108676448595</v>
          </cell>
        </row>
        <row r="79">
          <cell r="B79">
            <v>52.760899999999999</v>
          </cell>
          <cell r="D79">
            <v>43.562669333400017</v>
          </cell>
          <cell r="E79">
            <v>1.8823456242413874</v>
          </cell>
        </row>
        <row r="80">
          <cell r="B80">
            <v>49.486800000000002</v>
          </cell>
          <cell r="D80">
            <v>82</v>
          </cell>
          <cell r="E80">
            <v>1</v>
          </cell>
        </row>
        <row r="81">
          <cell r="B81">
            <v>44.130400000000002</v>
          </cell>
          <cell r="D81">
            <v>45593.700553248338</v>
          </cell>
          <cell r="E81">
            <v>1.0009935461741859</v>
          </cell>
        </row>
        <row r="82">
          <cell r="B82">
            <v>42.5227</v>
          </cell>
          <cell r="D82">
            <v>38.938905964933326</v>
          </cell>
          <cell r="E82">
            <v>2.0908822333115098</v>
          </cell>
        </row>
        <row r="83">
          <cell r="B83">
            <v>38.524999999999999</v>
          </cell>
          <cell r="D83">
            <v>50.161534255933354</v>
          </cell>
          <cell r="E83">
            <v>1.6114605450644082</v>
          </cell>
        </row>
        <row r="84">
          <cell r="B84">
            <v>41.595199999999998</v>
          </cell>
          <cell r="D84">
            <v>49.758749816533346</v>
          </cell>
          <cell r="E84">
            <v>1.612781677511828</v>
          </cell>
        </row>
        <row r="85">
          <cell r="B85">
            <v>43.039499999999997</v>
          </cell>
          <cell r="D85">
            <v>45.286012702933341</v>
          </cell>
          <cell r="E85">
            <v>1.759189248770104</v>
          </cell>
        </row>
        <row r="86">
          <cell r="B86">
            <v>42.15</v>
          </cell>
          <cell r="D86">
            <v>51.632017129933317</v>
          </cell>
          <cell r="E86">
            <v>1.5316723562110326</v>
          </cell>
        </row>
        <row r="87">
          <cell r="B87">
            <v>41.045499999999997</v>
          </cell>
          <cell r="D87">
            <v>75.885945600733322</v>
          </cell>
          <cell r="E87">
            <v>1.0344471480005046</v>
          </cell>
        </row>
        <row r="88">
          <cell r="B88">
            <v>41.920499999999997</v>
          </cell>
          <cell r="D88">
            <v>53.672835715333314</v>
          </cell>
          <cell r="E88">
            <v>1.4516964797596372</v>
          </cell>
        </row>
        <row r="89">
          <cell r="B89">
            <v>42.774999999999999</v>
          </cell>
          <cell r="D89">
            <v>73.849315797133343</v>
          </cell>
          <cell r="E89">
            <v>1.0471773840907443</v>
          </cell>
        </row>
        <row r="90">
          <cell r="B90">
            <v>42.315199999999997</v>
          </cell>
          <cell r="D90">
            <v>37.561899063733335</v>
          </cell>
          <cell r="E90">
            <v>2.043293920517014</v>
          </cell>
        </row>
        <row r="91">
          <cell r="B91">
            <v>42.5</v>
          </cell>
          <cell r="D91">
            <v>40.020052593733332</v>
          </cell>
          <cell r="E91">
            <v>1.9032125579613435</v>
          </cell>
        </row>
        <row r="92">
          <cell r="B92">
            <v>45.5</v>
          </cell>
          <cell r="D92" t="e">
            <v>#VALUE!</v>
          </cell>
          <cell r="E92" t="e">
            <v>#VALUE!</v>
          </cell>
        </row>
        <row r="93">
          <cell r="B93">
            <v>46.543500000000002</v>
          </cell>
          <cell r="D93" t="e">
            <v>#VALUE!</v>
          </cell>
          <cell r="E93" t="e">
            <v>#VALUE!</v>
          </cell>
        </row>
        <row r="94">
          <cell r="B94">
            <v>54.674999999999997</v>
          </cell>
          <cell r="D94">
            <v>81.673969847399988</v>
          </cell>
          <cell r="E94">
            <v>0.91828522771857835</v>
          </cell>
        </row>
        <row r="95">
          <cell r="B95">
            <v>57.047600000000003</v>
          </cell>
          <cell r="D95">
            <v>38.479251925800007</v>
          </cell>
          <cell r="E95">
            <v>1.9491023407789574</v>
          </cell>
        </row>
        <row r="96">
          <cell r="B96">
            <v>59</v>
          </cell>
          <cell r="D96">
            <v>63.487381582800012</v>
          </cell>
          <cell r="E96">
            <v>1.1813371118823868</v>
          </cell>
        </row>
        <row r="97">
          <cell r="B97">
            <v>62.657899999999998</v>
          </cell>
          <cell r="D97">
            <v>31.669395030000011</v>
          </cell>
          <cell r="E97">
            <v>2.3682170097961599</v>
          </cell>
        </row>
        <row r="98">
          <cell r="B98">
            <v>70</v>
          </cell>
          <cell r="D98">
            <v>69.410980434599992</v>
          </cell>
          <cell r="E98">
            <v>1.0805206831888228</v>
          </cell>
        </row>
        <row r="99">
          <cell r="B99">
            <v>67.428600000000003</v>
          </cell>
          <cell r="D99">
            <v>45.458423791200005</v>
          </cell>
          <cell r="E99">
            <v>1.6498592283905531</v>
          </cell>
        </row>
        <row r="100">
          <cell r="B100">
            <v>66.428600000000003</v>
          </cell>
          <cell r="D100">
            <v>53.654987925000007</v>
          </cell>
          <cell r="E100">
            <v>1.3978197163111186</v>
          </cell>
        </row>
        <row r="101">
          <cell r="B101">
            <v>63.619</v>
          </cell>
          <cell r="D101">
            <v>49.549099912200006</v>
          </cell>
          <cell r="E101">
            <v>1.5136500992530333</v>
          </cell>
        </row>
        <row r="102">
          <cell r="B102">
            <v>59.7727</v>
          </cell>
          <cell r="D102">
            <v>45.218340455400011</v>
          </cell>
          <cell r="E102">
            <v>1.6586190303462018</v>
          </cell>
        </row>
        <row r="103">
          <cell r="B103">
            <v>50.107100000000003</v>
          </cell>
          <cell r="D103">
            <v>33.367615356599998</v>
          </cell>
          <cell r="E103">
            <v>2.2476883408800523</v>
          </cell>
        </row>
        <row r="104">
          <cell r="B104">
            <v>47.023800000000001</v>
          </cell>
          <cell r="D104" t="e">
            <v>#VALUE!</v>
          </cell>
          <cell r="E104" t="e">
            <v>#VALUE!</v>
          </cell>
        </row>
        <row r="105">
          <cell r="B105">
            <v>46.188600000000001</v>
          </cell>
          <cell r="D105" t="e">
            <v>#VALUE!</v>
          </cell>
          <cell r="E105" t="e">
            <v>#VALUE!</v>
          </cell>
        </row>
        <row r="106">
          <cell r="B106">
            <v>48.020400000000002</v>
          </cell>
          <cell r="D106">
            <v>26.336489079399993</v>
          </cell>
          <cell r="E106">
            <v>2.9194713375877095</v>
          </cell>
        </row>
        <row r="107">
          <cell r="B107">
            <v>49.785699999999999</v>
          </cell>
          <cell r="D107">
            <v>58.148743614999994</v>
          </cell>
          <cell r="E107">
            <v>1.354754120253747</v>
          </cell>
        </row>
        <row r="108">
          <cell r="B108">
            <v>50.5</v>
          </cell>
          <cell r="D108">
            <v>70.106613342999992</v>
          </cell>
          <cell r="E108">
            <v>1.1506171979145294</v>
          </cell>
        </row>
        <row r="109">
          <cell r="B109">
            <v>56.552599999999998</v>
          </cell>
          <cell r="D109">
            <v>48.249108986199992</v>
          </cell>
          <cell r="E109">
            <v>1.7110056897343309</v>
          </cell>
        </row>
        <row r="110">
          <cell r="B110">
            <v>56.840899999999998</v>
          </cell>
          <cell r="D110">
            <v>58.33327047640001</v>
          </cell>
          <cell r="E110">
            <v>1.4475979884269188</v>
          </cell>
        </row>
        <row r="111">
          <cell r="B111">
            <v>50.833300000000001</v>
          </cell>
          <cell r="D111">
            <v>61.356689087199982</v>
          </cell>
          <cell r="E111">
            <v>1.4070470764370213</v>
          </cell>
        </row>
        <row r="112">
          <cell r="B112">
            <v>50.8095</v>
          </cell>
          <cell r="D112">
            <v>39.161436640000041</v>
          </cell>
          <cell r="E112">
            <v>2.2527359200579098</v>
          </cell>
        </row>
        <row r="113">
          <cell r="B113">
            <v>48.090899999999998</v>
          </cell>
          <cell r="D113">
            <v>66.194444914000016</v>
          </cell>
          <cell r="E113">
            <v>1.3612773717956217</v>
          </cell>
        </row>
        <row r="114">
          <cell r="B114">
            <v>46.159100000000002</v>
          </cell>
          <cell r="D114">
            <v>25.601700886800007</v>
          </cell>
          <cell r="E114">
            <v>3.3010697364866921</v>
          </cell>
        </row>
        <row r="115">
          <cell r="B115">
            <v>41.333300000000001</v>
          </cell>
          <cell r="D115">
            <v>86.139030789399996</v>
          </cell>
          <cell r="E115">
            <v>1.1325527940814151</v>
          </cell>
        </row>
        <row r="116">
          <cell r="B116">
            <v>41.369</v>
          </cell>
          <cell r="D116" t="e">
            <v>#VALUE!</v>
          </cell>
          <cell r="E116" t="e">
            <v>#VALUE!</v>
          </cell>
        </row>
        <row r="117">
          <cell r="B117">
            <v>47.7273</v>
          </cell>
          <cell r="D117" t="e">
            <v>#VALUE!</v>
          </cell>
          <cell r="E117" t="e">
            <v>#VALUE!</v>
          </cell>
        </row>
        <row r="118">
          <cell r="B118">
            <v>44.4375</v>
          </cell>
          <cell r="D118">
            <v>18.807074599200011</v>
          </cell>
          <cell r="E118">
            <v>4.805000348318071</v>
          </cell>
        </row>
        <row r="119">
          <cell r="B119">
            <v>45.3386</v>
          </cell>
          <cell r="D119">
            <v>67.388902000400009</v>
          </cell>
          <cell r="E119">
            <v>1.8203590852284823</v>
          </cell>
        </row>
        <row r="120">
          <cell r="B120">
            <v>49.210500000000003</v>
          </cell>
          <cell r="D120">
            <v>65.957311740000023</v>
          </cell>
          <cell r="E120">
            <v>1.8929971023103429</v>
          </cell>
        </row>
        <row r="121">
          <cell r="B121">
            <v>53.375</v>
          </cell>
          <cell r="D121">
            <v>109.99105288619997</v>
          </cell>
          <cell r="E121">
            <v>1.2003430873291037</v>
          </cell>
        </row>
        <row r="122">
          <cell r="B122">
            <v>56.5227</v>
          </cell>
          <cell r="D122">
            <v>88.36216287000002</v>
          </cell>
          <cell r="E122">
            <v>1.4392925192099246</v>
          </cell>
        </row>
        <row r="123">
          <cell r="B123">
            <v>69.023799999999994</v>
          </cell>
          <cell r="D123">
            <v>57.740579282599988</v>
          </cell>
          <cell r="E123">
            <v>2.0118606609651106</v>
          </cell>
        </row>
        <row r="124">
          <cell r="B124">
            <v>63.464300000000001</v>
          </cell>
          <cell r="D124">
            <v>29.461237958200023</v>
          </cell>
          <cell r="E124">
            <v>3.7692238241160632</v>
          </cell>
        </row>
        <row r="125">
          <cell r="B125">
            <v>66.954499999999996</v>
          </cell>
          <cell r="D125">
            <v>71.04968305079997</v>
          </cell>
          <cell r="E125">
            <v>1.6344478259948056</v>
          </cell>
        </row>
        <row r="126">
          <cell r="B126">
            <v>65.599999999999994</v>
          </cell>
          <cell r="D126">
            <v>87.694707405999992</v>
          </cell>
          <cell r="E126">
            <v>1.2026381422510362</v>
          </cell>
        </row>
        <row r="127">
          <cell r="B127">
            <v>71.021699999999996</v>
          </cell>
          <cell r="D127">
            <v>77.524583565400008</v>
          </cell>
          <cell r="E127">
            <v>1.2266173596376588</v>
          </cell>
        </row>
        <row r="128">
          <cell r="B128">
            <v>73.714299999999994</v>
          </cell>
          <cell r="D128" t="e">
            <v>#VALUE!</v>
          </cell>
          <cell r="E128" t="e">
            <v>#VALUE!</v>
          </cell>
        </row>
        <row r="129">
          <cell r="B129">
            <v>69.8095</v>
          </cell>
          <cell r="D129" t="e">
            <v>#VALUE!</v>
          </cell>
          <cell r="E129" t="e">
            <v>#VALUE!</v>
          </cell>
        </row>
        <row r="130">
          <cell r="B130">
            <v>75.535700000000006</v>
          </cell>
          <cell r="D130">
            <v>78.469924013200014</v>
          </cell>
          <cell r="E130">
            <v>1.1796366718085363</v>
          </cell>
        </row>
        <row r="131">
          <cell r="B131">
            <v>83.047600000000003</v>
          </cell>
          <cell r="D131">
            <v>48.388194661199996</v>
          </cell>
          <cell r="E131">
            <v>1.6773099423996416</v>
          </cell>
        </row>
        <row r="132">
          <cell r="B132">
            <v>90.2</v>
          </cell>
          <cell r="D132">
            <v>80.90616370459999</v>
          </cell>
          <cell r="E132">
            <v>0.94201722724453851</v>
          </cell>
        </row>
        <row r="133">
          <cell r="B133">
            <v>84.881600000000006</v>
          </cell>
          <cell r="D133">
            <v>84.857000000000014</v>
          </cell>
          <cell r="E133">
            <v>0.84803846471121991</v>
          </cell>
        </row>
        <row r="134">
          <cell r="B134">
            <v>64.760900000000007</v>
          </cell>
          <cell r="D134">
            <v>73.798247506400017</v>
          </cell>
          <cell r="E134">
            <v>0.84155114922768393</v>
          </cell>
        </row>
        <row r="135">
          <cell r="B135">
            <v>53.276299999999999</v>
          </cell>
          <cell r="D135">
            <v>41.213057195799983</v>
          </cell>
          <cell r="E135">
            <v>1.5982313490374258</v>
          </cell>
        </row>
        <row r="136">
          <cell r="B136">
            <v>54.665500000000002</v>
          </cell>
          <cell r="D136">
            <v>103.225985806</v>
          </cell>
          <cell r="E136">
            <v>0.70312721581953874</v>
          </cell>
        </row>
        <row r="137">
          <cell r="B137">
            <v>54.170499999999997</v>
          </cell>
          <cell r="D137">
            <v>24.680068456199997</v>
          </cell>
          <cell r="E137">
            <v>2.534474331422945</v>
          </cell>
        </row>
        <row r="138">
          <cell r="B138">
            <v>52.7</v>
          </cell>
          <cell r="D138">
            <v>85.547712074600028</v>
          </cell>
          <cell r="E138">
            <v>1.1031154160815846</v>
          </cell>
        </row>
        <row r="139">
          <cell r="B139">
            <v>57.912999999999997</v>
          </cell>
          <cell r="D139">
            <v>78.984074798059993</v>
          </cell>
          <cell r="E139">
            <v>1.0915238321196055</v>
          </cell>
        </row>
        <row r="140">
          <cell r="B140">
            <v>68.5</v>
          </cell>
          <cell r="D140" t="e">
            <v>#VALUE!</v>
          </cell>
          <cell r="E140" t="e">
            <v>#VALUE!</v>
          </cell>
        </row>
        <row r="141">
          <cell r="B141">
            <v>70.409099999999995</v>
          </cell>
          <cell r="D141" t="e">
            <v>#VALUE!</v>
          </cell>
          <cell r="E141" t="e">
            <v>#VALUE!</v>
          </cell>
        </row>
        <row r="142">
          <cell r="B142">
            <v>72.369</v>
          </cell>
          <cell r="D142">
            <v>97.742523722839991</v>
          </cell>
          <cell r="E142">
            <v>1.1224592513193217</v>
          </cell>
        </row>
        <row r="143">
          <cell r="B143">
            <v>68.150000000000006</v>
          </cell>
          <cell r="D143">
            <v>43.007056460120019</v>
          </cell>
          <cell r="E143">
            <v>2.7271571145251241</v>
          </cell>
        </row>
        <row r="144">
          <cell r="B144">
            <v>67.369</v>
          </cell>
          <cell r="D144">
            <v>103.22490262699999</v>
          </cell>
          <cell r="E144">
            <v>1.0644524451337172</v>
          </cell>
        </row>
        <row r="145">
          <cell r="B145">
            <v>62.447400000000002</v>
          </cell>
          <cell r="D145">
            <v>68.400728640120008</v>
          </cell>
          <cell r="E145">
            <v>1.3183631489432301</v>
          </cell>
        </row>
        <row r="146">
          <cell r="B146">
            <v>53.678600000000003</v>
          </cell>
          <cell r="D146">
            <v>69.883272493779984</v>
          </cell>
          <cell r="E146">
            <v>1.3459157913415063</v>
          </cell>
        </row>
        <row r="147">
          <cell r="D147">
            <v>80.868208424519992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6A9F-542D-43A4-8008-F280420C5BE2}">
  <dimension ref="A1:AF143"/>
  <sheetViews>
    <sheetView tabSelected="1" zoomScale="85" zoomScaleNormal="85" workbookViewId="0">
      <pane xSplit="1" ySplit="2" topLeftCell="B104" activePane="bottomRight" state="frozen"/>
      <selection activeCell="L142" sqref="L142"/>
      <selection pane="topRight" activeCell="L142" sqref="L142"/>
      <selection pane="bottomLeft" activeCell="L142" sqref="L142"/>
      <selection pane="bottomRight" activeCell="L142" sqref="L142"/>
    </sheetView>
  </sheetViews>
  <sheetFormatPr defaultRowHeight="15"/>
  <cols>
    <col min="1" max="1" width="27.85546875" customWidth="1"/>
    <col min="2" max="32" width="9.140625" customWidth="1"/>
  </cols>
  <sheetData>
    <row r="1" spans="1:32" ht="15.75" thickBot="1">
      <c r="A1" s="1" t="s">
        <v>0</v>
      </c>
    </row>
    <row r="2" spans="1:32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</row>
    <row r="3" spans="1:32" ht="16.5">
      <c r="A3" s="1" t="s">
        <v>32</v>
      </c>
      <c r="B3" s="5">
        <v>250.89999999999998</v>
      </c>
    </row>
    <row r="4" spans="1:32" ht="16.5">
      <c r="A4" s="1" t="s">
        <v>33</v>
      </c>
      <c r="B4" s="5"/>
    </row>
    <row r="5" spans="1:32" ht="16.5">
      <c r="A5" s="1" t="s">
        <v>34</v>
      </c>
      <c r="B5" s="5"/>
    </row>
    <row r="6" spans="1:32" ht="16.5">
      <c r="A6" s="6" t="s">
        <v>35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6.5">
      <c r="A7" s="1" t="s">
        <v>36</v>
      </c>
      <c r="B7" s="5"/>
    </row>
    <row r="8" spans="1:32" ht="16.5">
      <c r="A8" s="1" t="s">
        <v>37</v>
      </c>
      <c r="B8" s="5"/>
    </row>
    <row r="9" spans="1:32" ht="16.5">
      <c r="A9" s="1" t="s">
        <v>38</v>
      </c>
      <c r="B9" s="5"/>
    </row>
    <row r="10" spans="1:32" ht="16.5">
      <c r="A10" s="1" t="s">
        <v>39</v>
      </c>
      <c r="B10" s="5"/>
    </row>
    <row r="11" spans="1:32" ht="16.5">
      <c r="A11" s="6" t="s">
        <v>40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6.5">
      <c r="A12" s="1" t="s">
        <v>41</v>
      </c>
      <c r="B12" s="5"/>
    </row>
    <row r="13" spans="1:32" ht="16.5">
      <c r="A13" s="1" t="s">
        <v>42</v>
      </c>
      <c r="B13" s="8"/>
    </row>
    <row r="14" spans="1:32" ht="17.25" thickBot="1">
      <c r="A14" s="1" t="s">
        <v>43</v>
      </c>
      <c r="B14" s="9"/>
    </row>
    <row r="15" spans="1:32">
      <c r="A15" s="10" t="s">
        <v>44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7" spans="1:32" ht="15.75" thickBot="1">
      <c r="A17" s="12" t="s">
        <v>45</v>
      </c>
    </row>
    <row r="18" spans="1:32" ht="15.75" thickBot="1">
      <c r="A18" s="3"/>
      <c r="B18" s="3" t="str">
        <f>B2</f>
        <v xml:space="preserve">93/94 </v>
      </c>
      <c r="C18" s="3" t="str">
        <f t="shared" ref="C18:AF18" si="0">C2</f>
        <v xml:space="preserve">94/95 </v>
      </c>
      <c r="D18" s="3" t="str">
        <f t="shared" si="0"/>
        <v xml:space="preserve">95/96 </v>
      </c>
      <c r="E18" s="3" t="str">
        <f t="shared" si="0"/>
        <v xml:space="preserve">96/97 </v>
      </c>
      <c r="F18" s="3" t="str">
        <f t="shared" si="0"/>
        <v xml:space="preserve">97/98 </v>
      </c>
      <c r="G18" s="3" t="str">
        <f t="shared" si="0"/>
        <v xml:space="preserve">98/99 </v>
      </c>
      <c r="H18" s="3" t="str">
        <f t="shared" si="0"/>
        <v xml:space="preserve">99/00 </v>
      </c>
      <c r="I18" s="3" t="str">
        <f t="shared" si="0"/>
        <v xml:space="preserve">00/01 </v>
      </c>
      <c r="J18" s="3" t="str">
        <f t="shared" si="0"/>
        <v xml:space="preserve">01/02 </v>
      </c>
      <c r="K18" s="3" t="str">
        <f t="shared" si="0"/>
        <v xml:space="preserve">02/03 </v>
      </c>
      <c r="L18" s="3" t="str">
        <f t="shared" si="0"/>
        <v xml:space="preserve">03/04 </v>
      </c>
      <c r="M18" s="3" t="str">
        <f t="shared" si="0"/>
        <v xml:space="preserve">04/05 </v>
      </c>
      <c r="N18" s="3" t="str">
        <f t="shared" si="0"/>
        <v xml:space="preserve">05/06 </v>
      </c>
      <c r="O18" s="3" t="str">
        <f t="shared" si="0"/>
        <v xml:space="preserve">06/07 </v>
      </c>
      <c r="P18" s="3" t="str">
        <f t="shared" si="0"/>
        <v xml:space="preserve">07/08 </v>
      </c>
      <c r="Q18" s="3" t="str">
        <f t="shared" si="0"/>
        <v xml:space="preserve">08/09 </v>
      </c>
      <c r="R18" s="3" t="str">
        <f t="shared" si="0"/>
        <v xml:space="preserve">09/10 </v>
      </c>
      <c r="S18" s="3" t="str">
        <f t="shared" si="0"/>
        <v xml:space="preserve">10/11 </v>
      </c>
      <c r="T18" s="3" t="str">
        <f t="shared" si="0"/>
        <v xml:space="preserve">11/12 </v>
      </c>
      <c r="U18" s="3" t="str">
        <f t="shared" si="0"/>
        <v xml:space="preserve">12/13 </v>
      </c>
      <c r="V18" s="3" t="str">
        <f t="shared" si="0"/>
        <v xml:space="preserve">13/14 </v>
      </c>
      <c r="W18" s="3" t="str">
        <f t="shared" si="0"/>
        <v xml:space="preserve">14/15 </v>
      </c>
      <c r="X18" s="3" t="str">
        <f t="shared" si="0"/>
        <v xml:space="preserve">15/16 </v>
      </c>
      <c r="Y18" s="3" t="str">
        <f t="shared" si="0"/>
        <v xml:space="preserve">16/17 </v>
      </c>
      <c r="Z18" s="3" t="str">
        <f t="shared" si="0"/>
        <v xml:space="preserve">17/18 </v>
      </c>
      <c r="AA18" s="3" t="str">
        <f t="shared" si="0"/>
        <v xml:space="preserve">18/19 </v>
      </c>
      <c r="AB18" s="3" t="str">
        <f t="shared" si="0"/>
        <v xml:space="preserve">19/20 </v>
      </c>
      <c r="AC18" s="3" t="str">
        <f t="shared" si="0"/>
        <v xml:space="preserve">20/21 </v>
      </c>
      <c r="AD18" s="3" t="str">
        <f t="shared" si="0"/>
        <v xml:space="preserve">21/22 </v>
      </c>
      <c r="AE18" s="3" t="str">
        <f t="shared" si="0"/>
        <v xml:space="preserve">22/23 </v>
      </c>
      <c r="AF18" s="3" t="str">
        <f t="shared" si="0"/>
        <v>23/24</v>
      </c>
    </row>
    <row r="19" spans="1:32">
      <c r="A19" s="12" t="s">
        <v>46</v>
      </c>
    </row>
    <row r="20" spans="1:32">
      <c r="A20" s="12" t="s">
        <v>47</v>
      </c>
    </row>
    <row r="21" spans="1:32">
      <c r="A21" s="12" t="s">
        <v>48</v>
      </c>
    </row>
    <row r="22" spans="1:32">
      <c r="A22" s="12" t="s">
        <v>49</v>
      </c>
    </row>
    <row r="23" spans="1:32">
      <c r="A23" s="12" t="s">
        <v>50</v>
      </c>
    </row>
    <row r="24" spans="1:32">
      <c r="A24" s="12" t="s">
        <v>51</v>
      </c>
    </row>
    <row r="25" spans="1:32">
      <c r="A25" s="12" t="s">
        <v>52</v>
      </c>
    </row>
    <row r="26" spans="1:32">
      <c r="A26" s="12" t="s">
        <v>53</v>
      </c>
    </row>
    <row r="27" spans="1:32">
      <c r="A27" s="12" t="s">
        <v>54</v>
      </c>
    </row>
    <row r="28" spans="1:32">
      <c r="A28" s="12" t="s">
        <v>55</v>
      </c>
    </row>
    <row r="29" spans="1:32">
      <c r="A29" s="12" t="s">
        <v>56</v>
      </c>
    </row>
    <row r="30" spans="1:32">
      <c r="A30" s="12" t="s">
        <v>57</v>
      </c>
    </row>
    <row r="31" spans="1:32" ht="15.75" thickBot="1">
      <c r="A31" s="12" t="s">
        <v>58</v>
      </c>
    </row>
    <row r="32" spans="1: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thickBot="1">
      <c r="A33" s="12" t="s">
        <v>59</v>
      </c>
    </row>
    <row r="34" spans="1:32" ht="15.75" thickBot="1">
      <c r="A34" s="3"/>
      <c r="B34" s="3" t="str">
        <f>B2</f>
        <v xml:space="preserve">93/94 </v>
      </c>
      <c r="C34" s="3" t="str">
        <f t="shared" ref="C34:AF34" si="1">C2</f>
        <v xml:space="preserve">94/95 </v>
      </c>
      <c r="D34" s="3" t="str">
        <f t="shared" si="1"/>
        <v xml:space="preserve">95/96 </v>
      </c>
      <c r="E34" s="3" t="str">
        <f t="shared" si="1"/>
        <v xml:space="preserve">96/97 </v>
      </c>
      <c r="F34" s="3" t="str">
        <f t="shared" si="1"/>
        <v xml:space="preserve">97/98 </v>
      </c>
      <c r="G34" s="3" t="str">
        <f t="shared" si="1"/>
        <v xml:space="preserve">98/99 </v>
      </c>
      <c r="H34" s="3" t="str">
        <f t="shared" si="1"/>
        <v xml:space="preserve">99/00 </v>
      </c>
      <c r="I34" s="3" t="str">
        <f t="shared" si="1"/>
        <v xml:space="preserve">00/01 </v>
      </c>
      <c r="J34" s="3" t="str">
        <f t="shared" si="1"/>
        <v xml:space="preserve">01/02 </v>
      </c>
      <c r="K34" s="3" t="str">
        <f t="shared" si="1"/>
        <v xml:space="preserve">02/03 </v>
      </c>
      <c r="L34" s="3" t="str">
        <f t="shared" si="1"/>
        <v xml:space="preserve">03/04 </v>
      </c>
      <c r="M34" s="3" t="str">
        <f t="shared" si="1"/>
        <v xml:space="preserve">04/05 </v>
      </c>
      <c r="N34" s="3" t="str">
        <f t="shared" si="1"/>
        <v xml:space="preserve">05/06 </v>
      </c>
      <c r="O34" s="3" t="str">
        <f t="shared" si="1"/>
        <v xml:space="preserve">06/07 </v>
      </c>
      <c r="P34" s="3" t="str">
        <f t="shared" si="1"/>
        <v xml:space="preserve">07/08 </v>
      </c>
      <c r="Q34" s="3" t="str">
        <f t="shared" si="1"/>
        <v xml:space="preserve">08/09 </v>
      </c>
      <c r="R34" s="3" t="str">
        <f t="shared" si="1"/>
        <v xml:space="preserve">09/10 </v>
      </c>
      <c r="S34" s="3" t="str">
        <f t="shared" si="1"/>
        <v xml:space="preserve">10/11 </v>
      </c>
      <c r="T34" s="3" t="str">
        <f t="shared" si="1"/>
        <v xml:space="preserve">11/12 </v>
      </c>
      <c r="U34" s="3" t="str">
        <f t="shared" si="1"/>
        <v xml:space="preserve">12/13 </v>
      </c>
      <c r="V34" s="3" t="str">
        <f t="shared" si="1"/>
        <v xml:space="preserve">13/14 </v>
      </c>
      <c r="W34" s="3" t="str">
        <f t="shared" si="1"/>
        <v xml:space="preserve">14/15 </v>
      </c>
      <c r="X34" s="3" t="str">
        <f t="shared" si="1"/>
        <v xml:space="preserve">15/16 </v>
      </c>
      <c r="Y34" s="3" t="str">
        <f t="shared" si="1"/>
        <v xml:space="preserve">16/17 </v>
      </c>
      <c r="Z34" s="3" t="str">
        <f t="shared" si="1"/>
        <v xml:space="preserve">17/18 </v>
      </c>
      <c r="AA34" s="3" t="str">
        <f t="shared" si="1"/>
        <v xml:space="preserve">18/19 </v>
      </c>
      <c r="AB34" s="3" t="str">
        <f t="shared" si="1"/>
        <v xml:space="preserve">19/20 </v>
      </c>
      <c r="AC34" s="3" t="str">
        <f t="shared" si="1"/>
        <v xml:space="preserve">20/21 </v>
      </c>
      <c r="AD34" s="3" t="str">
        <f t="shared" si="1"/>
        <v xml:space="preserve">21/22 </v>
      </c>
      <c r="AE34" s="3" t="str">
        <f t="shared" si="1"/>
        <v xml:space="preserve">22/23 </v>
      </c>
      <c r="AF34" s="3" t="str">
        <f t="shared" si="1"/>
        <v>23/24</v>
      </c>
    </row>
    <row r="35" spans="1:32">
      <c r="A35" s="12" t="s">
        <v>46</v>
      </c>
      <c r="B35" s="13">
        <f>'[1]Copra Complex'!B18</f>
        <v>101.230730685</v>
      </c>
      <c r="C35" s="13">
        <f>'[1]Copra Complex'!C18</f>
        <v>75.960471472200012</v>
      </c>
      <c r="D35" s="13">
        <f>'[1]Copra Complex'!D18</f>
        <v>114.30281637180002</v>
      </c>
      <c r="E35" s="13">
        <f>'[1]Copra Complex'!E18</f>
        <v>79.485882512399996</v>
      </c>
      <c r="F35" s="13">
        <f>'[1]Copra Complex'!F18</f>
        <v>81.098343043200003</v>
      </c>
      <c r="G35" s="13">
        <f>'[1]Copra Complex'!G18</f>
        <v>86.987329329600001</v>
      </c>
      <c r="H35" s="13">
        <f>'[1]Copra Complex'!H18</f>
        <v>41.731069375800004</v>
      </c>
      <c r="I35" s="13">
        <f>'[1]Copra Complex'!I18</f>
        <v>132.695095869</v>
      </c>
      <c r="J35" s="13">
        <f>'[1]Copra Complex'!J18</f>
        <v>88.911964335600018</v>
      </c>
      <c r="K35" s="13">
        <f>'[1]Copra Complex'!K18</f>
        <v>132.70766221439999</v>
      </c>
      <c r="L35" s="13">
        <f>'[1]Copra Complex'!L18</f>
        <v>61.580383552800008</v>
      </c>
      <c r="M35" s="13">
        <f>'[1]Copra Complex'!M18</f>
        <v>73.868946580800014</v>
      </c>
      <c r="N35" s="13">
        <f>'[1]Copra Complex'!N18</f>
        <v>79.242712705800002</v>
      </c>
      <c r="O35" s="13">
        <f>'[1]Copra Complex'!O18</f>
        <v>67.1104573776</v>
      </c>
      <c r="P35" s="13">
        <f>'[1]Copra Complex'!P18</f>
        <v>61.380203875200003</v>
      </c>
      <c r="Q35" s="13">
        <f>'[1]Copra Complex'!Q18</f>
        <v>73.986012008999992</v>
      </c>
      <c r="R35" s="13">
        <f>'[1]Copra Complex'!R18</f>
        <v>88.389468921600013</v>
      </c>
      <c r="S35" s="13">
        <f>'[1]Copra Complex'!S18</f>
        <v>74.060748694799997</v>
      </c>
      <c r="T35" s="13">
        <f>'[1]Copra Complex'!T18</f>
        <v>111.02829131519999</v>
      </c>
      <c r="U35" s="13">
        <f>'[1]Copra Complex'!U18</f>
        <v>78.43449828060001</v>
      </c>
      <c r="V35" s="13">
        <f>'[1]Copra Complex'!V18</f>
        <v>115.8151870638</v>
      </c>
      <c r="W35" s="13">
        <f>'[1]Copra Complex'!W18</f>
        <v>162.07895927160001</v>
      </c>
      <c r="X35" s="13">
        <f>'[1]Copra Complex'!X18</f>
        <v>120.9581292654</v>
      </c>
      <c r="Y35" s="13">
        <f>'[1]Copra Complex'!Y18</f>
        <v>74.662169576400004</v>
      </c>
      <c r="Z35" s="13">
        <f>'[1]Copra Complex'!Z18</f>
        <v>64.91705753654</v>
      </c>
      <c r="AA35" s="13">
        <f>'[1]Copra Complex'!AA18</f>
        <v>105.32275308148</v>
      </c>
      <c r="AB35" s="13">
        <f>'[1]Copra Complex'!AB18</f>
        <v>121.50790908211999</v>
      </c>
      <c r="AC35" s="13">
        <f>'[1]Copra Complex'!AC18</f>
        <v>97.723513921659986</v>
      </c>
      <c r="AD35" s="13">
        <f>'[1]Copra Complex'!AD18</f>
        <v>58.508892991779994</v>
      </c>
      <c r="AE35" s="13">
        <f>'[1]Copra Complex'!AE18</f>
        <v>96.407159570480005</v>
      </c>
      <c r="AF35" s="13">
        <f>'[1]Copra Complex'!AF18</f>
        <v>86.189332478307179</v>
      </c>
    </row>
    <row r="36" spans="1:32">
      <c r="A36" s="12" t="s">
        <v>47</v>
      </c>
      <c r="B36" s="13">
        <f>'[1]Copra Complex'!B19</f>
        <v>105.8774124744</v>
      </c>
      <c r="C36" s="13">
        <f>'[1]Copra Complex'!C19</f>
        <v>50.213572983000006</v>
      </c>
      <c r="D36" s="13">
        <f>'[1]Copra Complex'!D19</f>
        <v>74.427156871199998</v>
      </c>
      <c r="E36" s="13">
        <f>'[1]Copra Complex'!E19</f>
        <v>72.2860279848</v>
      </c>
      <c r="F36" s="13">
        <f>'[1]Copra Complex'!F19</f>
        <v>76.749726148199997</v>
      </c>
      <c r="G36" s="13">
        <f>'[1]Copra Complex'!G19</f>
        <v>79.235657915399997</v>
      </c>
      <c r="H36" s="13">
        <f>'[1]Copra Complex'!H19</f>
        <v>93.01961604600001</v>
      </c>
      <c r="I36" s="13">
        <f>'[1]Copra Complex'!I19</f>
        <v>81.224447421600004</v>
      </c>
      <c r="J36" s="13">
        <f>'[1]Copra Complex'!J19</f>
        <v>103.1293511514</v>
      </c>
      <c r="K36" s="13">
        <f>'[1]Copra Complex'!K19</f>
        <v>58.037996923199998</v>
      </c>
      <c r="L36" s="13">
        <f>'[1]Copra Complex'!L19</f>
        <v>50.043155702400007</v>
      </c>
      <c r="M36" s="13">
        <f>'[1]Copra Complex'!M19</f>
        <v>103.63707559800001</v>
      </c>
      <c r="N36" s="13">
        <f>'[1]Copra Complex'!N19</f>
        <v>99.021038054399995</v>
      </c>
      <c r="O36" s="13">
        <f>'[1]Copra Complex'!O19</f>
        <v>63.478783557</v>
      </c>
      <c r="P36" s="13">
        <f>'[1]Copra Complex'!P19</f>
        <v>168.68003846400001</v>
      </c>
      <c r="Q36" s="13">
        <f>'[1]Copra Complex'!Q19</f>
        <v>115.3422956448</v>
      </c>
      <c r="R36" s="13">
        <f>'[1]Copra Complex'!R19</f>
        <v>122.322349359</v>
      </c>
      <c r="S36" s="13">
        <f>'[1]Copra Complex'!S19</f>
        <v>103.36987541160001</v>
      </c>
      <c r="T36" s="13">
        <f>'[1]Copra Complex'!T19</f>
        <v>105.01628712120001</v>
      </c>
      <c r="U36" s="13">
        <f>'[1]Copra Complex'!U19</f>
        <v>91.403628119999993</v>
      </c>
      <c r="V36" s="13">
        <f>'[1]Copra Complex'!V19</f>
        <v>72.441674297999995</v>
      </c>
      <c r="W36" s="13">
        <f>'[1]Copra Complex'!W19</f>
        <v>76.638172275000002</v>
      </c>
      <c r="X36" s="13">
        <f>'[1]Copra Complex'!X19</f>
        <v>70.690763505600003</v>
      </c>
      <c r="Y36" s="13">
        <f>'[1]Copra Complex'!Y19</f>
        <v>102.0803920038</v>
      </c>
      <c r="Z36" s="13">
        <f>'[1]Copra Complex'!Z19</f>
        <v>96.003054929100003</v>
      </c>
      <c r="AA36" s="13">
        <f>'[1]Copra Complex'!AA19</f>
        <v>64.036706473519999</v>
      </c>
      <c r="AB36" s="13">
        <f>'[1]Copra Complex'!AB19</f>
        <v>77.382682290319991</v>
      </c>
      <c r="AC36" s="13">
        <f>'[1]Copra Complex'!AC19</f>
        <v>37.12198239816</v>
      </c>
      <c r="AD36" s="13">
        <f>'[1]Copra Complex'!AD19</f>
        <v>147.19907567133998</v>
      </c>
      <c r="AE36" s="13">
        <f>'[1]Copra Complex'!AE19</f>
        <v>102.0364495062</v>
      </c>
      <c r="AF36" s="13">
        <f>'[1]Copra Complex'!AF19</f>
        <v>81.141525559956747</v>
      </c>
    </row>
    <row r="37" spans="1:32">
      <c r="A37" s="12" t="s">
        <v>48</v>
      </c>
      <c r="B37" s="13">
        <f>'[1]Copra Complex'!B20</f>
        <v>68.105623748400006</v>
      </c>
      <c r="C37" s="13">
        <f>'[1]Copra Complex'!C20</f>
        <v>122.83183750320001</v>
      </c>
      <c r="D37" s="13">
        <f>'[1]Copra Complex'!D20</f>
        <v>43.1182175382</v>
      </c>
      <c r="E37" s="13">
        <f>'[1]Copra Complex'!E20</f>
        <v>139.1625749682</v>
      </c>
      <c r="F37" s="13">
        <f>'[1]Copra Complex'!F20</f>
        <v>243.84883017600001</v>
      </c>
      <c r="G37" s="13">
        <f>'[1]Copra Complex'!G20</f>
        <v>91.061250323400003</v>
      </c>
      <c r="H37" s="13">
        <f>'[1]Copra Complex'!H20</f>
        <v>56.325446553599996</v>
      </c>
      <c r="I37" s="13">
        <f>'[1]Copra Complex'!I20</f>
        <v>114.76336190760001</v>
      </c>
      <c r="J37" s="13">
        <f>'[1]Copra Complex'!J20</f>
        <v>73.945667426400007</v>
      </c>
      <c r="K37" s="13">
        <f>'[1]Copra Complex'!K20</f>
        <v>29.60807346</v>
      </c>
      <c r="L37" s="13">
        <f>'[1]Copra Complex'!L20</f>
        <v>51.812585319600004</v>
      </c>
      <c r="M37" s="13">
        <f>'[1]Copra Complex'!M20</f>
        <v>59.133694057200003</v>
      </c>
      <c r="N37" s="13">
        <f>'[1]Copra Complex'!N20</f>
        <v>88.503447878999992</v>
      </c>
      <c r="O37" s="13">
        <f>'[1]Copra Complex'!O20</f>
        <v>97.361619075000007</v>
      </c>
      <c r="P37" s="13">
        <f>'[1]Copra Complex'!P20</f>
        <v>91.256138908200001</v>
      </c>
      <c r="Q37" s="13">
        <f>'[1]Copra Complex'!Q20</f>
        <v>48.588987031199999</v>
      </c>
      <c r="R37" s="13">
        <f>'[1]Copra Complex'!R20</f>
        <v>133.55533937339999</v>
      </c>
      <c r="S37" s="13">
        <f>'[1]Copra Complex'!S20</f>
        <v>99.792655754400002</v>
      </c>
      <c r="T37" s="13">
        <f>'[1]Copra Complex'!T20</f>
        <v>79.404091036200001</v>
      </c>
      <c r="U37" s="13">
        <f>'[1]Copra Complex'!U20</f>
        <v>86.582119806000009</v>
      </c>
      <c r="V37" s="13">
        <f>'[1]Copra Complex'!V20</f>
        <v>90.119215342800004</v>
      </c>
      <c r="W37" s="13">
        <f>'[1]Copra Complex'!W20</f>
        <v>94.396622947200001</v>
      </c>
      <c r="X37" s="13">
        <f>'[1]Copra Complex'!X20</f>
        <v>92.916219274200003</v>
      </c>
      <c r="Y37" s="13">
        <f>'[1]Copra Complex'!Y20</f>
        <v>89.301521042999994</v>
      </c>
      <c r="Z37" s="13">
        <f>'[1]Copra Complex'!Z20</f>
        <v>27.60923449086</v>
      </c>
      <c r="AA37" s="13">
        <f>'[1]Copra Complex'!AA20</f>
        <v>92.690406144819988</v>
      </c>
      <c r="AB37" s="13">
        <f>'[1]Copra Complex'!AB20</f>
        <v>98.845689752479998</v>
      </c>
      <c r="AC37" s="13">
        <f>'[1]Copra Complex'!AC20</f>
        <v>91.581894548760005</v>
      </c>
      <c r="AD37" s="13">
        <f>'[1]Copra Complex'!AD20</f>
        <v>73.023674557020001</v>
      </c>
      <c r="AE37" s="13">
        <f>'[1]Copra Complex'!AE20</f>
        <v>81.005549768660003</v>
      </c>
      <c r="AF37" s="13">
        <f>'[1]Copra Complex'!AF20</f>
        <v>73.831922222439943</v>
      </c>
    </row>
    <row r="38" spans="1:32">
      <c r="A38" s="12" t="s">
        <v>49</v>
      </c>
      <c r="B38" s="13">
        <f>'[1]Copra Complex'!B21</f>
        <v>170.2578864294</v>
      </c>
      <c r="C38" s="13">
        <f>'[1]Copra Complex'!C21</f>
        <v>73.718591360399998</v>
      </c>
      <c r="D38" s="13">
        <f>'[1]Copra Complex'!D21</f>
        <v>135.36489311100001</v>
      </c>
      <c r="E38" s="13">
        <f>'[1]Copra Complex'!E21</f>
        <v>108.12744968760001</v>
      </c>
      <c r="F38" s="13">
        <f>'[1]Copra Complex'!F21</f>
        <v>216.35631198720003</v>
      </c>
      <c r="G38" s="13">
        <f>'[1]Copra Complex'!G21</f>
        <v>89.375596342200012</v>
      </c>
      <c r="H38" s="13">
        <f>'[1]Copra Complex'!H21</f>
        <v>74.352199723200002</v>
      </c>
      <c r="I38" s="13">
        <f>'[1]Copra Complex'!I21</f>
        <v>83.273864032800006</v>
      </c>
      <c r="J38" s="13">
        <f>'[1]Copra Complex'!J21</f>
        <v>94.898615376600006</v>
      </c>
      <c r="K38" s="13">
        <f>'[1]Copra Complex'!K21</f>
        <v>104.8745299266</v>
      </c>
      <c r="L38" s="13">
        <f>'[1]Copra Complex'!L21</f>
        <v>51.265177676999997</v>
      </c>
      <c r="M38" s="13">
        <f>'[1]Copra Complex'!M21</f>
        <v>32.002733876400001</v>
      </c>
      <c r="N38" s="13">
        <f>'[1]Copra Complex'!N21</f>
        <v>88.364777155200002</v>
      </c>
      <c r="O38" s="13">
        <f>'[1]Copra Complex'!O21</f>
        <v>103.62715479900001</v>
      </c>
      <c r="P38" s="13">
        <f>'[1]Copra Complex'!P21</f>
        <v>104.12760399299999</v>
      </c>
      <c r="Q38" s="13">
        <f>'[1]Copra Complex'!Q21</f>
        <v>95.372388644400019</v>
      </c>
      <c r="R38" s="13">
        <f>'[1]Copra Complex'!R21</f>
        <v>85.211947233000004</v>
      </c>
      <c r="S38" s="13">
        <f>'[1]Copra Complex'!S21</f>
        <v>63.813886100999994</v>
      </c>
      <c r="T38" s="13">
        <f>'[1]Copra Complex'!T21</f>
        <v>73.027001439000003</v>
      </c>
      <c r="U38" s="13">
        <f>'[1]Copra Complex'!U21</f>
        <v>129.3542116902</v>
      </c>
      <c r="V38" s="13">
        <f>'[1]Copra Complex'!V21</f>
        <v>112.87135530720001</v>
      </c>
      <c r="W38" s="13">
        <f>'[1]Copra Complex'!W21</f>
        <v>107.340840558</v>
      </c>
      <c r="X38" s="13">
        <f>'[1]Copra Complex'!X21</f>
        <v>83.197584111599994</v>
      </c>
      <c r="Y38" s="13">
        <f>'[1]Copra Complex'!Y21</f>
        <v>95.795896530600004</v>
      </c>
      <c r="Z38" s="13">
        <f>'[1]Copra Complex'!Z21</f>
        <v>153.83296243941999</v>
      </c>
      <c r="AA38" s="13">
        <f>'[1]Copra Complex'!AA21</f>
        <v>69.613292763520008</v>
      </c>
      <c r="AB38" s="13">
        <f>'[1]Copra Complex'!AB21</f>
        <v>113.20137712003999</v>
      </c>
      <c r="AC38" s="13">
        <f>'[1]Copra Complex'!AC21</f>
        <v>94.84372463742001</v>
      </c>
      <c r="AD38" s="13">
        <f>'[1]Copra Complex'!AD21</f>
        <v>125.40712347284</v>
      </c>
      <c r="AE38" s="13">
        <f>'[1]Copra Complex'!AE21</f>
        <v>36.293607456259998</v>
      </c>
      <c r="AF38" s="13">
        <f>'[1]Copra Complex'!AF21</f>
        <v>107.14472681982927</v>
      </c>
    </row>
    <row r="39" spans="1:32">
      <c r="A39" s="12" t="s">
        <v>50</v>
      </c>
      <c r="B39" s="13">
        <f>'[1]Copra Complex'!B22</f>
        <v>51.082194051000002</v>
      </c>
      <c r="C39" s="13">
        <f>'[1]Copra Complex'!C22</f>
        <v>151.95202811460001</v>
      </c>
      <c r="D39" s="13">
        <f>'[1]Copra Complex'!D22</f>
        <v>65.567662901999995</v>
      </c>
      <c r="E39" s="13">
        <f>'[1]Copra Complex'!E22</f>
        <v>81.447334705800003</v>
      </c>
      <c r="F39" s="13">
        <f>'[1]Copra Complex'!F22</f>
        <v>132.51563963819999</v>
      </c>
      <c r="G39" s="13">
        <f>'[1]Copra Complex'!G22</f>
        <v>37.513847952000006</v>
      </c>
      <c r="H39" s="13">
        <f>'[1]Copra Complex'!H22</f>
        <v>58.393381989600002</v>
      </c>
      <c r="I39" s="13">
        <f>'[1]Copra Complex'!I22</f>
        <v>161.71365340620002</v>
      </c>
      <c r="J39" s="13">
        <f>'[1]Copra Complex'!J22</f>
        <v>74.969714345400007</v>
      </c>
      <c r="K39" s="13">
        <f>'[1]Copra Complex'!K22</f>
        <v>67.346351931599997</v>
      </c>
      <c r="L39" s="13">
        <f>'[1]Copra Complex'!L22</f>
        <v>119.2892304114</v>
      </c>
      <c r="M39" s="13">
        <f>'[1]Copra Complex'!M22</f>
        <v>72.705126626999999</v>
      </c>
      <c r="N39" s="13">
        <f>'[1]Copra Complex'!N22</f>
        <v>94.00684577760002</v>
      </c>
      <c r="O39" s="13">
        <f>'[1]Copra Complex'!O22</f>
        <v>63.129350969999997</v>
      </c>
      <c r="P39" s="13">
        <f>'[1]Copra Complex'!P22</f>
        <v>62.192607082199999</v>
      </c>
      <c r="Q39" s="13">
        <f>'[1]Copra Complex'!Q22</f>
        <v>96.21411332400001</v>
      </c>
      <c r="R39" s="13">
        <f>'[1]Copra Complex'!R22</f>
        <v>91.827797392799994</v>
      </c>
      <c r="S39" s="13">
        <f>'[1]Copra Complex'!S22</f>
        <v>131.20433047260002</v>
      </c>
      <c r="T39" s="13">
        <f>'[1]Copra Complex'!T22</f>
        <v>94.098117128400006</v>
      </c>
      <c r="U39" s="13">
        <f>'[1]Copra Complex'!U22</f>
        <v>65.352271332599997</v>
      </c>
      <c r="V39" s="13">
        <f>'[1]Copra Complex'!V22</f>
        <v>60.199628794199995</v>
      </c>
      <c r="W39" s="13">
        <f>'[1]Copra Complex'!W22</f>
        <v>74.385048591</v>
      </c>
      <c r="X39" s="13">
        <f>'[1]Copra Complex'!X22</f>
        <v>87.487117136999998</v>
      </c>
      <c r="Y39" s="13">
        <f>'[1]Copra Complex'!Y22</f>
        <v>93.472445404799998</v>
      </c>
      <c r="Z39" s="13">
        <f>'[1]Copra Complex'!Z22</f>
        <v>71.057076355319992</v>
      </c>
      <c r="AA39" s="13">
        <f>'[1]Copra Complex'!AA22</f>
        <v>79.051187207959998</v>
      </c>
      <c r="AB39" s="13">
        <f>'[1]Copra Complex'!AB22</f>
        <v>94.215981138619995</v>
      </c>
      <c r="AC39" s="13">
        <f>'[1]Copra Complex'!AC22</f>
        <v>43.004113587820001</v>
      </c>
      <c r="AD39" s="13">
        <f>'[1]Copra Complex'!AD22</f>
        <v>109.84270468864001</v>
      </c>
      <c r="AE39" s="13">
        <f>'[1]Copra Complex'!AE22</f>
        <v>132.97009663366001</v>
      </c>
      <c r="AF39" s="13">
        <f>'[1]Copra Complex'!AF22</f>
        <v>76.413900448160732</v>
      </c>
    </row>
    <row r="40" spans="1:32">
      <c r="A40" s="12" t="s">
        <v>51</v>
      </c>
      <c r="B40" s="13">
        <f>'[1]Copra Complex'!B23</f>
        <v>105.66268229160001</v>
      </c>
      <c r="C40" s="13">
        <f>'[1]Copra Complex'!C23</f>
        <v>63.399637627200001</v>
      </c>
      <c r="D40" s="13">
        <f>'[1]Copra Complex'!D23</f>
        <v>88.549744941</v>
      </c>
      <c r="E40" s="13">
        <f>'[1]Copra Complex'!E23</f>
        <v>150.32942632260003</v>
      </c>
      <c r="F40" s="13">
        <f>'[1]Copra Complex'!F23</f>
        <v>118.09983684239999</v>
      </c>
      <c r="G40" s="13">
        <f>'[1]Copra Complex'!G23</f>
        <v>62.0883284616</v>
      </c>
      <c r="H40" s="13">
        <f>'[1]Copra Complex'!H23</f>
        <v>102.76580898360001</v>
      </c>
      <c r="I40" s="13">
        <f>'[1]Copra Complex'!I23</f>
        <v>22.327750229400003</v>
      </c>
      <c r="J40" s="13">
        <f>'[1]Copra Complex'!J23</f>
        <v>133.44334457580001</v>
      </c>
      <c r="K40" s="13">
        <f>'[1]Copra Complex'!K23</f>
        <v>88.295552024399996</v>
      </c>
      <c r="L40" s="13">
        <f>'[1]Copra Complex'!L23</f>
        <v>61.145632094400007</v>
      </c>
      <c r="M40" s="13">
        <f>'[1]Copra Complex'!M23</f>
        <v>23.003687334599999</v>
      </c>
      <c r="N40" s="13">
        <f>'[1]Copra Complex'!N23</f>
        <v>97.016595731999999</v>
      </c>
      <c r="O40" s="13">
        <f>'[1]Copra Complex'!O23</f>
        <v>78.164432085600012</v>
      </c>
      <c r="P40" s="13">
        <f>'[1]Copra Complex'!P23</f>
        <v>105.04097888760001</v>
      </c>
      <c r="Q40" s="13">
        <f>'[1]Copra Complex'!Q23</f>
        <v>17.895578160600003</v>
      </c>
      <c r="R40" s="13">
        <f>'[1]Copra Complex'!R23</f>
        <v>74.7309537828</v>
      </c>
      <c r="S40" s="13">
        <f>'[1]Copra Complex'!S23</f>
        <v>123.93414850320001</v>
      </c>
      <c r="T40" s="13">
        <f>'[1]Copra Complex'!T23</f>
        <v>98.223846739199999</v>
      </c>
      <c r="U40" s="13">
        <f>'[1]Copra Complex'!U23</f>
        <v>125.3940491916</v>
      </c>
      <c r="V40" s="13">
        <f>'[1]Copra Complex'!V23</f>
        <v>117.981448641</v>
      </c>
      <c r="W40" s="13">
        <f>'[1]Copra Complex'!W23</f>
        <v>92.978389614600005</v>
      </c>
      <c r="X40" s="13">
        <f>'[1]Copra Complex'!X23</f>
        <v>98.633465506799993</v>
      </c>
      <c r="Y40" s="13">
        <f>'[1]Copra Complex'!Y23</f>
        <v>110.1634181046</v>
      </c>
      <c r="Z40" s="13">
        <f>'[1]Copra Complex'!Z23</f>
        <v>107.10275886024</v>
      </c>
      <c r="AA40" s="13">
        <f>'[1]Copra Complex'!AA23</f>
        <v>47.359044978740002</v>
      </c>
      <c r="AB40" s="13">
        <f>'[1]Copra Complex'!AB23</f>
        <v>96.611677758639999</v>
      </c>
      <c r="AC40" s="13">
        <f>'[1]Copra Complex'!AC23</f>
        <v>70.885841315299999</v>
      </c>
      <c r="AD40" s="13">
        <f>'[1]Copra Complex'!AD23</f>
        <v>57.813211923060003</v>
      </c>
      <c r="AE40" s="13">
        <f>'[1]Copra Complex'!AE23</f>
        <v>44.250433775459996</v>
      </c>
      <c r="AF40" s="13">
        <f>'[1]Copra Complex'!AF23</f>
        <v>73.066503013295801</v>
      </c>
    </row>
    <row r="41" spans="1:32">
      <c r="A41" s="12" t="s">
        <v>52</v>
      </c>
      <c r="B41" s="13">
        <f>'[1]Copra Complex'!B24</f>
        <v>64.115037466199993</v>
      </c>
      <c r="C41" s="13">
        <f>'[1]Copra Complex'!C24</f>
        <v>55.101881343599999</v>
      </c>
      <c r="D41" s="13">
        <f>'[1]Copra Complex'!D24</f>
        <v>38.591246723399998</v>
      </c>
      <c r="E41" s="13">
        <f>'[1]Copra Complex'!E24</f>
        <v>67.52823324660001</v>
      </c>
      <c r="F41" s="13">
        <f>'[1]Copra Complex'!F24</f>
        <v>99.589389605999997</v>
      </c>
      <c r="G41" s="13">
        <f>'[1]Copra Complex'!G24</f>
        <v>28.142220292200005</v>
      </c>
      <c r="H41" s="13">
        <f>'[1]Copra Complex'!H24</f>
        <v>66.232576897199991</v>
      </c>
      <c r="I41" s="13">
        <f>'[1]Copra Complex'!I24</f>
        <v>86.945882436000005</v>
      </c>
      <c r="J41" s="13">
        <f>'[1]Copra Complex'!J24</f>
        <v>56.282235962400001</v>
      </c>
      <c r="K41" s="13">
        <f>'[1]Copra Complex'!K24</f>
        <v>58.713493104000001</v>
      </c>
      <c r="L41" s="13">
        <f>'[1]Copra Complex'!L24</f>
        <v>20.764893693599998</v>
      </c>
      <c r="M41" s="13">
        <f>'[1]Copra Complex'!M24</f>
        <v>61.552164391200002</v>
      </c>
      <c r="N41" s="13">
        <f>'[1]Copra Complex'!N24</f>
        <v>131.0960835324</v>
      </c>
      <c r="O41" s="13">
        <f>'[1]Copra Complex'!O24</f>
        <v>5.4476209620000002</v>
      </c>
      <c r="P41" s="13">
        <f>'[1]Copra Complex'!P24</f>
        <v>127.44015886980002</v>
      </c>
      <c r="Q41" s="13">
        <f>'[1]Copra Complex'!Q24</f>
        <v>63.1518381144</v>
      </c>
      <c r="R41" s="13">
        <f>'[1]Copra Complex'!R24</f>
        <v>79.057083533400004</v>
      </c>
      <c r="S41" s="13">
        <f>'[1]Copra Complex'!S24</f>
        <v>67.596796990799987</v>
      </c>
      <c r="T41" s="13">
        <f>'[1]Copra Complex'!T24</f>
        <v>39.787474620600001</v>
      </c>
      <c r="U41" s="13">
        <f>'[1]Copra Complex'!U24</f>
        <v>130.1637488886</v>
      </c>
      <c r="V41" s="13">
        <f>'[1]Copra Complex'!V24</f>
        <v>104.8502790846</v>
      </c>
      <c r="W41" s="13">
        <f>'[1]Copra Complex'!W24</f>
        <v>106.10977963320001</v>
      </c>
      <c r="X41" s="13">
        <f>'[1]Copra Complex'!X24</f>
        <v>76.6498567716</v>
      </c>
      <c r="Y41" s="13">
        <f>'[1]Copra Complex'!Y24</f>
        <v>87.614544288600001</v>
      </c>
      <c r="Z41" s="13">
        <f>'[1]Copra Complex'!Z24</f>
        <v>69.191634937700002</v>
      </c>
      <c r="AA41" s="13">
        <f>'[1]Copra Complex'!AA24</f>
        <v>102.77273085684</v>
      </c>
      <c r="AB41" s="13">
        <f>'[1]Copra Complex'!AB24</f>
        <v>81.304884253779989</v>
      </c>
      <c r="AC41" s="13">
        <f>'[1]Copra Complex'!AC24</f>
        <v>89.595783255439997</v>
      </c>
      <c r="AD41" s="13">
        <f>'[1]Copra Complex'!AD24</f>
        <v>111.0462794991</v>
      </c>
      <c r="AE41" s="13">
        <f>'[1]Copra Complex'!AE24</f>
        <v>95.378573987022406</v>
      </c>
      <c r="AF41" s="13">
        <f>'[1]Copra Complex'!AF24</f>
        <v>87.330465640447557</v>
      </c>
    </row>
    <row r="42" spans="1:32">
      <c r="A42" s="12" t="s">
        <v>53</v>
      </c>
      <c r="B42" s="13">
        <f>'[1]Copra Complex'!B25</f>
        <v>65.875869057600013</v>
      </c>
      <c r="C42" s="13">
        <f>'[1]Copra Complex'!C25</f>
        <v>163.99852364699998</v>
      </c>
      <c r="D42" s="13">
        <f>'[1]Copra Complex'!D25</f>
        <v>111.44187840239999</v>
      </c>
      <c r="E42" s="13">
        <f>'[1]Copra Complex'!E25</f>
        <v>93.093470882999995</v>
      </c>
      <c r="F42" s="13">
        <f>'[1]Copra Complex'!F25</f>
        <v>64.14061108140001</v>
      </c>
      <c r="G42" s="13">
        <f>'[1]Copra Complex'!G25</f>
        <v>64.894591805400012</v>
      </c>
      <c r="H42" s="13">
        <f>'[1]Copra Complex'!H25</f>
        <v>94.739441668200001</v>
      </c>
      <c r="I42" s="13">
        <f>'[1]Copra Complex'!I25</f>
        <v>66.15144680760001</v>
      </c>
      <c r="J42" s="13">
        <f>'[1]Copra Complex'!J25</f>
        <v>80.893754121600011</v>
      </c>
      <c r="K42" s="13">
        <f>'[1]Copra Complex'!K25</f>
        <v>32.329899781199998</v>
      </c>
      <c r="L42" s="13">
        <f>'[1]Copra Complex'!L25</f>
        <v>61.791586340400002</v>
      </c>
      <c r="M42" s="13">
        <f>'[1]Copra Complex'!M25</f>
        <v>83.562669514800007</v>
      </c>
      <c r="N42" s="13">
        <f>'[1]Copra Complex'!N25</f>
        <v>83.328318196200001</v>
      </c>
      <c r="O42" s="13">
        <f>'[1]Copra Complex'!O25</f>
        <v>77.467551071399996</v>
      </c>
      <c r="P42" s="13">
        <f>'[1]Copra Complex'!P25</f>
        <v>71.101925508600004</v>
      </c>
      <c r="Q42" s="13">
        <f>'[1]Copra Complex'!Q25</f>
        <v>73.922077971000007</v>
      </c>
      <c r="R42" s="13">
        <f>'[1]Copra Complex'!R25</f>
        <v>142.88243366879999</v>
      </c>
      <c r="S42" s="13">
        <f>'[1]Copra Complex'!S25</f>
        <v>106.77006392220001</v>
      </c>
      <c r="T42" s="13">
        <f>'[1]Copra Complex'!T25</f>
        <v>104.69573508240001</v>
      </c>
      <c r="U42" s="13">
        <f>'[1]Copra Complex'!U25</f>
        <v>114.93135410399999</v>
      </c>
      <c r="V42" s="13">
        <f>'[1]Copra Complex'!V25</f>
        <v>65.249535947400005</v>
      </c>
      <c r="W42" s="13">
        <f>'[1]Copra Complex'!W25</f>
        <v>84.891836118599997</v>
      </c>
      <c r="X42" s="13">
        <f>'[1]Copra Complex'!X25</f>
        <v>87.923191368600001</v>
      </c>
      <c r="Y42" s="13">
        <f>'[1]Copra Complex'!Y25</f>
        <v>118.98366980220001</v>
      </c>
      <c r="Z42" s="13">
        <f>'[1]Copra Complex'!Z25</f>
        <v>107.87276428302</v>
      </c>
      <c r="AA42" s="13">
        <f>'[1]Copra Complex'!AA25</f>
        <v>99.848322268420006</v>
      </c>
      <c r="AB42" s="13">
        <f>'[1]Copra Complex'!AB25</f>
        <v>80.471531279920001</v>
      </c>
      <c r="AC42" s="13">
        <f>'[1]Copra Complex'!AC25</f>
        <v>75.185344150180001</v>
      </c>
      <c r="AD42" s="13">
        <f>'[1]Copra Complex'!AD25</f>
        <v>73.078031667739992</v>
      </c>
      <c r="AE42" s="13">
        <f>'[1]Copra Complex'!AE25</f>
        <v>106.87374495881969</v>
      </c>
      <c r="AF42" s="13">
        <f>'[1]Copra Complex'!AF25</f>
        <v>83.972141874133257</v>
      </c>
    </row>
    <row r="43" spans="1:32">
      <c r="A43" s="12" t="s">
        <v>54</v>
      </c>
      <c r="B43" s="13">
        <f>'[1]Copra Complex'!B26</f>
        <v>46.687059631800004</v>
      </c>
      <c r="C43" s="13">
        <f>'[1]Copra Complex'!C26</f>
        <v>88.609710659399994</v>
      </c>
      <c r="D43" s="13">
        <f>'[1]Copra Complex'!D26</f>
        <v>87.717279673800007</v>
      </c>
      <c r="E43" s="13">
        <f>'[1]Copra Complex'!E26</f>
        <v>56.434575342599999</v>
      </c>
      <c r="F43" s="13">
        <f>'[1]Copra Complex'!F26</f>
        <v>89.938436338800003</v>
      </c>
      <c r="G43" s="13">
        <f>'[1]Copra Complex'!G26</f>
        <v>48.281662724400007</v>
      </c>
      <c r="H43" s="13">
        <f>'[1]Copra Complex'!H26</f>
        <v>98.558287896600007</v>
      </c>
      <c r="I43" s="13">
        <f>'[1]Copra Complex'!I26</f>
        <v>117.68228143560002</v>
      </c>
      <c r="J43" s="13">
        <f>'[1]Copra Complex'!J26</f>
        <v>161.24825770199999</v>
      </c>
      <c r="K43" s="13">
        <f>'[1]Copra Complex'!K26</f>
        <v>65.861539014599998</v>
      </c>
      <c r="L43" s="13">
        <f>'[1]Copra Complex'!L26</f>
        <v>49.925869812000002</v>
      </c>
      <c r="M43" s="13">
        <f>'[1]Copra Complex'!M26</f>
        <v>183.56057557740002</v>
      </c>
      <c r="N43" s="13">
        <f>'[1]Copra Complex'!N26</f>
        <v>84.159460690199992</v>
      </c>
      <c r="O43" s="13">
        <f>'[1]Copra Complex'!O26</f>
        <v>98.276978129399993</v>
      </c>
      <c r="P43" s="13">
        <f>'[1]Copra Complex'!P26</f>
        <v>96.873515764199993</v>
      </c>
      <c r="Q43" s="13">
        <f>'[1]Copra Complex'!Q26</f>
        <v>52.367268214799999</v>
      </c>
      <c r="R43" s="13">
        <f>'[1]Copra Complex'!R26</f>
        <v>144.29427359760001</v>
      </c>
      <c r="S43" s="13">
        <f>'[1]Copra Complex'!S26</f>
        <v>93.718481220000001</v>
      </c>
      <c r="T43" s="13">
        <f>'[1]Copra Complex'!T26</f>
        <v>89.61832522440001</v>
      </c>
      <c r="U43" s="13">
        <f>'[1]Copra Complex'!U26</f>
        <v>89.988260796000006</v>
      </c>
      <c r="V43" s="13">
        <f>'[1]Copra Complex'!V26</f>
        <v>119.98765466099999</v>
      </c>
      <c r="W43" s="13">
        <f>'[1]Copra Complex'!W26</f>
        <v>132.6384370836</v>
      </c>
      <c r="X43" s="13">
        <f>'[1]Copra Complex'!X26</f>
        <v>77.283465134400004</v>
      </c>
      <c r="Y43" s="13">
        <f>'[1]Copra Complex'!Y26</f>
        <v>53.604722543400001</v>
      </c>
      <c r="Z43" s="13">
        <f>'[1]Copra Complex'!Z26</f>
        <v>70.999240354240001</v>
      </c>
      <c r="AA43" s="13">
        <f>'[1]Copra Complex'!AA26</f>
        <v>88.797902617379989</v>
      </c>
      <c r="AB43" s="13">
        <f>'[1]Copra Complex'!AB26</f>
        <v>64.880575484779996</v>
      </c>
      <c r="AC43" s="13">
        <f>'[1]Copra Complex'!AC26</f>
        <v>92.75148514192</v>
      </c>
      <c r="AD43" s="13">
        <f>'[1]Copra Complex'!AD26</f>
        <v>83.112569036639997</v>
      </c>
      <c r="AE43" s="13">
        <f>'[1]Copra Complex'!AE26</f>
        <v>82.207585721324378</v>
      </c>
      <c r="AF43" s="13">
        <f>'[1]Copra Complex'!AF26</f>
        <v>77.062409607432301</v>
      </c>
    </row>
    <row r="44" spans="1:32">
      <c r="A44" s="12" t="s">
        <v>55</v>
      </c>
      <c r="B44" s="13">
        <f>'[1]Copra Complex'!B27</f>
        <v>64.865049870600004</v>
      </c>
      <c r="C44" s="13">
        <f>'[1]Copra Complex'!C27</f>
        <v>78.619906990800004</v>
      </c>
      <c r="D44" s="13">
        <f>'[1]Copra Complex'!D27</f>
        <v>17.929529339399998</v>
      </c>
      <c r="E44" s="13">
        <f>'[1]Copra Complex'!E27</f>
        <v>104.60600696700001</v>
      </c>
      <c r="F44" s="13">
        <f>'[1]Copra Complex'!F27</f>
        <v>95.016562653600005</v>
      </c>
      <c r="G44" s="13">
        <f>'[1]Copra Complex'!G27</f>
        <v>59.487315426000002</v>
      </c>
      <c r="H44" s="13">
        <f>'[1]Copra Complex'!H27</f>
        <v>72.424037322000004</v>
      </c>
      <c r="I44" s="13">
        <f>'[1]Copra Complex'!I27</f>
        <v>97.578112955399988</v>
      </c>
      <c r="J44" s="13">
        <f>'[1]Copra Complex'!J27</f>
        <v>107.7341451228</v>
      </c>
      <c r="K44" s="13">
        <f>'[1]Copra Complex'!K27</f>
        <v>88.327078118999992</v>
      </c>
      <c r="L44" s="13">
        <f>'[1]Copra Complex'!L27</f>
        <v>106.2779922918</v>
      </c>
      <c r="M44" s="13">
        <f>'[1]Copra Complex'!M27</f>
        <v>64.875411593999999</v>
      </c>
      <c r="N44" s="13">
        <f>'[1]Copra Complex'!N27</f>
        <v>64.904733066600002</v>
      </c>
      <c r="O44" s="13">
        <f>'[1]Copra Complex'!O27</f>
        <v>61.601547924000009</v>
      </c>
      <c r="P44" s="13">
        <f>'[1]Copra Complex'!P27</f>
        <v>93.212740933199996</v>
      </c>
      <c r="Q44" s="13">
        <f>'[1]Copra Complex'!Q27</f>
        <v>102.9243213054</v>
      </c>
      <c r="R44" s="13">
        <f>'[1]Copra Complex'!R27</f>
        <v>138.2891037318</v>
      </c>
      <c r="S44" s="13">
        <f>'[1]Copra Complex'!S27</f>
        <v>110.1202075134</v>
      </c>
      <c r="T44" s="13">
        <f>'[1]Copra Complex'!T27</f>
        <v>137.95223749019999</v>
      </c>
      <c r="U44" s="13">
        <f>'[1]Copra Complex'!U27</f>
        <v>115.7968887012</v>
      </c>
      <c r="V44" s="13">
        <f>'[1]Copra Complex'!V27</f>
        <v>125.8049907324</v>
      </c>
      <c r="W44" s="13">
        <f>'[1]Copra Complex'!W27</f>
        <v>94.809989572199996</v>
      </c>
      <c r="X44" s="13">
        <f>'[1]Copra Complex'!X27</f>
        <v>147.76412816339999</v>
      </c>
      <c r="Y44" s="13">
        <f>'[1]Copra Complex'!Y27</f>
        <v>55.035742683599999</v>
      </c>
      <c r="Z44" s="13">
        <f>'[1]Copra Complex'!Z27</f>
        <v>82.986667597679997</v>
      </c>
      <c r="AA44" s="13">
        <f>'[1]Copra Complex'!AA27</f>
        <v>100.7136334138</v>
      </c>
      <c r="AB44" s="13">
        <f>'[1]Copra Complex'!AB27</f>
        <v>102.64883341746</v>
      </c>
      <c r="AC44" s="13">
        <f>'[1]Copra Complex'!AC27</f>
        <v>106.57594506965999</v>
      </c>
      <c r="AD44" s="13">
        <f>'[1]Copra Complex'!AD27</f>
        <v>117.00857508120001</v>
      </c>
      <c r="AE44" s="13">
        <f>'[1]Copra Complex'!AE27</f>
        <v>99.251780213953268</v>
      </c>
      <c r="AF44" s="13">
        <f>'[1]Copra Complex'!AF27</f>
        <v>98.108908599795726</v>
      </c>
    </row>
    <row r="45" spans="1:32">
      <c r="A45" s="12" t="s">
        <v>56</v>
      </c>
      <c r="B45" s="13">
        <f>'[1]Copra Complex'!B28</f>
        <v>91.140175791000004</v>
      </c>
      <c r="C45" s="13">
        <f>'[1]Copra Complex'!C28</f>
        <v>83.469193542000014</v>
      </c>
      <c r="D45" s="13">
        <f>'[1]Copra Complex'!D28</f>
        <v>73.552803785999998</v>
      </c>
      <c r="E45" s="13">
        <f>'[1]Copra Complex'!E28</f>
        <v>114.02922278160001</v>
      </c>
      <c r="F45" s="13">
        <f>'[1]Copra Complex'!F28</f>
        <v>55.019208018600004</v>
      </c>
      <c r="G45" s="13">
        <f>'[1]Copra Complex'!G28</f>
        <v>50.654717845200004</v>
      </c>
      <c r="H45" s="13">
        <f>'[1]Copra Complex'!H28</f>
        <v>91.187575164000009</v>
      </c>
      <c r="I45" s="13">
        <f>'[1]Copra Complex'!I28</f>
        <v>51.996891718800008</v>
      </c>
      <c r="J45" s="13">
        <f>'[1]Copra Complex'!J28</f>
        <v>52.920628336800007</v>
      </c>
      <c r="K45" s="13">
        <f>'[1]Copra Complex'!K28</f>
        <v>47.176706178000003</v>
      </c>
      <c r="L45" s="13">
        <f>'[1]Copra Complex'!L28</f>
        <v>109.9462628376</v>
      </c>
      <c r="M45" s="13">
        <f>'[1]Copra Complex'!M28</f>
        <v>98.5027314222</v>
      </c>
      <c r="N45" s="13">
        <f>'[1]Copra Complex'!N28</f>
        <v>103.58857391400001</v>
      </c>
      <c r="O45" s="13">
        <f>'[1]Copra Complex'!O28</f>
        <v>115.1255813022</v>
      </c>
      <c r="P45" s="13">
        <f>'[1]Copra Complex'!P28</f>
        <v>103.4721698724</v>
      </c>
      <c r="Q45" s="13">
        <f>'[1]Copra Complex'!Q28</f>
        <v>101.1850950096</v>
      </c>
      <c r="R45" s="13">
        <f>'[1]Copra Complex'!R28</f>
        <v>155.1522574098</v>
      </c>
      <c r="S45" s="13">
        <f>'[1]Copra Complex'!S28</f>
        <v>65.792313883800006</v>
      </c>
      <c r="T45" s="13">
        <f>'[1]Copra Complex'!T28</f>
        <v>97.426875886199994</v>
      </c>
      <c r="U45" s="13">
        <f>'[1]Copra Complex'!U28</f>
        <v>108.02758031099999</v>
      </c>
      <c r="V45" s="13">
        <f>'[1]Copra Complex'!V28</f>
        <v>111.319080957</v>
      </c>
      <c r="W45" s="13">
        <f>'[1]Copra Complex'!W28</f>
        <v>117.489817935</v>
      </c>
      <c r="X45" s="13">
        <f>'[1]Copra Complex'!X28</f>
        <v>105.32052495720001</v>
      </c>
      <c r="Y45" s="13">
        <f>'[1]Copra Complex'!Y28</f>
        <v>85.725376634260002</v>
      </c>
      <c r="Z45" s="13">
        <f>'[1]Copra Complex'!Z28</f>
        <v>76.549280814819994</v>
      </c>
      <c r="AA45" s="13">
        <f>'[1]Copra Complex'!AA28</f>
        <v>82.812555528559997</v>
      </c>
      <c r="AB45" s="13">
        <f>'[1]Copra Complex'!AB28</f>
        <v>74.990806276760011</v>
      </c>
      <c r="AC45" s="13">
        <f>'[1]Copra Complex'!AC28</f>
        <v>75.638278919940007</v>
      </c>
      <c r="AD45" s="13">
        <f>'[1]Copra Complex'!AD28</f>
        <v>56.038133469999998</v>
      </c>
      <c r="AE45" s="13">
        <f>'[1]Copra Complex'!AE28</f>
        <v>87.676299150786363</v>
      </c>
      <c r="AF45" s="13">
        <f>'[1]Copra Complex'!AF28</f>
        <v>70.42232019858541</v>
      </c>
    </row>
    <row r="46" spans="1:32">
      <c r="A46" s="12" t="s">
        <v>57</v>
      </c>
      <c r="B46" s="13">
        <f>'[1]Copra Complex'!B29</f>
        <v>64.27288840140001</v>
      </c>
      <c r="C46" s="13">
        <f>'[1]Copra Complex'!C29</f>
        <v>92.084194931399992</v>
      </c>
      <c r="D46" s="13">
        <f>'[1]Copra Complex'!D29</f>
        <v>23.322696137999998</v>
      </c>
      <c r="E46" s="13">
        <f>'[1]Copra Complex'!E29</f>
        <v>121.6530261198</v>
      </c>
      <c r="F46" s="13">
        <f>'[1]Copra Complex'!F29</f>
        <v>166.28978729160002</v>
      </c>
      <c r="G46" s="13">
        <f>'[1]Copra Complex'!G29</f>
        <v>49.498173143999999</v>
      </c>
      <c r="H46" s="13">
        <f>'[1]Copra Complex'!H29</f>
        <v>65.296714858200005</v>
      </c>
      <c r="I46" s="13">
        <f>'[1]Copra Complex'!I29</f>
        <v>98.560712980800005</v>
      </c>
      <c r="J46" s="13">
        <f>'[1]Copra Complex'!J29</f>
        <v>64.471745305799999</v>
      </c>
      <c r="K46" s="13">
        <f>'[1]Copra Complex'!K29</f>
        <v>88.945033665600008</v>
      </c>
      <c r="L46" s="13">
        <f>'[1]Copra Complex'!L29</f>
        <v>52.485876878400006</v>
      </c>
      <c r="M46" s="13">
        <f>'[1]Copra Complex'!M29</f>
        <v>74.712655420199994</v>
      </c>
      <c r="N46" s="13">
        <f>'[1]Copra Complex'!N29</f>
        <v>97.728468175800003</v>
      </c>
      <c r="O46" s="13">
        <f>'[1]Copra Complex'!O29</f>
        <v>84.074803205399988</v>
      </c>
      <c r="P46" s="13">
        <f>'[1]Copra Complex'!P29</f>
        <v>97.713697208400006</v>
      </c>
      <c r="Q46" s="13">
        <f>'[1]Copra Complex'!Q29</f>
        <v>117.22614514380001</v>
      </c>
      <c r="R46" s="13">
        <f>'[1]Copra Complex'!R29</f>
        <v>78.682738717800007</v>
      </c>
      <c r="S46" s="13">
        <f>'[1]Copra Complex'!S29</f>
        <v>36.8310765186</v>
      </c>
      <c r="T46" s="13">
        <f>'[1]Copra Complex'!T29</f>
        <v>131.23872257580001</v>
      </c>
      <c r="U46" s="13">
        <f>'[1]Copra Complex'!U29</f>
        <v>78.333526593000002</v>
      </c>
      <c r="V46" s="13">
        <f>'[1]Copra Complex'!V29</f>
        <v>72.0518971284</v>
      </c>
      <c r="W46" s="13">
        <f>'[1]Copra Complex'!W29</f>
        <v>115.879341564</v>
      </c>
      <c r="X46" s="13">
        <f>'[1]Copra Complex'!X29</f>
        <v>109.07014605480001</v>
      </c>
      <c r="Y46" s="13">
        <f>'[1]Copra Complex'!Y29</f>
        <v>69.795802230219991</v>
      </c>
      <c r="Z46" s="13">
        <f>'[1]Copra Complex'!Z29</f>
        <v>55.322090530959997</v>
      </c>
      <c r="AA46" s="13">
        <f>'[1]Copra Complex'!AA29</f>
        <v>63.0420458635</v>
      </c>
      <c r="AB46" s="13">
        <f>'[1]Copra Complex'!AB29</f>
        <v>53.920005121839999</v>
      </c>
      <c r="AC46" s="13">
        <f>'[1]Copra Complex'!AC29</f>
        <v>104.35363078953999</v>
      </c>
      <c r="AD46" s="13">
        <f>'[1]Copra Complex'!AD29</f>
        <v>166.80228333846</v>
      </c>
      <c r="AE46" s="13">
        <f>'[1]Copra Complex'!AE29</f>
        <v>155.64871925737407</v>
      </c>
      <c r="AF46" s="13">
        <f>'[1]Copra Complex'!AF29</f>
        <v>85.315843537615933</v>
      </c>
    </row>
    <row r="47" spans="1:32" ht="15.75" thickBot="1">
      <c r="A47" s="12" t="s">
        <v>58</v>
      </c>
      <c r="B47" s="13">
        <f>SUM(B35:B46)</f>
        <v>999.17260989840008</v>
      </c>
      <c r="C47" s="13">
        <f t="shared" ref="C47:AF47" si="2">SUM(C35:C46)</f>
        <v>1099.9595501747999</v>
      </c>
      <c r="D47" s="13">
        <f t="shared" si="2"/>
        <v>873.88592579819999</v>
      </c>
      <c r="E47" s="13">
        <f t="shared" si="2"/>
        <v>1188.1832315220001</v>
      </c>
      <c r="F47" s="13">
        <f t="shared" si="2"/>
        <v>1438.6626828252001</v>
      </c>
      <c r="G47" s="13">
        <f t="shared" si="2"/>
        <v>747.22069156140014</v>
      </c>
      <c r="H47" s="13">
        <f t="shared" si="2"/>
        <v>915.02615647799985</v>
      </c>
      <c r="I47" s="13">
        <f t="shared" si="2"/>
        <v>1114.9135012008001</v>
      </c>
      <c r="J47" s="13">
        <f t="shared" si="2"/>
        <v>1092.8494237626001</v>
      </c>
      <c r="K47" s="13">
        <f t="shared" si="2"/>
        <v>862.22391634260009</v>
      </c>
      <c r="L47" s="13">
        <f t="shared" si="2"/>
        <v>796.32864661140002</v>
      </c>
      <c r="M47" s="13">
        <f t="shared" si="2"/>
        <v>931.1174719938</v>
      </c>
      <c r="N47" s="13">
        <f t="shared" si="2"/>
        <v>1110.9610548792002</v>
      </c>
      <c r="O47" s="13">
        <f t="shared" si="2"/>
        <v>914.86588045860015</v>
      </c>
      <c r="P47" s="13">
        <f t="shared" si="2"/>
        <v>1182.4917793667998</v>
      </c>
      <c r="Q47" s="13">
        <f t="shared" si="2"/>
        <v>958.17612057299993</v>
      </c>
      <c r="R47" s="13">
        <f t="shared" si="2"/>
        <v>1334.3957467218002</v>
      </c>
      <c r="S47" s="13">
        <f t="shared" si="2"/>
        <v>1077.0045849864</v>
      </c>
      <c r="T47" s="13">
        <f t="shared" si="2"/>
        <v>1161.5170056588001</v>
      </c>
      <c r="U47" s="13">
        <f t="shared" si="2"/>
        <v>1213.7621378148001</v>
      </c>
      <c r="V47" s="13">
        <f t="shared" si="2"/>
        <v>1168.6919479578</v>
      </c>
      <c r="W47" s="13">
        <f t="shared" si="2"/>
        <v>1259.637235164</v>
      </c>
      <c r="X47" s="13">
        <f t="shared" si="2"/>
        <v>1157.8945912505999</v>
      </c>
      <c r="Y47" s="13">
        <f t="shared" si="2"/>
        <v>1036.2357008454799</v>
      </c>
      <c r="Z47" s="13">
        <f t="shared" si="2"/>
        <v>983.44382312990001</v>
      </c>
      <c r="AA47" s="13">
        <f t="shared" si="2"/>
        <v>996.06058119854004</v>
      </c>
      <c r="AB47" s="13">
        <f t="shared" si="2"/>
        <v>1059.9819529767599</v>
      </c>
      <c r="AC47" s="13">
        <f t="shared" si="2"/>
        <v>979.26153773580006</v>
      </c>
      <c r="AD47" s="13">
        <f t="shared" si="2"/>
        <v>1178.88055539782</v>
      </c>
      <c r="AE47" s="13">
        <f t="shared" si="2"/>
        <v>1120</v>
      </c>
      <c r="AF47" s="13">
        <f t="shared" si="2"/>
        <v>1000</v>
      </c>
    </row>
    <row r="48" spans="1:3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thickBot="1">
      <c r="A49" s="12" t="s">
        <v>60</v>
      </c>
    </row>
    <row r="50" spans="1:32" ht="15.75" thickBot="1">
      <c r="A50" s="3"/>
      <c r="B50" s="3" t="str">
        <f>B2</f>
        <v xml:space="preserve">93/94 </v>
      </c>
      <c r="C50" s="3" t="str">
        <f t="shared" ref="C50:AF50" si="3">C2</f>
        <v xml:space="preserve">94/95 </v>
      </c>
      <c r="D50" s="3" t="str">
        <f t="shared" si="3"/>
        <v xml:space="preserve">95/96 </v>
      </c>
      <c r="E50" s="3" t="str">
        <f t="shared" si="3"/>
        <v xml:space="preserve">96/97 </v>
      </c>
      <c r="F50" s="3" t="str">
        <f t="shared" si="3"/>
        <v xml:space="preserve">97/98 </v>
      </c>
      <c r="G50" s="3" t="str">
        <f t="shared" si="3"/>
        <v xml:space="preserve">98/99 </v>
      </c>
      <c r="H50" s="3" t="str">
        <f t="shared" si="3"/>
        <v xml:space="preserve">99/00 </v>
      </c>
      <c r="I50" s="3" t="str">
        <f t="shared" si="3"/>
        <v xml:space="preserve">00/01 </v>
      </c>
      <c r="J50" s="3" t="str">
        <f t="shared" si="3"/>
        <v xml:space="preserve">01/02 </v>
      </c>
      <c r="K50" s="3" t="str">
        <f t="shared" si="3"/>
        <v xml:space="preserve">02/03 </v>
      </c>
      <c r="L50" s="3" t="str">
        <f t="shared" si="3"/>
        <v xml:space="preserve">03/04 </v>
      </c>
      <c r="M50" s="3" t="str">
        <f t="shared" si="3"/>
        <v xml:space="preserve">04/05 </v>
      </c>
      <c r="N50" s="3" t="str">
        <f t="shared" si="3"/>
        <v xml:space="preserve">05/06 </v>
      </c>
      <c r="O50" s="3" t="str">
        <f t="shared" si="3"/>
        <v xml:space="preserve">06/07 </v>
      </c>
      <c r="P50" s="3" t="str">
        <f t="shared" si="3"/>
        <v xml:space="preserve">07/08 </v>
      </c>
      <c r="Q50" s="3" t="str">
        <f t="shared" si="3"/>
        <v xml:space="preserve">08/09 </v>
      </c>
      <c r="R50" s="3" t="str">
        <f t="shared" si="3"/>
        <v xml:space="preserve">09/10 </v>
      </c>
      <c r="S50" s="3" t="str">
        <f t="shared" si="3"/>
        <v xml:space="preserve">10/11 </v>
      </c>
      <c r="T50" s="3" t="str">
        <f t="shared" si="3"/>
        <v xml:space="preserve">11/12 </v>
      </c>
      <c r="U50" s="3" t="str">
        <f t="shared" si="3"/>
        <v xml:space="preserve">12/13 </v>
      </c>
      <c r="V50" s="3" t="str">
        <f t="shared" si="3"/>
        <v xml:space="preserve">13/14 </v>
      </c>
      <c r="W50" s="3" t="str">
        <f t="shared" si="3"/>
        <v xml:space="preserve">14/15 </v>
      </c>
      <c r="X50" s="3" t="str">
        <f t="shared" si="3"/>
        <v xml:space="preserve">15/16 </v>
      </c>
      <c r="Y50" s="3" t="str">
        <f t="shared" si="3"/>
        <v xml:space="preserve">16/17 </v>
      </c>
      <c r="Z50" s="3" t="str">
        <f t="shared" si="3"/>
        <v xml:space="preserve">17/18 </v>
      </c>
      <c r="AA50" s="3" t="str">
        <f t="shared" si="3"/>
        <v xml:space="preserve">18/19 </v>
      </c>
      <c r="AB50" s="3" t="str">
        <f t="shared" si="3"/>
        <v xml:space="preserve">19/20 </v>
      </c>
      <c r="AC50" s="3" t="str">
        <f t="shared" si="3"/>
        <v xml:space="preserve">20/21 </v>
      </c>
      <c r="AD50" s="3" t="str">
        <f t="shared" si="3"/>
        <v xml:space="preserve">21/22 </v>
      </c>
      <c r="AE50" s="3" t="str">
        <f t="shared" si="3"/>
        <v xml:space="preserve">22/23 </v>
      </c>
      <c r="AF50" s="3" t="str">
        <f t="shared" si="3"/>
        <v>23/24</v>
      </c>
    </row>
    <row r="51" spans="1:32">
      <c r="A51" s="12" t="s">
        <v>46</v>
      </c>
      <c r="B51" s="14">
        <f>'[1]Copra Complex'!B34</f>
        <v>0.32121342540000003</v>
      </c>
      <c r="C51" s="14">
        <f>'[1]Copra Complex'!C34</f>
        <v>0.96165611639999993</v>
      </c>
      <c r="D51" s="14">
        <f>'[1]Copra Complex'!D34</f>
        <v>0.60847567200000008</v>
      </c>
      <c r="E51" s="14">
        <f>'[1]Copra Complex'!E34</f>
        <v>0.93299603040000001</v>
      </c>
      <c r="F51" s="14">
        <f>'[1]Copra Complex'!F34</f>
        <v>0.4742141922</v>
      </c>
      <c r="G51" s="14">
        <f>'[1]Copra Complex'!G34</f>
        <v>0.38867485860000006</v>
      </c>
      <c r="H51" s="14">
        <f>'[1]Copra Complex'!H34</f>
        <v>0.34568472960000002</v>
      </c>
      <c r="I51" s="14">
        <f>'[1]Copra Complex'!I34</f>
        <v>0.18562917240000001</v>
      </c>
      <c r="J51" s="14">
        <f>'[1]Copra Complex'!J34</f>
        <v>0.83114249400000006</v>
      </c>
      <c r="K51" s="14">
        <f>'[1]Copra Complex'!K34</f>
        <v>1.4003758944000002</v>
      </c>
      <c r="L51" s="14">
        <f>'[1]Copra Complex'!L34</f>
        <v>0.65256811200000009</v>
      </c>
      <c r="M51" s="14">
        <f>'[1]Copra Complex'!M34</f>
        <v>1.0941538986000001</v>
      </c>
      <c r="N51" s="14">
        <f>'[1]Copra Complex'!N34</f>
        <v>1.1973302081999999</v>
      </c>
      <c r="O51" s="14">
        <f>'[1]Copra Complex'!O34</f>
        <v>0.22443051959999999</v>
      </c>
      <c r="P51" s="14">
        <f>'[1]Copra Complex'!P34</f>
        <v>0.91227258360000008</v>
      </c>
      <c r="Q51" s="14">
        <f>'[1]Copra Complex'!Q34</f>
        <v>0.76235828760000002</v>
      </c>
      <c r="R51" s="14">
        <f>'[1]Copra Complex'!R34</f>
        <v>1.4314610646000001</v>
      </c>
      <c r="S51" s="14">
        <f>'[1]Copra Complex'!S34</f>
        <v>3.1091784065999999</v>
      </c>
      <c r="T51" s="14">
        <f>'[1]Copra Complex'!T34</f>
        <v>2.6581127454000004</v>
      </c>
      <c r="U51" s="14">
        <f>'[1]Copra Complex'!U34</f>
        <v>1.7520131034000002</v>
      </c>
      <c r="V51" s="14">
        <f>'[1]Copra Complex'!V34</f>
        <v>2.5542750492000001</v>
      </c>
      <c r="W51" s="14">
        <f>'[1]Copra Complex'!W34</f>
        <v>2.8113339744000001</v>
      </c>
      <c r="X51" s="14">
        <f>'[1]Copra Complex'!X34</f>
        <v>5.0862834161999997</v>
      </c>
      <c r="Y51" s="14">
        <f>'[1]Copra Complex'!Y34</f>
        <v>5.5186097904000002</v>
      </c>
      <c r="Z51" s="14">
        <f>'[1]Copra Complex'!Z34</f>
        <v>4.0036318077799997</v>
      </c>
      <c r="AA51" s="14">
        <f>'[1]Copra Complex'!AA34</f>
        <v>3.5350971469000001</v>
      </c>
      <c r="AB51" s="14">
        <f>'[1]Copra Complex'!AB34</f>
        <v>3.32740430594</v>
      </c>
      <c r="AC51" s="14">
        <f>'[1]Copra Complex'!AC34</f>
        <v>4.515723146</v>
      </c>
      <c r="AD51" s="14">
        <f>'[1]Copra Complex'!AD34</f>
        <v>6.0357777713200003</v>
      </c>
      <c r="AE51" s="14">
        <f>'[1]Copra Complex'!AE34</f>
        <v>4.64408494088</v>
      </c>
      <c r="AF51" s="14">
        <f>'[1]Copra Complex'!AF34</f>
        <v>3.5863175061406705</v>
      </c>
    </row>
    <row r="52" spans="1:32">
      <c r="A52" s="12" t="s">
        <v>47</v>
      </c>
      <c r="B52" s="14">
        <f>'[1]Copra Complex'!B35</f>
        <v>1.523393802</v>
      </c>
      <c r="C52" s="14">
        <f>'[1]Copra Complex'!C35</f>
        <v>0.87567585840000006</v>
      </c>
      <c r="D52" s="14">
        <f>'[1]Copra Complex'!D35</f>
        <v>1.6847721324000002</v>
      </c>
      <c r="E52" s="14">
        <f>'[1]Copra Complex'!E35</f>
        <v>0.53616407040000003</v>
      </c>
      <c r="F52" s="14">
        <f>'[1]Copra Complex'!F35</f>
        <v>0.64220638860000012</v>
      </c>
      <c r="G52" s="14">
        <f>'[1]Copra Complex'!G35</f>
        <v>1.1583083988</v>
      </c>
      <c r="H52" s="14">
        <f>'[1]Copra Complex'!H35</f>
        <v>1.0017802367999999</v>
      </c>
      <c r="I52" s="14">
        <f>'[1]Copra Complex'!I35</f>
        <v>0.50485843800000008</v>
      </c>
      <c r="J52" s="14">
        <f>'[1]Copra Complex'!J35</f>
        <v>1.1997552924000001</v>
      </c>
      <c r="K52" s="14">
        <f>'[1]Copra Complex'!K35</f>
        <v>0.26940480840000003</v>
      </c>
      <c r="L52" s="14">
        <f>'[1]Copra Complex'!L35</f>
        <v>0.44886103919999998</v>
      </c>
      <c r="M52" s="14">
        <f>'[1]Copra Complex'!M35</f>
        <v>0.4016821284</v>
      </c>
      <c r="N52" s="14">
        <f>'[1]Copra Complex'!N35</f>
        <v>0.93696435000000011</v>
      </c>
      <c r="O52" s="14">
        <f>'[1]Copra Complex'!O35</f>
        <v>0.51632247240000007</v>
      </c>
      <c r="P52" s="14">
        <f>'[1]Copra Complex'!P35</f>
        <v>0.20988001440000001</v>
      </c>
      <c r="Q52" s="14">
        <f>'[1]Copra Complex'!Q35</f>
        <v>0.76676753160000011</v>
      </c>
      <c r="R52" s="14">
        <f>'[1]Copra Complex'!R35</f>
        <v>1.6658123832</v>
      </c>
      <c r="S52" s="14">
        <f>'[1]Copra Complex'!S35</f>
        <v>3.8322944226</v>
      </c>
      <c r="T52" s="14">
        <f>'[1]Copra Complex'!T35</f>
        <v>1.1175228918</v>
      </c>
      <c r="U52" s="14">
        <f>'[1]Copra Complex'!U35</f>
        <v>2.5183397106000003</v>
      </c>
      <c r="V52" s="14">
        <f>'[1]Copra Complex'!V35</f>
        <v>2.1589863245999998</v>
      </c>
      <c r="W52" s="14">
        <f>'[1]Copra Complex'!W35</f>
        <v>4.9850912663999996</v>
      </c>
      <c r="X52" s="14">
        <f>'[1]Copra Complex'!X35</f>
        <v>8.0223989957999997</v>
      </c>
      <c r="Y52" s="14">
        <f>'[1]Copra Complex'!Y35</f>
        <v>5.3380512485999994</v>
      </c>
      <c r="Z52" s="14">
        <f>'[1]Copra Complex'!Z35</f>
        <v>3.9718522104799998</v>
      </c>
      <c r="AA52" s="14">
        <f>'[1]Copra Complex'!AA35</f>
        <v>3.6609280380199998</v>
      </c>
      <c r="AB52" s="14">
        <f>'[1]Copra Complex'!AB35</f>
        <v>3.5096051258399998</v>
      </c>
      <c r="AC52" s="14">
        <f>'[1]Copra Complex'!AC35</f>
        <v>3.4669060456799996</v>
      </c>
      <c r="AD52" s="14">
        <f>'[1]Copra Complex'!AD35</f>
        <v>5.0300940612999998</v>
      </c>
      <c r="AE52" s="14">
        <f>'[1]Copra Complex'!AE35</f>
        <v>3.9916474934599999</v>
      </c>
      <c r="AF52" s="14">
        <f>'[1]Copra Complex'!AF35</f>
        <v>3.2885551866437401</v>
      </c>
    </row>
    <row r="53" spans="1:32">
      <c r="A53" s="12" t="s">
        <v>48</v>
      </c>
      <c r="B53" s="14">
        <f>'[1]Copra Complex'!B36</f>
        <v>0.54013239000000002</v>
      </c>
      <c r="C53" s="14">
        <f>'[1]Copra Complex'!C36</f>
        <v>0.53373898620000004</v>
      </c>
      <c r="D53" s="14">
        <f>'[1]Copra Complex'!D36</f>
        <v>2.1750800652000004</v>
      </c>
      <c r="E53" s="14">
        <f>'[1]Copra Complex'!E36</f>
        <v>6.3934037999999999E-2</v>
      </c>
      <c r="F53" s="14">
        <f>'[1]Copra Complex'!F36</f>
        <v>0.15498492659999999</v>
      </c>
      <c r="G53" s="14">
        <f>'[1]Copra Complex'!G36</f>
        <v>2.5688255544000005</v>
      </c>
      <c r="H53" s="14">
        <f>'[1]Copra Complex'!H36</f>
        <v>1.2374543286000002</v>
      </c>
      <c r="I53" s="14">
        <f>'[1]Copra Complex'!I36</f>
        <v>0.23677640280000004</v>
      </c>
      <c r="J53" s="14">
        <f>'[1]Copra Complex'!J36</f>
        <v>0.2574998496</v>
      </c>
      <c r="K53" s="14">
        <f>'[1]Copra Complex'!K36</f>
        <v>0.64176546420000014</v>
      </c>
      <c r="L53" s="14">
        <f>'[1]Copra Complex'!L36</f>
        <v>0.746264547</v>
      </c>
      <c r="M53" s="14">
        <f>'[1]Copra Complex'!M36</f>
        <v>0.50574028680000005</v>
      </c>
      <c r="N53" s="14">
        <f>'[1]Copra Complex'!N36</f>
        <v>4.4271014382000002</v>
      </c>
      <c r="O53" s="14">
        <f>'[1]Copra Complex'!O36</f>
        <v>0.45459305639999997</v>
      </c>
      <c r="P53" s="14">
        <f>'[1]Copra Complex'!P36</f>
        <v>0.61773508440000002</v>
      </c>
      <c r="Q53" s="14">
        <f>'[1]Copra Complex'!Q36</f>
        <v>0.62280571500000004</v>
      </c>
      <c r="R53" s="14">
        <f>'[1]Copra Complex'!R36</f>
        <v>1.0661551992</v>
      </c>
      <c r="S53" s="14">
        <f>'[1]Copra Complex'!S36</f>
        <v>1.0826898642</v>
      </c>
      <c r="T53" s="14">
        <f>'[1]Copra Complex'!T36</f>
        <v>1.4380749306</v>
      </c>
      <c r="U53" s="14">
        <f>'[1]Copra Complex'!U36</f>
        <v>2.1276806922000002</v>
      </c>
      <c r="V53" s="14">
        <f>'[1]Copra Complex'!V36</f>
        <v>2.1931579655999998</v>
      </c>
      <c r="W53" s="14">
        <f>'[1]Copra Complex'!W36</f>
        <v>2.8009722510000001</v>
      </c>
      <c r="X53" s="14">
        <f>'[1]Copra Complex'!X36</f>
        <v>5.9943672180000007</v>
      </c>
      <c r="Y53" s="14">
        <f>'[1]Copra Complex'!Y36</f>
        <v>3.0538423944000002</v>
      </c>
      <c r="Z53" s="14">
        <f>'[1]Copra Complex'!Z36</f>
        <v>3.5269665083400001</v>
      </c>
      <c r="AA53" s="14">
        <f>'[1]Copra Complex'!AA36</f>
        <v>3.3153736945999999</v>
      </c>
      <c r="AB53" s="14">
        <f>'[1]Copra Complex'!AB36</f>
        <v>2.8853184712000002</v>
      </c>
      <c r="AC53" s="14">
        <f>'[1]Copra Complex'!AC36</f>
        <v>2.6015089201199997</v>
      </c>
      <c r="AD53" s="14">
        <f>'[1]Copra Complex'!AD36</f>
        <v>4.0630683629800002</v>
      </c>
      <c r="AE53" s="14">
        <f>'[1]Copra Complex'!AE36</f>
        <v>3.8047596514400004</v>
      </c>
      <c r="AF53" s="14">
        <f>'[1]Copra Complex'!AF36</f>
        <v>2.7448299046394831</v>
      </c>
    </row>
    <row r="54" spans="1:32">
      <c r="A54" s="12" t="s">
        <v>49</v>
      </c>
      <c r="B54" s="14">
        <f>'[1]Copra Complex'!B37</f>
        <v>0.8703847656</v>
      </c>
      <c r="C54" s="14">
        <f>'[1]Copra Complex'!C37</f>
        <v>0.37081742039999999</v>
      </c>
      <c r="D54" s="14">
        <f>'[1]Copra Complex'!D37</f>
        <v>1.478199051</v>
      </c>
      <c r="E54" s="14">
        <f>'[1]Copra Complex'!E37</f>
        <v>1.4087534580000001</v>
      </c>
      <c r="F54" s="14">
        <f>'[1]Copra Complex'!F37</f>
        <v>0.40631183460000003</v>
      </c>
      <c r="G54" s="14">
        <f>'[1]Copra Complex'!G37</f>
        <v>0.23545362959999999</v>
      </c>
      <c r="H54" s="14">
        <f>'[1]Copra Complex'!H37</f>
        <v>0.90786333959999999</v>
      </c>
      <c r="I54" s="14">
        <f>'[1]Copra Complex'!I37</f>
        <v>0.31063123980000001</v>
      </c>
      <c r="J54" s="14">
        <f>'[1]Copra Complex'!J37</f>
        <v>0.44842011480000005</v>
      </c>
      <c r="K54" s="14">
        <f>'[1]Copra Complex'!K37</f>
        <v>0.53197528859999998</v>
      </c>
      <c r="L54" s="14">
        <f>'[1]Copra Complex'!L37</f>
        <v>0.49758318540000002</v>
      </c>
      <c r="M54" s="14">
        <f>'[1]Copra Complex'!M37</f>
        <v>0.63934037999999993</v>
      </c>
      <c r="N54" s="14">
        <f>'[1]Copra Complex'!N37</f>
        <v>0.82915833420000018</v>
      </c>
      <c r="O54" s="14">
        <f>'[1]Copra Complex'!O37</f>
        <v>0.50948814419999999</v>
      </c>
      <c r="P54" s="14">
        <f>'[1]Copra Complex'!P37</f>
        <v>0.75442164840000003</v>
      </c>
      <c r="Q54" s="14">
        <f>'[1]Copra Complex'!Q37</f>
        <v>0.91866598739999994</v>
      </c>
      <c r="R54" s="14">
        <f>'[1]Copra Complex'!R37</f>
        <v>0.99869376599999993</v>
      </c>
      <c r="S54" s="14">
        <f>'[1]Copra Complex'!S37</f>
        <v>1.235690631</v>
      </c>
      <c r="T54" s="14">
        <f>'[1]Copra Complex'!T37</f>
        <v>1.5189845580000001</v>
      </c>
      <c r="U54" s="14">
        <f>'[1]Copra Complex'!U37</f>
        <v>2.1122483382000001</v>
      </c>
      <c r="V54" s="14">
        <f>'[1]Copra Complex'!V37</f>
        <v>1.1505922218</v>
      </c>
      <c r="W54" s="14">
        <f>'[1]Copra Complex'!W37</f>
        <v>2.6109338345999999</v>
      </c>
      <c r="X54" s="14">
        <f>'[1]Copra Complex'!X37</f>
        <v>1.4226425765999999</v>
      </c>
      <c r="Y54" s="14">
        <f>'[1]Copra Complex'!Y37</f>
        <v>6.5658052403999996</v>
      </c>
      <c r="Z54" s="14">
        <f>'[1]Copra Complex'!Z37</f>
        <v>3.9084671808600002</v>
      </c>
      <c r="AA54" s="14">
        <f>'[1]Copra Complex'!AA37</f>
        <v>3.5906094785000002</v>
      </c>
      <c r="AB54" s="14">
        <f>'[1]Copra Complex'!AB37</f>
        <v>3.4892564832399997</v>
      </c>
      <c r="AC54" s="14">
        <f>'[1]Copra Complex'!AC37</f>
        <v>3.3822640700200002</v>
      </c>
      <c r="AD54" s="14">
        <f>'[1]Copra Complex'!AD37</f>
        <v>4.9516580909399996</v>
      </c>
      <c r="AE54" s="14">
        <f>'[1]Copra Complex'!AE37</f>
        <v>4.0287424295800003</v>
      </c>
      <c r="AF54" s="14">
        <f>'[1]Copra Complex'!AF37</f>
        <v>3.235452705819895</v>
      </c>
    </row>
    <row r="55" spans="1:32">
      <c r="A55" s="12" t="s">
        <v>50</v>
      </c>
      <c r="B55" s="14">
        <f>'[1]Copra Complex'!B38</f>
        <v>1.3080022325999998</v>
      </c>
      <c r="C55" s="14">
        <f>'[1]Copra Complex'!C38</f>
        <v>0.67924403820000012</v>
      </c>
      <c r="D55" s="14">
        <f>'[1]Copra Complex'!D38</f>
        <v>1.5948235548</v>
      </c>
      <c r="E55" s="14">
        <f>'[1]Copra Complex'!E38</f>
        <v>0.25353153</v>
      </c>
      <c r="F55" s="14">
        <f>'[1]Copra Complex'!F38</f>
        <v>0.36530586540000004</v>
      </c>
      <c r="G55" s="14">
        <f>'[1]Copra Complex'!G38</f>
        <v>0.28571901119999998</v>
      </c>
      <c r="H55" s="14">
        <f>'[1]Copra Complex'!H38</f>
        <v>1.0344086423999999</v>
      </c>
      <c r="I55" s="14">
        <f>'[1]Copra Complex'!I38</f>
        <v>0.67351202099999996</v>
      </c>
      <c r="J55" s="14">
        <f>'[1]Copra Complex'!J38</f>
        <v>0.27734144759999996</v>
      </c>
      <c r="K55" s="14">
        <f>'[1]Copra Complex'!K38</f>
        <v>0.55534428180000006</v>
      </c>
      <c r="L55" s="14">
        <f>'[1]Copra Complex'!L38</f>
        <v>0.57915419940000001</v>
      </c>
      <c r="M55" s="14">
        <f>'[1]Copra Complex'!M38</f>
        <v>4.1080926348000002</v>
      </c>
      <c r="N55" s="14">
        <f>'[1]Copra Complex'!N38</f>
        <v>0.43320822300000006</v>
      </c>
      <c r="O55" s="14">
        <f>'[1]Copra Complex'!O38</f>
        <v>0.49603995000000001</v>
      </c>
      <c r="P55" s="14">
        <f>'[1]Copra Complex'!P38</f>
        <v>0.69842424960000005</v>
      </c>
      <c r="Q55" s="14">
        <f>'[1]Copra Complex'!Q38</f>
        <v>1.0771783091999996</v>
      </c>
      <c r="R55" s="14">
        <f>'[1]Copra Complex'!R38</f>
        <v>0.61045983179999996</v>
      </c>
      <c r="S55" s="14">
        <f>'[1]Copra Complex'!S38</f>
        <v>2.2526827595999999</v>
      </c>
      <c r="T55" s="14">
        <f>'[1]Copra Complex'!T38</f>
        <v>1.7326124298000001</v>
      </c>
      <c r="U55" s="14">
        <f>'[1]Copra Complex'!U38</f>
        <v>2.0827064034</v>
      </c>
      <c r="V55" s="14">
        <f>'[1]Copra Complex'!V38</f>
        <v>1.351433286</v>
      </c>
      <c r="W55" s="14">
        <f>'[1]Copra Complex'!W38</f>
        <v>4.3598604671999999</v>
      </c>
      <c r="X55" s="14">
        <f>'[1]Copra Complex'!X38</f>
        <v>2.8717406172</v>
      </c>
      <c r="Y55" s="14">
        <f>'[1]Copra Complex'!Y38</f>
        <v>4.4242354296000004</v>
      </c>
      <c r="Z55" s="14">
        <f>'[1]Copra Complex'!Z38</f>
        <v>3.8248261026799999</v>
      </c>
      <c r="AA55" s="14">
        <f>'[1]Copra Complex'!AA38</f>
        <v>3.3930446618199999</v>
      </c>
      <c r="AB55" s="14">
        <f>'[1]Copra Complex'!AB38</f>
        <v>3.4184242472599999</v>
      </c>
      <c r="AC55" s="14">
        <f>'[1]Copra Complex'!AC38</f>
        <v>3.5215431431400002</v>
      </c>
      <c r="AD55" s="14">
        <f>'[1]Copra Complex'!AD38</f>
        <v>4.8572518533000002</v>
      </c>
      <c r="AE55" s="14">
        <f>'[1]Copra Complex'!AE38</f>
        <v>3.75020853416</v>
      </c>
      <c r="AF55" s="14">
        <f>'[1]Copra Complex'!AF38</f>
        <v>3.1840188141549106</v>
      </c>
    </row>
    <row r="56" spans="1:32">
      <c r="A56" s="12" t="s">
        <v>51</v>
      </c>
      <c r="B56" s="14">
        <f>'[1]Copra Complex'!B39</f>
        <v>1.0275743142000002</v>
      </c>
      <c r="C56" s="14">
        <f>'[1]Copra Complex'!C39</f>
        <v>2.0187723654000003</v>
      </c>
      <c r="D56" s="14">
        <f>'[1]Copra Complex'!D39</f>
        <v>0.37897452180000007</v>
      </c>
      <c r="E56" s="14">
        <f>'[1]Copra Complex'!E39</f>
        <v>1.2912471054000003</v>
      </c>
      <c r="F56" s="14">
        <f>'[1]Copra Complex'!F39</f>
        <v>0.19444766040000003</v>
      </c>
      <c r="G56" s="14">
        <f>'[1]Copra Complex'!G39</f>
        <v>0.18011761740000001</v>
      </c>
      <c r="H56" s="14">
        <f>'[1]Copra Complex'!H39</f>
        <v>2.8657881378000001</v>
      </c>
      <c r="I56" s="14">
        <f>'[1]Copra Complex'!I39</f>
        <v>0.38580884999999998</v>
      </c>
      <c r="J56" s="14">
        <f>'[1]Copra Complex'!J39</f>
        <v>0.42196465080000001</v>
      </c>
      <c r="K56" s="14">
        <f>'[1]Copra Complex'!K39</f>
        <v>0.65763874259999999</v>
      </c>
      <c r="L56" s="14">
        <f>'[1]Copra Complex'!L39</f>
        <v>0.71804538539999996</v>
      </c>
      <c r="M56" s="14">
        <f>'[1]Copra Complex'!M39</f>
        <v>0.54145516319999998</v>
      </c>
      <c r="N56" s="14">
        <f>'[1]Copra Complex'!N39</f>
        <v>0.8853761952000001</v>
      </c>
      <c r="O56" s="14">
        <f>'[1]Copra Complex'!O39</f>
        <v>0.6111212184</v>
      </c>
      <c r="P56" s="14">
        <f>'[1]Copra Complex'!P39</f>
        <v>0.38426561460000003</v>
      </c>
      <c r="Q56" s="14">
        <f>'[1]Copra Complex'!Q39</f>
        <v>0.77624740619999988</v>
      </c>
      <c r="R56" s="14">
        <f>'[1]Copra Complex'!R39</f>
        <v>0.45988414920000004</v>
      </c>
      <c r="S56" s="14">
        <f>'[1]Copra Complex'!S39</f>
        <v>3.487712004</v>
      </c>
      <c r="T56" s="14">
        <f>'[1]Copra Complex'!T39</f>
        <v>2.2072675463999998</v>
      </c>
      <c r="U56" s="14">
        <f>'[1]Copra Complex'!U39</f>
        <v>2.0103948018</v>
      </c>
      <c r="V56" s="14">
        <f>'[1]Copra Complex'!V39</f>
        <v>3.1552550064</v>
      </c>
      <c r="W56" s="14">
        <f>'[1]Copra Complex'!W39</f>
        <v>8.9503243956000009</v>
      </c>
      <c r="X56" s="14">
        <f>'[1]Copra Complex'!X39</f>
        <v>5.7511974114000006</v>
      </c>
      <c r="Y56" s="14">
        <f>'[1]Copra Complex'!Y39</f>
        <v>5.0655599694000006</v>
      </c>
      <c r="Z56" s="14">
        <f>'[1]Copra Complex'!Z39</f>
        <v>4.4963555593000004</v>
      </c>
      <c r="AA56" s="14">
        <f>'[1]Copra Complex'!AA39</f>
        <v>3.29992371764</v>
      </c>
      <c r="AB56" s="14">
        <f>'[1]Copra Complex'!AB39</f>
        <v>4.41243890362</v>
      </c>
      <c r="AC56" s="14">
        <f>'[1]Copra Complex'!AC39</f>
        <v>4.6513227083399995</v>
      </c>
      <c r="AD56" s="14">
        <f>'[1]Copra Complex'!AD39</f>
        <v>4.5844609929799995</v>
      </c>
      <c r="AE56" s="14">
        <f>'[1]Copra Complex'!AE39</f>
        <v>4.4936041935399995</v>
      </c>
      <c r="AF56" s="14">
        <f>'[1]Copra Complex'!AF39</f>
        <v>3.5908164212024034</v>
      </c>
    </row>
    <row r="57" spans="1:32">
      <c r="A57" s="12" t="s">
        <v>52</v>
      </c>
      <c r="B57" s="14">
        <f>'[1]Copra Complex'!B40</f>
        <v>0.74383946280000002</v>
      </c>
      <c r="C57" s="14">
        <f>'[1]Copra Complex'!C40</f>
        <v>4.7454488550000002</v>
      </c>
      <c r="D57" s="14">
        <f>'[1]Copra Complex'!D40</f>
        <v>0.346125654</v>
      </c>
      <c r="E57" s="14">
        <f>'[1]Copra Complex'!E40</f>
        <v>1.5383852316</v>
      </c>
      <c r="F57" s="14">
        <f>'[1]Copra Complex'!F40</f>
        <v>1.7617134402000001</v>
      </c>
      <c r="G57" s="14">
        <f>'[1]Copra Complex'!G40</f>
        <v>0.14197765680000002</v>
      </c>
      <c r="H57" s="14">
        <f>'[1]Copra Complex'!H40</f>
        <v>2.3549772203999999</v>
      </c>
      <c r="I57" s="14">
        <f>'[1]Copra Complex'!I40</f>
        <v>0.17151959160000002</v>
      </c>
      <c r="J57" s="14">
        <f>'[1]Copra Complex'!J40</f>
        <v>0.51389738819999997</v>
      </c>
      <c r="K57" s="14">
        <f>'[1]Copra Complex'!K40</f>
        <v>0.89419468320000006</v>
      </c>
      <c r="L57" s="14">
        <f>'[1]Copra Complex'!L40</f>
        <v>0.71253383040000007</v>
      </c>
      <c r="M57" s="14">
        <f>'[1]Copra Complex'!M40</f>
        <v>0.78264080999999996</v>
      </c>
      <c r="N57" s="14">
        <f>'[1]Copra Complex'!N40</f>
        <v>0.31261539960000007</v>
      </c>
      <c r="O57" s="14">
        <f>'[1]Copra Complex'!O40</f>
        <v>0.35450321760000003</v>
      </c>
      <c r="P57" s="14">
        <f>'[1]Copra Complex'!P40</f>
        <v>0.98127725220000017</v>
      </c>
      <c r="Q57" s="14">
        <f>'[1]Copra Complex'!Q40</f>
        <v>1.1311915482000001</v>
      </c>
      <c r="R57" s="14">
        <f>'[1]Copra Complex'!R40</f>
        <v>0.93387787920000009</v>
      </c>
      <c r="S57" s="14">
        <f>'[1]Copra Complex'!S40</f>
        <v>2.2079289330000003</v>
      </c>
      <c r="T57" s="14">
        <f>'[1]Copra Complex'!T40</f>
        <v>1.7610520535999998</v>
      </c>
      <c r="U57" s="14">
        <f>'[1]Copra Complex'!U40</f>
        <v>2.5392836195999999</v>
      </c>
      <c r="V57" s="14">
        <f>'[1]Copra Complex'!V40</f>
        <v>2.8287504881999999</v>
      </c>
      <c r="W57" s="14">
        <f>'[1]Copra Complex'!W40</f>
        <v>5.6680831620000003</v>
      </c>
      <c r="X57" s="14">
        <f>'[1]Copra Complex'!X40</f>
        <v>2.8516785570000001</v>
      </c>
      <c r="Y57" s="14">
        <f>'[1]Copra Complex'!Y40</f>
        <v>1.9409492088</v>
      </c>
      <c r="Z57" s="14">
        <f>'[1]Copra Complex'!Z40</f>
        <v>3.5303968970599997</v>
      </c>
      <c r="AA57" s="14">
        <f>'[1]Copra Complex'!AA40</f>
        <v>3.8665661731399998</v>
      </c>
      <c r="AB57" s="14">
        <f>'[1]Copra Complex'!AB40</f>
        <v>3.76452974568</v>
      </c>
      <c r="AC57" s="14">
        <f>'[1]Copra Complex'!AC40</f>
        <v>6.07773609916</v>
      </c>
      <c r="AD57" s="14">
        <f>'[1]Copra Complex'!AD40</f>
        <v>4.3827889692399999</v>
      </c>
      <c r="AE57" s="14">
        <f>'[1]Copra Complex'!AE40</f>
        <v>4.3606613776642273</v>
      </c>
      <c r="AF57" s="14">
        <f>'[1]Copra Complex'!AF40</f>
        <v>3.6205409342713097</v>
      </c>
    </row>
    <row r="58" spans="1:32">
      <c r="A58" s="12" t="s">
        <v>53</v>
      </c>
      <c r="B58" s="14">
        <f>'[1]Copra Complex'!B41</f>
        <v>1.4111785422000001</v>
      </c>
      <c r="C58" s="14">
        <f>'[1]Copra Complex'!C41</f>
        <v>2.4288320574000002</v>
      </c>
      <c r="D58" s="14">
        <f>'[1]Copra Complex'!D41</f>
        <v>0.38250191699999997</v>
      </c>
      <c r="E58" s="14">
        <f>'[1]Copra Complex'!E41</f>
        <v>0.26433417780000001</v>
      </c>
      <c r="F58" s="14">
        <f>'[1]Copra Complex'!F41</f>
        <v>0.49846503419999999</v>
      </c>
      <c r="G58" s="14">
        <f>'[1]Copra Complex'!G41</f>
        <v>0.64330869960000003</v>
      </c>
      <c r="H58" s="14">
        <f>'[1]Copra Complex'!H41</f>
        <v>1.1435374314</v>
      </c>
      <c r="I58" s="14">
        <f>'[1]Copra Complex'!I41</f>
        <v>0.6402222287999999</v>
      </c>
      <c r="J58" s="14">
        <f>'[1]Copra Complex'!J41</f>
        <v>0.41953956660000008</v>
      </c>
      <c r="K58" s="14">
        <f>'[1]Copra Complex'!K41</f>
        <v>0.7037153424</v>
      </c>
      <c r="L58" s="14">
        <f>'[1]Copra Complex'!L41</f>
        <v>0.89265144780000005</v>
      </c>
      <c r="M58" s="14">
        <f>'[1]Copra Complex'!M41</f>
        <v>0.82519001460000008</v>
      </c>
      <c r="N58" s="14">
        <f>'[1]Copra Complex'!N41</f>
        <v>0.50728352219999995</v>
      </c>
      <c r="O58" s="14">
        <f>'[1]Copra Complex'!O41</f>
        <v>0.62170340400000002</v>
      </c>
      <c r="P58" s="14">
        <f>'[1]Copra Complex'!P41</f>
        <v>0.56791062720000007</v>
      </c>
      <c r="Q58" s="14">
        <f>'[1]Copra Complex'!Q41</f>
        <v>0.85825934460000008</v>
      </c>
      <c r="R58" s="14">
        <f>'[1]Copra Complex'!R41</f>
        <v>1.7398876823999998</v>
      </c>
      <c r="S58" s="14">
        <f>'[1]Copra Complex'!S41</f>
        <v>1.415367324</v>
      </c>
      <c r="T58" s="14">
        <f>'[1]Copra Complex'!T41</f>
        <v>1.5666043932</v>
      </c>
      <c r="U58" s="14">
        <f>'[1]Copra Complex'!U41</f>
        <v>2.1702298968</v>
      </c>
      <c r="V58" s="14">
        <f>'[1]Copra Complex'!V41</f>
        <v>3.936352581</v>
      </c>
      <c r="W58" s="14">
        <f>'[1]Copra Complex'!W41</f>
        <v>9.286529250600001</v>
      </c>
      <c r="X58" s="14">
        <f>'[1]Copra Complex'!X41</f>
        <v>4.2390471816000002</v>
      </c>
      <c r="Y58" s="14">
        <f>'[1]Copra Complex'!Y41</f>
        <v>2.1638364929999998</v>
      </c>
      <c r="Z58" s="14">
        <f>'[1]Copra Complex'!Z41</f>
        <v>4.5001585287999992</v>
      </c>
      <c r="AA58" s="14">
        <f>'[1]Copra Complex'!AA41</f>
        <v>3.8539844068000004</v>
      </c>
      <c r="AB58" s="14">
        <f>'[1]Copra Complex'!AB41</f>
        <v>2.9868213806199999</v>
      </c>
      <c r="AC58" s="14">
        <f>'[1]Copra Complex'!AC41</f>
        <v>5.9316623872000003</v>
      </c>
      <c r="AD58" s="14">
        <f>'[1]Copra Complex'!AD41</f>
        <v>4.6028673653599999</v>
      </c>
      <c r="AE58" s="14">
        <f>'[1]Copra Complex'!AE41</f>
        <v>4.4189284287028414</v>
      </c>
      <c r="AF58" s="14">
        <f>'[1]Copra Complex'!AF41</f>
        <v>3.6629847481075926</v>
      </c>
    </row>
    <row r="59" spans="1:32">
      <c r="A59" s="12" t="s">
        <v>54</v>
      </c>
      <c r="B59" s="14">
        <f>'[1]Copra Complex'!B42</f>
        <v>0.60516873900000012</v>
      </c>
      <c r="C59" s="14">
        <f>'[1]Copra Complex'!C42</f>
        <v>0.5926023936</v>
      </c>
      <c r="D59" s="14">
        <f>'[1]Copra Complex'!D42</f>
        <v>0.24008333580000002</v>
      </c>
      <c r="E59" s="14">
        <f>'[1]Copra Complex'!E42</f>
        <v>1.4034623652</v>
      </c>
      <c r="F59" s="14">
        <f>'[1]Copra Complex'!F42</f>
        <v>0.2740345146</v>
      </c>
      <c r="G59" s="14">
        <f>'[1]Copra Complex'!G42</f>
        <v>2.5628730750000002</v>
      </c>
      <c r="H59" s="14">
        <f>'[1]Copra Complex'!H42</f>
        <v>1.4839310682</v>
      </c>
      <c r="I59" s="14">
        <f>'[1]Copra Complex'!I42</f>
        <v>2.0798403948000002</v>
      </c>
      <c r="J59" s="14">
        <f>'[1]Copra Complex'!J42</f>
        <v>1.0591004088</v>
      </c>
      <c r="K59" s="14">
        <f>'[1]Copra Complex'!K42</f>
        <v>0.57672911520000003</v>
      </c>
      <c r="L59" s="14">
        <f>'[1]Copra Complex'!L42</f>
        <v>0.79101837360000005</v>
      </c>
      <c r="M59" s="14">
        <f>'[1]Copra Complex'!M42</f>
        <v>0.88581711960000009</v>
      </c>
      <c r="N59" s="14">
        <f>'[1]Copra Complex'!N42</f>
        <v>0.86906199240000004</v>
      </c>
      <c r="O59" s="14">
        <f>'[1]Copra Complex'!O42</f>
        <v>0.81967845960000008</v>
      </c>
      <c r="P59" s="14">
        <f>'[1]Copra Complex'!P42</f>
        <v>0.65697735599999996</v>
      </c>
      <c r="Q59" s="14">
        <f>'[1]Copra Complex'!Q42</f>
        <v>0.68960576159999998</v>
      </c>
      <c r="R59" s="14">
        <f>'[1]Copra Complex'!R42</f>
        <v>1.6078308245999999</v>
      </c>
      <c r="S59" s="14">
        <f>'[1]Copra Complex'!S42</f>
        <v>1.7330533542</v>
      </c>
      <c r="T59" s="14">
        <f>'[1]Copra Complex'!T42</f>
        <v>2.3395448664000003</v>
      </c>
      <c r="U59" s="14">
        <f>'[1]Copra Complex'!U42</f>
        <v>1.8393161346</v>
      </c>
      <c r="V59" s="14">
        <f>'[1]Copra Complex'!V42</f>
        <v>5.1255256877999997</v>
      </c>
      <c r="W59" s="14">
        <f>'[1]Copra Complex'!W42</f>
        <v>5.0677645914000005</v>
      </c>
      <c r="X59" s="14">
        <f>'[1]Copra Complex'!X42</f>
        <v>4.2954855048000002</v>
      </c>
      <c r="Y59" s="14">
        <f>'[1]Copra Complex'!Y42</f>
        <v>1.9627749666000001</v>
      </c>
      <c r="Z59" s="14">
        <f>'[1]Copra Complex'!Z42</f>
        <v>3.7153204226600001</v>
      </c>
      <c r="AA59" s="14">
        <f>'[1]Copra Complex'!AA42</f>
        <v>4.2294752852000004</v>
      </c>
      <c r="AB59" s="14">
        <f>'[1]Copra Complex'!AB42</f>
        <v>3.2242302945599999</v>
      </c>
      <c r="AC59" s="14">
        <f>'[1]Copra Complex'!AC42</f>
        <v>5.5059414467200005</v>
      </c>
      <c r="AD59" s="14">
        <f>'[1]Copra Complex'!AD42</f>
        <v>4.2118427344399993</v>
      </c>
      <c r="AE59" s="14">
        <f>'[1]Copra Complex'!AE42</f>
        <v>4.2373372652964933</v>
      </c>
      <c r="AF59" s="14">
        <f>'[1]Copra Complex'!AF42</f>
        <v>3.4974326476247115</v>
      </c>
    </row>
    <row r="60" spans="1:32">
      <c r="A60" s="12" t="s">
        <v>55</v>
      </c>
      <c r="B60" s="14">
        <f>'[1]Copra Complex'!B43</f>
        <v>1.6730876358</v>
      </c>
      <c r="C60" s="14">
        <f>'[1]Copra Complex'!C43</f>
        <v>0.28858501980000001</v>
      </c>
      <c r="D60" s="14">
        <f>'[1]Copra Complex'!D43</f>
        <v>0.59083869600000005</v>
      </c>
      <c r="E60" s="14">
        <f>'[1]Copra Complex'!E43</f>
        <v>1.5324327522000001</v>
      </c>
      <c r="F60" s="14">
        <f>'[1]Copra Complex'!F43</f>
        <v>0.34766888940000001</v>
      </c>
      <c r="G60" s="14">
        <f>'[1]Copra Complex'!G43</f>
        <v>0.12125421</v>
      </c>
      <c r="H60" s="14">
        <f>'[1]Copra Complex'!H43</f>
        <v>0.71165198159999998</v>
      </c>
      <c r="I60" s="14">
        <f>'[1]Copra Complex'!I43</f>
        <v>1.6896223008</v>
      </c>
      <c r="J60" s="14">
        <f>'[1]Copra Complex'!J43</f>
        <v>0.78352265879999994</v>
      </c>
      <c r="K60" s="14">
        <f>'[1]Copra Complex'!K43</f>
        <v>0.56129676119999994</v>
      </c>
      <c r="L60" s="14">
        <f>'[1]Copra Complex'!L43</f>
        <v>1.9506495455999999</v>
      </c>
      <c r="M60" s="14">
        <f>'[1]Copra Complex'!M43</f>
        <v>0.82717417439999996</v>
      </c>
      <c r="N60" s="14">
        <f>'[1]Copra Complex'!N43</f>
        <v>0.48126898260000001</v>
      </c>
      <c r="O60" s="14">
        <f>'[1]Copra Complex'!O43</f>
        <v>2.5979265648000007</v>
      </c>
      <c r="P60" s="14">
        <f>'[1]Copra Complex'!P43</f>
        <v>0.78352265879999994</v>
      </c>
      <c r="Q60" s="14">
        <f>'[1]Copra Complex'!Q43</f>
        <v>0.87413262299999972</v>
      </c>
      <c r="R60" s="14">
        <f>'[1]Copra Complex'!R43</f>
        <v>0.57893373719999996</v>
      </c>
      <c r="S60" s="14">
        <f>'[1]Copra Complex'!S43</f>
        <v>1.9579247981999999</v>
      </c>
      <c r="T60" s="14">
        <f>'[1]Copra Complex'!T43</f>
        <v>3.4526585141999999</v>
      </c>
      <c r="U60" s="14">
        <f>'[1]Copra Complex'!U43</f>
        <v>1.3132933253999999</v>
      </c>
      <c r="V60" s="14">
        <f>'[1]Copra Complex'!V43</f>
        <v>4.0020503166000001</v>
      </c>
      <c r="W60" s="14">
        <f>'[1]Copra Complex'!W43</f>
        <v>4.1420438136</v>
      </c>
      <c r="X60" s="14">
        <f>'[1]Copra Complex'!X43</f>
        <v>6.0157520513999998</v>
      </c>
      <c r="Y60" s="14">
        <f>'[1]Copra Complex'!Y43</f>
        <v>1.8902429027999998</v>
      </c>
      <c r="Z60" s="14">
        <f>'[1]Copra Complex'!Z43</f>
        <v>4.1974024734400004</v>
      </c>
      <c r="AA60" s="14">
        <f>'[1]Copra Complex'!AA43</f>
        <v>3.6899650880400001</v>
      </c>
      <c r="AB60" s="14">
        <f>'[1]Copra Complex'!AB43</f>
        <v>3.2540014830400001</v>
      </c>
      <c r="AC60" s="14">
        <f>'[1]Copra Complex'!AC43</f>
        <v>3.96188732808</v>
      </c>
      <c r="AD60" s="14">
        <f>'[1]Copra Complex'!AD43</f>
        <v>4.8974244389399999</v>
      </c>
      <c r="AE60" s="14">
        <f>'[1]Copra Complex'!AE43</f>
        <v>3.8635144826676893</v>
      </c>
      <c r="AF60" s="14">
        <f>'[1]Copra Complex'!AF43</f>
        <v>3.3490529875161377</v>
      </c>
    </row>
    <row r="61" spans="1:32">
      <c r="A61" s="12" t="s">
        <v>56</v>
      </c>
      <c r="B61" s="14">
        <f>'[1]Copra Complex'!B44</f>
        <v>8.1762816114000003</v>
      </c>
      <c r="C61" s="14">
        <f>'[1]Copra Complex'!C44</f>
        <v>3.2438808108000003</v>
      </c>
      <c r="D61" s="14">
        <f>'[1]Copra Complex'!D44</f>
        <v>0.92461846679999993</v>
      </c>
      <c r="E61" s="14">
        <f>'[1]Copra Complex'!E44</f>
        <v>0.82430816579999999</v>
      </c>
      <c r="F61" s="14">
        <f>'[1]Copra Complex'!F44</f>
        <v>0.32650451819999998</v>
      </c>
      <c r="G61" s="14">
        <f>'[1]Copra Complex'!G44</f>
        <v>2.3871647016000002</v>
      </c>
      <c r="H61" s="14">
        <f>'[1]Copra Complex'!H44</f>
        <v>0.72355694040000007</v>
      </c>
      <c r="I61" s="14">
        <f>'[1]Copra Complex'!I44</f>
        <v>0.48104852039999996</v>
      </c>
      <c r="J61" s="14">
        <f>'[1]Copra Complex'!J44</f>
        <v>0.59150008260000009</v>
      </c>
      <c r="K61" s="14">
        <f>'[1]Copra Complex'!K44</f>
        <v>0.74031206760000012</v>
      </c>
      <c r="L61" s="14">
        <f>'[1]Copra Complex'!L44</f>
        <v>2.6991187146000004</v>
      </c>
      <c r="M61" s="14">
        <f>'[1]Copra Complex'!M44</f>
        <v>3.228668919</v>
      </c>
      <c r="N61" s="14">
        <f>'[1]Copra Complex'!N44</f>
        <v>3.2709976614</v>
      </c>
      <c r="O61" s="14">
        <f>'[1]Copra Complex'!O44</f>
        <v>0.79167976020000008</v>
      </c>
      <c r="P61" s="14">
        <f>'[1]Copra Complex'!P44</f>
        <v>1.1946846618</v>
      </c>
      <c r="Q61" s="14">
        <f>'[1]Copra Complex'!Q44</f>
        <v>4.304524455000001</v>
      </c>
      <c r="R61" s="14">
        <f>'[1]Copra Complex'!R44</f>
        <v>1.4916472452</v>
      </c>
      <c r="S61" s="14">
        <f>'[1]Copra Complex'!S44</f>
        <v>2.4958525662000004</v>
      </c>
      <c r="T61" s="14">
        <f>'[1]Copra Complex'!T44</f>
        <v>2.3399857907999997</v>
      </c>
      <c r="U61" s="14">
        <f>'[1]Copra Complex'!U44</f>
        <v>3.0088681056</v>
      </c>
      <c r="V61" s="14">
        <f>'[1]Copra Complex'!V44</f>
        <v>3.6814982777999998</v>
      </c>
      <c r="W61" s="14">
        <f>'[1]Copra Complex'!W44</f>
        <v>6.2163726533999997</v>
      </c>
      <c r="X61" s="14">
        <f>'[1]Copra Complex'!X44</f>
        <v>6.4072929186000005</v>
      </c>
      <c r="Y61" s="14">
        <f>'[1]Copra Complex'!Y44</f>
        <v>4.6308946994199998</v>
      </c>
      <c r="Z61" s="14">
        <f>'[1]Copra Complex'!Z44</f>
        <v>3.47343833474</v>
      </c>
      <c r="AA61" s="14">
        <f>'[1]Copra Complex'!AA44</f>
        <v>3.25235242728</v>
      </c>
      <c r="AB61" s="14">
        <f>'[1]Copra Complex'!AB44</f>
        <v>3.12482177414</v>
      </c>
      <c r="AC61" s="14">
        <f>'[1]Copra Complex'!AC44</f>
        <v>3.78463147084</v>
      </c>
      <c r="AD61" s="14">
        <f>'[1]Copra Complex'!AD44</f>
        <v>4.4017575197200003</v>
      </c>
      <c r="AE61" s="14">
        <f>'[1]Copra Complex'!AE44</f>
        <v>4.1528522343147234</v>
      </c>
      <c r="AF61" s="14">
        <f>'[1]Copra Complex'!AF44</f>
        <v>3.0202408817024455</v>
      </c>
    </row>
    <row r="62" spans="1:32">
      <c r="A62" s="12" t="s">
        <v>57</v>
      </c>
      <c r="B62" s="14">
        <f>'[1]Copra Complex'!B45</f>
        <v>0.5425574742</v>
      </c>
      <c r="C62" s="14">
        <f>'[1]Copra Complex'!C45</f>
        <v>1.2030622254000003</v>
      </c>
      <c r="D62" s="14">
        <f>'[1]Copra Complex'!D45</f>
        <v>1.3203481157999999</v>
      </c>
      <c r="E62" s="14">
        <f>'[1]Copra Complex'!E45</f>
        <v>1.6111377575999999</v>
      </c>
      <c r="F62" s="14">
        <f>'[1]Copra Complex'!F45</f>
        <v>8.6200720200000011E-2</v>
      </c>
      <c r="G62" s="14">
        <f>'[1]Copra Complex'!G45</f>
        <v>0.28417577579999997</v>
      </c>
      <c r="H62" s="14">
        <f>'[1]Copra Complex'!H45</f>
        <v>0.27182989260000001</v>
      </c>
      <c r="I62" s="14">
        <f>'[1]Copra Complex'!I45</f>
        <v>0.9669472092000001</v>
      </c>
      <c r="J62" s="14">
        <f>'[1]Copra Complex'!J45</f>
        <v>0.46760032619999997</v>
      </c>
      <c r="K62" s="14">
        <f>'[1]Copra Complex'!K45</f>
        <v>4.9255664723999999</v>
      </c>
      <c r="L62" s="14">
        <f>'[1]Copra Complex'!L45</f>
        <v>0.46693893960000005</v>
      </c>
      <c r="M62" s="14">
        <f>'[1]Copra Complex'!M45</f>
        <v>0.65741828039999994</v>
      </c>
      <c r="N62" s="14">
        <f>'[1]Copra Complex'!N45</f>
        <v>0.71099059499999995</v>
      </c>
      <c r="O62" s="14">
        <f>'[1]Copra Complex'!O45</f>
        <v>1.0172125908</v>
      </c>
      <c r="P62" s="14">
        <f>'[1]Copra Complex'!P45</f>
        <v>0.72598202460000005</v>
      </c>
      <c r="Q62" s="14">
        <f>'[1]Copra Complex'!Q45</f>
        <v>1.1069407062000001</v>
      </c>
      <c r="R62" s="14">
        <f>'[1]Copra Complex'!R45</f>
        <v>0.96628582259999996</v>
      </c>
      <c r="S62" s="14">
        <f>'[1]Copra Complex'!S45</f>
        <v>1.1433169691999998</v>
      </c>
      <c r="T62" s="14">
        <f>'[1]Copra Complex'!T45</f>
        <v>3.3653554829999996</v>
      </c>
      <c r="U62" s="14">
        <f>'[1]Copra Complex'!U45</f>
        <v>1.7365807494000001</v>
      </c>
      <c r="V62" s="14">
        <f>'[1]Copra Complex'!V45</f>
        <v>4.8953631509999997</v>
      </c>
      <c r="W62" s="14">
        <f>'[1]Copra Complex'!W45</f>
        <v>2.9687439852000002</v>
      </c>
      <c r="X62" s="14">
        <f>'[1]Copra Complex'!X45</f>
        <v>5.7981558599999996</v>
      </c>
      <c r="Y62" s="14">
        <f>'[1]Copra Complex'!Y45</f>
        <v>3.9898352958199998</v>
      </c>
      <c r="Z62" s="14">
        <f>'[1]Copra Complex'!Z45</f>
        <v>3.5659111206399996</v>
      </c>
      <c r="AA62" s="14">
        <f>'[1]Copra Complex'!AA45</f>
        <v>3.4234000746</v>
      </c>
      <c r="AB62" s="14">
        <f>'[1]Copra Complex'!AB45</f>
        <v>3.4421724138999998</v>
      </c>
      <c r="AC62" s="14">
        <f>'[1]Copra Complex'!AC45</f>
        <v>4.1094866370799998</v>
      </c>
      <c r="AD62" s="14">
        <f>'[1]Copra Complex'!AD45</f>
        <v>4.6875512288000003</v>
      </c>
      <c r="AE62" s="14">
        <f>'[1]Copra Complex'!AE45</f>
        <v>6.253658968294026</v>
      </c>
      <c r="AF62" s="14">
        <f>'[1]Copra Complex'!AF45</f>
        <v>3.2197572621766994</v>
      </c>
    </row>
    <row r="63" spans="1:32" ht="15.75" thickBot="1">
      <c r="A63" s="12" t="s">
        <v>58</v>
      </c>
      <c r="B63" s="13">
        <f>SUM(B51:B62)</f>
        <v>18.7428143952</v>
      </c>
      <c r="C63" s="13">
        <f t="shared" ref="C63:AF63" si="4">SUM(C51:C62)</f>
        <v>17.942316147</v>
      </c>
      <c r="D63" s="13">
        <f t="shared" si="4"/>
        <v>11.724841182600002</v>
      </c>
      <c r="E63" s="13">
        <f t="shared" si="4"/>
        <v>11.660686682400002</v>
      </c>
      <c r="F63" s="13">
        <f t="shared" si="4"/>
        <v>5.5320579846000006</v>
      </c>
      <c r="G63" s="13">
        <f t="shared" si="4"/>
        <v>10.957853188800001</v>
      </c>
      <c r="H63" s="13">
        <f t="shared" si="4"/>
        <v>14.082463949399999</v>
      </c>
      <c r="I63" s="13">
        <f t="shared" si="4"/>
        <v>8.3264163696000004</v>
      </c>
      <c r="J63" s="13">
        <f t="shared" si="4"/>
        <v>7.2712842804000006</v>
      </c>
      <c r="K63" s="13">
        <f t="shared" si="4"/>
        <v>12.458318922</v>
      </c>
      <c r="L63" s="13">
        <f t="shared" si="4"/>
        <v>11.155387320000001</v>
      </c>
      <c r="M63" s="13">
        <f t="shared" si="4"/>
        <v>14.497373809800001</v>
      </c>
      <c r="N63" s="13">
        <f t="shared" si="4"/>
        <v>14.861356902000002</v>
      </c>
      <c r="O63" s="13">
        <f t="shared" si="4"/>
        <v>9.0146993580000014</v>
      </c>
      <c r="P63" s="13">
        <f t="shared" si="4"/>
        <v>8.487353775599999</v>
      </c>
      <c r="Q63" s="13">
        <f t="shared" si="4"/>
        <v>13.8886776756</v>
      </c>
      <c r="R63" s="13">
        <f t="shared" si="4"/>
        <v>13.550929585199999</v>
      </c>
      <c r="S63" s="13">
        <f t="shared" si="4"/>
        <v>25.953692032799999</v>
      </c>
      <c r="T63" s="13">
        <f t="shared" si="4"/>
        <v>25.497776203199997</v>
      </c>
      <c r="U63" s="13">
        <f t="shared" si="4"/>
        <v>25.210954881000003</v>
      </c>
      <c r="V63" s="13">
        <f t="shared" si="4"/>
        <v>37.033240356</v>
      </c>
      <c r="W63" s="13">
        <f t="shared" si="4"/>
        <v>59.868053645399996</v>
      </c>
      <c r="X63" s="13">
        <f t="shared" si="4"/>
        <v>58.756042308600001</v>
      </c>
      <c r="Y63" s="13">
        <f t="shared" si="4"/>
        <v>46.544637639239994</v>
      </c>
      <c r="Z63" s="13">
        <f t="shared" si="4"/>
        <v>46.714727146780007</v>
      </c>
      <c r="AA63" s="13">
        <f t="shared" si="4"/>
        <v>43.110720192540001</v>
      </c>
      <c r="AB63" s="13">
        <f t="shared" si="4"/>
        <v>40.839024629039997</v>
      </c>
      <c r="AC63" s="13">
        <f t="shared" si="4"/>
        <v>51.510613402380002</v>
      </c>
      <c r="AD63" s="13">
        <f t="shared" si="4"/>
        <v>56.706543389320004</v>
      </c>
      <c r="AE63" s="13">
        <f t="shared" si="4"/>
        <v>52</v>
      </c>
      <c r="AF63" s="13">
        <f t="shared" si="4"/>
        <v>40</v>
      </c>
    </row>
    <row r="64" spans="1:3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thickBot="1">
      <c r="A65" s="12" t="s">
        <v>61</v>
      </c>
    </row>
    <row r="66" spans="1:32" ht="15.75" thickBot="1">
      <c r="A66" s="3"/>
      <c r="B66" s="3" t="str">
        <f>B2</f>
        <v xml:space="preserve">93/94 </v>
      </c>
      <c r="C66" s="3" t="str">
        <f t="shared" ref="C66:AF66" si="5">C2</f>
        <v xml:space="preserve">94/95 </v>
      </c>
      <c r="D66" s="3" t="str">
        <f t="shared" si="5"/>
        <v xml:space="preserve">95/96 </v>
      </c>
      <c r="E66" s="3" t="str">
        <f t="shared" si="5"/>
        <v xml:space="preserve">96/97 </v>
      </c>
      <c r="F66" s="3" t="str">
        <f t="shared" si="5"/>
        <v xml:space="preserve">97/98 </v>
      </c>
      <c r="G66" s="3" t="str">
        <f t="shared" si="5"/>
        <v xml:space="preserve">98/99 </v>
      </c>
      <c r="H66" s="3" t="str">
        <f t="shared" si="5"/>
        <v xml:space="preserve">99/00 </v>
      </c>
      <c r="I66" s="3" t="str">
        <f t="shared" si="5"/>
        <v xml:space="preserve">00/01 </v>
      </c>
      <c r="J66" s="3" t="str">
        <f t="shared" si="5"/>
        <v xml:space="preserve">01/02 </v>
      </c>
      <c r="K66" s="3" t="str">
        <f t="shared" si="5"/>
        <v xml:space="preserve">02/03 </v>
      </c>
      <c r="L66" s="3" t="str">
        <f t="shared" si="5"/>
        <v xml:space="preserve">03/04 </v>
      </c>
      <c r="M66" s="3" t="str">
        <f t="shared" si="5"/>
        <v xml:space="preserve">04/05 </v>
      </c>
      <c r="N66" s="3" t="str">
        <f t="shared" si="5"/>
        <v xml:space="preserve">05/06 </v>
      </c>
      <c r="O66" s="3" t="str">
        <f t="shared" si="5"/>
        <v xml:space="preserve">06/07 </v>
      </c>
      <c r="P66" s="3" t="str">
        <f t="shared" si="5"/>
        <v xml:space="preserve">07/08 </v>
      </c>
      <c r="Q66" s="3" t="str">
        <f t="shared" si="5"/>
        <v xml:space="preserve">08/09 </v>
      </c>
      <c r="R66" s="3" t="str">
        <f t="shared" si="5"/>
        <v xml:space="preserve">09/10 </v>
      </c>
      <c r="S66" s="3" t="str">
        <f t="shared" si="5"/>
        <v xml:space="preserve">10/11 </v>
      </c>
      <c r="T66" s="3" t="str">
        <f t="shared" si="5"/>
        <v xml:space="preserve">11/12 </v>
      </c>
      <c r="U66" s="3" t="str">
        <f t="shared" si="5"/>
        <v xml:space="preserve">12/13 </v>
      </c>
      <c r="V66" s="3" t="str">
        <f t="shared" si="5"/>
        <v xml:space="preserve">13/14 </v>
      </c>
      <c r="W66" s="3" t="str">
        <f t="shared" si="5"/>
        <v xml:space="preserve">14/15 </v>
      </c>
      <c r="X66" s="3" t="str">
        <f t="shared" si="5"/>
        <v xml:space="preserve">15/16 </v>
      </c>
      <c r="Y66" s="3" t="str">
        <f t="shared" si="5"/>
        <v xml:space="preserve">16/17 </v>
      </c>
      <c r="Z66" s="3" t="str">
        <f t="shared" si="5"/>
        <v xml:space="preserve">17/18 </v>
      </c>
      <c r="AA66" s="3" t="str">
        <f t="shared" si="5"/>
        <v xml:space="preserve">18/19 </v>
      </c>
      <c r="AB66" s="3" t="str">
        <f t="shared" si="5"/>
        <v xml:space="preserve">19/20 </v>
      </c>
      <c r="AC66" s="3" t="str">
        <f t="shared" si="5"/>
        <v xml:space="preserve">20/21 </v>
      </c>
      <c r="AD66" s="3" t="str">
        <f t="shared" si="5"/>
        <v xml:space="preserve">21/22 </v>
      </c>
      <c r="AE66" s="3" t="str">
        <f t="shared" si="5"/>
        <v xml:space="preserve">22/23 </v>
      </c>
      <c r="AF66" s="3" t="str">
        <f t="shared" si="5"/>
        <v>23/24</v>
      </c>
    </row>
    <row r="67" spans="1:32">
      <c r="A67" s="12" t="s">
        <v>46</v>
      </c>
      <c r="B67" s="13">
        <f>B3+B35-B51-B115</f>
        <v>16.8095172596</v>
      </c>
      <c r="C67" s="13">
        <f>B126+C35-C51-C115</f>
        <v>72.898815355800053</v>
      </c>
      <c r="D67" s="13">
        <f t="shared" ref="D67:AF67" si="6">C126+D35-D51-D115</f>
        <v>76.794340699800046</v>
      </c>
      <c r="E67" s="13">
        <f t="shared" si="6"/>
        <v>83.952886481999997</v>
      </c>
      <c r="F67" s="13">
        <f t="shared" si="6"/>
        <v>68.124128850999966</v>
      </c>
      <c r="G67" s="13">
        <f t="shared" si="6"/>
        <v>47.498654471000009</v>
      </c>
      <c r="H67" s="13">
        <f t="shared" si="6"/>
        <v>87.085384646199969</v>
      </c>
      <c r="I67" s="13">
        <f t="shared" si="6"/>
        <v>90.809466696600026</v>
      </c>
      <c r="J67" s="13">
        <f t="shared" si="6"/>
        <v>111.45582184160006</v>
      </c>
      <c r="K67" s="13">
        <f t="shared" si="6"/>
        <v>83.998286319999977</v>
      </c>
      <c r="L67" s="13">
        <f t="shared" si="6"/>
        <v>88.42781544080006</v>
      </c>
      <c r="M67" s="13">
        <f t="shared" si="6"/>
        <v>56.274792682200001</v>
      </c>
      <c r="N67" s="13">
        <f t="shared" si="6"/>
        <v>80.745382497599962</v>
      </c>
      <c r="O67" s="13">
        <f t="shared" si="6"/>
        <v>112.08602685799997</v>
      </c>
      <c r="P67" s="13">
        <f t="shared" si="6"/>
        <v>46.067931291600019</v>
      </c>
      <c r="Q67" s="13">
        <f t="shared" si="6"/>
        <v>91.423653721400029</v>
      </c>
      <c r="R67" s="13">
        <f t="shared" si="6"/>
        <v>110.15800785700003</v>
      </c>
      <c r="S67" s="13">
        <f t="shared" si="6"/>
        <v>89.952570288200008</v>
      </c>
      <c r="T67" s="13">
        <f t="shared" si="6"/>
        <v>109.87017856980003</v>
      </c>
      <c r="U67" s="13">
        <f t="shared" si="6"/>
        <v>76.682485177199993</v>
      </c>
      <c r="V67" s="13">
        <f t="shared" si="6"/>
        <v>113.26091201460002</v>
      </c>
      <c r="W67" s="13">
        <f t="shared" si="6"/>
        <v>165.95287529720002</v>
      </c>
      <c r="X67" s="13">
        <f t="shared" si="6"/>
        <v>106.67684584920002</v>
      </c>
      <c r="Y67" s="13">
        <f t="shared" si="6"/>
        <v>72.112088638094491</v>
      </c>
      <c r="Z67" s="13">
        <f t="shared" si="6"/>
        <v>68.488127817779599</v>
      </c>
      <c r="AA67" s="13">
        <f t="shared" si="6"/>
        <v>110.52732953933915</v>
      </c>
      <c r="AB67" s="13">
        <f t="shared" si="6"/>
        <v>118.7987990847385</v>
      </c>
      <c r="AC67" s="13">
        <f t="shared" si="6"/>
        <v>77.596790775659997</v>
      </c>
      <c r="AD67" s="13">
        <f t="shared" si="6"/>
        <v>40.572115220459978</v>
      </c>
      <c r="AE67" s="13">
        <f t="shared" si="6"/>
        <v>117.24107462960001</v>
      </c>
      <c r="AF67" s="13">
        <f t="shared" si="6"/>
        <v>114.3810149721665</v>
      </c>
    </row>
    <row r="68" spans="1:32">
      <c r="A68" s="12" t="s">
        <v>47</v>
      </c>
      <c r="B68" s="13">
        <f>B115+B36-B52-B116</f>
        <v>140.15401867240001</v>
      </c>
      <c r="C68" s="13">
        <f>C115+C36-C52-C116</f>
        <v>62.637897124600016</v>
      </c>
      <c r="D68" s="13">
        <f t="shared" ref="D68:AF76" si="7">D115+D36-D52-D116</f>
        <v>84.842384738800035</v>
      </c>
      <c r="E68" s="13">
        <f t="shared" si="7"/>
        <v>85.249863914400009</v>
      </c>
      <c r="F68" s="13">
        <f t="shared" si="7"/>
        <v>44.007519759600058</v>
      </c>
      <c r="G68" s="13">
        <f t="shared" si="7"/>
        <v>62.577349516600009</v>
      </c>
      <c r="H68" s="13">
        <f t="shared" si="7"/>
        <v>56.117835809200017</v>
      </c>
      <c r="I68" s="13">
        <f t="shared" si="7"/>
        <v>93.419588983599994</v>
      </c>
      <c r="J68" s="13">
        <f t="shared" si="7"/>
        <v>107.068595859</v>
      </c>
      <c r="K68" s="13">
        <f t="shared" si="7"/>
        <v>67.465592114800017</v>
      </c>
      <c r="L68" s="13">
        <f t="shared" si="7"/>
        <v>52.294294663199992</v>
      </c>
      <c r="M68" s="13">
        <f t="shared" si="7"/>
        <v>68.435393469600001</v>
      </c>
      <c r="N68" s="13">
        <f t="shared" si="7"/>
        <v>82.484073704399975</v>
      </c>
      <c r="O68" s="13">
        <f t="shared" si="7"/>
        <v>61.762461084600005</v>
      </c>
      <c r="P68" s="13">
        <f t="shared" si="7"/>
        <v>98.670158449599995</v>
      </c>
      <c r="Q68" s="13">
        <f t="shared" si="7"/>
        <v>103.17552811319999</v>
      </c>
      <c r="R68" s="13">
        <f t="shared" si="7"/>
        <v>125.05653697580001</v>
      </c>
      <c r="S68" s="13">
        <f t="shared" si="7"/>
        <v>98.837580989000003</v>
      </c>
      <c r="T68" s="13">
        <f t="shared" si="7"/>
        <v>105.3987642294</v>
      </c>
      <c r="U68" s="13">
        <f t="shared" si="7"/>
        <v>88.885288409400005</v>
      </c>
      <c r="V68" s="13">
        <f t="shared" si="7"/>
        <v>70.282687973400016</v>
      </c>
      <c r="W68" s="13">
        <f t="shared" si="7"/>
        <v>78.338331008599994</v>
      </c>
      <c r="X68" s="13">
        <f t="shared" si="7"/>
        <v>89.741364509800022</v>
      </c>
      <c r="Y68" s="13">
        <f t="shared" si="7"/>
        <v>93.489730734308353</v>
      </c>
      <c r="Z68" s="13">
        <f t="shared" si="7"/>
        <v>90.820873705341398</v>
      </c>
      <c r="AA68" s="13">
        <f t="shared" si="7"/>
        <v>51.408123724689375</v>
      </c>
      <c r="AB68" s="13">
        <f t="shared" si="7"/>
        <v>7.0960982218070967</v>
      </c>
      <c r="AC68" s="13">
        <f t="shared" si="7"/>
        <v>44.82407635248002</v>
      </c>
      <c r="AD68" s="13">
        <f t="shared" si="7"/>
        <v>125.91198161003996</v>
      </c>
      <c r="AE68" s="13">
        <f t="shared" si="7"/>
        <v>83.887802012739996</v>
      </c>
      <c r="AF68" s="13">
        <f t="shared" si="7"/>
        <v>55.795970373313011</v>
      </c>
    </row>
    <row r="69" spans="1:32">
      <c r="A69" s="12" t="s">
        <v>48</v>
      </c>
      <c r="B69" s="13">
        <f t="shared" ref="B69:Q78" si="8">B116+B37-B53-B117</f>
        <v>74.965491358399959</v>
      </c>
      <c r="C69" s="13">
        <f t="shared" si="8"/>
        <v>119.59809851700001</v>
      </c>
      <c r="D69" s="13">
        <f t="shared" si="7"/>
        <v>63.843137472999956</v>
      </c>
      <c r="E69" s="13">
        <f t="shared" si="7"/>
        <v>78.29864093019998</v>
      </c>
      <c r="F69" s="13">
        <f t="shared" si="7"/>
        <v>163.69384524940006</v>
      </c>
      <c r="G69" s="13">
        <f t="shared" si="7"/>
        <v>134.09242476900005</v>
      </c>
      <c r="H69" s="13">
        <f t="shared" si="7"/>
        <v>103.687992225</v>
      </c>
      <c r="I69" s="13">
        <f t="shared" si="7"/>
        <v>34.426585504800016</v>
      </c>
      <c r="J69" s="13">
        <f t="shared" si="7"/>
        <v>59.015167576799996</v>
      </c>
      <c r="K69" s="13">
        <f t="shared" si="7"/>
        <v>97.781307995800034</v>
      </c>
      <c r="L69" s="13">
        <f t="shared" si="7"/>
        <v>69.9663207726</v>
      </c>
      <c r="M69" s="13">
        <f t="shared" si="7"/>
        <v>15.227953770399978</v>
      </c>
      <c r="N69" s="13">
        <f t="shared" si="7"/>
        <v>102.87634644079998</v>
      </c>
      <c r="O69" s="13">
        <f t="shared" si="7"/>
        <v>60.607026018600038</v>
      </c>
      <c r="P69" s="13">
        <f t="shared" si="7"/>
        <v>97.738403823800013</v>
      </c>
      <c r="Q69" s="13">
        <f t="shared" si="7"/>
        <v>58.466181316199993</v>
      </c>
      <c r="R69" s="13">
        <f t="shared" si="7"/>
        <v>66.989184174199949</v>
      </c>
      <c r="S69" s="13">
        <f t="shared" si="7"/>
        <v>93.962965890200024</v>
      </c>
      <c r="T69" s="13">
        <f t="shared" si="7"/>
        <v>79.466016105599977</v>
      </c>
      <c r="U69" s="13">
        <f t="shared" si="7"/>
        <v>84.454439113800021</v>
      </c>
      <c r="V69" s="13">
        <f t="shared" si="7"/>
        <v>87.92605737720001</v>
      </c>
      <c r="W69" s="13">
        <f t="shared" si="7"/>
        <v>98.280900696200007</v>
      </c>
      <c r="X69" s="13">
        <f t="shared" si="7"/>
        <v>72.479852056200002</v>
      </c>
      <c r="Y69" s="13">
        <f t="shared" si="7"/>
        <v>88.594332337067158</v>
      </c>
      <c r="Z69" s="13">
        <f t="shared" si="7"/>
        <v>43.544215281836856</v>
      </c>
      <c r="AA69" s="13">
        <f t="shared" si="7"/>
        <v>75.039675991170895</v>
      </c>
      <c r="AB69" s="13">
        <f t="shared" si="7"/>
        <v>119.31513580746559</v>
      </c>
      <c r="AC69" s="13">
        <f t="shared" si="7"/>
        <v>84.482385628639975</v>
      </c>
      <c r="AD69" s="13">
        <f t="shared" si="7"/>
        <v>66.720606194039988</v>
      </c>
      <c r="AE69" s="13">
        <f t="shared" si="7"/>
        <v>85.260790117219983</v>
      </c>
      <c r="AF69" s="13">
        <f t="shared" si="7"/>
        <v>75.84709231780046</v>
      </c>
    </row>
    <row r="70" spans="1:32">
      <c r="A70" s="12" t="s">
        <v>49</v>
      </c>
      <c r="B70" s="13">
        <f t="shared" si="8"/>
        <v>144.68750166379999</v>
      </c>
      <c r="C70" s="13">
        <f t="shared" si="8"/>
        <v>55.347773939999996</v>
      </c>
      <c r="D70" s="13">
        <f t="shared" si="7"/>
        <v>69.586694060000013</v>
      </c>
      <c r="E70" s="13">
        <f t="shared" si="7"/>
        <v>85.218696229600027</v>
      </c>
      <c r="F70" s="13">
        <f t="shared" si="7"/>
        <v>157.75000015260002</v>
      </c>
      <c r="G70" s="13">
        <f t="shared" si="7"/>
        <v>44.340142712600027</v>
      </c>
      <c r="H70" s="13">
        <f t="shared" si="7"/>
        <v>51.844336383600009</v>
      </c>
      <c r="I70" s="13">
        <f t="shared" si="7"/>
        <v>48.363232793000009</v>
      </c>
      <c r="J70" s="13">
        <f t="shared" si="7"/>
        <v>101.48719526180003</v>
      </c>
      <c r="K70" s="13">
        <f t="shared" si="7"/>
        <v>108.04255463800001</v>
      </c>
      <c r="L70" s="13">
        <f t="shared" si="7"/>
        <v>57.724594491599987</v>
      </c>
      <c r="M70" s="13">
        <f t="shared" si="7"/>
        <v>93.463393496399988</v>
      </c>
      <c r="N70" s="13">
        <f t="shared" si="7"/>
        <v>124.43561882100002</v>
      </c>
      <c r="O70" s="13">
        <f t="shared" si="7"/>
        <v>88.617666654799962</v>
      </c>
      <c r="P70" s="13">
        <f t="shared" si="7"/>
        <v>115.67318234459998</v>
      </c>
      <c r="Q70" s="13">
        <f t="shared" si="7"/>
        <v>74.153722656999975</v>
      </c>
      <c r="R70" s="13">
        <f t="shared" si="7"/>
        <v>100.13725346700005</v>
      </c>
      <c r="S70" s="13">
        <f t="shared" si="7"/>
        <v>84.828195469999997</v>
      </c>
      <c r="T70" s="13">
        <f t="shared" si="7"/>
        <v>73.008016881000003</v>
      </c>
      <c r="U70" s="13">
        <f t="shared" si="7"/>
        <v>127.24196335200003</v>
      </c>
      <c r="V70" s="13">
        <f t="shared" si="7"/>
        <v>111.72076308539999</v>
      </c>
      <c r="W70" s="13">
        <f t="shared" si="7"/>
        <v>111.4151567234</v>
      </c>
      <c r="X70" s="13">
        <f t="shared" si="7"/>
        <v>97.311941535000003</v>
      </c>
      <c r="Y70" s="13">
        <f t="shared" si="7"/>
        <v>92.162811591605788</v>
      </c>
      <c r="Z70" s="13">
        <f t="shared" si="7"/>
        <v>127.37943174494472</v>
      </c>
      <c r="AA70" s="13">
        <f t="shared" si="7"/>
        <v>61.521548463448454</v>
      </c>
      <c r="AB70" s="13">
        <f t="shared" si="7"/>
        <v>125.64888516298555</v>
      </c>
      <c r="AC70" s="13">
        <f t="shared" si="7"/>
        <v>94.237460567399992</v>
      </c>
      <c r="AD70" s="13">
        <f t="shared" si="7"/>
        <v>129.80746538189999</v>
      </c>
      <c r="AE70" s="13">
        <f t="shared" si="7"/>
        <v>25.216865026679983</v>
      </c>
      <c r="AF70" s="13">
        <f t="shared" si="7"/>
        <v>96.761274114009382</v>
      </c>
    </row>
    <row r="71" spans="1:32">
      <c r="A71" s="12" t="s">
        <v>50</v>
      </c>
      <c r="B71" s="13">
        <f t="shared" si="8"/>
        <v>81.77419181839997</v>
      </c>
      <c r="C71" s="13">
        <f t="shared" si="8"/>
        <v>156.77278407640003</v>
      </c>
      <c r="D71" s="13">
        <f t="shared" si="7"/>
        <v>92.672839347200039</v>
      </c>
      <c r="E71" s="13">
        <f t="shared" si="7"/>
        <v>87.493803175799997</v>
      </c>
      <c r="F71" s="13">
        <f t="shared" si="7"/>
        <v>120.0503337728</v>
      </c>
      <c r="G71" s="13">
        <f t="shared" si="7"/>
        <v>96.228128940799991</v>
      </c>
      <c r="H71" s="13">
        <f t="shared" si="7"/>
        <v>80.958973347200001</v>
      </c>
      <c r="I71" s="13">
        <f t="shared" si="7"/>
        <v>83.482141385200009</v>
      </c>
      <c r="J71" s="13">
        <f t="shared" si="7"/>
        <v>63.914372897800007</v>
      </c>
      <c r="K71" s="13">
        <f t="shared" si="7"/>
        <v>45.991007649800054</v>
      </c>
      <c r="L71" s="13">
        <f t="shared" si="7"/>
        <v>86.353076211999962</v>
      </c>
      <c r="M71" s="13">
        <f t="shared" si="7"/>
        <v>44.097033992200011</v>
      </c>
      <c r="N71" s="13">
        <f t="shared" si="7"/>
        <v>78.273637554600043</v>
      </c>
      <c r="O71" s="13">
        <f t="shared" si="7"/>
        <v>59.833311019999996</v>
      </c>
      <c r="P71" s="13">
        <f t="shared" si="7"/>
        <v>75.094182832599984</v>
      </c>
      <c r="Q71" s="13">
        <f t="shared" si="7"/>
        <v>63.236935014799997</v>
      </c>
      <c r="R71" s="13">
        <f t="shared" si="7"/>
        <v>124.96333756100003</v>
      </c>
      <c r="S71" s="13">
        <f t="shared" si="7"/>
        <v>116.44764771300001</v>
      </c>
      <c r="T71" s="13">
        <f t="shared" si="7"/>
        <v>93.865504698600034</v>
      </c>
      <c r="U71" s="13">
        <f t="shared" si="7"/>
        <v>63.269564929199987</v>
      </c>
      <c r="V71" s="13">
        <f t="shared" si="7"/>
        <v>58.848195508200007</v>
      </c>
      <c r="W71" s="13">
        <f t="shared" si="7"/>
        <v>76.710438123799975</v>
      </c>
      <c r="X71" s="13">
        <f t="shared" si="7"/>
        <v>99.784376519800006</v>
      </c>
      <c r="Y71" s="13">
        <f t="shared" si="7"/>
        <v>118.17369148704486</v>
      </c>
      <c r="Z71" s="13">
        <f t="shared" si="7"/>
        <v>55.378426356318897</v>
      </c>
      <c r="AA71" s="13">
        <f t="shared" si="7"/>
        <v>72.657385998425667</v>
      </c>
      <c r="AB71" s="13">
        <f t="shared" si="7"/>
        <v>108.17348644342985</v>
      </c>
      <c r="AC71" s="13">
        <f t="shared" si="7"/>
        <v>56.41457044468001</v>
      </c>
      <c r="AD71" s="13">
        <f t="shared" si="7"/>
        <v>91.646452835340028</v>
      </c>
      <c r="AE71" s="13">
        <f t="shared" si="7"/>
        <v>115.68088809950001</v>
      </c>
      <c r="AF71" s="13">
        <f t="shared" si="7"/>
        <v>63.990881634005859</v>
      </c>
    </row>
    <row r="72" spans="1:32">
      <c r="A72" s="12" t="s">
        <v>51</v>
      </c>
      <c r="B72" s="13">
        <f t="shared" si="8"/>
        <v>137.63510797739997</v>
      </c>
      <c r="C72" s="13">
        <f t="shared" si="8"/>
        <v>65.780865261800017</v>
      </c>
      <c r="D72" s="13">
        <f t="shared" si="7"/>
        <v>70.970770419200022</v>
      </c>
      <c r="E72" s="13">
        <f t="shared" si="7"/>
        <v>85.538179217200053</v>
      </c>
      <c r="F72" s="13">
        <f t="shared" si="7"/>
        <v>125.00538918200004</v>
      </c>
      <c r="G72" s="13">
        <f t="shared" si="7"/>
        <v>83.008210844199994</v>
      </c>
      <c r="H72" s="13">
        <f t="shared" si="7"/>
        <v>102.40002084580003</v>
      </c>
      <c r="I72" s="13">
        <f t="shared" si="7"/>
        <v>103.18394137940004</v>
      </c>
      <c r="J72" s="13">
        <f t="shared" si="7"/>
        <v>131.29437992499999</v>
      </c>
      <c r="K72" s="13">
        <f t="shared" si="7"/>
        <v>76.837913281799956</v>
      </c>
      <c r="L72" s="13">
        <f t="shared" si="7"/>
        <v>71.327586709000059</v>
      </c>
      <c r="M72" s="13">
        <f t="shared" si="7"/>
        <v>19.862232171400024</v>
      </c>
      <c r="N72" s="13">
        <f t="shared" si="7"/>
        <v>86.231219536799927</v>
      </c>
      <c r="O72" s="13">
        <f t="shared" si="7"/>
        <v>86.253310867200042</v>
      </c>
      <c r="P72" s="13">
        <f t="shared" si="7"/>
        <v>97.456713272999991</v>
      </c>
      <c r="Q72" s="13">
        <f t="shared" si="7"/>
        <v>65.519330754399988</v>
      </c>
      <c r="R72" s="13">
        <f t="shared" si="7"/>
        <v>107.76706963359999</v>
      </c>
      <c r="S72" s="13">
        <f t="shared" si="7"/>
        <v>128.52343649920002</v>
      </c>
      <c r="T72" s="13">
        <f t="shared" si="7"/>
        <v>97.516579192800009</v>
      </c>
      <c r="U72" s="13">
        <f t="shared" si="7"/>
        <v>123.38365438980003</v>
      </c>
      <c r="V72" s="13">
        <f t="shared" si="7"/>
        <v>114.82619363459997</v>
      </c>
      <c r="W72" s="13">
        <f t="shared" si="7"/>
        <v>90.713315219000009</v>
      </c>
      <c r="X72" s="13">
        <f t="shared" si="7"/>
        <v>110.93726809539999</v>
      </c>
      <c r="Y72" s="13">
        <f t="shared" si="7"/>
        <v>105.86774197500738</v>
      </c>
      <c r="Z72" s="13">
        <f t="shared" si="7"/>
        <v>102.96687604453973</v>
      </c>
      <c r="AA72" s="13">
        <f t="shared" si="7"/>
        <v>59.00083584514465</v>
      </c>
      <c r="AB72" s="13">
        <f t="shared" si="7"/>
        <v>101.03516840708983</v>
      </c>
      <c r="AC72" s="13">
        <f t="shared" si="7"/>
        <v>71.451518606959993</v>
      </c>
      <c r="AD72" s="13">
        <f t="shared" si="7"/>
        <v>66.933750930080009</v>
      </c>
      <c r="AE72" s="13">
        <f t="shared" si="7"/>
        <v>60.461829581920014</v>
      </c>
      <c r="AF72" s="13">
        <f t="shared" si="7"/>
        <v>80.941351790683171</v>
      </c>
    </row>
    <row r="73" spans="1:32">
      <c r="A73" s="12" t="s">
        <v>52</v>
      </c>
      <c r="B73" s="13">
        <f t="shared" si="8"/>
        <v>77.271198003399974</v>
      </c>
      <c r="C73" s="13">
        <f t="shared" si="8"/>
        <v>65.556432488599967</v>
      </c>
      <c r="D73" s="13">
        <f t="shared" si="7"/>
        <v>82.245121069400028</v>
      </c>
      <c r="E73" s="13">
        <f t="shared" si="7"/>
        <v>96.08984801500003</v>
      </c>
      <c r="F73" s="13">
        <f t="shared" si="7"/>
        <v>116.42767616579994</v>
      </c>
      <c r="G73" s="13">
        <f t="shared" si="7"/>
        <v>84.700242635400002</v>
      </c>
      <c r="H73" s="13">
        <f t="shared" si="7"/>
        <v>50.77759967679998</v>
      </c>
      <c r="I73" s="13">
        <f t="shared" si="7"/>
        <v>76.315362844399999</v>
      </c>
      <c r="J73" s="13">
        <f t="shared" si="7"/>
        <v>73.800338574199998</v>
      </c>
      <c r="K73" s="13">
        <f t="shared" si="7"/>
        <v>58.919298420800004</v>
      </c>
      <c r="L73" s="13">
        <f t="shared" si="7"/>
        <v>70.452359863199973</v>
      </c>
      <c r="M73" s="13">
        <f t="shared" si="7"/>
        <v>81.069523581199974</v>
      </c>
      <c r="N73" s="13">
        <f t="shared" si="7"/>
        <v>98.28346813280001</v>
      </c>
      <c r="O73" s="13">
        <f t="shared" si="7"/>
        <v>36.393117744399973</v>
      </c>
      <c r="P73" s="13">
        <f t="shared" si="7"/>
        <v>89.358881617600019</v>
      </c>
      <c r="Q73" s="13">
        <f t="shared" si="7"/>
        <v>85.320646566199997</v>
      </c>
      <c r="R73" s="13">
        <f t="shared" si="7"/>
        <v>96.066205654200019</v>
      </c>
      <c r="S73" s="13">
        <f t="shared" si="7"/>
        <v>69.950868057799994</v>
      </c>
      <c r="T73" s="13">
        <f t="shared" si="7"/>
        <v>39.526422566999997</v>
      </c>
      <c r="U73" s="13">
        <f t="shared" si="7"/>
        <v>127.62446526900004</v>
      </c>
      <c r="V73" s="13">
        <f t="shared" si="7"/>
        <v>102.0215285964</v>
      </c>
      <c r="W73" s="13">
        <f t="shared" si="7"/>
        <v>107.1269464712</v>
      </c>
      <c r="X73" s="13">
        <f t="shared" si="7"/>
        <v>64.89017821459997</v>
      </c>
      <c r="Y73" s="13">
        <f t="shared" si="7"/>
        <v>65.605289655487582</v>
      </c>
      <c r="Z73" s="13">
        <f t="shared" si="7"/>
        <v>73.758744969714854</v>
      </c>
      <c r="AA73" s="13">
        <f t="shared" si="7"/>
        <v>92.297099844919444</v>
      </c>
      <c r="AB73" s="13">
        <f t="shared" si="7"/>
        <v>96.818484580548073</v>
      </c>
      <c r="AC73" s="13">
        <f t="shared" si="7"/>
        <v>52.424047156279983</v>
      </c>
      <c r="AD73" s="13">
        <f t="shared" si="7"/>
        <v>69.444490529859962</v>
      </c>
      <c r="AE73" s="13">
        <f t="shared" si="7"/>
        <v>61.698912609358132</v>
      </c>
      <c r="AF73" s="13">
        <f t="shared" si="7"/>
        <v>77.584771165463792</v>
      </c>
    </row>
    <row r="74" spans="1:32">
      <c r="A74" s="12" t="s">
        <v>53</v>
      </c>
      <c r="B74" s="13">
        <f t="shared" si="8"/>
        <v>102.16469051540003</v>
      </c>
      <c r="C74" s="13">
        <f t="shared" si="8"/>
        <v>126.46969158959999</v>
      </c>
      <c r="D74" s="13">
        <f t="shared" si="7"/>
        <v>108.7593764854</v>
      </c>
      <c r="E74" s="13">
        <f t="shared" si="7"/>
        <v>17.529136705200017</v>
      </c>
      <c r="F74" s="13">
        <f t="shared" si="7"/>
        <v>81.842146047199947</v>
      </c>
      <c r="G74" s="13">
        <f t="shared" si="7"/>
        <v>133.55128310579997</v>
      </c>
      <c r="H74" s="13">
        <f t="shared" si="7"/>
        <v>91.995904236800015</v>
      </c>
      <c r="I74" s="13">
        <f t="shared" si="7"/>
        <v>155.56822457880003</v>
      </c>
      <c r="J74" s="13">
        <f t="shared" si="7"/>
        <v>82.127214555000023</v>
      </c>
      <c r="K74" s="13">
        <f t="shared" si="7"/>
        <v>69.426184438799993</v>
      </c>
      <c r="L74" s="13">
        <f t="shared" si="7"/>
        <v>83.498934892599991</v>
      </c>
      <c r="M74" s="13">
        <f t="shared" si="7"/>
        <v>65.73747950020001</v>
      </c>
      <c r="N74" s="13">
        <f t="shared" si="7"/>
        <v>112.02103467400005</v>
      </c>
      <c r="O74" s="13">
        <f t="shared" si="7"/>
        <v>110.94584766740002</v>
      </c>
      <c r="P74" s="13">
        <f t="shared" si="7"/>
        <v>90.43401488140006</v>
      </c>
      <c r="Q74" s="13">
        <f t="shared" si="7"/>
        <v>78.963818626400013</v>
      </c>
      <c r="R74" s="13">
        <f t="shared" si="7"/>
        <v>140.32254598639997</v>
      </c>
      <c r="S74" s="13">
        <f t="shared" si="7"/>
        <v>97.748696598200041</v>
      </c>
      <c r="T74" s="13">
        <f t="shared" si="7"/>
        <v>104.6291306892</v>
      </c>
      <c r="U74" s="13">
        <f t="shared" si="7"/>
        <v>112.7611242072</v>
      </c>
      <c r="V74" s="13">
        <f t="shared" si="7"/>
        <v>61.313183366400011</v>
      </c>
      <c r="W74" s="13">
        <f t="shared" si="7"/>
        <v>82.29055686800001</v>
      </c>
      <c r="X74" s="13">
        <f t="shared" si="7"/>
        <v>58.958144186999988</v>
      </c>
      <c r="Y74" s="13">
        <f t="shared" si="7"/>
        <v>118.9802825340858</v>
      </c>
      <c r="Z74" s="13">
        <f t="shared" si="7"/>
        <v>93.032289933675258</v>
      </c>
      <c r="AA74" s="13">
        <f t="shared" si="7"/>
        <v>94.750587534365309</v>
      </c>
      <c r="AB74" s="13">
        <f t="shared" si="7"/>
        <v>78.960022187675122</v>
      </c>
      <c r="AC74" s="13">
        <f t="shared" si="7"/>
        <v>68.339681762980007</v>
      </c>
      <c r="AD74" s="13">
        <f t="shared" si="7"/>
        <v>86.696164302379998</v>
      </c>
      <c r="AE74" s="13">
        <f t="shared" si="7"/>
        <v>129.67581653011683</v>
      </c>
      <c r="AF74" s="13">
        <f t="shared" si="7"/>
        <v>85.053188165563228</v>
      </c>
    </row>
    <row r="75" spans="1:32">
      <c r="A75" s="12" t="s">
        <v>54</v>
      </c>
      <c r="B75" s="13">
        <f t="shared" si="8"/>
        <v>94.581890892799976</v>
      </c>
      <c r="C75" s="13">
        <f t="shared" si="8"/>
        <v>107.81710826580002</v>
      </c>
      <c r="D75" s="13">
        <f t="shared" si="7"/>
        <v>91.877196337999976</v>
      </c>
      <c r="E75" s="13">
        <f t="shared" si="7"/>
        <v>161.13111297739999</v>
      </c>
      <c r="F75" s="13">
        <f t="shared" si="7"/>
        <v>23.964401824200081</v>
      </c>
      <c r="G75" s="13">
        <f t="shared" si="7"/>
        <v>151.41878964939994</v>
      </c>
      <c r="H75" s="13">
        <f t="shared" si="7"/>
        <v>63.374356828399982</v>
      </c>
      <c r="I75" s="13">
        <f t="shared" si="7"/>
        <v>54.800441040800024</v>
      </c>
      <c r="J75" s="13">
        <f t="shared" si="7"/>
        <v>88.58615729319996</v>
      </c>
      <c r="K75" s="13">
        <f t="shared" si="7"/>
        <v>94.484809899399977</v>
      </c>
      <c r="L75" s="13">
        <f t="shared" si="7"/>
        <v>67.934851438400017</v>
      </c>
      <c r="M75" s="13">
        <f t="shared" si="7"/>
        <v>106.77475845779998</v>
      </c>
      <c r="N75" s="13">
        <f t="shared" si="7"/>
        <v>98.590398697799998</v>
      </c>
      <c r="O75" s="13">
        <f t="shared" si="7"/>
        <v>118.45729966979999</v>
      </c>
      <c r="P75" s="13">
        <f t="shared" si="7"/>
        <v>112.31653840819993</v>
      </c>
      <c r="Q75" s="13">
        <f t="shared" si="7"/>
        <v>54.877662453199974</v>
      </c>
      <c r="R75" s="13">
        <f t="shared" si="7"/>
        <v>90.774442772999976</v>
      </c>
      <c r="S75" s="13">
        <f t="shared" si="7"/>
        <v>91.237427865800015</v>
      </c>
      <c r="T75" s="13">
        <f t="shared" si="7"/>
        <v>88.778780358000006</v>
      </c>
      <c r="U75" s="13">
        <f t="shared" si="7"/>
        <v>88.148944661400009</v>
      </c>
      <c r="V75" s="13">
        <f t="shared" si="7"/>
        <v>114.86212897319996</v>
      </c>
      <c r="W75" s="13">
        <f t="shared" si="7"/>
        <v>128.0586724922</v>
      </c>
      <c r="X75" s="13">
        <f t="shared" si="7"/>
        <v>75.300979629600022</v>
      </c>
      <c r="Y75" s="13">
        <f t="shared" si="7"/>
        <v>42.812752595319068</v>
      </c>
      <c r="Z75" s="13">
        <f t="shared" si="7"/>
        <v>69.985078271865433</v>
      </c>
      <c r="AA75" s="13">
        <f t="shared" si="7"/>
        <v>69.818885303498064</v>
      </c>
      <c r="AB75" s="13">
        <f t="shared" si="7"/>
        <v>134.29671098407357</v>
      </c>
      <c r="AC75" s="13">
        <f t="shared" si="7"/>
        <v>22.914543695200024</v>
      </c>
      <c r="AD75" s="13">
        <f t="shared" si="7"/>
        <v>111.86072630219999</v>
      </c>
      <c r="AE75" s="13">
        <f t="shared" si="7"/>
        <v>86.730248456027908</v>
      </c>
      <c r="AF75" s="13">
        <f t="shared" si="7"/>
        <v>82.451292298552019</v>
      </c>
    </row>
    <row r="76" spans="1:32">
      <c r="A76" s="12" t="s">
        <v>55</v>
      </c>
      <c r="B76" s="13">
        <f t="shared" si="8"/>
        <v>50.891962234800047</v>
      </c>
      <c r="C76" s="13">
        <f t="shared" si="8"/>
        <v>105.23132197100006</v>
      </c>
      <c r="D76" s="13">
        <f t="shared" si="7"/>
        <v>72.138690643400011</v>
      </c>
      <c r="E76" s="13">
        <f t="shared" si="7"/>
        <v>103.37357421480002</v>
      </c>
      <c r="F76" s="13">
        <f t="shared" si="7"/>
        <v>36.368893764199925</v>
      </c>
      <c r="G76" s="13">
        <f t="shared" si="7"/>
        <v>-3.4339387839999631</v>
      </c>
      <c r="H76" s="13">
        <f t="shared" si="7"/>
        <v>45.012385340400016</v>
      </c>
      <c r="I76" s="13">
        <f t="shared" si="7"/>
        <v>92.653490654599977</v>
      </c>
      <c r="J76" s="13">
        <f t="shared" si="7"/>
        <v>108.55662246399999</v>
      </c>
      <c r="K76" s="13">
        <f t="shared" si="7"/>
        <v>44.665781357800029</v>
      </c>
      <c r="L76" s="13">
        <f t="shared" si="7"/>
        <v>60.727342746200037</v>
      </c>
      <c r="M76" s="13">
        <f t="shared" si="7"/>
        <v>77.248237419600031</v>
      </c>
      <c r="N76" s="13">
        <f t="shared" si="7"/>
        <v>72.223464084</v>
      </c>
      <c r="O76" s="13">
        <f t="shared" si="7"/>
        <v>38.503621359200025</v>
      </c>
      <c r="P76" s="13">
        <f t="shared" si="7"/>
        <v>98.72921827440004</v>
      </c>
      <c r="Q76" s="13">
        <f t="shared" si="7"/>
        <v>103.65018868239997</v>
      </c>
      <c r="R76" s="13">
        <f t="shared" si="7"/>
        <v>130.5201699946</v>
      </c>
      <c r="S76" s="13">
        <f t="shared" si="7"/>
        <v>75.636282715199997</v>
      </c>
      <c r="T76" s="13">
        <f t="shared" si="7"/>
        <v>135.99957897600001</v>
      </c>
      <c r="U76" s="13">
        <f t="shared" si="7"/>
        <v>114.48359537580001</v>
      </c>
      <c r="V76" s="13">
        <f t="shared" si="7"/>
        <v>121.80294041580004</v>
      </c>
      <c r="W76" s="13">
        <f t="shared" si="7"/>
        <v>84.764945758600021</v>
      </c>
      <c r="X76" s="13">
        <f t="shared" si="7"/>
        <v>114.38837611199995</v>
      </c>
      <c r="Y76" s="13">
        <f t="shared" si="7"/>
        <v>57.391200274125367</v>
      </c>
      <c r="Z76" s="13">
        <f t="shared" si="7"/>
        <v>78.14351759348682</v>
      </c>
      <c r="AA76" s="13">
        <f t="shared" ref="AA76:BC76" si="9">AA123+AA44-AA60-AA124</f>
        <v>94.833749610841892</v>
      </c>
      <c r="AB76" s="13">
        <f t="shared" si="9"/>
        <v>78.668485776858574</v>
      </c>
      <c r="AC76" s="13">
        <f t="shared" si="9"/>
        <v>145.72905774157996</v>
      </c>
      <c r="AD76" s="13">
        <f t="shared" si="9"/>
        <v>57.301150642260041</v>
      </c>
      <c r="AE76" s="13">
        <f t="shared" si="9"/>
        <v>46.701265731285588</v>
      </c>
      <c r="AF76" s="13">
        <f t="shared" si="9"/>
        <v>91.687029013813259</v>
      </c>
    </row>
    <row r="77" spans="1:32">
      <c r="A77" s="12" t="s">
        <v>56</v>
      </c>
      <c r="B77" s="13">
        <f t="shared" si="8"/>
        <v>90.663894179599993</v>
      </c>
      <c r="C77" s="13">
        <f t="shared" si="8"/>
        <v>93.025312731200017</v>
      </c>
      <c r="D77" s="13">
        <f t="shared" si="8"/>
        <v>75.428185319199997</v>
      </c>
      <c r="E77" s="13">
        <f t="shared" si="8"/>
        <v>102.30491461579999</v>
      </c>
      <c r="F77" s="13">
        <f t="shared" si="8"/>
        <v>44.892703500400046</v>
      </c>
      <c r="G77" s="13">
        <f t="shared" si="8"/>
        <v>53.967553143599986</v>
      </c>
      <c r="H77" s="13">
        <f t="shared" si="8"/>
        <v>93.364018223600027</v>
      </c>
      <c r="I77" s="13">
        <f t="shared" si="8"/>
        <v>65.946843198400018</v>
      </c>
      <c r="J77" s="13">
        <f t="shared" si="8"/>
        <v>108.21912825419997</v>
      </c>
      <c r="K77" s="13">
        <f t="shared" si="8"/>
        <v>52.736394110400028</v>
      </c>
      <c r="L77" s="13">
        <f t="shared" si="8"/>
        <v>91.54714412300001</v>
      </c>
      <c r="M77" s="13">
        <f t="shared" si="8"/>
        <v>91.774062503200042</v>
      </c>
      <c r="N77" s="13">
        <f t="shared" si="8"/>
        <v>102.41757625260004</v>
      </c>
      <c r="O77" s="13">
        <f t="shared" si="8"/>
        <v>143.93390154200003</v>
      </c>
      <c r="P77" s="13">
        <f t="shared" si="8"/>
        <v>103.47748521059995</v>
      </c>
      <c r="Q77" s="13">
        <f t="shared" si="8"/>
        <v>127.78057055460002</v>
      </c>
      <c r="R77" s="13">
        <f t="shared" ref="R77:AT78" si="10">R124+R45-R61-R125</f>
        <v>135.93161016460004</v>
      </c>
      <c r="S77" s="13">
        <f t="shared" si="10"/>
        <v>67.251461317600018</v>
      </c>
      <c r="T77" s="13">
        <f t="shared" si="10"/>
        <v>96.586890095400008</v>
      </c>
      <c r="U77" s="13">
        <f t="shared" si="10"/>
        <v>105.01871220539999</v>
      </c>
      <c r="V77" s="13">
        <f t="shared" si="10"/>
        <v>107.63758267919997</v>
      </c>
      <c r="W77" s="13">
        <f t="shared" si="10"/>
        <v>112.90844528160002</v>
      </c>
      <c r="X77" s="13">
        <f t="shared" si="10"/>
        <v>102.70623203860001</v>
      </c>
      <c r="Y77" s="13">
        <f t="shared" si="10"/>
        <v>82.522049488963432</v>
      </c>
      <c r="Z77" s="13">
        <f t="shared" si="10"/>
        <v>78.999770382349823</v>
      </c>
      <c r="AA77" s="13">
        <f t="shared" si="10"/>
        <v>76.819284386361915</v>
      </c>
      <c r="AB77" s="13">
        <f t="shared" si="10"/>
        <v>92.126984502619976</v>
      </c>
      <c r="AC77" s="13">
        <f t="shared" si="10"/>
        <v>79.9826474491</v>
      </c>
      <c r="AD77" s="13">
        <f t="shared" si="10"/>
        <v>58.874375950279983</v>
      </c>
      <c r="AE77" s="13">
        <f t="shared" si="10"/>
        <v>99.038446916471599</v>
      </c>
      <c r="AF77" s="13">
        <f t="shared" si="10"/>
        <v>78.000216952857912</v>
      </c>
    </row>
    <row r="78" spans="1:32">
      <c r="A78" s="12" t="s">
        <v>57</v>
      </c>
      <c r="B78" s="13">
        <f t="shared" si="8"/>
        <v>55.630330927199964</v>
      </c>
      <c r="C78" s="13">
        <f t="shared" si="8"/>
        <v>52.081132705999977</v>
      </c>
      <c r="D78" s="13">
        <f t="shared" si="8"/>
        <v>51.902348022200016</v>
      </c>
      <c r="E78" s="13">
        <f t="shared" si="8"/>
        <v>124.74188836220006</v>
      </c>
      <c r="F78" s="13">
        <f t="shared" si="8"/>
        <v>207.9035865713999</v>
      </c>
      <c r="G78" s="13">
        <f t="shared" si="8"/>
        <v>88.9139973682</v>
      </c>
      <c r="H78" s="13">
        <f t="shared" si="8"/>
        <v>90.024884965599995</v>
      </c>
      <c r="I78" s="13">
        <f t="shared" si="8"/>
        <v>84.31276577159997</v>
      </c>
      <c r="J78" s="13">
        <f t="shared" si="8"/>
        <v>83.255144979600061</v>
      </c>
      <c r="K78" s="13">
        <f t="shared" si="8"/>
        <v>59.619467193199966</v>
      </c>
      <c r="L78" s="13">
        <f t="shared" si="8"/>
        <v>70.018937938800008</v>
      </c>
      <c r="M78" s="13">
        <f t="shared" si="8"/>
        <v>85.655237139799965</v>
      </c>
      <c r="N78" s="13">
        <f t="shared" si="8"/>
        <v>77.517477580800005</v>
      </c>
      <c r="O78" s="13">
        <f t="shared" si="8"/>
        <v>82.257590614599991</v>
      </c>
      <c r="P78" s="13">
        <f t="shared" si="8"/>
        <v>95.98771518380002</v>
      </c>
      <c r="Q78" s="13">
        <f t="shared" si="8"/>
        <v>36.119204437600018</v>
      </c>
      <c r="R78" s="13">
        <f t="shared" si="10"/>
        <v>89.18945289520002</v>
      </c>
      <c r="S78" s="13">
        <f t="shared" si="10"/>
        <v>39.642759549400012</v>
      </c>
      <c r="T78" s="13">
        <f t="shared" si="10"/>
        <v>129.37336709280004</v>
      </c>
      <c r="U78" s="13">
        <f t="shared" si="10"/>
        <v>76.596945843599997</v>
      </c>
      <c r="V78" s="13">
        <f t="shared" si="10"/>
        <v>67.156533977400017</v>
      </c>
      <c r="W78" s="13">
        <f t="shared" si="10"/>
        <v>94.303597578800009</v>
      </c>
      <c r="X78" s="13">
        <f t="shared" si="10"/>
        <v>79.608114721675264</v>
      </c>
      <c r="Y78" s="13">
        <f t="shared" si="10"/>
        <v>65.657958258219992</v>
      </c>
      <c r="Z78" s="13">
        <f t="shared" si="10"/>
        <v>48.293492558721198</v>
      </c>
      <c r="AA78" s="13">
        <f t="shared" si="10"/>
        <v>36.462449676863997</v>
      </c>
      <c r="AB78" s="13">
        <f t="shared" si="10"/>
        <v>55.053832707939989</v>
      </c>
      <c r="AC78" s="13">
        <f t="shared" si="10"/>
        <v>128.08814415245999</v>
      </c>
      <c r="AD78" s="13">
        <f t="shared" si="10"/>
        <v>184.82573210966004</v>
      </c>
      <c r="AE78" s="13">
        <f t="shared" si="10"/>
        <v>165.10606028908006</v>
      </c>
      <c r="AF78" s="13">
        <f t="shared" si="10"/>
        <v>91.293338708106717</v>
      </c>
    </row>
    <row r="79" spans="1:32" ht="15.75" thickBot="1">
      <c r="A79" s="12" t="s">
        <v>58</v>
      </c>
      <c r="B79" s="13">
        <f>SUM(B67:B78)</f>
        <v>1067.2297955031997</v>
      </c>
      <c r="C79" s="13">
        <f>SUM(C67:C78)</f>
        <v>1083.2172340278003</v>
      </c>
      <c r="D79" s="13">
        <f t="shared" ref="D79:AF79" si="11">SUM(D67:D78)</f>
        <v>941.06108461560018</v>
      </c>
      <c r="E79" s="13">
        <f t="shared" si="11"/>
        <v>1110.9225448396003</v>
      </c>
      <c r="F79" s="13">
        <f t="shared" si="11"/>
        <v>1190.0306248406002</v>
      </c>
      <c r="G79" s="13">
        <f t="shared" si="11"/>
        <v>976.86283837259998</v>
      </c>
      <c r="H79" s="13">
        <f t="shared" si="11"/>
        <v>916.64369252860001</v>
      </c>
      <c r="I79" s="13">
        <f t="shared" si="11"/>
        <v>983.28208483120011</v>
      </c>
      <c r="J79" s="13">
        <f t="shared" si="11"/>
        <v>1118.7801394822</v>
      </c>
      <c r="K79" s="13">
        <f t="shared" si="11"/>
        <v>859.96859742060008</v>
      </c>
      <c r="L79" s="13">
        <f t="shared" si="11"/>
        <v>870.27325929140011</v>
      </c>
      <c r="M79" s="13">
        <f t="shared" si="11"/>
        <v>805.62009818400008</v>
      </c>
      <c r="N79" s="13">
        <f t="shared" si="11"/>
        <v>1116.0996979771999</v>
      </c>
      <c r="O79" s="13">
        <f t="shared" si="11"/>
        <v>999.65118110060007</v>
      </c>
      <c r="P79" s="13">
        <f t="shared" si="11"/>
        <v>1121.0044255911998</v>
      </c>
      <c r="Q79" s="13">
        <f t="shared" si="11"/>
        <v>942.68744289739993</v>
      </c>
      <c r="R79" s="13">
        <f t="shared" si="11"/>
        <v>1317.8758171366001</v>
      </c>
      <c r="S79" s="13">
        <f t="shared" si="11"/>
        <v>1054.0198929536</v>
      </c>
      <c r="T79" s="13">
        <f t="shared" si="11"/>
        <v>1154.0192294556</v>
      </c>
      <c r="U79" s="13">
        <f t="shared" si="11"/>
        <v>1188.5511829338</v>
      </c>
      <c r="V79" s="13">
        <f t="shared" si="11"/>
        <v>1131.6587076018</v>
      </c>
      <c r="W79" s="13">
        <f t="shared" si="11"/>
        <v>1230.8641815185999</v>
      </c>
      <c r="X79" s="13">
        <f t="shared" si="11"/>
        <v>1072.7836734688753</v>
      </c>
      <c r="Y79" s="13">
        <f t="shared" si="11"/>
        <v>1003.3699295693292</v>
      </c>
      <c r="Z79" s="13">
        <f t="shared" si="11"/>
        <v>930.79084466057475</v>
      </c>
      <c r="AA79" s="13">
        <f t="shared" si="11"/>
        <v>895.1369559190689</v>
      </c>
      <c r="AB79" s="13">
        <f t="shared" si="11"/>
        <v>1115.9920938672319</v>
      </c>
      <c r="AC79" s="13">
        <f t="shared" si="11"/>
        <v>926.48492433341994</v>
      </c>
      <c r="AD79" s="13">
        <f t="shared" si="11"/>
        <v>1090.5950120084999</v>
      </c>
      <c r="AE79" s="13">
        <f t="shared" si="11"/>
        <v>1076.7000000000003</v>
      </c>
      <c r="AF79" s="13">
        <f t="shared" si="11"/>
        <v>993.78742150633536</v>
      </c>
    </row>
    <row r="80" spans="1:3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thickBot="1">
      <c r="A81" s="12" t="s">
        <v>62</v>
      </c>
    </row>
    <row r="82" spans="1:32" ht="15.75" thickBot="1">
      <c r="A82" s="3"/>
      <c r="B82" s="3" t="str">
        <f>B2</f>
        <v xml:space="preserve">93/94 </v>
      </c>
      <c r="C82" s="3" t="str">
        <f t="shared" ref="C82:AF82" si="12">C2</f>
        <v xml:space="preserve">94/95 </v>
      </c>
      <c r="D82" s="3" t="str">
        <f t="shared" si="12"/>
        <v xml:space="preserve">95/96 </v>
      </c>
      <c r="E82" s="3" t="str">
        <f t="shared" si="12"/>
        <v xml:space="preserve">96/97 </v>
      </c>
      <c r="F82" s="3" t="str">
        <f t="shared" si="12"/>
        <v xml:space="preserve">97/98 </v>
      </c>
      <c r="G82" s="3" t="str">
        <f t="shared" si="12"/>
        <v xml:space="preserve">98/99 </v>
      </c>
      <c r="H82" s="3" t="str">
        <f t="shared" si="12"/>
        <v xml:space="preserve">99/00 </v>
      </c>
      <c r="I82" s="3" t="str">
        <f t="shared" si="12"/>
        <v xml:space="preserve">00/01 </v>
      </c>
      <c r="J82" s="3" t="str">
        <f t="shared" si="12"/>
        <v xml:space="preserve">01/02 </v>
      </c>
      <c r="K82" s="3" t="str">
        <f t="shared" si="12"/>
        <v xml:space="preserve">02/03 </v>
      </c>
      <c r="L82" s="3" t="str">
        <f t="shared" si="12"/>
        <v xml:space="preserve">03/04 </v>
      </c>
      <c r="M82" s="3" t="str">
        <f t="shared" si="12"/>
        <v xml:space="preserve">04/05 </v>
      </c>
      <c r="N82" s="3" t="str">
        <f t="shared" si="12"/>
        <v xml:space="preserve">05/06 </v>
      </c>
      <c r="O82" s="3" t="str">
        <f t="shared" si="12"/>
        <v xml:space="preserve">06/07 </v>
      </c>
      <c r="P82" s="3" t="str">
        <f t="shared" si="12"/>
        <v xml:space="preserve">07/08 </v>
      </c>
      <c r="Q82" s="3" t="str">
        <f t="shared" si="12"/>
        <v xml:space="preserve">08/09 </v>
      </c>
      <c r="R82" s="3" t="str">
        <f t="shared" si="12"/>
        <v xml:space="preserve">09/10 </v>
      </c>
      <c r="S82" s="3" t="str">
        <f t="shared" si="12"/>
        <v xml:space="preserve">10/11 </v>
      </c>
      <c r="T82" s="3" t="str">
        <f t="shared" si="12"/>
        <v xml:space="preserve">11/12 </v>
      </c>
      <c r="U82" s="3" t="str">
        <f t="shared" si="12"/>
        <v xml:space="preserve">12/13 </v>
      </c>
      <c r="V82" s="3" t="str">
        <f t="shared" si="12"/>
        <v xml:space="preserve">13/14 </v>
      </c>
      <c r="W82" s="3" t="str">
        <f t="shared" si="12"/>
        <v xml:space="preserve">14/15 </v>
      </c>
      <c r="X82" s="3" t="str">
        <f t="shared" si="12"/>
        <v xml:space="preserve">15/16 </v>
      </c>
      <c r="Y82" s="3" t="str">
        <f t="shared" si="12"/>
        <v xml:space="preserve">16/17 </v>
      </c>
      <c r="Z82" s="3" t="str">
        <f t="shared" si="12"/>
        <v xml:space="preserve">17/18 </v>
      </c>
      <c r="AA82" s="3" t="str">
        <f t="shared" si="12"/>
        <v xml:space="preserve">18/19 </v>
      </c>
      <c r="AB82" s="3" t="str">
        <f t="shared" si="12"/>
        <v xml:space="preserve">19/20 </v>
      </c>
      <c r="AC82" s="3" t="str">
        <f t="shared" si="12"/>
        <v xml:space="preserve">20/21 </v>
      </c>
      <c r="AD82" s="3" t="str">
        <f t="shared" si="12"/>
        <v xml:space="preserve">21/22 </v>
      </c>
      <c r="AE82" s="3" t="str">
        <f t="shared" si="12"/>
        <v xml:space="preserve">22/23 </v>
      </c>
      <c r="AF82" s="3" t="str">
        <f t="shared" si="12"/>
        <v>23/24</v>
      </c>
    </row>
    <row r="83" spans="1:32">
      <c r="A83" s="12" t="s">
        <v>46</v>
      </c>
    </row>
    <row r="84" spans="1:32">
      <c r="A84" s="12" t="s">
        <v>47</v>
      </c>
    </row>
    <row r="85" spans="1:32">
      <c r="A85" s="12" t="s">
        <v>48</v>
      </c>
    </row>
    <row r="86" spans="1:32">
      <c r="A86" s="12" t="s">
        <v>49</v>
      </c>
    </row>
    <row r="87" spans="1:32">
      <c r="A87" s="12" t="s">
        <v>50</v>
      </c>
    </row>
    <row r="88" spans="1:32">
      <c r="A88" s="12" t="s">
        <v>51</v>
      </c>
    </row>
    <row r="89" spans="1:32">
      <c r="A89" s="12" t="s">
        <v>52</v>
      </c>
    </row>
    <row r="90" spans="1:32">
      <c r="A90" s="12" t="s">
        <v>53</v>
      </c>
    </row>
    <row r="91" spans="1:32">
      <c r="A91" s="12" t="s">
        <v>54</v>
      </c>
    </row>
    <row r="92" spans="1:32">
      <c r="A92" s="12" t="s">
        <v>55</v>
      </c>
    </row>
    <row r="93" spans="1:32">
      <c r="A93" s="12" t="s">
        <v>56</v>
      </c>
    </row>
    <row r="94" spans="1:32">
      <c r="A94" s="12" t="s">
        <v>57</v>
      </c>
    </row>
    <row r="95" spans="1:32" ht="15.75" thickBot="1">
      <c r="A95" s="12" t="s">
        <v>58</v>
      </c>
    </row>
    <row r="96" spans="1:3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thickBot="1">
      <c r="A97" s="12" t="s">
        <v>63</v>
      </c>
    </row>
    <row r="98" spans="1:32" ht="15.75" thickBot="1">
      <c r="A98" s="3"/>
      <c r="B98" s="3" t="str">
        <f>B2</f>
        <v xml:space="preserve">93/94 </v>
      </c>
      <c r="C98" s="3" t="str">
        <f t="shared" ref="C98:AF98" si="13">C2</f>
        <v xml:space="preserve">94/95 </v>
      </c>
      <c r="D98" s="3" t="str">
        <f t="shared" si="13"/>
        <v xml:space="preserve">95/96 </v>
      </c>
      <c r="E98" s="3" t="str">
        <f t="shared" si="13"/>
        <v xml:space="preserve">96/97 </v>
      </c>
      <c r="F98" s="3" t="str">
        <f t="shared" si="13"/>
        <v xml:space="preserve">97/98 </v>
      </c>
      <c r="G98" s="3" t="str">
        <f t="shared" si="13"/>
        <v xml:space="preserve">98/99 </v>
      </c>
      <c r="H98" s="3" t="str">
        <f t="shared" si="13"/>
        <v xml:space="preserve">99/00 </v>
      </c>
      <c r="I98" s="3" t="str">
        <f t="shared" si="13"/>
        <v xml:space="preserve">00/01 </v>
      </c>
      <c r="J98" s="3" t="str">
        <f t="shared" si="13"/>
        <v xml:space="preserve">01/02 </v>
      </c>
      <c r="K98" s="3" t="str">
        <f t="shared" si="13"/>
        <v xml:space="preserve">02/03 </v>
      </c>
      <c r="L98" s="3" t="str">
        <f t="shared" si="13"/>
        <v xml:space="preserve">03/04 </v>
      </c>
      <c r="M98" s="3" t="str">
        <f t="shared" si="13"/>
        <v xml:space="preserve">04/05 </v>
      </c>
      <c r="N98" s="3" t="str">
        <f t="shared" si="13"/>
        <v xml:space="preserve">05/06 </v>
      </c>
      <c r="O98" s="3" t="str">
        <f t="shared" si="13"/>
        <v xml:space="preserve">06/07 </v>
      </c>
      <c r="P98" s="3" t="str">
        <f t="shared" si="13"/>
        <v xml:space="preserve">07/08 </v>
      </c>
      <c r="Q98" s="3" t="str">
        <f t="shared" si="13"/>
        <v xml:space="preserve">08/09 </v>
      </c>
      <c r="R98" s="3" t="str">
        <f t="shared" si="13"/>
        <v xml:space="preserve">09/10 </v>
      </c>
      <c r="S98" s="3" t="str">
        <f t="shared" si="13"/>
        <v xml:space="preserve">10/11 </v>
      </c>
      <c r="T98" s="3" t="str">
        <f t="shared" si="13"/>
        <v xml:space="preserve">11/12 </v>
      </c>
      <c r="U98" s="3" t="str">
        <f t="shared" si="13"/>
        <v xml:space="preserve">12/13 </v>
      </c>
      <c r="V98" s="3" t="str">
        <f t="shared" si="13"/>
        <v xml:space="preserve">13/14 </v>
      </c>
      <c r="W98" s="3" t="str">
        <f t="shared" si="13"/>
        <v xml:space="preserve">14/15 </v>
      </c>
      <c r="X98" s="3" t="str">
        <f t="shared" si="13"/>
        <v xml:space="preserve">15/16 </v>
      </c>
      <c r="Y98" s="3" t="str">
        <f t="shared" si="13"/>
        <v xml:space="preserve">16/17 </v>
      </c>
      <c r="Z98" s="3" t="str">
        <f t="shared" si="13"/>
        <v xml:space="preserve">17/18 </v>
      </c>
      <c r="AA98" s="3" t="str">
        <f t="shared" si="13"/>
        <v xml:space="preserve">18/19 </v>
      </c>
      <c r="AB98" s="3" t="str">
        <f t="shared" si="13"/>
        <v xml:space="preserve">19/20 </v>
      </c>
      <c r="AC98" s="3" t="str">
        <f t="shared" si="13"/>
        <v xml:space="preserve">20/21 </v>
      </c>
      <c r="AD98" s="3" t="str">
        <f t="shared" si="13"/>
        <v xml:space="preserve">21/22 </v>
      </c>
      <c r="AE98" s="3" t="str">
        <f t="shared" si="13"/>
        <v xml:space="preserve">22/23 </v>
      </c>
      <c r="AF98" s="3" t="str">
        <f t="shared" si="13"/>
        <v>23/24</v>
      </c>
    </row>
    <row r="99" spans="1:32">
      <c r="A99" s="12" t="s">
        <v>46</v>
      </c>
    </row>
    <row r="100" spans="1:32">
      <c r="A100" s="12" t="s">
        <v>47</v>
      </c>
    </row>
    <row r="101" spans="1:32">
      <c r="A101" s="12" t="s">
        <v>48</v>
      </c>
    </row>
    <row r="102" spans="1:32">
      <c r="A102" s="12" t="s">
        <v>49</v>
      </c>
    </row>
    <row r="103" spans="1:32">
      <c r="A103" s="12" t="s">
        <v>50</v>
      </c>
    </row>
    <row r="104" spans="1:32">
      <c r="A104" s="12" t="s">
        <v>51</v>
      </c>
    </row>
    <row r="105" spans="1:32">
      <c r="A105" s="12" t="s">
        <v>52</v>
      </c>
    </row>
    <row r="106" spans="1:32">
      <c r="A106" s="12" t="s">
        <v>53</v>
      </c>
    </row>
    <row r="107" spans="1:32">
      <c r="A107" s="12" t="s">
        <v>54</v>
      </c>
    </row>
    <row r="108" spans="1:32">
      <c r="A108" s="12" t="s">
        <v>55</v>
      </c>
    </row>
    <row r="109" spans="1:32">
      <c r="A109" s="12" t="s">
        <v>56</v>
      </c>
    </row>
    <row r="110" spans="1:32">
      <c r="A110" s="12" t="s">
        <v>57</v>
      </c>
    </row>
    <row r="111" spans="1:32" ht="15.75" thickBot="1">
      <c r="A111" s="12" t="s">
        <v>58</v>
      </c>
    </row>
    <row r="112" spans="1:3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thickBot="1">
      <c r="A113" s="12" t="s">
        <v>64</v>
      </c>
    </row>
    <row r="114" spans="1:32" ht="15.75" thickBot="1">
      <c r="A114" s="3"/>
      <c r="B114" s="3" t="str">
        <f>B2</f>
        <v xml:space="preserve">93/94 </v>
      </c>
      <c r="C114" s="3" t="str">
        <f t="shared" ref="C114:AF114" si="14">C2</f>
        <v xml:space="preserve">94/95 </v>
      </c>
      <c r="D114" s="3" t="str">
        <f t="shared" si="14"/>
        <v xml:space="preserve">95/96 </v>
      </c>
      <c r="E114" s="3" t="str">
        <f t="shared" si="14"/>
        <v xml:space="preserve">96/97 </v>
      </c>
      <c r="F114" s="3" t="str">
        <f t="shared" si="14"/>
        <v xml:space="preserve">97/98 </v>
      </c>
      <c r="G114" s="3" t="str">
        <f t="shared" si="14"/>
        <v xml:space="preserve">98/99 </v>
      </c>
      <c r="H114" s="3" t="str">
        <f t="shared" si="14"/>
        <v xml:space="preserve">99/00 </v>
      </c>
      <c r="I114" s="3" t="str">
        <f t="shared" si="14"/>
        <v xml:space="preserve">00/01 </v>
      </c>
      <c r="J114" s="3" t="str">
        <f t="shared" si="14"/>
        <v xml:space="preserve">01/02 </v>
      </c>
      <c r="K114" s="3" t="str">
        <f t="shared" si="14"/>
        <v xml:space="preserve">02/03 </v>
      </c>
      <c r="L114" s="3" t="str">
        <f t="shared" si="14"/>
        <v xml:space="preserve">03/04 </v>
      </c>
      <c r="M114" s="3" t="str">
        <f t="shared" si="14"/>
        <v xml:space="preserve">04/05 </v>
      </c>
      <c r="N114" s="3" t="str">
        <f t="shared" si="14"/>
        <v xml:space="preserve">05/06 </v>
      </c>
      <c r="O114" s="3" t="str">
        <f t="shared" si="14"/>
        <v xml:space="preserve">06/07 </v>
      </c>
      <c r="P114" s="3" t="str">
        <f t="shared" si="14"/>
        <v xml:space="preserve">07/08 </v>
      </c>
      <c r="Q114" s="3" t="str">
        <f t="shared" si="14"/>
        <v xml:space="preserve">08/09 </v>
      </c>
      <c r="R114" s="3" t="str">
        <f t="shared" si="14"/>
        <v xml:space="preserve">09/10 </v>
      </c>
      <c r="S114" s="3" t="str">
        <f t="shared" si="14"/>
        <v xml:space="preserve">10/11 </v>
      </c>
      <c r="T114" s="3" t="str">
        <f t="shared" si="14"/>
        <v xml:space="preserve">11/12 </v>
      </c>
      <c r="U114" s="3" t="str">
        <f t="shared" si="14"/>
        <v xml:space="preserve">12/13 </v>
      </c>
      <c r="V114" s="3" t="str">
        <f t="shared" si="14"/>
        <v xml:space="preserve">13/14 </v>
      </c>
      <c r="W114" s="3" t="str">
        <f t="shared" si="14"/>
        <v xml:space="preserve">14/15 </v>
      </c>
      <c r="X114" s="3" t="str">
        <f t="shared" si="14"/>
        <v xml:space="preserve">15/16 </v>
      </c>
      <c r="Y114" s="3" t="str">
        <f t="shared" si="14"/>
        <v xml:space="preserve">16/17 </v>
      </c>
      <c r="Z114" s="3" t="str">
        <f t="shared" si="14"/>
        <v xml:space="preserve">17/18 </v>
      </c>
      <c r="AA114" s="3" t="str">
        <f t="shared" si="14"/>
        <v xml:space="preserve">18/19 </v>
      </c>
      <c r="AB114" s="3" t="str">
        <f t="shared" si="14"/>
        <v xml:space="preserve">19/20 </v>
      </c>
      <c r="AC114" s="3" t="str">
        <f t="shared" si="14"/>
        <v xml:space="preserve">20/21 </v>
      </c>
      <c r="AD114" s="3" t="str">
        <f t="shared" si="14"/>
        <v xml:space="preserve">21/22 </v>
      </c>
      <c r="AE114" s="3" t="str">
        <f t="shared" si="14"/>
        <v xml:space="preserve">22/23 </v>
      </c>
      <c r="AF114" s="3" t="str">
        <f t="shared" si="14"/>
        <v>23/24</v>
      </c>
    </row>
    <row r="115" spans="1:32">
      <c r="A115" s="12" t="s">
        <v>46</v>
      </c>
      <c r="B115" s="13">
        <f>'[1]Copra Complex'!B66</f>
        <v>335</v>
      </c>
      <c r="C115" s="13">
        <f>'[1]Copra Complex'!C66</f>
        <v>166.2</v>
      </c>
      <c r="D115" s="13">
        <f>'[1]Copra Complex'!D66</f>
        <v>199.8</v>
      </c>
      <c r="E115" s="13">
        <f>'[1]Copra Complex'!E66</f>
        <v>78.599999999999994</v>
      </c>
      <c r="F115" s="13">
        <f>'[1]Copra Complex'!F66</f>
        <v>162.10000000000002</v>
      </c>
      <c r="G115" s="13">
        <f>'[1]Copra Complex'!G66</f>
        <v>431.8</v>
      </c>
      <c r="H115" s="13">
        <f>'[1]Copra Complex'!H66</f>
        <v>106.4</v>
      </c>
      <c r="I115" s="13">
        <f>'[1]Copra Complex'!I66</f>
        <v>178.1</v>
      </c>
      <c r="J115" s="13">
        <f>'[1]Copra Complex'!J66</f>
        <v>236.33</v>
      </c>
      <c r="K115" s="13">
        <f>'[1]Copra Complex'!K66</f>
        <v>273.81200000000001</v>
      </c>
      <c r="L115" s="13">
        <f>'[1]Copra Complex'!L66</f>
        <v>188.79999999999998</v>
      </c>
      <c r="M115" s="13">
        <f>'[1]Copra Complex'!M66</f>
        <v>147.69999999999999</v>
      </c>
      <c r="N115" s="13">
        <f>'[1]Copra Complex'!N66</f>
        <v>239.5</v>
      </c>
      <c r="O115" s="13">
        <f>'[1]Copra Complex'!O66</f>
        <v>177</v>
      </c>
      <c r="P115" s="13">
        <f>'[1]Copra Complex'!P66</f>
        <v>142.80000000000001</v>
      </c>
      <c r="Q115" s="13">
        <f>'[1]Copra Complex'!Q66</f>
        <v>163.19999999999999</v>
      </c>
      <c r="R115" s="13">
        <f>'[1]Copra Complex'!R66</f>
        <v>159.80000000000001</v>
      </c>
      <c r="S115" s="13">
        <f>'[1]Copra Complex'!S66</f>
        <v>166.96799999999999</v>
      </c>
      <c r="T115" s="13">
        <f>'[1]Copra Complex'!T66</f>
        <v>181.5</v>
      </c>
      <c r="U115" s="13">
        <f>'[1]Copra Complex'!U66</f>
        <v>165</v>
      </c>
      <c r="V115" s="13">
        <f>'[1]Copra Complex'!V66</f>
        <v>165</v>
      </c>
      <c r="W115" s="13">
        <f>'[1]Copra Complex'!W66</f>
        <v>158.31475</v>
      </c>
      <c r="X115" s="13">
        <f>'[1]Copra Complex'!X66</f>
        <v>143.1</v>
      </c>
      <c r="Y115" s="13">
        <f>'[1]Copra Complex'!Y66</f>
        <v>157.29134662103024</v>
      </c>
      <c r="Z115" s="13">
        <f>'[1]Copra Complex'!Z66</f>
        <v>139.00630702101583</v>
      </c>
      <c r="AA115" s="13">
        <f>'[1]Copra Complex'!AA66</f>
        <v>143.77958682782159</v>
      </c>
      <c r="AB115" s="13">
        <f>'[1]Copra Complex'!AB66</f>
        <v>209.71387121095336</v>
      </c>
      <c r="AC115" s="13">
        <f>'[1]Copra Complex'!AC66</f>
        <v>129.09399999999999</v>
      </c>
      <c r="AD115" s="13">
        <f>'[1]Copra Complex'!AD66</f>
        <v>126.65</v>
      </c>
      <c r="AE115" s="13">
        <f>'[1]Copra Complex'!AE66</f>
        <v>120.85</v>
      </c>
      <c r="AF115" s="13">
        <f>'[1]Copra Complex'!AF66</f>
        <v>105.85</v>
      </c>
    </row>
    <row r="116" spans="1:32">
      <c r="A116" s="12" t="s">
        <v>47</v>
      </c>
      <c r="B116" s="13">
        <f>'[1]Copra Complex'!B67</f>
        <v>299.2</v>
      </c>
      <c r="C116" s="13">
        <f>'[1]Copra Complex'!C67</f>
        <v>152.89999999999998</v>
      </c>
      <c r="D116" s="13">
        <f>'[1]Copra Complex'!D67</f>
        <v>187.7</v>
      </c>
      <c r="E116" s="13">
        <f>'[1]Copra Complex'!E67</f>
        <v>65.099999999999994</v>
      </c>
      <c r="F116" s="13">
        <f>'[1]Copra Complex'!F67</f>
        <v>194.2</v>
      </c>
      <c r="G116" s="13">
        <f>'[1]Copra Complex'!G67</f>
        <v>447.3</v>
      </c>
      <c r="H116" s="13">
        <f>'[1]Copra Complex'!H67</f>
        <v>142.30000000000001</v>
      </c>
      <c r="I116" s="13">
        <f>'[1]Copra Complex'!I67</f>
        <v>165.4</v>
      </c>
      <c r="J116" s="13">
        <f>'[1]Copra Complex'!J67</f>
        <v>231.191</v>
      </c>
      <c r="K116" s="13">
        <f>'[1]Copra Complex'!K67</f>
        <v>264.11500000000001</v>
      </c>
      <c r="L116" s="13">
        <f>'[1]Copra Complex'!L67</f>
        <v>186.1</v>
      </c>
      <c r="M116" s="13">
        <f>'[1]Copra Complex'!M67</f>
        <v>182.5</v>
      </c>
      <c r="N116" s="13">
        <f>'[1]Copra Complex'!N67</f>
        <v>255.10000000000002</v>
      </c>
      <c r="O116" s="13">
        <f>'[1]Copra Complex'!O67</f>
        <v>178.2</v>
      </c>
      <c r="P116" s="13">
        <f>'[1]Copra Complex'!P67</f>
        <v>212.6</v>
      </c>
      <c r="Q116" s="13">
        <f>'[1]Copra Complex'!Q67</f>
        <v>174.6</v>
      </c>
      <c r="R116" s="13">
        <f>'[1]Copra Complex'!R67</f>
        <v>155.4</v>
      </c>
      <c r="S116" s="13">
        <f>'[1]Copra Complex'!S67</f>
        <v>167.66800000000001</v>
      </c>
      <c r="T116" s="13">
        <f>'[1]Copra Complex'!T67</f>
        <v>180</v>
      </c>
      <c r="U116" s="13">
        <f>'[1]Copra Complex'!U67</f>
        <v>165</v>
      </c>
      <c r="V116" s="13">
        <f>'[1]Copra Complex'!V67</f>
        <v>165</v>
      </c>
      <c r="W116" s="13">
        <f>'[1]Copra Complex'!W67</f>
        <v>151.62950000000001</v>
      </c>
      <c r="X116" s="13">
        <f>'[1]Copra Complex'!X67</f>
        <v>116.027</v>
      </c>
      <c r="Y116" s="13">
        <f>'[1]Copra Complex'!Y67</f>
        <v>160.54395664192188</v>
      </c>
      <c r="Z116" s="13">
        <f>'[1]Copra Complex'!Z67</f>
        <v>140.21663603429442</v>
      </c>
      <c r="AA116" s="13">
        <f>'[1]Copra Complex'!AA67</f>
        <v>152.74724153863224</v>
      </c>
      <c r="AB116" s="13">
        <f>'[1]Copra Complex'!AB67</f>
        <v>276.49085015362624</v>
      </c>
      <c r="AC116" s="13">
        <f>'[1]Copra Complex'!AC67</f>
        <v>117.925</v>
      </c>
      <c r="AD116" s="13">
        <f>'[1]Copra Complex'!AD67</f>
        <v>142.90699999999998</v>
      </c>
      <c r="AE116" s="13">
        <f>'[1]Copra Complex'!AE67</f>
        <v>135.00700000000001</v>
      </c>
      <c r="AF116" s="13">
        <f>'[1]Copra Complex'!AF67</f>
        <v>127.907</v>
      </c>
    </row>
    <row r="117" spans="1:32">
      <c r="A117" s="12" t="s">
        <v>48</v>
      </c>
      <c r="B117" s="13">
        <f>'[1]Copra Complex'!B68</f>
        <v>291.8</v>
      </c>
      <c r="C117" s="13">
        <f>'[1]Copra Complex'!C68</f>
        <v>155.6</v>
      </c>
      <c r="D117" s="13">
        <f>'[1]Copra Complex'!D68</f>
        <v>164.8</v>
      </c>
      <c r="E117" s="13">
        <f>'[1]Copra Complex'!E68</f>
        <v>125.9</v>
      </c>
      <c r="F117" s="13">
        <f>'[1]Copra Complex'!F68</f>
        <v>274.2</v>
      </c>
      <c r="G117" s="13">
        <f>'[1]Copra Complex'!G68</f>
        <v>401.7</v>
      </c>
      <c r="H117" s="13">
        <f>'[1]Copra Complex'!H68</f>
        <v>93.7</v>
      </c>
      <c r="I117" s="13">
        <f>'[1]Copra Complex'!I68</f>
        <v>245.5</v>
      </c>
      <c r="J117" s="13">
        <f>'[1]Copra Complex'!J68</f>
        <v>245.864</v>
      </c>
      <c r="K117" s="13">
        <f>'[1]Copra Complex'!K68</f>
        <v>195.3</v>
      </c>
      <c r="L117" s="13">
        <f>'[1]Copra Complex'!L68</f>
        <v>167.2</v>
      </c>
      <c r="M117" s="13">
        <f>'[1]Copra Complex'!M68</f>
        <v>225.9</v>
      </c>
      <c r="N117" s="13">
        <f>'[1]Copra Complex'!N68</f>
        <v>236.3</v>
      </c>
      <c r="O117" s="13">
        <f>'[1]Copra Complex'!O68</f>
        <v>214.5</v>
      </c>
      <c r="P117" s="13">
        <f>'[1]Copra Complex'!P68</f>
        <v>205.5</v>
      </c>
      <c r="Q117" s="13">
        <f>'[1]Copra Complex'!Q68</f>
        <v>164.1</v>
      </c>
      <c r="R117" s="13">
        <f>'[1]Copra Complex'!R68</f>
        <v>220.9</v>
      </c>
      <c r="S117" s="13">
        <f>'[1]Copra Complex'!S68</f>
        <v>172.41499999999999</v>
      </c>
      <c r="T117" s="13">
        <f>'[1]Copra Complex'!T68</f>
        <v>178.5</v>
      </c>
      <c r="U117" s="13">
        <f>'[1]Copra Complex'!U68</f>
        <v>165</v>
      </c>
      <c r="V117" s="13">
        <f>'[1]Copra Complex'!V68</f>
        <v>165</v>
      </c>
      <c r="W117" s="13">
        <f>'[1]Copra Complex'!W68</f>
        <v>144.94425000000001</v>
      </c>
      <c r="X117" s="13">
        <f>'[1]Copra Complex'!X68</f>
        <v>130.46899999999999</v>
      </c>
      <c r="Y117" s="13">
        <f>'[1]Copra Complex'!Y68</f>
        <v>158.19730295345474</v>
      </c>
      <c r="Z117" s="13">
        <f>'[1]Copra Complex'!Z68</f>
        <v>120.75468873497756</v>
      </c>
      <c r="AA117" s="13">
        <f>'[1]Copra Complex'!AA68</f>
        <v>167.08259799768132</v>
      </c>
      <c r="AB117" s="13">
        <f>'[1]Copra Complex'!AB68</f>
        <v>253.13608562744065</v>
      </c>
      <c r="AC117" s="13">
        <f>'[1]Copra Complex'!AC68</f>
        <v>122.423</v>
      </c>
      <c r="AD117" s="13">
        <f>'[1]Copra Complex'!AD68</f>
        <v>145.14699999999999</v>
      </c>
      <c r="AE117" s="13">
        <f>'[1]Copra Complex'!AE68</f>
        <v>126.947</v>
      </c>
      <c r="AF117" s="13">
        <f>'[1]Copra Complex'!AF68</f>
        <v>123.14700000000001</v>
      </c>
    </row>
    <row r="118" spans="1:32">
      <c r="A118" s="12" t="s">
        <v>49</v>
      </c>
      <c r="B118" s="13">
        <f>'[1]Copra Complex'!B69</f>
        <v>316.5</v>
      </c>
      <c r="C118" s="13">
        <f>'[1]Copra Complex'!C69</f>
        <v>173.6</v>
      </c>
      <c r="D118" s="13">
        <f>'[1]Copra Complex'!D69</f>
        <v>229.10000000000002</v>
      </c>
      <c r="E118" s="13">
        <f>'[1]Copra Complex'!E69</f>
        <v>147.39999999999998</v>
      </c>
      <c r="F118" s="13">
        <f>'[1]Copra Complex'!F69</f>
        <v>332.40000000000003</v>
      </c>
      <c r="G118" s="13">
        <f>'[1]Copra Complex'!G69</f>
        <v>446.5</v>
      </c>
      <c r="H118" s="13">
        <f>'[1]Copra Complex'!H69</f>
        <v>115.3</v>
      </c>
      <c r="I118" s="13">
        <f>'[1]Copra Complex'!I69</f>
        <v>280.10000000000002</v>
      </c>
      <c r="J118" s="13">
        <f>'[1]Copra Complex'!J69</f>
        <v>238.827</v>
      </c>
      <c r="K118" s="13">
        <f>'[1]Copra Complex'!K69</f>
        <v>191.60000000000002</v>
      </c>
      <c r="L118" s="13">
        <f>'[1]Copra Complex'!L69</f>
        <v>160.24299999999999</v>
      </c>
      <c r="M118" s="13">
        <f>'[1]Copra Complex'!M69</f>
        <v>163.80000000000001</v>
      </c>
      <c r="N118" s="13">
        <f>'[1]Copra Complex'!N69</f>
        <v>199.4</v>
      </c>
      <c r="O118" s="13">
        <f>'[1]Copra Complex'!O69</f>
        <v>229</v>
      </c>
      <c r="P118" s="13">
        <f>'[1]Copra Complex'!P69</f>
        <v>193.2</v>
      </c>
      <c r="Q118" s="13">
        <f>'[1]Copra Complex'!Q69</f>
        <v>184.4</v>
      </c>
      <c r="R118" s="13">
        <f>'[1]Copra Complex'!R69</f>
        <v>204.976</v>
      </c>
      <c r="S118" s="13">
        <f>'[1]Copra Complex'!S69</f>
        <v>150.16499999999999</v>
      </c>
      <c r="T118" s="13">
        <f>'[1]Copra Complex'!T69</f>
        <v>177</v>
      </c>
      <c r="U118" s="13">
        <f>'[1]Copra Complex'!U69</f>
        <v>165</v>
      </c>
      <c r="V118" s="13">
        <f>'[1]Copra Complex'!V69</f>
        <v>165</v>
      </c>
      <c r="W118" s="13">
        <f>'[1]Copra Complex'!W69</f>
        <v>138.25900000000001</v>
      </c>
      <c r="X118" s="13">
        <f>'[1]Copra Complex'!X69</f>
        <v>114.932</v>
      </c>
      <c r="Y118" s="13">
        <f>'[1]Copra Complex'!Y69</f>
        <v>155.26458265204894</v>
      </c>
      <c r="Z118" s="13">
        <f>'[1]Copra Complex'!Z69</f>
        <v>143.29975224859282</v>
      </c>
      <c r="AA118" s="13">
        <f>'[1]Copra Complex'!AA69</f>
        <v>171.58373281925287</v>
      </c>
      <c r="AB118" s="13">
        <f>'[1]Copra Complex'!AB69</f>
        <v>237.19932110125507</v>
      </c>
      <c r="AC118" s="13">
        <f>'[1]Copra Complex'!AC69</f>
        <v>119.64700000000001</v>
      </c>
      <c r="AD118" s="13">
        <f>'[1]Copra Complex'!AD69</f>
        <v>135.79500000000002</v>
      </c>
      <c r="AE118" s="13">
        <f>'[1]Copra Complex'!AE69</f>
        <v>133.995</v>
      </c>
      <c r="AF118" s="13">
        <f>'[1]Copra Complex'!AF69</f>
        <v>130.29500000000002</v>
      </c>
    </row>
    <row r="119" spans="1:32">
      <c r="A119" s="12" t="s">
        <v>50</v>
      </c>
      <c r="B119" s="13">
        <f>'[1]Copra Complex'!B70</f>
        <v>284.5</v>
      </c>
      <c r="C119" s="13">
        <f>'[1]Copra Complex'!C70</f>
        <v>168.1</v>
      </c>
      <c r="D119" s="13">
        <f>'[1]Copra Complex'!D70</f>
        <v>200.4</v>
      </c>
      <c r="E119" s="13">
        <f>'[1]Copra Complex'!E70</f>
        <v>141.1</v>
      </c>
      <c r="F119" s="13">
        <f>'[1]Copra Complex'!F70</f>
        <v>344.5</v>
      </c>
      <c r="G119" s="13">
        <f>'[1]Copra Complex'!G70</f>
        <v>387.5</v>
      </c>
      <c r="H119" s="13">
        <f>'[1]Copra Complex'!H70</f>
        <v>91.7</v>
      </c>
      <c r="I119" s="13">
        <f>'[1]Copra Complex'!I70</f>
        <v>357.65800000000002</v>
      </c>
      <c r="J119" s="13">
        <f>'[1]Copra Complex'!J70</f>
        <v>249.60499999999999</v>
      </c>
      <c r="K119" s="13">
        <f>'[1]Copra Complex'!K70</f>
        <v>212.39999999999998</v>
      </c>
      <c r="L119" s="13">
        <f>'[1]Copra Complex'!L70</f>
        <v>192.60000000000002</v>
      </c>
      <c r="M119" s="13">
        <f>'[1]Copra Complex'!M70</f>
        <v>188.3</v>
      </c>
      <c r="N119" s="13">
        <f>'[1]Copra Complex'!N70</f>
        <v>214.7</v>
      </c>
      <c r="O119" s="13">
        <f>'[1]Copra Complex'!O70</f>
        <v>231.8</v>
      </c>
      <c r="P119" s="13">
        <f>'[1]Copra Complex'!P70</f>
        <v>179.6</v>
      </c>
      <c r="Q119" s="13">
        <f>'[1]Copra Complex'!Q70</f>
        <v>216.3</v>
      </c>
      <c r="R119" s="13">
        <f>'[1]Copra Complex'!R70</f>
        <v>171.23</v>
      </c>
      <c r="S119" s="13">
        <f>'[1]Copra Complex'!S70</f>
        <v>162.66900000000001</v>
      </c>
      <c r="T119" s="13">
        <f>'[1]Copra Complex'!T70</f>
        <v>175.5</v>
      </c>
      <c r="U119" s="13">
        <f>'[1]Copra Complex'!U70</f>
        <v>165</v>
      </c>
      <c r="V119" s="13">
        <f>'[1]Copra Complex'!V70</f>
        <v>165</v>
      </c>
      <c r="W119" s="13">
        <f>'[1]Copra Complex'!W70</f>
        <v>131.57375000000002</v>
      </c>
      <c r="X119" s="13">
        <f>'[1]Copra Complex'!X70</f>
        <v>99.762999999999991</v>
      </c>
      <c r="Y119" s="13">
        <f>'[1]Copra Complex'!Y70</f>
        <v>126.13910114020408</v>
      </c>
      <c r="Z119" s="13">
        <f>'[1]Copra Complex'!Z70</f>
        <v>155.15357614491393</v>
      </c>
      <c r="AA119" s="13">
        <f>'[1]Copra Complex'!AA70</f>
        <v>174.5844893669672</v>
      </c>
      <c r="AB119" s="13">
        <f>'[1]Copra Complex'!AB70</f>
        <v>219.8233915491852</v>
      </c>
      <c r="AC119" s="13">
        <f>'[1]Copra Complex'!AC70</f>
        <v>102.715</v>
      </c>
      <c r="AD119" s="13">
        <f>'[1]Copra Complex'!AD70</f>
        <v>149.13400000000001</v>
      </c>
      <c r="AE119" s="13">
        <f>'[1]Copra Complex'!AE70</f>
        <v>147.53399999999999</v>
      </c>
      <c r="AF119" s="13">
        <f>'[1]Copra Complex'!AF70</f>
        <v>139.53399999999999</v>
      </c>
    </row>
    <row r="120" spans="1:32">
      <c r="A120" s="12" t="s">
        <v>51</v>
      </c>
      <c r="B120" s="13">
        <f>'[1]Copra Complex'!B71</f>
        <v>251.5</v>
      </c>
      <c r="C120" s="13">
        <f>'[1]Copra Complex'!C71</f>
        <v>163.69999999999999</v>
      </c>
      <c r="D120" s="13">
        <f>'[1]Copra Complex'!D71</f>
        <v>217.6</v>
      </c>
      <c r="E120" s="13">
        <f>'[1]Copra Complex'!E71</f>
        <v>204.6</v>
      </c>
      <c r="F120" s="13">
        <f>'[1]Copra Complex'!F71</f>
        <v>337.4</v>
      </c>
      <c r="G120" s="13">
        <f>'[1]Copra Complex'!G71</f>
        <v>366.4</v>
      </c>
      <c r="H120" s="13">
        <f>'[1]Copra Complex'!H71</f>
        <v>89.2</v>
      </c>
      <c r="I120" s="13">
        <f>'[1]Copra Complex'!I71</f>
        <v>276.416</v>
      </c>
      <c r="J120" s="13">
        <f>'[1]Copra Complex'!J71</f>
        <v>251.33199999999999</v>
      </c>
      <c r="K120" s="13">
        <f>'[1]Copra Complex'!K71</f>
        <v>223.2</v>
      </c>
      <c r="L120" s="13">
        <f>'[1]Copra Complex'!L71</f>
        <v>181.7</v>
      </c>
      <c r="M120" s="13">
        <f>'[1]Copra Complex'!M71</f>
        <v>190.89999999999998</v>
      </c>
      <c r="N120" s="13">
        <f>'[1]Copra Complex'!N71</f>
        <v>224.60000000000002</v>
      </c>
      <c r="O120" s="13">
        <f>'[1]Copra Complex'!O71</f>
        <v>223.1</v>
      </c>
      <c r="P120" s="13">
        <f>'[1]Copra Complex'!P71</f>
        <v>186.8</v>
      </c>
      <c r="Q120" s="13">
        <f>'[1]Copra Complex'!Q71</f>
        <v>167.9</v>
      </c>
      <c r="R120" s="13">
        <f>'[1]Copra Complex'!R71</f>
        <v>137.73400000000001</v>
      </c>
      <c r="S120" s="13">
        <f>'[1]Copra Complex'!S71</f>
        <v>154.59200000000001</v>
      </c>
      <c r="T120" s="13">
        <f>'[1]Copra Complex'!T71</f>
        <v>174</v>
      </c>
      <c r="U120" s="13">
        <f>'[1]Copra Complex'!U71</f>
        <v>165</v>
      </c>
      <c r="V120" s="13">
        <f>'[1]Copra Complex'!V71</f>
        <v>165</v>
      </c>
      <c r="W120" s="13">
        <f>'[1]Copra Complex'!W71</f>
        <v>124.88850000000002</v>
      </c>
      <c r="X120" s="13">
        <f>'[1]Copra Complex'!X71</f>
        <v>81.707999999999998</v>
      </c>
      <c r="Y120" s="13">
        <f>'[1]Copra Complex'!Y71</f>
        <v>125.3692173003967</v>
      </c>
      <c r="Z120" s="13">
        <f>'[1]Copra Complex'!Z71</f>
        <v>154.79310340131417</v>
      </c>
      <c r="AA120" s="13">
        <f>'[1]Copra Complex'!AA71</f>
        <v>159.64277478292254</v>
      </c>
      <c r="AB120" s="13">
        <f>'[1]Copra Complex'!AB71</f>
        <v>210.98746199711536</v>
      </c>
      <c r="AC120" s="13">
        <f>'[1]Copra Complex'!AC71</f>
        <v>97.498000000000005</v>
      </c>
      <c r="AD120" s="13">
        <f>'[1]Copra Complex'!AD71</f>
        <v>135.429</v>
      </c>
      <c r="AE120" s="13">
        <f>'[1]Copra Complex'!AE71</f>
        <v>126.82899999999999</v>
      </c>
      <c r="AF120" s="13">
        <f>'[1]Copra Complex'!AF71</f>
        <v>128.06833480141023</v>
      </c>
    </row>
    <row r="121" spans="1:32">
      <c r="A121" s="12" t="s">
        <v>52</v>
      </c>
      <c r="B121" s="13">
        <f>'[1]Copra Complex'!B72</f>
        <v>237.6</v>
      </c>
      <c r="C121" s="13">
        <f>'[1]Copra Complex'!C72</f>
        <v>148.5</v>
      </c>
      <c r="D121" s="13">
        <f>'[1]Copra Complex'!D72</f>
        <v>173.6</v>
      </c>
      <c r="E121" s="13">
        <f>'[1]Copra Complex'!E72</f>
        <v>174.5</v>
      </c>
      <c r="F121" s="13">
        <f>'[1]Copra Complex'!F72</f>
        <v>318.8</v>
      </c>
      <c r="G121" s="13">
        <f>'[1]Copra Complex'!G72</f>
        <v>309.7</v>
      </c>
      <c r="H121" s="13">
        <f>'[1]Copra Complex'!H72</f>
        <v>102.30000000000001</v>
      </c>
      <c r="I121" s="13">
        <f>'[1]Copra Complex'!I72</f>
        <v>286.875</v>
      </c>
      <c r="J121" s="13">
        <f>'[1]Copra Complex'!J72</f>
        <v>233.3</v>
      </c>
      <c r="K121" s="13">
        <f>'[1]Copra Complex'!K72</f>
        <v>222.1</v>
      </c>
      <c r="L121" s="13">
        <f>'[1]Copra Complex'!L72</f>
        <v>131.30000000000001</v>
      </c>
      <c r="M121" s="13">
        <f>'[1]Copra Complex'!M72</f>
        <v>170.6</v>
      </c>
      <c r="N121" s="13">
        <f>'[1]Copra Complex'!N72</f>
        <v>257.10000000000002</v>
      </c>
      <c r="O121" s="13">
        <f>'[1]Copra Complex'!O72</f>
        <v>191.8</v>
      </c>
      <c r="P121" s="13">
        <f>'[1]Copra Complex'!P72</f>
        <v>223.9</v>
      </c>
      <c r="Q121" s="13">
        <f>'[1]Copra Complex'!Q72</f>
        <v>144.6</v>
      </c>
      <c r="R121" s="13">
        <f>'[1]Copra Complex'!R72</f>
        <v>119.791</v>
      </c>
      <c r="S121" s="13">
        <f>'[1]Copra Complex'!S72</f>
        <v>150.03</v>
      </c>
      <c r="T121" s="13">
        <f>'[1]Copra Complex'!T72</f>
        <v>172.5</v>
      </c>
      <c r="U121" s="13">
        <f>'[1]Copra Complex'!U72</f>
        <v>165</v>
      </c>
      <c r="V121" s="13">
        <f>'[1]Copra Complex'!V72</f>
        <v>165</v>
      </c>
      <c r="W121" s="13">
        <f>'[1]Copra Complex'!W72</f>
        <v>118.20325000000003</v>
      </c>
      <c r="X121" s="13">
        <f>'[1]Copra Complex'!X72</f>
        <v>90.616</v>
      </c>
      <c r="Y121" s="13">
        <f>'[1]Copra Complex'!Y72</f>
        <v>145.43752272470911</v>
      </c>
      <c r="Z121" s="13">
        <f>'[1]Copra Complex'!Z72</f>
        <v>146.69559647223932</v>
      </c>
      <c r="AA121" s="13">
        <f>'[1]Copra Complex'!AA72</f>
        <v>166.25183962170314</v>
      </c>
      <c r="AB121" s="13">
        <f>'[1]Copra Complex'!AB72</f>
        <v>191.70933192466723</v>
      </c>
      <c r="AC121" s="13">
        <f>'[1]Copra Complex'!AC72</f>
        <v>128.59200000000001</v>
      </c>
      <c r="AD121" s="13">
        <f>'[1]Copra Complex'!AD72</f>
        <v>172.64800000000002</v>
      </c>
      <c r="AE121" s="13">
        <f>'[1]Copra Complex'!AE72</f>
        <v>156.14800000000002</v>
      </c>
      <c r="AF121" s="13">
        <f>'[1]Copra Complex'!AF72</f>
        <v>134.19348834212269</v>
      </c>
    </row>
    <row r="122" spans="1:32">
      <c r="A122" s="12" t="s">
        <v>53</v>
      </c>
      <c r="B122" s="13">
        <f>'[1]Copra Complex'!B73</f>
        <v>199.89999999999998</v>
      </c>
      <c r="C122" s="13">
        <f>'[1]Copra Complex'!C73</f>
        <v>183.6</v>
      </c>
      <c r="D122" s="13">
        <f>'[1]Copra Complex'!D73</f>
        <v>175.9</v>
      </c>
      <c r="E122" s="13">
        <f>'[1]Copra Complex'!E73</f>
        <v>249.8</v>
      </c>
      <c r="F122" s="13">
        <f>'[1]Copra Complex'!F73</f>
        <v>300.60000000000002</v>
      </c>
      <c r="G122" s="13">
        <f>'[1]Copra Complex'!G73</f>
        <v>240.4</v>
      </c>
      <c r="H122" s="13">
        <f>'[1]Copra Complex'!H73</f>
        <v>103.9</v>
      </c>
      <c r="I122" s="13">
        <f>'[1]Copra Complex'!I73</f>
        <v>196.81799999999998</v>
      </c>
      <c r="J122" s="13">
        <f>'[1]Copra Complex'!J73</f>
        <v>231.64699999999999</v>
      </c>
      <c r="K122" s="13">
        <f>'[1]Copra Complex'!K73</f>
        <v>184.3</v>
      </c>
      <c r="L122" s="13">
        <f>'[1]Copra Complex'!L73</f>
        <v>108.7</v>
      </c>
      <c r="M122" s="13">
        <f>'[1]Copra Complex'!M73</f>
        <v>187.6</v>
      </c>
      <c r="N122" s="13">
        <f>'[1]Copra Complex'!N73</f>
        <v>227.9</v>
      </c>
      <c r="O122" s="13">
        <f>'[1]Copra Complex'!O73</f>
        <v>157.69999999999999</v>
      </c>
      <c r="P122" s="13">
        <f>'[1]Copra Complex'!P73</f>
        <v>204</v>
      </c>
      <c r="Q122" s="13">
        <f>'[1]Copra Complex'!Q73</f>
        <v>138.69999999999999</v>
      </c>
      <c r="R122" s="13">
        <f>'[1]Copra Complex'!R73</f>
        <v>120.61099999999999</v>
      </c>
      <c r="S122" s="13">
        <f>'[1]Copra Complex'!S73</f>
        <v>157.636</v>
      </c>
      <c r="T122" s="13">
        <f>'[1]Copra Complex'!T73</f>
        <v>171</v>
      </c>
      <c r="U122" s="13">
        <f>'[1]Copra Complex'!U73</f>
        <v>165</v>
      </c>
      <c r="V122" s="13">
        <f>'[1]Copra Complex'!V73</f>
        <v>165</v>
      </c>
      <c r="W122" s="13">
        <f>'[1]Copra Complex'!W73</f>
        <v>111.518</v>
      </c>
      <c r="X122" s="13">
        <f>'[1]Copra Complex'!X73</f>
        <v>115.34200000000001</v>
      </c>
      <c r="Y122" s="13">
        <f>'[1]Copra Complex'!Y73</f>
        <v>143.2770734998233</v>
      </c>
      <c r="Z122" s="13">
        <f>'[1]Copra Complex'!Z73</f>
        <v>157.03591229278408</v>
      </c>
      <c r="AA122" s="13">
        <f>'[1]Copra Complex'!AA73</f>
        <v>167.49558994895784</v>
      </c>
      <c r="AB122" s="13">
        <f>'[1]Copra Complex'!AB73</f>
        <v>190.23401963629215</v>
      </c>
      <c r="AC122" s="13">
        <f>'[1]Copra Complex'!AC73</f>
        <v>129.506</v>
      </c>
      <c r="AD122" s="13">
        <f>'[1]Copra Complex'!AD73</f>
        <v>154.42700000000002</v>
      </c>
      <c r="AE122" s="13">
        <f>'[1]Copra Complex'!AE73</f>
        <v>128.92700000000002</v>
      </c>
      <c r="AF122" s="13">
        <f>'[1]Copra Complex'!AF73</f>
        <v>129.44945730258513</v>
      </c>
    </row>
    <row r="123" spans="1:32">
      <c r="A123" s="12" t="s">
        <v>54</v>
      </c>
      <c r="B123" s="13">
        <f>'[1]Copra Complex'!B74</f>
        <v>151.4</v>
      </c>
      <c r="C123" s="13">
        <f>'[1]Copra Complex'!C74</f>
        <v>163.80000000000001</v>
      </c>
      <c r="D123" s="13">
        <f>'[1]Copra Complex'!D74</f>
        <v>171.5</v>
      </c>
      <c r="E123" s="13">
        <f>'[1]Copra Complex'!E74</f>
        <v>143.69999999999999</v>
      </c>
      <c r="F123" s="13">
        <f>'[1]Copra Complex'!F74</f>
        <v>366.29999999999995</v>
      </c>
      <c r="G123" s="13">
        <f>'[1]Copra Complex'!G74</f>
        <v>134.70000000000002</v>
      </c>
      <c r="H123" s="13">
        <f>'[1]Copra Complex'!H74</f>
        <v>137.60000000000002</v>
      </c>
      <c r="I123" s="13">
        <f>'[1]Copra Complex'!I74</f>
        <v>257.62</v>
      </c>
      <c r="J123" s="13">
        <f>'[1]Copra Complex'!J74</f>
        <v>303.25</v>
      </c>
      <c r="K123" s="13">
        <f>'[1]Copra Complex'!K74</f>
        <v>155.10000000000002</v>
      </c>
      <c r="L123" s="13">
        <f>'[1]Copra Complex'!L74</f>
        <v>89.9</v>
      </c>
      <c r="M123" s="13">
        <f>'[1]Copra Complex'!M74</f>
        <v>263.5</v>
      </c>
      <c r="N123" s="13">
        <f>'[1]Copra Complex'!N74</f>
        <v>212.6</v>
      </c>
      <c r="O123" s="13">
        <f>'[1]Copra Complex'!O74</f>
        <v>136.69999999999999</v>
      </c>
      <c r="P123" s="13">
        <f>'[1]Copra Complex'!P74</f>
        <v>187.9</v>
      </c>
      <c r="Q123" s="13">
        <f>'[1]Copra Complex'!Q74</f>
        <v>135.5</v>
      </c>
      <c r="R123" s="13">
        <f>'[1]Copra Complex'!R74</f>
        <v>172.52300000000002</v>
      </c>
      <c r="S123" s="13">
        <f>'[1]Copra Complex'!S74</f>
        <v>158.38399999999999</v>
      </c>
      <c r="T123" s="13">
        <f>'[1]Copra Complex'!T74</f>
        <v>169.5</v>
      </c>
      <c r="U123" s="13">
        <f>'[1]Copra Complex'!U74</f>
        <v>165</v>
      </c>
      <c r="V123" s="13">
        <f>'[1]Copra Complex'!V74</f>
        <v>165</v>
      </c>
      <c r="W123" s="13">
        <f>'[1]Copra Complex'!W74</f>
        <v>111.03</v>
      </c>
      <c r="X123" s="13">
        <f>'[1]Copra Complex'!X74</f>
        <v>113.029</v>
      </c>
      <c r="Y123" s="13">
        <f>'[1]Copra Complex'!Y74</f>
        <v>152.10626848130423</v>
      </c>
      <c r="Z123" s="13">
        <f>'[1]Copra Complex'!Z74</f>
        <v>154.33475395249863</v>
      </c>
      <c r="AA123" s="13">
        <f>'[1]Copra Complex'!AA74</f>
        <v>182.24513197763974</v>
      </c>
      <c r="AB123" s="13">
        <f>'[1]Copra Complex'!AB74</f>
        <v>117.59365384243858</v>
      </c>
      <c r="AC123" s="13">
        <f>'[1]Copra Complex'!AC74</f>
        <v>193.83699999999999</v>
      </c>
      <c r="AD123" s="13">
        <f>'[1]Copra Complex'!AD74</f>
        <v>121.46700000000001</v>
      </c>
      <c r="AE123" s="13">
        <f>'[1]Copra Complex'!AE74</f>
        <v>120.167</v>
      </c>
      <c r="AF123" s="13">
        <f>'[1]Copra Complex'!AF74</f>
        <v>120.56314196384069</v>
      </c>
    </row>
    <row r="124" spans="1:32">
      <c r="A124" s="12" t="s">
        <v>55</v>
      </c>
      <c r="B124" s="13">
        <f>'[1]Copra Complex'!B75</f>
        <v>163.69999999999999</v>
      </c>
      <c r="C124" s="13">
        <f>'[1]Copra Complex'!C75</f>
        <v>136.89999999999998</v>
      </c>
      <c r="D124" s="13">
        <f>'[1]Copra Complex'!D75</f>
        <v>116.7</v>
      </c>
      <c r="E124" s="13">
        <f>'[1]Copra Complex'!E75</f>
        <v>143.39999999999998</v>
      </c>
      <c r="F124" s="13">
        <f>'[1]Copra Complex'!F75</f>
        <v>424.6</v>
      </c>
      <c r="G124" s="13">
        <f>'[1]Copra Complex'!G75</f>
        <v>197.5</v>
      </c>
      <c r="H124" s="13">
        <f>'[1]Copra Complex'!H75</f>
        <v>164.3</v>
      </c>
      <c r="I124" s="13">
        <f>'[1]Copra Complex'!I75</f>
        <v>260.85500000000002</v>
      </c>
      <c r="J124" s="13">
        <f>'[1]Copra Complex'!J75</f>
        <v>301.64400000000001</v>
      </c>
      <c r="K124" s="13">
        <f>'[1]Copra Complex'!K75</f>
        <v>198.2</v>
      </c>
      <c r="L124" s="13">
        <f>'[1]Copra Complex'!L75</f>
        <v>133.5</v>
      </c>
      <c r="M124" s="13">
        <f>'[1]Copra Complex'!M75</f>
        <v>250.29999999999998</v>
      </c>
      <c r="N124" s="13">
        <f>'[1]Copra Complex'!N75</f>
        <v>204.8</v>
      </c>
      <c r="O124" s="13">
        <f>'[1]Copra Complex'!O75</f>
        <v>157.19999999999999</v>
      </c>
      <c r="P124" s="13">
        <f>'[1]Copra Complex'!P75</f>
        <v>181.6</v>
      </c>
      <c r="Q124" s="13">
        <f>'[1]Copra Complex'!Q75</f>
        <v>133.9</v>
      </c>
      <c r="R124" s="13">
        <f>'[1]Copra Complex'!R75</f>
        <v>179.71300000000002</v>
      </c>
      <c r="S124" s="13">
        <f>'[1]Copra Complex'!S75</f>
        <v>190.91</v>
      </c>
      <c r="T124" s="13">
        <f>'[1]Copra Complex'!T75</f>
        <v>168</v>
      </c>
      <c r="U124" s="13">
        <f>'[1]Copra Complex'!U75</f>
        <v>165</v>
      </c>
      <c r="V124" s="13">
        <f>'[1]Copra Complex'!V75</f>
        <v>165</v>
      </c>
      <c r="W124" s="13">
        <f>'[1]Copra Complex'!W75</f>
        <v>116.93299999999999</v>
      </c>
      <c r="X124" s="13">
        <f>'[1]Copra Complex'!X75</f>
        <v>140.38900000000001</v>
      </c>
      <c r="Y124" s="13">
        <f>'[1]Copra Complex'!Y75</f>
        <v>147.86056798797887</v>
      </c>
      <c r="Z124" s="13">
        <f>'[1]Copra Complex'!Z75</f>
        <v>154.9805014832518</v>
      </c>
      <c r="AA124" s="13">
        <f>'[1]Copra Complex'!AA75</f>
        <v>184.43505069255781</v>
      </c>
      <c r="AB124" s="13">
        <f>'[1]Copra Complex'!AB75</f>
        <v>138.32</v>
      </c>
      <c r="AC124" s="13">
        <f>'[1]Copra Complex'!AC75</f>
        <v>150.72200000000001</v>
      </c>
      <c r="AD124" s="13">
        <f>'[1]Copra Complex'!AD75</f>
        <v>176.27699999999999</v>
      </c>
      <c r="AE124" s="13">
        <f>'[1]Copra Complex'!AE75</f>
        <v>168.85399999999998</v>
      </c>
      <c r="AF124" s="13">
        <f>'[1]Copra Complex'!AF75</f>
        <v>123.63596856230703</v>
      </c>
    </row>
    <row r="125" spans="1:32">
      <c r="A125" s="12" t="s">
        <v>56</v>
      </c>
      <c r="B125" s="13">
        <f>'[1]Copra Complex'!B76</f>
        <v>156</v>
      </c>
      <c r="C125" s="13">
        <f>'[1]Copra Complex'!C76</f>
        <v>124.1</v>
      </c>
      <c r="D125" s="13">
        <f>'[1]Copra Complex'!D76</f>
        <v>113.9</v>
      </c>
      <c r="E125" s="13">
        <f>'[1]Copra Complex'!E76</f>
        <v>154.30000000000001</v>
      </c>
      <c r="F125" s="13">
        <f>'[1]Copra Complex'!F76</f>
        <v>434.4</v>
      </c>
      <c r="G125" s="13">
        <f>'[1]Copra Complex'!G76</f>
        <v>191.8</v>
      </c>
      <c r="H125" s="13">
        <f>'[1]Copra Complex'!H76</f>
        <v>161.4</v>
      </c>
      <c r="I125" s="13">
        <f>'[1]Copra Complex'!I76</f>
        <v>246.42399999999998</v>
      </c>
      <c r="J125" s="13">
        <f>'[1]Copra Complex'!J76</f>
        <v>245.75400000000002</v>
      </c>
      <c r="K125" s="13">
        <f>'[1]Copra Complex'!K76</f>
        <v>191.89999999999998</v>
      </c>
      <c r="L125" s="13">
        <f>'[1]Copra Complex'!L76</f>
        <v>149.19999999999999</v>
      </c>
      <c r="M125" s="13">
        <f>'[1]Copra Complex'!M76</f>
        <v>253.79999999999998</v>
      </c>
      <c r="N125" s="13">
        <f>'[1]Copra Complex'!N76</f>
        <v>202.7</v>
      </c>
      <c r="O125" s="13">
        <f>'[1]Copra Complex'!O76</f>
        <v>127.6</v>
      </c>
      <c r="P125" s="13">
        <f>'[1]Copra Complex'!P76</f>
        <v>180.4</v>
      </c>
      <c r="Q125" s="13">
        <f>'[1]Copra Complex'!Q76</f>
        <v>103</v>
      </c>
      <c r="R125" s="13">
        <f>'[1]Copra Complex'!R76</f>
        <v>197.44200000000001</v>
      </c>
      <c r="S125" s="13">
        <f>'[1]Copra Complex'!S76</f>
        <v>186.95499999999998</v>
      </c>
      <c r="T125" s="13">
        <f>'[1]Copra Complex'!T76</f>
        <v>166.5</v>
      </c>
      <c r="U125" s="13">
        <f>'[1]Copra Complex'!U76</f>
        <v>165</v>
      </c>
      <c r="V125" s="13">
        <f>'[1]Copra Complex'!V76</f>
        <v>165</v>
      </c>
      <c r="W125" s="13">
        <f>'[1]Copra Complex'!W76</f>
        <v>115.298</v>
      </c>
      <c r="X125" s="13">
        <f>'[1]Copra Complex'!X76</f>
        <v>136.596</v>
      </c>
      <c r="Y125" s="13">
        <f>'[1]Copra Complex'!Y76</f>
        <v>146.43300043385543</v>
      </c>
      <c r="Z125" s="13">
        <f>'[1]Copra Complex'!Z76</f>
        <v>149.05657358098196</v>
      </c>
      <c r="AA125" s="13">
        <f>'[1]Copra Complex'!AA76</f>
        <v>187.17596940747586</v>
      </c>
      <c r="AB125" s="13">
        <f>'[1]Copra Complex'!AB76</f>
        <v>118.05900000000001</v>
      </c>
      <c r="AC125" s="13">
        <f>'[1]Copra Complex'!AC76</f>
        <v>142.59300000000002</v>
      </c>
      <c r="AD125" s="13">
        <f>'[1]Copra Complex'!AD76</f>
        <v>169.03899999999999</v>
      </c>
      <c r="AE125" s="13">
        <f>'[1]Copra Complex'!AE76</f>
        <v>153.339</v>
      </c>
      <c r="AF125" s="13">
        <f>'[1]Copra Complex'!AF76</f>
        <v>113.03783092633206</v>
      </c>
    </row>
    <row r="126" spans="1:32" ht="15.75" thickBot="1">
      <c r="A126" s="12" t="s">
        <v>57</v>
      </c>
      <c r="B126" s="13">
        <f>'[1]Copra Complex'!B77</f>
        <v>164.10000000000002</v>
      </c>
      <c r="C126" s="13">
        <f>'[1]Copra Complex'!C77</f>
        <v>162.9</v>
      </c>
      <c r="D126" s="13">
        <f>'[1]Copra Complex'!D77</f>
        <v>84</v>
      </c>
      <c r="E126" s="13">
        <f>'[1]Copra Complex'!E77</f>
        <v>149.6</v>
      </c>
      <c r="F126" s="13">
        <f>'[1]Copra Complex'!F77</f>
        <v>392.7</v>
      </c>
      <c r="G126" s="13">
        <f>'[1]Copra Complex'!G77</f>
        <v>152.1</v>
      </c>
      <c r="H126" s="13">
        <f>'[1]Copra Complex'!H77</f>
        <v>136.4</v>
      </c>
      <c r="I126" s="13">
        <f>'[1]Copra Complex'!I77</f>
        <v>259.70500000000004</v>
      </c>
      <c r="J126" s="13">
        <f>'[1]Copra Complex'!J77</f>
        <v>226.50299999999999</v>
      </c>
      <c r="K126" s="13">
        <f>'[1]Copra Complex'!K77</f>
        <v>216.3</v>
      </c>
      <c r="L126" s="13">
        <f>'[1]Copra Complex'!L77</f>
        <v>131.19999999999999</v>
      </c>
      <c r="M126" s="13">
        <f>'[1]Copra Complex'!M77</f>
        <v>242.2</v>
      </c>
      <c r="N126" s="13">
        <f>'[1]Copra Complex'!N77</f>
        <v>222.2</v>
      </c>
      <c r="O126" s="13">
        <f>'[1]Copra Complex'!O77</f>
        <v>128.4</v>
      </c>
      <c r="P126" s="13">
        <f>'[1]Copra Complex'!P77</f>
        <v>181.4</v>
      </c>
      <c r="Q126" s="13">
        <f>'[1]Copra Complex'!Q77</f>
        <v>183</v>
      </c>
      <c r="R126" s="13">
        <f>'[1]Copra Complex'!R77</f>
        <v>185.96899999999999</v>
      </c>
      <c r="S126" s="13">
        <f>'[1]Copra Complex'!S77</f>
        <v>183</v>
      </c>
      <c r="T126" s="13">
        <f>'[1]Copra Complex'!T77</f>
        <v>165</v>
      </c>
      <c r="U126" s="13">
        <f>'[1]Copra Complex'!U77</f>
        <v>165</v>
      </c>
      <c r="V126" s="13">
        <f>'[1]Copra Complex'!V77</f>
        <v>165</v>
      </c>
      <c r="W126" s="13">
        <f>'[1]Copra Complex'!W77</f>
        <v>133.905</v>
      </c>
      <c r="X126" s="13">
        <f>'[1]Copra Complex'!X77</f>
        <v>160.25987547312474</v>
      </c>
      <c r="Y126" s="13">
        <f>'[1]Copra Complex'!Y77</f>
        <v>146.58100911003544</v>
      </c>
      <c r="Z126" s="13">
        <f>'[1]Copra Complex'!Z77</f>
        <v>152.51926043258075</v>
      </c>
      <c r="AA126" s="13">
        <f>'[1]Copra Complex'!AA77</f>
        <v>210.33216551951185</v>
      </c>
      <c r="AB126" s="13">
        <f>'[1]Copra Complex'!AB77</f>
        <v>113.483</v>
      </c>
      <c r="AC126" s="13">
        <f>'[1]Copra Complex'!AC77</f>
        <v>114.749</v>
      </c>
      <c r="AD126" s="13">
        <f>'[1]Copra Complex'!AD77</f>
        <v>146.328</v>
      </c>
      <c r="AE126" s="13">
        <f>'[1]Copra Complex'!AE77</f>
        <v>137.62799999999999</v>
      </c>
      <c r="AF126" s="13">
        <f>'[1]Copra Complex'!AF77</f>
        <v>103.84057849366457</v>
      </c>
    </row>
    <row r="127" spans="1:3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thickBot="1">
      <c r="A128" s="12" t="s">
        <v>65</v>
      </c>
    </row>
    <row r="129" spans="1:32" ht="15.75" thickBot="1">
      <c r="A129" s="3"/>
      <c r="B129" s="3" t="str">
        <f>B2</f>
        <v xml:space="preserve">93/94 </v>
      </c>
      <c r="C129" s="3" t="str">
        <f t="shared" ref="C129:AF129" si="15">C2</f>
        <v xml:space="preserve">94/95 </v>
      </c>
      <c r="D129" s="3" t="str">
        <f t="shared" si="15"/>
        <v xml:space="preserve">95/96 </v>
      </c>
      <c r="E129" s="3" t="str">
        <f t="shared" si="15"/>
        <v xml:space="preserve">96/97 </v>
      </c>
      <c r="F129" s="3" t="str">
        <f t="shared" si="15"/>
        <v xml:space="preserve">97/98 </v>
      </c>
      <c r="G129" s="3" t="str">
        <f t="shared" si="15"/>
        <v xml:space="preserve">98/99 </v>
      </c>
      <c r="H129" s="3" t="str">
        <f t="shared" si="15"/>
        <v xml:space="preserve">99/00 </v>
      </c>
      <c r="I129" s="3" t="str">
        <f t="shared" si="15"/>
        <v xml:space="preserve">00/01 </v>
      </c>
      <c r="J129" s="3" t="str">
        <f t="shared" si="15"/>
        <v xml:space="preserve">01/02 </v>
      </c>
      <c r="K129" s="3" t="str">
        <f t="shared" si="15"/>
        <v xml:space="preserve">02/03 </v>
      </c>
      <c r="L129" s="3" t="str">
        <f t="shared" si="15"/>
        <v xml:space="preserve">03/04 </v>
      </c>
      <c r="M129" s="3" t="str">
        <f t="shared" si="15"/>
        <v xml:space="preserve">04/05 </v>
      </c>
      <c r="N129" s="3" t="str">
        <f t="shared" si="15"/>
        <v xml:space="preserve">05/06 </v>
      </c>
      <c r="O129" s="3" t="str">
        <f t="shared" si="15"/>
        <v xml:space="preserve">06/07 </v>
      </c>
      <c r="P129" s="3" t="str">
        <f t="shared" si="15"/>
        <v xml:space="preserve">07/08 </v>
      </c>
      <c r="Q129" s="3" t="str">
        <f t="shared" si="15"/>
        <v xml:space="preserve">08/09 </v>
      </c>
      <c r="R129" s="3" t="str">
        <f t="shared" si="15"/>
        <v xml:space="preserve">09/10 </v>
      </c>
      <c r="S129" s="3" t="str">
        <f t="shared" si="15"/>
        <v xml:space="preserve">10/11 </v>
      </c>
      <c r="T129" s="3" t="str">
        <f t="shared" si="15"/>
        <v xml:space="preserve">11/12 </v>
      </c>
      <c r="U129" s="3" t="str">
        <f t="shared" si="15"/>
        <v xml:space="preserve">12/13 </v>
      </c>
      <c r="V129" s="3" t="str">
        <f t="shared" si="15"/>
        <v xml:space="preserve">13/14 </v>
      </c>
      <c r="W129" s="3" t="str">
        <f t="shared" si="15"/>
        <v xml:space="preserve">14/15 </v>
      </c>
      <c r="X129" s="3" t="str">
        <f t="shared" si="15"/>
        <v xml:space="preserve">15/16 </v>
      </c>
      <c r="Y129" s="3" t="str">
        <f t="shared" si="15"/>
        <v xml:space="preserve">16/17 </v>
      </c>
      <c r="Z129" s="3" t="str">
        <f t="shared" si="15"/>
        <v xml:space="preserve">17/18 </v>
      </c>
      <c r="AA129" s="3" t="str">
        <f t="shared" si="15"/>
        <v xml:space="preserve">18/19 </v>
      </c>
      <c r="AB129" s="3" t="str">
        <f t="shared" si="15"/>
        <v xml:space="preserve">19/20 </v>
      </c>
      <c r="AC129" s="3" t="str">
        <f t="shared" si="15"/>
        <v xml:space="preserve">20/21 </v>
      </c>
      <c r="AD129" s="3" t="str">
        <f t="shared" si="15"/>
        <v xml:space="preserve">21/22 </v>
      </c>
      <c r="AE129" s="3" t="str">
        <f t="shared" si="15"/>
        <v xml:space="preserve">22/23 </v>
      </c>
      <c r="AF129" s="3" t="str">
        <f t="shared" si="15"/>
        <v>23/24</v>
      </c>
    </row>
    <row r="130" spans="1:32">
      <c r="A130" s="12" t="s">
        <v>46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>
        <v>22.108599999999999</v>
      </c>
      <c r="M130" s="15">
        <v>31.720199999999998</v>
      </c>
      <c r="N130" s="15">
        <v>28.642800000000001</v>
      </c>
      <c r="O130" s="15">
        <v>30.25</v>
      </c>
      <c r="P130" s="15">
        <v>47.521700000000003</v>
      </c>
      <c r="Q130" s="15">
        <v>43.260800000000003</v>
      </c>
      <c r="R130" s="15">
        <v>34.920400000000001</v>
      </c>
      <c r="S130" s="15">
        <v>68.666600000000003</v>
      </c>
      <c r="T130" s="15">
        <v>58.285699999999999</v>
      </c>
      <c r="U130" s="15">
        <v>44.391300000000001</v>
      </c>
      <c r="V130" s="15">
        <v>46.152200000000001</v>
      </c>
      <c r="W130" s="15">
        <v>53.4602</v>
      </c>
      <c r="X130" s="15">
        <v>51.572299999999998</v>
      </c>
      <c r="Y130" s="15">
        <v>70.435199999999995</v>
      </c>
      <c r="Z130" s="15">
        <v>70.670500000000004</v>
      </c>
      <c r="AA130" s="16">
        <f>'Coconut Oil Price Analysis'!$B184</f>
        <v>28.5</v>
      </c>
      <c r="AB130" s="16">
        <f>'Coconut Oil Price Analysis'!$B196</f>
        <v>12.3</v>
      </c>
      <c r="AC130" s="16">
        <f>'Coconut Oil Price Analysis'!$B208</f>
        <v>36.1</v>
      </c>
      <c r="AD130" s="16">
        <f>'Coconut Oil Price Analysis'!$B220</f>
        <v>56.900000000000006</v>
      </c>
      <c r="AE130" s="16">
        <f>'Coconut Oil Price Analysis'!$B232</f>
        <v>49.5</v>
      </c>
      <c r="AF130" s="16">
        <f>'Coconut Oil Price Analysis'!$B244</f>
        <v>44.6</v>
      </c>
    </row>
    <row r="131" spans="1:32">
      <c r="A131" s="12" t="s">
        <v>47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>
        <v>25.25</v>
      </c>
      <c r="M131" s="15">
        <v>32.118699999999997</v>
      </c>
      <c r="N131" s="15">
        <v>28.25</v>
      </c>
      <c r="O131" s="15">
        <v>31.8</v>
      </c>
      <c r="P131" s="15">
        <v>52.375</v>
      </c>
      <c r="Q131" s="15">
        <v>35.973599999999998</v>
      </c>
      <c r="R131" s="15">
        <v>35.674999999999997</v>
      </c>
      <c r="S131" s="15">
        <v>72.952299999999994</v>
      </c>
      <c r="T131" s="15">
        <v>70.952299999999994</v>
      </c>
      <c r="U131" s="15">
        <v>41.704500000000003</v>
      </c>
      <c r="V131" s="15">
        <v>59.997500000000002</v>
      </c>
      <c r="W131" s="15">
        <v>54.964500000000001</v>
      </c>
      <c r="X131" s="15">
        <v>50.597499999999997</v>
      </c>
      <c r="Y131" s="15">
        <v>72.356700000000004</v>
      </c>
      <c r="Z131" s="15">
        <v>73.6524</v>
      </c>
      <c r="AA131" s="16">
        <f>'Coconut Oil Price Analysis'!$B185</f>
        <v>33.200000000000003</v>
      </c>
      <c r="AB131" s="16">
        <f>'Coconut Oil Price Analysis'!$B197</f>
        <v>35.700000000000003</v>
      </c>
      <c r="AC131" s="16">
        <f>'Coconut Oil Price Analysis'!$B209</f>
        <v>47.800000000000004</v>
      </c>
      <c r="AD131" s="16">
        <f>'Coconut Oil Price Analysis'!$B221</f>
        <v>42.6</v>
      </c>
      <c r="AE131" s="16">
        <f>'Coconut Oil Price Analysis'!$B233</f>
        <v>47.7</v>
      </c>
      <c r="AF131" s="16">
        <f>'Coconut Oil Price Analysis'!$B245</f>
        <v>46.400000000000006</v>
      </c>
    </row>
    <row r="132" spans="1:32">
      <c r="A132" s="12" t="s">
        <v>48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>
        <v>27.535699999999999</v>
      </c>
      <c r="M132" s="15">
        <v>32.857100000000003</v>
      </c>
      <c r="N132" s="15">
        <v>26.962499999999999</v>
      </c>
      <c r="O132" s="15">
        <v>35.487499999999997</v>
      </c>
      <c r="P132" s="15">
        <v>54.075000000000003</v>
      </c>
      <c r="Q132" s="15">
        <v>37.636299999999999</v>
      </c>
      <c r="R132" s="15">
        <v>37.318100000000001</v>
      </c>
      <c r="S132" s="15">
        <v>82.045400000000001</v>
      </c>
      <c r="T132" s="15">
        <v>69.547600000000003</v>
      </c>
      <c r="U132" s="15">
        <v>37.524999999999999</v>
      </c>
      <c r="V132" s="15">
        <v>59.964300000000001</v>
      </c>
      <c r="W132" s="15">
        <v>55.721899999999998</v>
      </c>
      <c r="X132" s="15">
        <v>53.075200000000002</v>
      </c>
      <c r="Y132" s="15">
        <v>78.697100000000006</v>
      </c>
      <c r="Z132" s="15">
        <v>69.644999999999996</v>
      </c>
      <c r="AA132" s="16">
        <f>'Coconut Oil Price Analysis'!$B186</f>
        <v>28.700000000000003</v>
      </c>
      <c r="AB132" s="16">
        <f>'Coconut Oil Price Analysis'!$B198</f>
        <v>38.1</v>
      </c>
      <c r="AC132" s="16">
        <f>'Coconut Oil Price Analysis'!$B210</f>
        <v>49.400000000000006</v>
      </c>
      <c r="AD132" s="16">
        <f>'Coconut Oil Price Analysis'!$B222</f>
        <v>54.6</v>
      </c>
      <c r="AE132" s="16">
        <f>'Coconut Oil Price Analysis'!$B234</f>
        <v>31.5</v>
      </c>
      <c r="AF132" s="16">
        <f>'Coconut Oil Price Analysis'!$B246</f>
        <v>51.7</v>
      </c>
    </row>
    <row r="133" spans="1:32">
      <c r="A133" s="12" t="s">
        <v>49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>
        <v>28.175000000000001</v>
      </c>
      <c r="M133" s="15">
        <v>31.837499999999999</v>
      </c>
      <c r="N133" s="15">
        <v>27.612500000000001</v>
      </c>
      <c r="O133" s="15">
        <v>35.5625</v>
      </c>
      <c r="P133" s="15">
        <v>60.357100000000003</v>
      </c>
      <c r="Q133" s="15">
        <v>36.375</v>
      </c>
      <c r="R133" s="15">
        <v>37.618400000000001</v>
      </c>
      <c r="S133" s="15">
        <v>96.025000000000006</v>
      </c>
      <c r="T133" s="15">
        <v>70.400000000000006</v>
      </c>
      <c r="U133" s="15">
        <v>41.071399999999997</v>
      </c>
      <c r="V133" s="15">
        <v>58.714500000000001</v>
      </c>
      <c r="W133" s="15">
        <v>54.511499999999998</v>
      </c>
      <c r="X133" s="15">
        <v>54.053699999999999</v>
      </c>
      <c r="Y133" s="15">
        <v>85.19</v>
      </c>
      <c r="Z133" s="15">
        <v>66.819000000000003</v>
      </c>
      <c r="AA133" s="16">
        <f>'Coconut Oil Price Analysis'!$B187</f>
        <v>30.800000000000004</v>
      </c>
      <c r="AB133" s="16">
        <f>'Coconut Oil Price Analysis'!$B199</f>
        <v>36.700000000000003</v>
      </c>
      <c r="AC133" s="16">
        <f>'Coconut Oil Price Analysis'!$B211</f>
        <v>40.800000000000004</v>
      </c>
      <c r="AD133" s="16">
        <f>'Coconut Oil Price Analysis'!$B223</f>
        <v>49.1</v>
      </c>
      <c r="AE133" s="16">
        <f>'Coconut Oil Price Analysis'!$B235</f>
        <v>53.7</v>
      </c>
      <c r="AF133" s="16">
        <f>'Coconut Oil Price Analysis'!$B247</f>
        <v>43.300000000000004</v>
      </c>
    </row>
    <row r="134" spans="1:32">
      <c r="A134" s="12" t="s">
        <v>50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>
        <v>28.7638</v>
      </c>
      <c r="M134" s="15">
        <v>31.5</v>
      </c>
      <c r="N134" s="15">
        <v>28.328900000000001</v>
      </c>
      <c r="O134" s="15">
        <v>36.342100000000002</v>
      </c>
      <c r="P134" s="15">
        <v>64.362499999999997</v>
      </c>
      <c r="Q134" s="15">
        <v>33.263100000000001</v>
      </c>
      <c r="R134" s="15">
        <v>38.5</v>
      </c>
      <c r="S134" s="15">
        <v>106.31570000000001</v>
      </c>
      <c r="T134" s="15">
        <v>69.125</v>
      </c>
      <c r="U134" s="15">
        <v>42.223700000000001</v>
      </c>
      <c r="V134" s="15">
        <v>62.726999999999997</v>
      </c>
      <c r="W134" s="15">
        <v>54.736800000000002</v>
      </c>
      <c r="X134" s="15">
        <v>57.121499999999997</v>
      </c>
      <c r="Y134" s="15">
        <v>83.308899999999994</v>
      </c>
      <c r="Z134" s="15">
        <v>60.539499999999997</v>
      </c>
      <c r="AA134" s="16">
        <f>'Coconut Oil Price Analysis'!$B188</f>
        <v>27.4</v>
      </c>
      <c r="AB134" s="16">
        <f>'Coconut Oil Price Analysis'!$B200</f>
        <v>37.1</v>
      </c>
      <c r="AC134" s="16">
        <f>'Coconut Oil Price Analysis'!$B212</f>
        <v>47.900000000000006</v>
      </c>
      <c r="AD134" s="16">
        <f>'Coconut Oil Price Analysis'!$B224</f>
        <v>42.1</v>
      </c>
      <c r="AE134" s="16">
        <f>'Coconut Oil Price Analysis'!$B236</f>
        <v>40.700000000000003</v>
      </c>
      <c r="AF134" s="16">
        <f>'Coconut Oil Price Analysis'!$B248</f>
        <v>46.1</v>
      </c>
    </row>
    <row r="135" spans="1:32">
      <c r="A135" s="12" t="s">
        <v>51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>
        <v>32.5</v>
      </c>
      <c r="M135" s="15">
        <v>31.965900000000001</v>
      </c>
      <c r="N135" s="15">
        <v>28.1739</v>
      </c>
      <c r="O135" s="15">
        <v>36.704500000000003</v>
      </c>
      <c r="P135" s="15">
        <v>72.075000000000003</v>
      </c>
      <c r="Q135" s="15">
        <v>31.795400000000001</v>
      </c>
      <c r="R135" s="15">
        <v>44.152099999999997</v>
      </c>
      <c r="S135" s="15">
        <v>94.021699999999996</v>
      </c>
      <c r="T135" s="15">
        <v>65.920400000000001</v>
      </c>
      <c r="U135" s="15">
        <v>40.024999999999999</v>
      </c>
      <c r="V135" s="15">
        <v>64.2333</v>
      </c>
      <c r="W135" s="15">
        <v>52.805700000000002</v>
      </c>
      <c r="X135" s="15">
        <v>65.565899999999999</v>
      </c>
      <c r="Y135" s="15">
        <v>74.369600000000005</v>
      </c>
      <c r="Z135" s="15">
        <v>54.5595</v>
      </c>
      <c r="AA135" s="16">
        <f>'Coconut Oil Price Analysis'!$B189</f>
        <v>36</v>
      </c>
      <c r="AB135" s="16">
        <f>'Coconut Oil Price Analysis'!$B201</f>
        <v>37</v>
      </c>
      <c r="AC135" s="16">
        <f>'Coconut Oil Price Analysis'!$B213</f>
        <v>43.900000000000006</v>
      </c>
      <c r="AD135" s="16">
        <f>'Coconut Oil Price Analysis'!$B225</f>
        <v>44.2</v>
      </c>
      <c r="AE135" s="16">
        <f>'Coconut Oil Price Analysis'!$B237</f>
        <v>43.400000000000006</v>
      </c>
      <c r="AF135" s="16">
        <f>'Coconut Oil Price Analysis'!$B249</f>
        <v>46.900000000000006</v>
      </c>
    </row>
    <row r="136" spans="1:32">
      <c r="A136" s="12" t="s">
        <v>52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>
        <v>34.880899999999997</v>
      </c>
      <c r="M136" s="15">
        <v>33.035699999999999</v>
      </c>
      <c r="N136" s="15">
        <v>28.513100000000001</v>
      </c>
      <c r="O136" s="15">
        <v>39</v>
      </c>
      <c r="P136" s="15">
        <v>68.593100000000007</v>
      </c>
      <c r="Q136" s="15">
        <v>35.333300000000001</v>
      </c>
      <c r="R136" s="15">
        <v>45.3095</v>
      </c>
      <c r="S136" s="15">
        <v>98.5</v>
      </c>
      <c r="T136" s="15">
        <v>65.275000000000006</v>
      </c>
      <c r="U136" s="15">
        <v>39.5</v>
      </c>
      <c r="V136" s="15">
        <v>62.517899999999997</v>
      </c>
      <c r="W136" s="15">
        <v>49.8155</v>
      </c>
      <c r="X136" s="15">
        <v>74.368600000000001</v>
      </c>
      <c r="Y136" s="15">
        <v>76.2226</v>
      </c>
      <c r="Z136" s="16">
        <f>'Coconut Oil Price Analysis'!B178</f>
        <v>34.800000000000004</v>
      </c>
      <c r="AA136" s="16">
        <f>'Coconut Oil Price Analysis'!$B190</f>
        <v>35.700000000000003</v>
      </c>
      <c r="AB136" s="16">
        <f>'Coconut Oil Price Analysis'!$B202</f>
        <v>35.200000000000003</v>
      </c>
      <c r="AC136" s="16">
        <f>'Coconut Oil Price Analysis'!$B214</f>
        <v>43.2</v>
      </c>
      <c r="AD136" s="16">
        <f>'Coconut Oil Price Analysis'!$B226</f>
        <v>43.7</v>
      </c>
      <c r="AE136" s="16">
        <f>'Coconut Oil Price Analysis'!$B238</f>
        <v>52.900000000000006</v>
      </c>
      <c r="AF136" s="16">
        <f>'Coconut Oil Price Analysis'!$B250</f>
        <v>47.7</v>
      </c>
    </row>
    <row r="137" spans="1:32">
      <c r="A137" s="12" t="s">
        <v>53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>
        <v>36.5</v>
      </c>
      <c r="M137" s="15">
        <v>32.113</v>
      </c>
      <c r="N137" s="15">
        <v>28.579499999999999</v>
      </c>
      <c r="O137" s="15">
        <v>42.136299999999999</v>
      </c>
      <c r="P137" s="15">
        <v>70.380899999999997</v>
      </c>
      <c r="Q137" s="15">
        <v>40.35</v>
      </c>
      <c r="R137" s="15">
        <v>45.674999999999997</v>
      </c>
      <c r="S137" s="15">
        <v>100.1666</v>
      </c>
      <c r="T137" s="15">
        <v>57.193199999999997</v>
      </c>
      <c r="U137" s="15">
        <v>40.045499999999997</v>
      </c>
      <c r="V137" s="15">
        <v>65.281000000000006</v>
      </c>
      <c r="W137" s="15">
        <v>52.7423</v>
      </c>
      <c r="X137" s="15">
        <v>67.023799999999994</v>
      </c>
      <c r="Y137" s="15">
        <v>80.485200000000006</v>
      </c>
      <c r="Z137" s="16">
        <f>'Coconut Oil Price Analysis'!B179</f>
        <v>28.700000000000003</v>
      </c>
      <c r="AA137" s="16">
        <f>'Coconut Oil Price Analysis'!$B191</f>
        <v>30.700000000000003</v>
      </c>
      <c r="AB137" s="16">
        <f>'Coconut Oil Price Analysis'!$B203</f>
        <v>44.400000000000006</v>
      </c>
      <c r="AC137" s="16">
        <f>'Coconut Oil Price Analysis'!$B215</f>
        <v>28.900000000000002</v>
      </c>
      <c r="AD137" s="16">
        <f>'Coconut Oil Price Analysis'!$B227</f>
        <v>50.2</v>
      </c>
      <c r="AE137" s="16">
        <f>'Coconut Oil Price Analysis'!$B239</f>
        <v>49</v>
      </c>
      <c r="AF137" s="16">
        <f>'Coconut Oil Price Analysis'!$B251</f>
        <v>47.800000000000004</v>
      </c>
    </row>
    <row r="138" spans="1:32">
      <c r="A138" s="12" t="s">
        <v>54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>
        <v>37.125</v>
      </c>
      <c r="M138" s="15">
        <v>30.25</v>
      </c>
      <c r="N138" s="15">
        <v>27.840900000000001</v>
      </c>
      <c r="O138" s="15">
        <v>48.1785</v>
      </c>
      <c r="P138" s="15">
        <v>74.642799999999994</v>
      </c>
      <c r="Q138" s="15">
        <v>36.840899999999998</v>
      </c>
      <c r="R138" s="15">
        <v>48</v>
      </c>
      <c r="S138" s="15">
        <v>91.25</v>
      </c>
      <c r="T138" s="15">
        <v>53.261899999999997</v>
      </c>
      <c r="U138" s="15">
        <v>42.6</v>
      </c>
      <c r="V138" s="15">
        <v>63.914299999999997</v>
      </c>
      <c r="W138" s="15">
        <v>53.137500000000003</v>
      </c>
      <c r="X138" s="15">
        <v>70.378399999999999</v>
      </c>
      <c r="Y138" s="15">
        <v>83.306799999999996</v>
      </c>
      <c r="Z138" s="16">
        <f>'Coconut Oil Price Analysis'!B180</f>
        <v>30.900000000000006</v>
      </c>
      <c r="AA138" s="16">
        <f>'Coconut Oil Price Analysis'!$B192</f>
        <v>34.1</v>
      </c>
      <c r="AB138" s="16">
        <f>'Coconut Oil Price Analysis'!$B204</f>
        <v>43.7</v>
      </c>
      <c r="AC138" s="16">
        <f>'Coconut Oil Price Analysis'!$B216</f>
        <v>48.7</v>
      </c>
      <c r="AD138" s="16">
        <f>'Coconut Oil Price Analysis'!$B228</f>
        <v>43.2</v>
      </c>
      <c r="AE138" s="16">
        <f>'Coconut Oil Price Analysis'!$B240</f>
        <v>39.900000000000006</v>
      </c>
      <c r="AF138" s="16">
        <f>'Coconut Oil Price Analysis'!$B252</f>
        <v>51.1</v>
      </c>
    </row>
    <row r="139" spans="1:32">
      <c r="A139" s="12" t="s">
        <v>55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>
        <v>36.261899999999997</v>
      </c>
      <c r="M139" s="15">
        <v>29.8125</v>
      </c>
      <c r="N139" s="15">
        <v>28.337499999999999</v>
      </c>
      <c r="O139" s="15">
        <v>45.3095</v>
      </c>
      <c r="P139" s="15">
        <v>69.738600000000005</v>
      </c>
      <c r="Q139" s="15">
        <v>33.931800000000003</v>
      </c>
      <c r="R139" s="15">
        <v>50.380899999999997</v>
      </c>
      <c r="S139" s="15">
        <v>79.224999999999994</v>
      </c>
      <c r="T139" s="15">
        <v>52.9405</v>
      </c>
      <c r="U139" s="15">
        <v>41.195700000000002</v>
      </c>
      <c r="V139" s="15">
        <v>57.375500000000002</v>
      </c>
      <c r="W139" s="15">
        <v>52.003599999999999</v>
      </c>
      <c r="X139" s="15">
        <v>70.495999999999995</v>
      </c>
      <c r="Y139" s="15">
        <v>82.924999999999997</v>
      </c>
      <c r="Z139" s="16">
        <f>'Coconut Oil Price Analysis'!B181</f>
        <v>30.800000000000004</v>
      </c>
      <c r="AA139" s="16">
        <f>'Coconut Oil Price Analysis'!$B193</f>
        <v>30.400000000000006</v>
      </c>
      <c r="AB139" s="16">
        <f>'Coconut Oil Price Analysis'!$B205</f>
        <v>43.5</v>
      </c>
      <c r="AC139" s="16">
        <f>'Coconut Oil Price Analysis'!$B217</f>
        <v>42.6</v>
      </c>
      <c r="AD139" s="16">
        <f>'Coconut Oil Price Analysis'!$B229</f>
        <v>37.5</v>
      </c>
      <c r="AE139" s="16">
        <f>'Coconut Oil Price Analysis'!$B241</f>
        <v>46.300000000000004</v>
      </c>
      <c r="AF139" s="16">
        <f>'Coconut Oil Price Analysis'!$B253</f>
        <v>47.6</v>
      </c>
    </row>
    <row r="140" spans="1:32">
      <c r="A140" s="12" t="s">
        <v>56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>
        <v>33.357900000000001</v>
      </c>
      <c r="M140" s="15">
        <v>27.902100000000001</v>
      </c>
      <c r="N140" s="15">
        <v>29.826000000000001</v>
      </c>
      <c r="O140" s="15">
        <v>44.282600000000002</v>
      </c>
      <c r="P140" s="15">
        <v>57.773800000000001</v>
      </c>
      <c r="Q140" s="15">
        <v>36.0595</v>
      </c>
      <c r="R140" s="15">
        <v>56.068100000000001</v>
      </c>
      <c r="S140" s="15">
        <v>70.217299999999994</v>
      </c>
      <c r="T140" s="15">
        <v>49.347799999999999</v>
      </c>
      <c r="U140" s="15">
        <v>41.863599999999998</v>
      </c>
      <c r="V140" s="15">
        <v>57.042400000000001</v>
      </c>
      <c r="W140" s="15">
        <v>50.287100000000002</v>
      </c>
      <c r="X140" s="15">
        <v>71.260400000000004</v>
      </c>
      <c r="Y140" s="15">
        <v>83.869600000000005</v>
      </c>
      <c r="Z140" s="16">
        <f>'Coconut Oil Price Analysis'!B182</f>
        <v>24.1</v>
      </c>
      <c r="AA140" s="16">
        <f>'Coconut Oil Price Analysis'!$B194</f>
        <v>20.5</v>
      </c>
      <c r="AB140" s="16">
        <f>'Coconut Oil Price Analysis'!$B206</f>
        <v>37.6</v>
      </c>
      <c r="AC140" s="16">
        <f>'Coconut Oil Price Analysis'!$B218</f>
        <v>52.5</v>
      </c>
      <c r="AD140" s="16">
        <f>'Coconut Oil Price Analysis'!$B230</f>
        <v>58.800000000000004</v>
      </c>
      <c r="AE140" s="16">
        <f>'Coconut Oil Price Analysis'!$B242</f>
        <v>58.7</v>
      </c>
      <c r="AF140" s="16">
        <f>'Coconut Oil Price Analysis'!$B254</f>
        <v>52.300000000000004</v>
      </c>
    </row>
    <row r="141" spans="1:32">
      <c r="A141" s="12" t="s">
        <v>57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>
        <v>20.882300000000001</v>
      </c>
      <c r="L141" s="15">
        <v>32.601100000000002</v>
      </c>
      <c r="M141" s="15">
        <v>26.824999999999999</v>
      </c>
      <c r="N141" s="15">
        <v>29.625</v>
      </c>
      <c r="O141" s="15">
        <v>44.263100000000001</v>
      </c>
      <c r="P141" s="15">
        <v>53.904699999999998</v>
      </c>
      <c r="Q141" s="15">
        <v>34.214199999999998</v>
      </c>
      <c r="R141" s="15">
        <v>61.333300000000001</v>
      </c>
      <c r="S141" s="15">
        <v>63.690399999999997</v>
      </c>
      <c r="T141" s="15">
        <v>47.776299999999999</v>
      </c>
      <c r="U141" s="15">
        <v>46.625</v>
      </c>
      <c r="V141" s="15">
        <v>55.574800000000003</v>
      </c>
      <c r="W141" s="15">
        <v>49.053600000000003</v>
      </c>
      <c r="X141" s="15">
        <v>72.356200000000001</v>
      </c>
      <c r="Y141" s="15">
        <v>83.075000000000003</v>
      </c>
      <c r="Z141" s="16">
        <f>'Coconut Oil Price Analysis'!$B183</f>
        <v>40.1</v>
      </c>
      <c r="AA141" s="16">
        <f>'Coconut Oil Price Analysis'!$B195</f>
        <v>35.300000000000004</v>
      </c>
      <c r="AB141" s="16">
        <f>'Coconut Oil Price Analysis'!$B207</f>
        <v>44.400000000000006</v>
      </c>
      <c r="AC141" s="16">
        <f>'Coconut Oil Price Analysis'!$B219</f>
        <v>37.400000000000006</v>
      </c>
      <c r="AD141" s="16">
        <f>'Coconut Oil Price Analysis'!$B231</f>
        <v>52.300000000000004</v>
      </c>
      <c r="AE141" s="16">
        <f>'Coconut Oil Price Analysis'!$B243</f>
        <v>52.900000000000006</v>
      </c>
      <c r="AF141" s="16">
        <f>'Coconut Oil Price Analysis'!$B255</f>
        <v>59.1</v>
      </c>
    </row>
    <row r="142" spans="1:32" ht="15.75" thickBot="1">
      <c r="A142" s="12" t="s">
        <v>66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>
        <f>AVERAGE(L130:L141)</f>
        <v>31.254991666666655</v>
      </c>
      <c r="M142" s="15">
        <f t="shared" ref="M142:AF142" si="16">AVERAGE(M130:M141)</f>
        <v>30.994808333333335</v>
      </c>
      <c r="N142" s="15">
        <f t="shared" si="16"/>
        <v>28.391050000000003</v>
      </c>
      <c r="O142" s="15">
        <f t="shared" si="16"/>
        <v>39.109716666666664</v>
      </c>
      <c r="P142" s="15">
        <f t="shared" si="16"/>
        <v>62.15001666666668</v>
      </c>
      <c r="Q142" s="15">
        <f t="shared" si="16"/>
        <v>36.252825000000001</v>
      </c>
      <c r="R142" s="15">
        <f t="shared" si="16"/>
        <v>44.579233333333327</v>
      </c>
      <c r="S142" s="15">
        <f t="shared" si="16"/>
        <v>85.25633333333333</v>
      </c>
      <c r="T142" s="15">
        <f t="shared" si="16"/>
        <v>60.835475000000002</v>
      </c>
      <c r="U142" s="15">
        <f t="shared" si="16"/>
        <v>41.564225000000008</v>
      </c>
      <c r="V142" s="15">
        <f t="shared" si="16"/>
        <v>59.457891666666661</v>
      </c>
      <c r="W142" s="15">
        <f t="shared" si="16"/>
        <v>52.770016666666663</v>
      </c>
      <c r="X142" s="15">
        <f t="shared" si="16"/>
        <v>63.155791666666666</v>
      </c>
      <c r="Y142" s="15">
        <f t="shared" si="16"/>
        <v>79.520141666666646</v>
      </c>
      <c r="Z142" s="16">
        <f t="shared" si="16"/>
        <v>48.773824999999995</v>
      </c>
      <c r="AA142" s="16">
        <f>AVERAGE(AA130:AA140)</f>
        <v>30.545454545454547</v>
      </c>
      <c r="AB142" s="16">
        <f t="shared" si="16"/>
        <v>37.141666666666673</v>
      </c>
      <c r="AC142" s="16">
        <f t="shared" si="16"/>
        <v>43.266666666666673</v>
      </c>
      <c r="AD142" s="16">
        <f t="shared" si="16"/>
        <v>47.93333333333333</v>
      </c>
      <c r="AE142" s="16">
        <f t="shared" si="16"/>
        <v>47.18333333333333</v>
      </c>
      <c r="AF142" s="16">
        <f t="shared" si="16"/>
        <v>48.716666666666669</v>
      </c>
    </row>
    <row r="143" spans="1:3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C11CA-7DF6-437C-B904-532FCD7F3275}">
  <dimension ref="A1:AF143"/>
  <sheetViews>
    <sheetView zoomScale="85" zoomScaleNormal="85" workbookViewId="0">
      <pane xSplit="1" ySplit="2" topLeftCell="H119" activePane="bottomRight" state="frozen"/>
      <selection activeCell="L142" sqref="L142"/>
      <selection pane="topRight" activeCell="L142" sqref="L142"/>
      <selection pane="bottomLeft" activeCell="L142" sqref="L142"/>
      <selection pane="bottomRight" activeCell="L142" sqref="L142"/>
    </sheetView>
  </sheetViews>
  <sheetFormatPr defaultRowHeight="15"/>
  <cols>
    <col min="1" max="1" width="27.85546875" customWidth="1"/>
    <col min="2" max="2" width="9" customWidth="1"/>
  </cols>
  <sheetData>
    <row r="1" spans="1:32" ht="15.75" thickBot="1">
      <c r="A1" s="1" t="s">
        <v>67</v>
      </c>
    </row>
    <row r="2" spans="1:32" ht="15.75" thickBot="1">
      <c r="A2" s="2"/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</row>
    <row r="3" spans="1:32" ht="16.5">
      <c r="A3" s="1" t="s">
        <v>32</v>
      </c>
      <c r="B3" s="5">
        <f>'[1]Palm Complex'!$C$17</f>
        <v>72.3</v>
      </c>
    </row>
    <row r="4" spans="1:32" ht="16.5">
      <c r="A4" s="1" t="s">
        <v>33</v>
      </c>
      <c r="B4" s="5"/>
    </row>
    <row r="5" spans="1:32" ht="16.5">
      <c r="A5" s="1" t="s">
        <v>34</v>
      </c>
      <c r="B5" s="5"/>
    </row>
    <row r="6" spans="1:32" ht="16.5">
      <c r="A6" s="6" t="s">
        <v>35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6.5">
      <c r="A7" s="1" t="s">
        <v>36</v>
      </c>
      <c r="B7" s="5"/>
    </row>
    <row r="8" spans="1:32" ht="16.5">
      <c r="A8" s="1" t="s">
        <v>37</v>
      </c>
      <c r="B8" s="5"/>
    </row>
    <row r="9" spans="1:32" ht="16.5">
      <c r="A9" s="1" t="s">
        <v>38</v>
      </c>
      <c r="B9" s="5"/>
    </row>
    <row r="10" spans="1:32" ht="16.5">
      <c r="A10" s="1" t="s">
        <v>39</v>
      </c>
      <c r="B10" s="5"/>
    </row>
    <row r="11" spans="1:32" ht="16.5">
      <c r="A11" s="6" t="s">
        <v>40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6.5">
      <c r="A12" s="1" t="s">
        <v>41</v>
      </c>
      <c r="B12" s="5"/>
    </row>
    <row r="13" spans="1:32" ht="16.5">
      <c r="A13" s="1" t="s">
        <v>42</v>
      </c>
      <c r="B13" s="8"/>
    </row>
    <row r="14" spans="1:32" ht="17.25" thickBot="1">
      <c r="A14" s="1" t="s">
        <v>43</v>
      </c>
      <c r="B14" s="9"/>
    </row>
    <row r="15" spans="1:32">
      <c r="A15" s="10" t="s">
        <v>44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7" spans="1:32" ht="15.75" thickBot="1">
      <c r="A17" s="12" t="s">
        <v>68</v>
      </c>
    </row>
    <row r="18" spans="1:32" ht="15.75" thickBot="1">
      <c r="A18" s="3"/>
      <c r="B18" s="3" t="str">
        <f>B2</f>
        <v xml:space="preserve">93/94 </v>
      </c>
      <c r="C18" s="3" t="str">
        <f t="shared" ref="C18:AF18" si="0">C2</f>
        <v xml:space="preserve">94/95 </v>
      </c>
      <c r="D18" s="3" t="str">
        <f t="shared" si="0"/>
        <v xml:space="preserve">95/96 </v>
      </c>
      <c r="E18" s="3" t="str">
        <f t="shared" si="0"/>
        <v xml:space="preserve">96/97 </v>
      </c>
      <c r="F18" s="3" t="str">
        <f t="shared" si="0"/>
        <v xml:space="preserve">97/98 </v>
      </c>
      <c r="G18" s="3" t="str">
        <f t="shared" si="0"/>
        <v xml:space="preserve">98/99 </v>
      </c>
      <c r="H18" s="3" t="str">
        <f t="shared" si="0"/>
        <v xml:space="preserve">99/00 </v>
      </c>
      <c r="I18" s="3" t="str">
        <f t="shared" si="0"/>
        <v xml:space="preserve">00/01 </v>
      </c>
      <c r="J18" s="3" t="str">
        <f t="shared" si="0"/>
        <v xml:space="preserve">01/02 </v>
      </c>
      <c r="K18" s="3" t="str">
        <f t="shared" si="0"/>
        <v xml:space="preserve">02/03 </v>
      </c>
      <c r="L18" s="3" t="str">
        <f t="shared" si="0"/>
        <v xml:space="preserve">03/04 </v>
      </c>
      <c r="M18" s="3" t="str">
        <f t="shared" si="0"/>
        <v xml:space="preserve">04/05 </v>
      </c>
      <c r="N18" s="3" t="str">
        <f t="shared" si="0"/>
        <v xml:space="preserve">05/06 </v>
      </c>
      <c r="O18" s="3" t="str">
        <f t="shared" si="0"/>
        <v xml:space="preserve">06/07 </v>
      </c>
      <c r="P18" s="3" t="str">
        <f t="shared" si="0"/>
        <v xml:space="preserve">07/08 </v>
      </c>
      <c r="Q18" s="3" t="str">
        <f t="shared" si="0"/>
        <v xml:space="preserve">08/09 </v>
      </c>
      <c r="R18" s="3" t="str">
        <f t="shared" si="0"/>
        <v xml:space="preserve">09/10 </v>
      </c>
      <c r="S18" s="3" t="str">
        <f t="shared" si="0"/>
        <v xml:space="preserve">10/11 </v>
      </c>
      <c r="T18" s="3" t="str">
        <f t="shared" si="0"/>
        <v xml:space="preserve">11/12 </v>
      </c>
      <c r="U18" s="3" t="str">
        <f t="shared" si="0"/>
        <v xml:space="preserve">12/13 </v>
      </c>
      <c r="V18" s="3" t="str">
        <f t="shared" si="0"/>
        <v xml:space="preserve">13/14 </v>
      </c>
      <c r="W18" s="3" t="str">
        <f t="shared" si="0"/>
        <v xml:space="preserve">14/15 </v>
      </c>
      <c r="X18" s="3" t="str">
        <f t="shared" si="0"/>
        <v xml:space="preserve">15/16 </v>
      </c>
      <c r="Y18" s="3" t="str">
        <f t="shared" si="0"/>
        <v xml:space="preserve">16/17 </v>
      </c>
      <c r="Z18" s="3" t="str">
        <f t="shared" si="0"/>
        <v xml:space="preserve">17/18 </v>
      </c>
      <c r="AA18" s="3" t="str">
        <f t="shared" si="0"/>
        <v xml:space="preserve">18/19 </v>
      </c>
      <c r="AB18" s="3" t="str">
        <f t="shared" si="0"/>
        <v xml:space="preserve">19/20 </v>
      </c>
      <c r="AC18" s="3" t="str">
        <f t="shared" si="0"/>
        <v xml:space="preserve">20/21 </v>
      </c>
      <c r="AD18" s="3" t="str">
        <f t="shared" si="0"/>
        <v xml:space="preserve">21/22 </v>
      </c>
      <c r="AE18" s="3" t="str">
        <f t="shared" si="0"/>
        <v xml:space="preserve">22/23 </v>
      </c>
      <c r="AF18" s="3" t="str">
        <f t="shared" si="0"/>
        <v>23/24</v>
      </c>
    </row>
    <row r="19" spans="1:32">
      <c r="A19" s="12" t="s">
        <v>46</v>
      </c>
    </row>
    <row r="20" spans="1:32">
      <c r="A20" s="12" t="s">
        <v>47</v>
      </c>
    </row>
    <row r="21" spans="1:32">
      <c r="A21" s="12" t="s">
        <v>48</v>
      </c>
    </row>
    <row r="22" spans="1:32">
      <c r="A22" s="12" t="s">
        <v>49</v>
      </c>
    </row>
    <row r="23" spans="1:32">
      <c r="A23" s="12" t="s">
        <v>50</v>
      </c>
    </row>
    <row r="24" spans="1:32">
      <c r="A24" s="12" t="s">
        <v>51</v>
      </c>
    </row>
    <row r="25" spans="1:32">
      <c r="A25" s="12" t="s">
        <v>52</v>
      </c>
    </row>
    <row r="26" spans="1:32">
      <c r="A26" s="12" t="s">
        <v>53</v>
      </c>
    </row>
    <row r="27" spans="1:32">
      <c r="A27" s="12" t="s">
        <v>54</v>
      </c>
    </row>
    <row r="28" spans="1:32">
      <c r="A28" s="12" t="s">
        <v>55</v>
      </c>
    </row>
    <row r="29" spans="1:32">
      <c r="A29" s="12" t="s">
        <v>56</v>
      </c>
    </row>
    <row r="30" spans="1:32">
      <c r="A30" s="12" t="s">
        <v>57</v>
      </c>
    </row>
    <row r="31" spans="1:32" ht="15.75" thickBot="1">
      <c r="A31" s="12" t="s">
        <v>58</v>
      </c>
    </row>
    <row r="32" spans="1: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ht="15.75" thickBot="1">
      <c r="A33" s="12" t="s">
        <v>69</v>
      </c>
    </row>
    <row r="34" spans="1:32" ht="15.75" thickBot="1">
      <c r="A34" s="3"/>
      <c r="B34" s="3" t="str">
        <f>B2</f>
        <v xml:space="preserve">93/94 </v>
      </c>
      <c r="C34" s="3" t="str">
        <f t="shared" ref="C34:AF34" si="1">C2</f>
        <v xml:space="preserve">94/95 </v>
      </c>
      <c r="D34" s="3" t="str">
        <f t="shared" si="1"/>
        <v xml:space="preserve">95/96 </v>
      </c>
      <c r="E34" s="3" t="str">
        <f t="shared" si="1"/>
        <v xml:space="preserve">96/97 </v>
      </c>
      <c r="F34" s="3" t="str">
        <f t="shared" si="1"/>
        <v xml:space="preserve">97/98 </v>
      </c>
      <c r="G34" s="3" t="str">
        <f t="shared" si="1"/>
        <v xml:space="preserve">98/99 </v>
      </c>
      <c r="H34" s="3" t="str">
        <f t="shared" si="1"/>
        <v xml:space="preserve">99/00 </v>
      </c>
      <c r="I34" s="3" t="str">
        <f t="shared" si="1"/>
        <v xml:space="preserve">00/01 </v>
      </c>
      <c r="J34" s="3" t="str">
        <f t="shared" si="1"/>
        <v xml:space="preserve">01/02 </v>
      </c>
      <c r="K34" s="3" t="str">
        <f t="shared" si="1"/>
        <v xml:space="preserve">02/03 </v>
      </c>
      <c r="L34" s="3" t="str">
        <f t="shared" si="1"/>
        <v xml:space="preserve">03/04 </v>
      </c>
      <c r="M34" s="3" t="str">
        <f t="shared" si="1"/>
        <v xml:space="preserve">04/05 </v>
      </c>
      <c r="N34" s="3" t="str">
        <f t="shared" si="1"/>
        <v xml:space="preserve">05/06 </v>
      </c>
      <c r="O34" s="3" t="str">
        <f t="shared" si="1"/>
        <v xml:space="preserve">06/07 </v>
      </c>
      <c r="P34" s="3" t="str">
        <f t="shared" si="1"/>
        <v xml:space="preserve">07/08 </v>
      </c>
      <c r="Q34" s="3" t="str">
        <f t="shared" si="1"/>
        <v xml:space="preserve">08/09 </v>
      </c>
      <c r="R34" s="3" t="str">
        <f t="shared" si="1"/>
        <v xml:space="preserve">09/10 </v>
      </c>
      <c r="S34" s="3" t="str">
        <f t="shared" si="1"/>
        <v xml:space="preserve">10/11 </v>
      </c>
      <c r="T34" s="3" t="str">
        <f t="shared" si="1"/>
        <v xml:space="preserve">11/12 </v>
      </c>
      <c r="U34" s="3" t="str">
        <f t="shared" si="1"/>
        <v xml:space="preserve">12/13 </v>
      </c>
      <c r="V34" s="3" t="str">
        <f t="shared" si="1"/>
        <v xml:space="preserve">13/14 </v>
      </c>
      <c r="W34" s="3" t="str">
        <f t="shared" si="1"/>
        <v xml:space="preserve">14/15 </v>
      </c>
      <c r="X34" s="3" t="str">
        <f t="shared" si="1"/>
        <v xml:space="preserve">15/16 </v>
      </c>
      <c r="Y34" s="3" t="str">
        <f t="shared" si="1"/>
        <v xml:space="preserve">16/17 </v>
      </c>
      <c r="Z34" s="3" t="str">
        <f t="shared" si="1"/>
        <v xml:space="preserve">17/18 </v>
      </c>
      <c r="AA34" s="3" t="str">
        <f t="shared" si="1"/>
        <v xml:space="preserve">18/19 </v>
      </c>
      <c r="AB34" s="3" t="str">
        <f t="shared" si="1"/>
        <v xml:space="preserve">19/20 </v>
      </c>
      <c r="AC34" s="3" t="str">
        <f t="shared" si="1"/>
        <v xml:space="preserve">20/21 </v>
      </c>
      <c r="AD34" s="3" t="str">
        <f t="shared" si="1"/>
        <v xml:space="preserve">21/22 </v>
      </c>
      <c r="AE34" s="3" t="str">
        <f t="shared" si="1"/>
        <v xml:space="preserve">22/23 </v>
      </c>
      <c r="AF34" s="3" t="str">
        <f t="shared" si="1"/>
        <v>23/24</v>
      </c>
    </row>
    <row r="35" spans="1:32">
      <c r="A35" s="12" t="s">
        <v>46</v>
      </c>
      <c r="B35" s="17" t="str">
        <f>'[1]Palm Complex'!B141</f>
        <v xml:space="preserve">93/94 </v>
      </c>
      <c r="C35" s="17" t="str">
        <f>'[1]Palm Complex'!C141</f>
        <v xml:space="preserve">94/95 </v>
      </c>
      <c r="D35" s="17" t="str">
        <f>'[1]Palm Complex'!D141</f>
        <v xml:space="preserve">95/96 </v>
      </c>
      <c r="E35" s="17" t="str">
        <f>'[1]Palm Complex'!E141</f>
        <v xml:space="preserve">96/97 </v>
      </c>
      <c r="F35" s="17" t="str">
        <f>'[1]Palm Complex'!F141</f>
        <v xml:space="preserve">97/98 </v>
      </c>
      <c r="G35" s="17" t="str">
        <f>'[1]Palm Complex'!G141</f>
        <v xml:space="preserve">98/99 </v>
      </c>
      <c r="H35" s="17" t="str">
        <f>'[1]Palm Complex'!H141</f>
        <v xml:space="preserve">99/00 </v>
      </c>
      <c r="I35" s="17" t="str">
        <f>'[1]Palm Complex'!I141</f>
        <v xml:space="preserve">00/01 </v>
      </c>
      <c r="J35" s="17" t="str">
        <f>'[1]Palm Complex'!J141</f>
        <v xml:space="preserve">01/02 </v>
      </c>
      <c r="K35" s="17" t="str">
        <f>'[1]Palm Complex'!K141</f>
        <v xml:space="preserve">02/03 </v>
      </c>
      <c r="L35" s="17" t="str">
        <f>'[1]Palm Complex'!L141</f>
        <v xml:space="preserve">03/04 </v>
      </c>
      <c r="M35" s="17" t="str">
        <f>'[1]Palm Complex'!M141</f>
        <v xml:space="preserve">04/05 </v>
      </c>
      <c r="N35" s="17" t="str">
        <f>'[1]Palm Complex'!N141</f>
        <v xml:space="preserve">05/06 </v>
      </c>
      <c r="O35" s="17" t="str">
        <f>'[1]Palm Complex'!O141</f>
        <v xml:space="preserve">06/07 </v>
      </c>
      <c r="P35" s="17" t="str">
        <f>'[1]Palm Complex'!P141</f>
        <v xml:space="preserve">07/08 </v>
      </c>
      <c r="Q35" s="17" t="str">
        <f>'[1]Palm Complex'!Q141</f>
        <v xml:space="preserve">08/09 </v>
      </c>
      <c r="R35" s="17" t="str">
        <f>'[1]Palm Complex'!R141</f>
        <v xml:space="preserve">09/10 </v>
      </c>
      <c r="S35" s="17" t="str">
        <f>'[1]Palm Complex'!S141</f>
        <v xml:space="preserve">10/11 </v>
      </c>
      <c r="T35" s="17" t="str">
        <f>'[1]Palm Complex'!T141</f>
        <v xml:space="preserve">11/12 </v>
      </c>
      <c r="U35" s="17" t="str">
        <f>'[1]Palm Complex'!U141</f>
        <v xml:space="preserve">12/13 </v>
      </c>
      <c r="V35" s="17" t="str">
        <f>'[1]Palm Complex'!V141</f>
        <v xml:space="preserve">13/14 </v>
      </c>
      <c r="W35" s="17" t="str">
        <f>'[1]Palm Complex'!W141</f>
        <v xml:space="preserve">14/15 </v>
      </c>
      <c r="X35" s="17" t="str">
        <f>'[1]Palm Complex'!X141</f>
        <v xml:space="preserve">15/16 </v>
      </c>
      <c r="Y35" s="17" t="str">
        <f>'[1]Palm Complex'!Y141</f>
        <v xml:space="preserve">16/17 </v>
      </c>
      <c r="Z35" s="17" t="str">
        <f>'[1]Palm Complex'!Z141</f>
        <v xml:space="preserve">17/18 </v>
      </c>
      <c r="AA35" s="17" t="str">
        <f>'[1]Palm Complex'!AA141</f>
        <v>18/19</v>
      </c>
      <c r="AB35" s="17" t="str">
        <f>'[1]Palm Complex'!AB141</f>
        <v>19/20</v>
      </c>
      <c r="AC35" s="17" t="str">
        <f>'[1]Palm Complex'!AC141</f>
        <v>20/21</v>
      </c>
      <c r="AD35" s="17" t="str">
        <f>'[1]Palm Complex'!AD141</f>
        <v>21/22</v>
      </c>
      <c r="AE35" s="17" t="str">
        <f>'[1]Palm Complex'!AE141</f>
        <v>22/23</v>
      </c>
      <c r="AF35" s="17" t="str">
        <f>'[1]Palm Complex'!AF141</f>
        <v>23/24</v>
      </c>
    </row>
    <row r="36" spans="1:32">
      <c r="A36" s="12" t="s">
        <v>47</v>
      </c>
      <c r="B36" s="17">
        <f>'[1]Palm Complex'!B142</f>
        <v>17.691650625599998</v>
      </c>
      <c r="C36" s="17">
        <f>'[1]Palm Complex'!C142</f>
        <v>14.337538714799999</v>
      </c>
      <c r="D36" s="17">
        <f>'[1]Palm Complex'!D142</f>
        <v>32.301019233000005</v>
      </c>
      <c r="E36" s="17">
        <f>'[1]Palm Complex'!E142</f>
        <v>51.728589221400007</v>
      </c>
      <c r="F36" s="17">
        <f>'[1]Palm Complex'!F142</f>
        <v>39.271152148199995</v>
      </c>
      <c r="G36" s="17">
        <f>'[1]Palm Complex'!G142</f>
        <v>29.966324534999998</v>
      </c>
      <c r="H36" s="17">
        <f>'[1]Palm Complex'!H142</f>
        <v>55.859169000599998</v>
      </c>
      <c r="I36" s="17">
        <f>'[1]Palm Complex'!I142</f>
        <v>54.343932299999999</v>
      </c>
      <c r="J36" s="17">
        <f>'[1]Palm Complex'!J142</f>
        <v>17.459283466799999</v>
      </c>
      <c r="K36" s="17">
        <f>'[1]Palm Complex'!K142</f>
        <v>60.909737540400002</v>
      </c>
      <c r="L36" s="17">
        <f>'[1]Palm Complex'!L142</f>
        <v>60.243500771999997</v>
      </c>
      <c r="M36" s="17">
        <f>'[1]Palm Complex'!M142</f>
        <v>37.997762480999995</v>
      </c>
      <c r="N36" s="17">
        <f>'[1]Palm Complex'!N142</f>
        <v>34.029222418800003</v>
      </c>
      <c r="O36" s="17">
        <f>'[1]Palm Complex'!O142</f>
        <v>64.161334528200001</v>
      </c>
      <c r="P36" s="17">
        <f>'[1]Palm Complex'!P142</f>
        <v>38.211610815</v>
      </c>
      <c r="Q36" s="17">
        <f>'[1]Palm Complex'!Q142</f>
        <v>74.913276022199994</v>
      </c>
      <c r="R36" s="17">
        <f>'[1]Palm Complex'!R142</f>
        <v>26.175477006000001</v>
      </c>
      <c r="S36" s="17">
        <f>'[1]Palm Complex'!S142</f>
        <v>51.147671324400001</v>
      </c>
      <c r="T36" s="17">
        <f>'[1]Palm Complex'!T142</f>
        <v>122.377464909</v>
      </c>
      <c r="U36" s="17">
        <f>'[1]Palm Complex'!U142</f>
        <v>36.117219915</v>
      </c>
      <c r="V36" s="17">
        <f>'[1]Palm Complex'!V142</f>
        <v>43.430392013400002</v>
      </c>
      <c r="W36" s="17">
        <f>'[1]Palm Complex'!W142</f>
        <v>62.641027197</v>
      </c>
      <c r="X36" s="17">
        <f>'[1]Palm Complex'!X142</f>
        <v>48.034304135999996</v>
      </c>
      <c r="Y36" s="17">
        <f>'[1]Palm Complex'!Y142</f>
        <v>40.304458479600001</v>
      </c>
      <c r="Z36" s="17">
        <f>'[1]Palm Complex'!Z142</f>
        <v>92.555168140160006</v>
      </c>
      <c r="AA36" s="17">
        <f>'[1]Palm Complex'!AA142</f>
        <v>69.958251859539999</v>
      </c>
      <c r="AB36" s="17">
        <f>'[1]Palm Complex'!AB142</f>
        <v>89.930687079640009</v>
      </c>
      <c r="AC36" s="17">
        <f>'[1]Palm Complex'!AC142</f>
        <v>82.385822667500008</v>
      </c>
      <c r="AD36" s="17">
        <f>'[1]Palm Complex'!AD142</f>
        <v>76.61120197676</v>
      </c>
      <c r="AE36" s="17">
        <f>'[1]Palm Complex'!AE142</f>
        <v>113.69952644138</v>
      </c>
      <c r="AF36" s="17">
        <f>'[1]Palm Complex'!AF142</f>
        <v>88.278299855892143</v>
      </c>
    </row>
    <row r="37" spans="1:32">
      <c r="A37" s="12" t="s">
        <v>48</v>
      </c>
      <c r="B37" s="17">
        <f>'[1]Palm Complex'!B143</f>
        <v>44.954226739800006</v>
      </c>
      <c r="C37" s="17">
        <f>'[1]Palm Complex'!C143</f>
        <v>28.120835458799998</v>
      </c>
      <c r="D37" s="17">
        <f>'[1]Palm Complex'!D143</f>
        <v>26.892199618199999</v>
      </c>
      <c r="E37" s="17">
        <f>'[1]Palm Complex'!E143</f>
        <v>32.515969878</v>
      </c>
      <c r="F37" s="17">
        <f>'[1]Palm Complex'!F143</f>
        <v>28.139133821400002</v>
      </c>
      <c r="G37" s="17">
        <f>'[1]Palm Complex'!G143</f>
        <v>26.4241583676</v>
      </c>
      <c r="H37" s="17">
        <f>'[1]Palm Complex'!H143</f>
        <v>34.553040606000003</v>
      </c>
      <c r="I37" s="17">
        <f>'[1]Palm Complex'!I143</f>
        <v>30.928862500200001</v>
      </c>
      <c r="J37" s="17">
        <f>'[1]Palm Complex'!J143</f>
        <v>31.387423876200003</v>
      </c>
      <c r="K37" s="17">
        <f>'[1]Palm Complex'!K143</f>
        <v>31.927335804000002</v>
      </c>
      <c r="L37" s="17">
        <f>'[1]Palm Complex'!L143</f>
        <v>43.681939383600003</v>
      </c>
      <c r="M37" s="17">
        <f>'[1]Palm Complex'!M143</f>
        <v>27.311959646999998</v>
      </c>
      <c r="N37" s="17">
        <f>'[1]Palm Complex'!N143</f>
        <v>43.836924310199997</v>
      </c>
      <c r="O37" s="17">
        <f>'[1]Palm Complex'!O143</f>
        <v>36.239355973800002</v>
      </c>
      <c r="P37" s="17">
        <f>'[1]Palm Complex'!P143</f>
        <v>47.023484949000007</v>
      </c>
      <c r="Q37" s="17">
        <f>'[1]Palm Complex'!Q143</f>
        <v>70.334276128200003</v>
      </c>
      <c r="R37" s="17">
        <f>'[1]Palm Complex'!R143</f>
        <v>65.009673073800002</v>
      </c>
      <c r="S37" s="17">
        <f>'[1]Palm Complex'!S143</f>
        <v>49.747956816600002</v>
      </c>
      <c r="T37" s="17">
        <f>'[1]Palm Complex'!T143</f>
        <v>76.095173876399997</v>
      </c>
      <c r="U37" s="17">
        <f>'[1]Palm Complex'!U143</f>
        <v>38.355572631599998</v>
      </c>
      <c r="V37" s="17">
        <f>'[1]Palm Complex'!V143</f>
        <v>81.673969847400002</v>
      </c>
      <c r="W37" s="17">
        <f>'[1]Palm Complex'!W143</f>
        <v>28.225114079399997</v>
      </c>
      <c r="X37" s="17">
        <f>'[1]Palm Complex'!X143</f>
        <v>51.111074599200002</v>
      </c>
      <c r="Y37" s="17">
        <f>'[1]Palm Complex'!Y143</f>
        <v>67.065924013200004</v>
      </c>
      <c r="Z37" s="17">
        <f>'[1]Palm Complex'!Z143</f>
        <v>105.31752372283999</v>
      </c>
      <c r="AA37" s="17">
        <f>'[1]Palm Complex'!AA143</f>
        <v>32.934961480300004</v>
      </c>
      <c r="AB37" s="17">
        <f>'[1]Palm Complex'!AB143</f>
        <v>60.19730783264</v>
      </c>
      <c r="AC37" s="17">
        <f>'[1]Palm Complex'!AC143</f>
        <v>66.91053887452</v>
      </c>
      <c r="AD37" s="17">
        <f>'[1]Palm Complex'!AD143</f>
        <v>95.488355525420005</v>
      </c>
      <c r="AE37" s="17">
        <f>'[1]Palm Complex'!AE143</f>
        <v>61.472722390420003</v>
      </c>
      <c r="AF37" s="17">
        <f>'[1]Palm Complex'!AF143</f>
        <v>77.423247643250633</v>
      </c>
    </row>
    <row r="38" spans="1:32">
      <c r="A38" s="12" t="s">
        <v>49</v>
      </c>
      <c r="B38" s="17">
        <f>'[1]Palm Complex'!B144</f>
        <v>7.8757916328000004</v>
      </c>
      <c r="C38" s="17">
        <f>'[1]Palm Complex'!C144</f>
        <v>36.178508406599995</v>
      </c>
      <c r="D38" s="17">
        <f>'[1]Palm Complex'!D144</f>
        <v>7.9891092036000009</v>
      </c>
      <c r="E38" s="17">
        <f>'[1]Palm Complex'!E144</f>
        <v>49.252357791000001</v>
      </c>
      <c r="F38" s="17">
        <f>'[1]Palm Complex'!F144</f>
        <v>29.531352614400003</v>
      </c>
      <c r="G38" s="17">
        <f>'[1]Palm Complex'!G144</f>
        <v>11.029723865999999</v>
      </c>
      <c r="H38" s="17">
        <f>'[1]Palm Complex'!H144</f>
        <v>35.809013759400003</v>
      </c>
      <c r="I38" s="17">
        <f>'[1]Palm Complex'!I144</f>
        <v>17.904837573000002</v>
      </c>
      <c r="J38" s="17">
        <f>'[1]Palm Complex'!J144</f>
        <v>21.7294158186</v>
      </c>
      <c r="K38" s="17">
        <f>'[1]Palm Complex'!K144</f>
        <v>46.694114422200002</v>
      </c>
      <c r="L38" s="17">
        <f>'[1]Palm Complex'!L144</f>
        <v>37.810369610999999</v>
      </c>
      <c r="M38" s="17">
        <f>'[1]Palm Complex'!M144</f>
        <v>45.874215500399998</v>
      </c>
      <c r="N38" s="17">
        <f>'[1]Palm Complex'!N144</f>
        <v>23.5235372022</v>
      </c>
      <c r="O38" s="17">
        <f>'[1]Palm Complex'!O144</f>
        <v>75.572458000200001</v>
      </c>
      <c r="P38" s="17">
        <f>'[1]Palm Complex'!P144</f>
        <v>48.577082072400003</v>
      </c>
      <c r="Q38" s="17">
        <f>'[1]Palm Complex'!Q144</f>
        <v>44.642934113400003</v>
      </c>
      <c r="R38" s="17">
        <f>'[1]Palm Complex'!R144</f>
        <v>35.496398359800004</v>
      </c>
      <c r="S38" s="17">
        <f>'[1]Palm Complex'!S144</f>
        <v>49.8636994716</v>
      </c>
      <c r="T38" s="17">
        <f>'[1]Palm Complex'!T144</f>
        <v>30.628152059399998</v>
      </c>
      <c r="U38" s="17">
        <f>'[1]Palm Complex'!U144</f>
        <v>49.578200922600004</v>
      </c>
      <c r="V38" s="17">
        <f>'[1]Palm Complex'!V144</f>
        <v>38.4792519258</v>
      </c>
      <c r="W38" s="17">
        <f>'[1]Palm Complex'!W144</f>
        <v>60.037368614999998</v>
      </c>
      <c r="X38" s="17">
        <f>'[1]Palm Complex'!X144</f>
        <v>69.573902000400011</v>
      </c>
      <c r="Y38" s="17">
        <f>'[1]Palm Complex'!Y144</f>
        <v>43.441194661200001</v>
      </c>
      <c r="Z38" s="17">
        <f>'[1]Palm Complex'!Z144</f>
        <v>35.598056460119999</v>
      </c>
      <c r="AA38" s="17">
        <f>'[1]Palm Complex'!AA144</f>
        <v>78.894209445480001</v>
      </c>
      <c r="AB38" s="17">
        <f>'[1]Palm Complex'!AB144</f>
        <v>59.962182905020001</v>
      </c>
      <c r="AC38" s="17">
        <f>'[1]Palm Complex'!AC144</f>
        <v>71.239753373140005</v>
      </c>
      <c r="AD38" s="17">
        <f>'[1]Palm Complex'!AD144</f>
        <v>58.775416117440002</v>
      </c>
      <c r="AE38" s="17">
        <f>'[1]Palm Complex'!AE144</f>
        <v>76.707521824560004</v>
      </c>
      <c r="AF38" s="17">
        <f>'[1]Palm Complex'!AF144</f>
        <v>65.326624367392213</v>
      </c>
    </row>
    <row r="39" spans="1:32">
      <c r="A39" s="12" t="s">
        <v>50</v>
      </c>
      <c r="B39" s="17">
        <f>'[1]Palm Complex'!B145</f>
        <v>50.916626938800007</v>
      </c>
      <c r="C39" s="17">
        <f>'[1]Palm Complex'!C145</f>
        <v>26.977738951800003</v>
      </c>
      <c r="D39" s="17">
        <f>'[1]Palm Complex'!D145</f>
        <v>22.942839767400002</v>
      </c>
      <c r="E39" s="17">
        <f>'[1]Palm Complex'!E145</f>
        <v>54.775376825400002</v>
      </c>
      <c r="F39" s="17">
        <f>'[1]Palm Complex'!F145</f>
        <v>38.753286440400004</v>
      </c>
      <c r="G39" s="17">
        <f>'[1]Palm Complex'!G145</f>
        <v>24.330428854200004</v>
      </c>
      <c r="H39" s="17">
        <f>'[1]Palm Complex'!H145</f>
        <v>19.859014513800002</v>
      </c>
      <c r="I39" s="17">
        <f>'[1]Palm Complex'!I145</f>
        <v>39.571642126800008</v>
      </c>
      <c r="J39" s="17">
        <f>'[1]Palm Complex'!J145</f>
        <v>16.40238768</v>
      </c>
      <c r="K39" s="17">
        <f>'[1]Palm Complex'!K145</f>
        <v>56.330076259800009</v>
      </c>
      <c r="L39" s="17">
        <f>'[1]Palm Complex'!L145</f>
        <v>57.588694959599998</v>
      </c>
      <c r="M39" s="17">
        <f>'[1]Palm Complex'!M145</f>
        <v>54.038371690800005</v>
      </c>
      <c r="N39" s="17">
        <f>'[1]Palm Complex'!N145</f>
        <v>28.442489808599998</v>
      </c>
      <c r="O39" s="17">
        <f>'[1]Palm Complex'!O145</f>
        <v>71.884345856400003</v>
      </c>
      <c r="P39" s="17">
        <f>'[1]Palm Complex'!P145</f>
        <v>55.265243833800007</v>
      </c>
      <c r="Q39" s="17">
        <f>'[1]Palm Complex'!Q145</f>
        <v>89.503023493799986</v>
      </c>
      <c r="R39" s="17">
        <f>'[1]Palm Complex'!R145</f>
        <v>73.700292997800005</v>
      </c>
      <c r="S39" s="17">
        <f>'[1]Palm Complex'!S145</f>
        <v>54.860695696800001</v>
      </c>
      <c r="T39" s="17">
        <f>'[1]Palm Complex'!T145</f>
        <v>53.0004356532</v>
      </c>
      <c r="U39" s="17">
        <f>'[1]Palm Complex'!U145</f>
        <v>49.175416483200003</v>
      </c>
      <c r="V39" s="17">
        <f>'[1]Palm Complex'!V145</f>
        <v>63.487381582799998</v>
      </c>
      <c r="W39" s="17">
        <f>'[1]Palm Complex'!W145</f>
        <v>71.995238343000011</v>
      </c>
      <c r="X39" s="17">
        <f>'[1]Palm Complex'!X145</f>
        <v>73.12731174000001</v>
      </c>
      <c r="Y39" s="17">
        <f>'[1]Palm Complex'!Y145</f>
        <v>76.65316370459999</v>
      </c>
      <c r="Z39" s="17">
        <f>'[1]Palm Complex'!Z145</f>
        <v>83.523902626999998</v>
      </c>
      <c r="AA39" s="17">
        <f>'[1]Palm Complex'!AA145</f>
        <v>62.128237487359996</v>
      </c>
      <c r="AB39" s="17">
        <f>'[1]Palm Complex'!AB145</f>
        <v>39.586663782599999</v>
      </c>
      <c r="AC39" s="17">
        <f>'[1]Palm Complex'!AC145</f>
        <v>89.433128999999994</v>
      </c>
      <c r="AD39" s="17">
        <f>'[1]Palm Complex'!AD145</f>
        <v>62.749982215140001</v>
      </c>
      <c r="AE39" s="17">
        <f>'[1]Palm Complex'!AE145</f>
        <v>45.374684153700002</v>
      </c>
      <c r="AF39" s="17">
        <f>'[1]Palm Complex'!AF145</f>
        <v>72.396828375987042</v>
      </c>
    </row>
    <row r="40" spans="1:32">
      <c r="A40" s="12" t="s">
        <v>51</v>
      </c>
      <c r="B40" s="17">
        <f>'[1]Palm Complex'!B146</f>
        <v>21.432232772999999</v>
      </c>
      <c r="C40" s="17">
        <f>'[1]Palm Complex'!C146</f>
        <v>30.523432514400003</v>
      </c>
      <c r="D40" s="17">
        <f>'[1]Palm Complex'!D146</f>
        <v>22.265579889000001</v>
      </c>
      <c r="E40" s="17">
        <f>'[1]Palm Complex'!E146</f>
        <v>37.411553491200003</v>
      </c>
      <c r="F40" s="17">
        <f>'[1]Palm Complex'!F146</f>
        <v>20.315591730000001</v>
      </c>
      <c r="G40" s="17">
        <f>'[1]Palm Complex'!G146</f>
        <v>33.022592013599997</v>
      </c>
      <c r="H40" s="17">
        <f>'[1]Palm Complex'!H146</f>
        <v>44.909913837599994</v>
      </c>
      <c r="I40" s="17">
        <f>'[1]Palm Complex'!I146</f>
        <v>39.725083818000002</v>
      </c>
      <c r="J40" s="17">
        <f>'[1]Palm Complex'!J146</f>
        <v>35.167909681800005</v>
      </c>
      <c r="K40" s="17">
        <f>'[1]Palm Complex'!K146</f>
        <v>13.062385350000001</v>
      </c>
      <c r="L40" s="17">
        <f>'[1]Palm Complex'!L146</f>
        <v>42.837789619799999</v>
      </c>
      <c r="M40" s="17">
        <f>'[1]Palm Complex'!M146</f>
        <v>29.183683725000002</v>
      </c>
      <c r="N40" s="17">
        <f>'[1]Palm Complex'!N146</f>
        <v>58.552776160199997</v>
      </c>
      <c r="O40" s="17">
        <f>'[1]Palm Complex'!O146</f>
        <v>40.034833209000006</v>
      </c>
      <c r="P40" s="17">
        <f>'[1]Palm Complex'!P146</f>
        <v>21.533204460599997</v>
      </c>
      <c r="Q40" s="17">
        <f>'[1]Palm Complex'!Q146</f>
        <v>72.810948483000004</v>
      </c>
      <c r="R40" s="17">
        <f>'[1]Palm Complex'!R146</f>
        <v>58.2278148774</v>
      </c>
      <c r="S40" s="17">
        <f>'[1]Palm Complex'!S146</f>
        <v>42.288618279600001</v>
      </c>
      <c r="T40" s="17">
        <f>'[1]Palm Complex'!T146</f>
        <v>60.101523115199996</v>
      </c>
      <c r="U40" s="17">
        <f>'[1]Palm Complex'!U146</f>
        <v>44.702679369600006</v>
      </c>
      <c r="V40" s="17">
        <f>'[1]Palm Complex'!V146</f>
        <v>31.66939503</v>
      </c>
      <c r="W40" s="17">
        <f>'[1]Palm Complex'!W146</f>
        <v>50.137733986200004</v>
      </c>
      <c r="X40" s="17">
        <f>'[1]Palm Complex'!X146</f>
        <v>105.14305288620001</v>
      </c>
      <c r="Y40" s="17">
        <f>'[1]Palm Complex'!Y146</f>
        <v>75</v>
      </c>
      <c r="Z40" s="17">
        <f>'[1]Palm Complex'!Z146</f>
        <v>72.280728640120003</v>
      </c>
      <c r="AA40" s="17">
        <f>'[1]Palm Complex'!AA146</f>
        <v>76.354304222020005</v>
      </c>
      <c r="AB40" s="17">
        <f>'[1]Palm Complex'!AB146</f>
        <v>94.754338319520002</v>
      </c>
      <c r="AC40" s="17">
        <f>'[1]Palm Complex'!AC146</f>
        <v>68.957009999999997</v>
      </c>
      <c r="AD40" s="17">
        <f>'[1]Palm Complex'!AD146</f>
        <v>59.307600362340004</v>
      </c>
      <c r="AE40" s="17">
        <f>'[1]Palm Complex'!AE146</f>
        <v>89.412270686639999</v>
      </c>
      <c r="AF40" s="17">
        <f>'[1]Palm Complex'!AF146</f>
        <v>79.74161817010075</v>
      </c>
    </row>
    <row r="41" spans="1:32">
      <c r="A41" s="12" t="s">
        <v>52</v>
      </c>
      <c r="B41" s="17">
        <f>'[1]Palm Complex'!B147</f>
        <v>41.338646659800006</v>
      </c>
      <c r="C41" s="17">
        <f>'[1]Palm Complex'!C147</f>
        <v>17.787110758200001</v>
      </c>
      <c r="D41" s="17">
        <f>'[1]Palm Complex'!D147</f>
        <v>43.349482386000005</v>
      </c>
      <c r="E41" s="17">
        <f>'[1]Palm Complex'!E147</f>
        <v>16.737049299599999</v>
      </c>
      <c r="F41" s="17">
        <f>'[1]Palm Complex'!F147</f>
        <v>23.900086639800001</v>
      </c>
      <c r="G41" s="17">
        <f>'[1]Palm Complex'!G147</f>
        <v>46.980053895600001</v>
      </c>
      <c r="H41" s="17">
        <f>'[1]Palm Complex'!H147</f>
        <v>53.895071260800002</v>
      </c>
      <c r="I41" s="17">
        <f>'[1]Palm Complex'!I147</f>
        <v>1.8238837805999999</v>
      </c>
      <c r="J41" s="17">
        <f>'[1]Palm Complex'!J147</f>
        <v>8.5327689888000009</v>
      </c>
      <c r="K41" s="17">
        <f>'[1]Palm Complex'!K147</f>
        <v>77.147219494800012</v>
      </c>
      <c r="L41" s="17">
        <f>'[1]Palm Complex'!L147</f>
        <v>23.635091075400002</v>
      </c>
      <c r="M41" s="17">
        <f>'[1]Palm Complex'!M147</f>
        <v>37.930301047800008</v>
      </c>
      <c r="N41" s="17">
        <f>'[1]Palm Complex'!N147</f>
        <v>69.593523136200005</v>
      </c>
      <c r="O41" s="17">
        <f>'[1]Palm Complex'!O147</f>
        <v>55.822572275399999</v>
      </c>
      <c r="P41" s="17">
        <f>'[1]Palm Complex'!P147</f>
        <v>42.566180189400001</v>
      </c>
      <c r="Q41" s="17">
        <f>'[1]Palm Complex'!Q147</f>
        <v>68.914499560199999</v>
      </c>
      <c r="R41" s="17">
        <f>'[1]Palm Complex'!R147</f>
        <v>55.675303525800004</v>
      </c>
      <c r="S41" s="17">
        <f>'[1]Palm Complex'!S147</f>
        <v>31.933949670000001</v>
      </c>
      <c r="T41" s="17">
        <f>'[1]Palm Complex'!T147</f>
        <v>61.182228819599999</v>
      </c>
      <c r="U41" s="17">
        <f>'[1]Palm Complex'!U147</f>
        <v>51.048683796600002</v>
      </c>
      <c r="V41" s="17">
        <f>'[1]Palm Complex'!V147</f>
        <v>69.410980434600006</v>
      </c>
      <c r="W41" s="17">
        <f>'[1]Palm Complex'!W147</f>
        <v>60.2218954764</v>
      </c>
      <c r="X41" s="17">
        <f>'[1]Palm Complex'!X147</f>
        <v>77.349162870000001</v>
      </c>
      <c r="Y41" s="17">
        <f>'[1]Palm Complex'!Y147</f>
        <v>77.561247506400008</v>
      </c>
      <c r="Z41" s="17">
        <f>'[1]Palm Complex'!Z147</f>
        <v>71.278272493779994</v>
      </c>
      <c r="AA41" s="17">
        <f>'[1]Palm Complex'!AA147</f>
        <v>55.51750584314</v>
      </c>
      <c r="AB41" s="17">
        <f>'[1]Palm Complex'!AB147</f>
        <v>89.146519177979997</v>
      </c>
      <c r="AC41" s="17">
        <f>'[1]Palm Complex'!AC147</f>
        <v>52.719175999999997</v>
      </c>
      <c r="AD41" s="17">
        <f>'[1]Palm Complex'!AD147</f>
        <v>47.42927535346</v>
      </c>
      <c r="AE41" s="17">
        <f>'[1]Palm Complex'!AE147</f>
        <v>62.472962893659997</v>
      </c>
      <c r="AF41" s="17">
        <f>'[1]Palm Complex'!AF147</f>
        <v>67.820039754848906</v>
      </c>
    </row>
    <row r="42" spans="1:32">
      <c r="A42" s="12" t="s">
        <v>53</v>
      </c>
      <c r="B42" s="17">
        <f>'[1]Palm Complex'!B148</f>
        <v>13.727078883000001</v>
      </c>
      <c r="C42" s="17">
        <f>'[1]Palm Complex'!C148</f>
        <v>3.7185359274000001</v>
      </c>
      <c r="D42" s="17">
        <f>'[1]Palm Complex'!D148</f>
        <v>20.620490952599997</v>
      </c>
      <c r="E42" s="17">
        <f>'[1]Palm Complex'!E148</f>
        <v>19.8645260688</v>
      </c>
      <c r="F42" s="17">
        <f>'[1]Palm Complex'!F148</f>
        <v>26.052238636200002</v>
      </c>
      <c r="G42" s="17">
        <f>'[1]Palm Complex'!G148</f>
        <v>10.144127208600001</v>
      </c>
      <c r="H42" s="17">
        <f>'[1]Palm Complex'!H148</f>
        <v>13.5956834118</v>
      </c>
      <c r="I42" s="17">
        <f>'[1]Palm Complex'!I148</f>
        <v>32.969240161200005</v>
      </c>
      <c r="J42" s="17">
        <f>'[1]Palm Complex'!J148</f>
        <v>51.541637275800007</v>
      </c>
      <c r="K42" s="17">
        <f>'[1]Palm Complex'!K148</f>
        <v>20.825961722999999</v>
      </c>
      <c r="L42" s="17">
        <f>'[1]Palm Complex'!L148</f>
        <v>43.431935248800009</v>
      </c>
      <c r="M42" s="17">
        <f>'[1]Palm Complex'!M148</f>
        <v>43.307594567999999</v>
      </c>
      <c r="N42" s="17">
        <f>'[1]Palm Complex'!N148</f>
        <v>41.430138472800003</v>
      </c>
      <c r="O42" s="17">
        <f>'[1]Palm Complex'!O148</f>
        <v>38.236082119199999</v>
      </c>
      <c r="P42" s="17">
        <f>'[1]Palm Complex'!P148</f>
        <v>40.131175190400008</v>
      </c>
      <c r="Q42" s="17">
        <f>'[1]Palm Complex'!Q148</f>
        <v>41.759949924000004</v>
      </c>
      <c r="R42" s="17">
        <f>'[1]Palm Complex'!R148</f>
        <v>57.298125779999999</v>
      </c>
      <c r="S42" s="17">
        <f>'[1]Palm Complex'!S148</f>
        <v>42.874827269399994</v>
      </c>
      <c r="T42" s="17">
        <f>'[1]Palm Complex'!T148</f>
        <v>37.216664906399998</v>
      </c>
      <c r="U42" s="17">
        <f>'[1]Palm Complex'!U148</f>
        <v>75.302612267400008</v>
      </c>
      <c r="V42" s="17">
        <f>'[1]Palm Complex'!V148</f>
        <v>45.458423791200005</v>
      </c>
      <c r="W42" s="17">
        <f>'[1]Palm Complex'!W148</f>
        <v>63.245314087200001</v>
      </c>
      <c r="X42" s="17">
        <f>'[1]Palm Complex'!X148</f>
        <v>52.620579282600005</v>
      </c>
      <c r="Y42" s="17">
        <f>'[1]Palm Complex'!Y148</f>
        <v>47.926057195799999</v>
      </c>
      <c r="Z42" s="17">
        <f>'[1]Palm Complex'!Z148</f>
        <v>68.900208424519988</v>
      </c>
      <c r="AA42" s="17">
        <f>'[1]Palm Complex'!AA148</f>
        <v>64.142872154239996</v>
      </c>
      <c r="AB42" s="17">
        <f>'[1]Palm Complex'!AB148</f>
        <v>59.117694395539999</v>
      </c>
      <c r="AC42" s="17">
        <f>'[1]Palm Complex'!AC148</f>
        <v>85.625414000000006</v>
      </c>
      <c r="AD42" s="17">
        <f>'[1]Palm Complex'!AD148</f>
        <v>67.058693747760003</v>
      </c>
      <c r="AE42" s="17">
        <f>'[1]Palm Complex'!AE148</f>
        <v>64.527330655574261</v>
      </c>
      <c r="AF42" s="17">
        <f>'[1]Palm Complex'!AF148</f>
        <v>73.989491116699199</v>
      </c>
    </row>
    <row r="43" spans="1:32">
      <c r="A43" s="12" t="s">
        <v>54</v>
      </c>
      <c r="B43" s="17">
        <f>'[1]Palm Complex'!B149</f>
        <v>18.009777580200002</v>
      </c>
      <c r="C43" s="17">
        <f>'[1]Palm Complex'!C149</f>
        <v>20.008267423200003</v>
      </c>
      <c r="D43" s="17">
        <f>'[1]Palm Complex'!D149</f>
        <v>21.875141332800002</v>
      </c>
      <c r="E43" s="17">
        <f>'[1]Palm Complex'!E149</f>
        <v>13.743613548000001</v>
      </c>
      <c r="F43" s="17">
        <f>'[1]Palm Complex'!F149</f>
        <v>37.776197969999998</v>
      </c>
      <c r="G43" s="17">
        <f>'[1]Palm Complex'!G149</f>
        <v>27.170202452400005</v>
      </c>
      <c r="H43" s="17">
        <f>'[1]Palm Complex'!H149</f>
        <v>35.953636962600001</v>
      </c>
      <c r="I43" s="17">
        <f>'[1]Palm Complex'!I149</f>
        <v>30.284451489599999</v>
      </c>
      <c r="J43" s="17">
        <f>'[1]Palm Complex'!J149</f>
        <v>29.6905263228</v>
      </c>
      <c r="K43" s="17">
        <f>'[1]Palm Complex'!K149</f>
        <v>27.403892384400002</v>
      </c>
      <c r="L43" s="17">
        <f>'[1]Palm Complex'!L149</f>
        <v>23.735842300799998</v>
      </c>
      <c r="M43" s="17">
        <f>'[1]Palm Complex'!M149</f>
        <v>58.437253967400004</v>
      </c>
      <c r="N43" s="17">
        <f>'[1]Palm Complex'!N149</f>
        <v>34.277462856</v>
      </c>
      <c r="O43" s="17">
        <f>'[1]Palm Complex'!O149</f>
        <v>59.668094430000004</v>
      </c>
      <c r="P43" s="17">
        <f>'[1]Palm Complex'!P149</f>
        <v>36.814982778000001</v>
      </c>
      <c r="Q43" s="17">
        <f>'[1]Palm Complex'!Q149</f>
        <v>83.613155358600011</v>
      </c>
      <c r="R43" s="17">
        <f>'[1]Palm Complex'!R149</f>
        <v>56.729112841800003</v>
      </c>
      <c r="S43" s="17">
        <f>'[1]Palm Complex'!S149</f>
        <v>61.839206175599998</v>
      </c>
      <c r="T43" s="17">
        <f>'[1]Palm Complex'!T149</f>
        <v>41.439838809599998</v>
      </c>
      <c r="U43" s="17">
        <f>'[1]Palm Complex'!U149</f>
        <v>53.089502381999999</v>
      </c>
      <c r="V43" s="17">
        <f>'[1]Palm Complex'!V149</f>
        <v>53.654987925</v>
      </c>
      <c r="W43" s="17">
        <f>'[1]Palm Complex'!W149</f>
        <v>41.050061640000003</v>
      </c>
      <c r="X43" s="17">
        <f>'[1]Palm Complex'!X149</f>
        <v>34.542237958199998</v>
      </c>
      <c r="Y43" s="17">
        <f>'[1]Palm Complex'!Y149</f>
        <v>93.195985805999996</v>
      </c>
      <c r="Z43" s="17">
        <f>'[1]Palm Complex'!Z149</f>
        <v>54.367016077660004</v>
      </c>
      <c r="AA43" s="17">
        <f>'[1]Palm Complex'!AA149</f>
        <v>65.259878151160009</v>
      </c>
      <c r="AB43" s="17">
        <f>'[1]Palm Complex'!AB149</f>
        <v>47.258293844740002</v>
      </c>
      <c r="AC43" s="17">
        <f>'[1]Palm Complex'!AC149</f>
        <v>57.714129</v>
      </c>
      <c r="AD43" s="17">
        <f>'[1]Palm Complex'!AD149</f>
        <v>57.786403743859999</v>
      </c>
      <c r="AE43" s="17">
        <f>'[1]Palm Complex'!AE149</f>
        <v>62.958893412280347</v>
      </c>
      <c r="AF43" s="17">
        <f>'[1]Palm Complex'!AF149</f>
        <v>60.588330663277148</v>
      </c>
    </row>
    <row r="44" spans="1:32">
      <c r="A44" s="12" t="s">
        <v>55</v>
      </c>
      <c r="B44" s="17">
        <f>'[1]Palm Complex'!B150</f>
        <v>16.711034760000004</v>
      </c>
      <c r="C44" s="17">
        <f>'[1]Palm Complex'!C150</f>
        <v>21.5252678214</v>
      </c>
      <c r="D44" s="17">
        <f>'[1]Palm Complex'!D150</f>
        <v>8.1899502678000005</v>
      </c>
      <c r="E44" s="17">
        <f>'[1]Palm Complex'!E150</f>
        <v>43.210811662200001</v>
      </c>
      <c r="F44" s="17">
        <f>'[1]Palm Complex'!F150</f>
        <v>30.697377190200001</v>
      </c>
      <c r="G44" s="17">
        <f>'[1]Palm Complex'!G150</f>
        <v>24.6683974068</v>
      </c>
      <c r="H44" s="17">
        <f>'[1]Palm Complex'!H150</f>
        <v>15.546994344</v>
      </c>
      <c r="I44" s="17">
        <f>'[1]Palm Complex'!I150</f>
        <v>13.916014988400001</v>
      </c>
      <c r="J44" s="17">
        <f>'[1]Palm Complex'!J150</f>
        <v>24.583960384200005</v>
      </c>
      <c r="K44" s="17">
        <f>'[1]Palm Complex'!K150</f>
        <v>10.597177029600001</v>
      </c>
      <c r="L44" s="17">
        <f>'[1]Palm Complex'!L150</f>
        <v>45.116486919000003</v>
      </c>
      <c r="M44" s="17">
        <f>'[1]Palm Complex'!M150</f>
        <v>45.183948352199998</v>
      </c>
      <c r="N44" s="17">
        <f>'[1]Palm Complex'!N150</f>
        <v>35.494855124400004</v>
      </c>
      <c r="O44" s="17">
        <f>'[1]Palm Complex'!O150</f>
        <v>64.548686613599997</v>
      </c>
      <c r="P44" s="17">
        <f>'[1]Palm Complex'!P150</f>
        <v>44.802107821800007</v>
      </c>
      <c r="Q44" s="17">
        <f>'[1]Palm Complex'!Q150</f>
        <v>43.965453772799997</v>
      </c>
      <c r="R44" s="17">
        <f>'[1]Palm Complex'!R150</f>
        <v>34.574866363799998</v>
      </c>
      <c r="S44" s="17">
        <f>'[1]Palm Complex'!S150</f>
        <v>60.1253330328</v>
      </c>
      <c r="T44" s="17">
        <f>'[1]Palm Complex'!T150</f>
        <v>42.101666334000001</v>
      </c>
      <c r="U44" s="17">
        <f>'[1]Palm Complex'!U150</f>
        <v>73.2659824638</v>
      </c>
      <c r="V44" s="17">
        <f>'[1]Palm Complex'!V150</f>
        <v>49.549099912199999</v>
      </c>
      <c r="W44" s="17">
        <f>'[1]Palm Complex'!W150</f>
        <v>60.598444913999998</v>
      </c>
      <c r="X44" s="17">
        <f>'[1]Palm Complex'!X150</f>
        <v>60.3876830508</v>
      </c>
      <c r="Y44" s="17">
        <f>'[1]Palm Complex'!Y150</f>
        <v>56.498068456200002</v>
      </c>
      <c r="Z44" s="17">
        <f>'[1]Palm Complex'!Z150</f>
        <v>39.355515989460002</v>
      </c>
      <c r="AA44" s="17">
        <f>'[1]Palm Complex'!AA150</f>
        <v>18.262886891920001</v>
      </c>
      <c r="AB44" s="17">
        <f>'[1]Palm Complex'!AB150</f>
        <v>74.912081501179998</v>
      </c>
      <c r="AC44" s="17">
        <f>'[1]Palm Complex'!AC150</f>
        <v>59.145180000000003</v>
      </c>
      <c r="AD44" s="17">
        <f>'[1]Palm Complex'!AD150</f>
        <v>33.711399984240003</v>
      </c>
      <c r="AE44" s="17">
        <f>'[1]Palm Complex'!AE150</f>
        <v>49.166062090743957</v>
      </c>
      <c r="AF44" s="17">
        <f>'[1]Palm Complex'!AF150</f>
        <v>48.358769499929323</v>
      </c>
    </row>
    <row r="45" spans="1:32">
      <c r="A45" s="12" t="s">
        <v>56</v>
      </c>
      <c r="B45" s="17">
        <f>'[1]Palm Complex'!B151</f>
        <v>10.9164062952</v>
      </c>
      <c r="C45" s="17">
        <f>'[1]Palm Complex'!C151</f>
        <v>30.915193843800001</v>
      </c>
      <c r="D45" s="17">
        <f>'[1]Palm Complex'!D151</f>
        <v>23.284997101799998</v>
      </c>
      <c r="E45" s="17">
        <f>'[1]Palm Complex'!E151</f>
        <v>18.835849443600001</v>
      </c>
      <c r="F45" s="17">
        <f>'[1]Palm Complex'!F151</f>
        <v>22.917927538799997</v>
      </c>
      <c r="G45" s="17">
        <f>'[1]Palm Complex'!G151</f>
        <v>42.699559820400005</v>
      </c>
      <c r="H45" s="17">
        <f>'[1]Palm Complex'!H151</f>
        <v>46.249442164800008</v>
      </c>
      <c r="I45" s="17">
        <f>'[1]Palm Complex'!I151</f>
        <v>30.735296688599998</v>
      </c>
      <c r="J45" s="17">
        <f>'[1]Palm Complex'!J151</f>
        <v>34.9677300042</v>
      </c>
      <c r="K45" s="17">
        <f>'[1]Palm Complex'!K151</f>
        <v>48.931364827800003</v>
      </c>
      <c r="L45" s="17">
        <f>'[1]Palm Complex'!L151</f>
        <v>70.073028421199993</v>
      </c>
      <c r="M45" s="17">
        <f>'[1]Palm Complex'!M151</f>
        <v>32.561164629000004</v>
      </c>
      <c r="N45" s="17">
        <f>'[1]Palm Complex'!N151</f>
        <v>26.622574347600001</v>
      </c>
      <c r="O45" s="17">
        <f>'[1]Palm Complex'!O151</f>
        <v>67.416679373400015</v>
      </c>
      <c r="P45" s="17">
        <f>'[1]Palm Complex'!P151</f>
        <v>42.846387645599997</v>
      </c>
      <c r="Q45" s="17">
        <f>'[1]Palm Complex'!Q151</f>
        <v>30.942090232200002</v>
      </c>
      <c r="R45" s="17">
        <f>'[1]Palm Complex'!R151</f>
        <v>92.186930316599998</v>
      </c>
      <c r="S45" s="17">
        <f>'[1]Palm Complex'!S151</f>
        <v>74.047741424999998</v>
      </c>
      <c r="T45" s="17">
        <f>'[1]Palm Complex'!T151</f>
        <v>44.321720687999999</v>
      </c>
      <c r="U45" s="17">
        <f>'[1]Palm Complex'!U151</f>
        <v>36.9785657304</v>
      </c>
      <c r="V45" s="17">
        <f>'[1]Palm Complex'!V151</f>
        <v>45.218340455400003</v>
      </c>
      <c r="W45" s="17">
        <f>'[1]Palm Complex'!W151</f>
        <v>38.6457008868</v>
      </c>
      <c r="X45" s="17">
        <f>'[1]Palm Complex'!X151</f>
        <v>77.322707406000006</v>
      </c>
      <c r="Y45" s="17">
        <f>'[1]Palm Complex'!Y151</f>
        <v>77.391712074599994</v>
      </c>
      <c r="Z45" s="17">
        <f>'[1]Palm Complex'!Z151</f>
        <v>65.09924512872</v>
      </c>
      <c r="AA45" s="17">
        <f>'[1]Palm Complex'!AA151</f>
        <v>95.853647831700002</v>
      </c>
      <c r="AB45" s="17">
        <f>'[1]Palm Complex'!AB151</f>
        <v>71.91816565340001</v>
      </c>
      <c r="AC45" s="17">
        <f>'[1]Palm Complex'!AC151</f>
        <v>87.013016000000007</v>
      </c>
      <c r="AD45" s="17">
        <f>'[1]Palm Complex'!AD151</f>
        <v>87.510289897139998</v>
      </c>
      <c r="AE45" s="17">
        <f>'[1]Palm Complex'!AE151</f>
        <v>78.704888595774094</v>
      </c>
      <c r="AF45" s="17">
        <f>'[1]Palm Complex'!AF151</f>
        <v>87.410030492671495</v>
      </c>
    </row>
    <row r="46" spans="1:32">
      <c r="A46" s="12" t="s">
        <v>57</v>
      </c>
      <c r="B46" s="17">
        <f>'[1]Palm Complex'!B152</f>
        <v>27.597678658200003</v>
      </c>
      <c r="C46" s="17">
        <f>'[1]Palm Complex'!C152</f>
        <v>19.050359164200003</v>
      </c>
      <c r="D46" s="17">
        <f>'[1]Palm Complex'!D152</f>
        <v>6.2038063079999999</v>
      </c>
      <c r="E46" s="17">
        <f>'[1]Palm Complex'!E152</f>
        <v>21.915044991000002</v>
      </c>
      <c r="F46" s="17">
        <f>'[1]Palm Complex'!F152</f>
        <v>27.982826121599999</v>
      </c>
      <c r="G46" s="17">
        <f>'[1]Palm Complex'!G152</f>
        <v>57.98574738180001</v>
      </c>
      <c r="H46" s="17">
        <f>'[1]Palm Complex'!H152</f>
        <v>20.144072138400002</v>
      </c>
      <c r="I46" s="17">
        <f>'[1]Palm Complex'!I152</f>
        <v>27.047405007000002</v>
      </c>
      <c r="J46" s="17">
        <f>'[1]Palm Complex'!J152</f>
        <v>31.9013212644</v>
      </c>
      <c r="K46" s="17">
        <f>'[1]Palm Complex'!K152</f>
        <v>33.759156223799998</v>
      </c>
      <c r="L46" s="17">
        <f>'[1]Palm Complex'!L152</f>
        <v>50.087248142400007</v>
      </c>
      <c r="M46" s="17">
        <f>'[1]Palm Complex'!M152</f>
        <v>44.198261856000002</v>
      </c>
      <c r="N46" s="17">
        <f>'[1]Palm Complex'!N152</f>
        <v>60.6559855482</v>
      </c>
      <c r="O46" s="17">
        <f>'[1]Palm Complex'!O152</f>
        <v>26.906088736800001</v>
      </c>
      <c r="P46" s="17">
        <f>'[1]Palm Complex'!P152</f>
        <v>50.513842499399999</v>
      </c>
      <c r="Q46" s="17">
        <f>'[1]Palm Complex'!Q152</f>
        <v>52.911148462200003</v>
      </c>
      <c r="R46" s="17">
        <f>'[1]Palm Complex'!R152</f>
        <v>58.346203078799995</v>
      </c>
      <c r="S46" s="17">
        <f>'[1]Palm Complex'!S152</f>
        <v>38.466465118199999</v>
      </c>
      <c r="T46" s="17">
        <f>'[1]Palm Complex'!T152</f>
        <v>43.562669333400002</v>
      </c>
      <c r="U46" s="17">
        <f>'[1]Palm Complex'!U152</f>
        <v>39.436719260400004</v>
      </c>
      <c r="V46" s="17">
        <f>'[1]Palm Complex'!V152</f>
        <v>33.367615356599998</v>
      </c>
      <c r="W46" s="17">
        <f>'[1]Palm Complex'!W152</f>
        <v>69.683030789399993</v>
      </c>
      <c r="X46" s="17">
        <f>'[1]Palm Complex'!X152</f>
        <v>67.275583565399998</v>
      </c>
      <c r="Y46" s="17">
        <f>'[1]Palm Complex'!Y152</f>
        <v>97.951074798060006</v>
      </c>
      <c r="Z46" s="17">
        <f>'[1]Palm Complex'!Z152</f>
        <v>65.400263943520002</v>
      </c>
      <c r="AA46" s="17">
        <f>'[1]Palm Complex'!AA152</f>
        <v>58.531710808779998</v>
      </c>
      <c r="AB46" s="17">
        <f>'[1]Palm Complex'!AB152</f>
        <v>96.025872746099992</v>
      </c>
      <c r="AC46" s="17">
        <f>'[1]Palm Complex'!AC152</f>
        <v>35.471516000000001</v>
      </c>
      <c r="AD46" s="17">
        <f>'[1]Palm Complex'!AD152</f>
        <v>53.304616313519993</v>
      </c>
      <c r="AE46" s="17">
        <f>'[1]Palm Complex'!AE152</f>
        <v>70.008716765469586</v>
      </c>
      <c r="AF46" s="17">
        <f>'[1]Palm Complex'!AF152</f>
        <v>66.241580493825765</v>
      </c>
    </row>
    <row r="47" spans="1:32" ht="15.75" thickBot="1">
      <c r="A47" s="12" t="s">
        <v>58</v>
      </c>
      <c r="B47" s="17">
        <f>SUM(B35:B46)</f>
        <v>271.17115154639998</v>
      </c>
      <c r="C47" s="17">
        <f t="shared" ref="C47:AF47" si="2">SUM(C35:C46)</f>
        <v>249.14278898460003</v>
      </c>
      <c r="D47" s="17">
        <f t="shared" si="2"/>
        <v>235.91461606020002</v>
      </c>
      <c r="E47" s="17">
        <f t="shared" si="2"/>
        <v>359.99074222019999</v>
      </c>
      <c r="F47" s="17">
        <f t="shared" si="2"/>
        <v>325.33717085099994</v>
      </c>
      <c r="G47" s="17">
        <f t="shared" si="2"/>
        <v>334.42131580200004</v>
      </c>
      <c r="H47" s="17">
        <f t="shared" si="2"/>
        <v>376.37505199980001</v>
      </c>
      <c r="I47" s="17">
        <f t="shared" si="2"/>
        <v>319.25065043340004</v>
      </c>
      <c r="J47" s="17">
        <f t="shared" si="2"/>
        <v>303.36436476360001</v>
      </c>
      <c r="K47" s="17">
        <f t="shared" si="2"/>
        <v>427.58842105980005</v>
      </c>
      <c r="L47" s="17">
        <f t="shared" si="2"/>
        <v>498.24192645360006</v>
      </c>
      <c r="M47" s="17">
        <f t="shared" si="2"/>
        <v>456.02451746460002</v>
      </c>
      <c r="N47" s="17">
        <f t="shared" si="2"/>
        <v>456.45948938520002</v>
      </c>
      <c r="O47" s="17">
        <f t="shared" si="2"/>
        <v>600.49053111599994</v>
      </c>
      <c r="P47" s="17">
        <f t="shared" si="2"/>
        <v>468.28530225539998</v>
      </c>
      <c r="Q47" s="17">
        <f t="shared" si="2"/>
        <v>674.31075555059999</v>
      </c>
      <c r="R47" s="17">
        <f t="shared" si="2"/>
        <v>613.4201982216</v>
      </c>
      <c r="S47" s="17">
        <f t="shared" si="2"/>
        <v>557.19616427999995</v>
      </c>
      <c r="T47" s="17">
        <f t="shared" si="2"/>
        <v>612.02753850420004</v>
      </c>
      <c r="U47" s="17">
        <f t="shared" si="2"/>
        <v>547.05115522260007</v>
      </c>
      <c r="V47" s="17">
        <f t="shared" si="2"/>
        <v>555.39983827440005</v>
      </c>
      <c r="W47" s="17">
        <f t="shared" si="2"/>
        <v>606.48093001439997</v>
      </c>
      <c r="X47" s="17">
        <f t="shared" si="2"/>
        <v>716.48759949480018</v>
      </c>
      <c r="Y47" s="17">
        <f t="shared" si="2"/>
        <v>752.98888669566009</v>
      </c>
      <c r="Z47" s="17">
        <f t="shared" si="2"/>
        <v>753.67590164789999</v>
      </c>
      <c r="AA47" s="17">
        <f t="shared" si="2"/>
        <v>677.83846617563995</v>
      </c>
      <c r="AB47" s="17">
        <f t="shared" si="2"/>
        <v>782.80980723836001</v>
      </c>
      <c r="AC47" s="17">
        <f t="shared" si="2"/>
        <v>756.61468491515996</v>
      </c>
      <c r="AD47" s="17">
        <f t="shared" si="2"/>
        <v>699.73323523707995</v>
      </c>
      <c r="AE47" s="17">
        <f t="shared" si="2"/>
        <v>774.50557991020207</v>
      </c>
      <c r="AF47" s="17">
        <f t="shared" si="2"/>
        <v>787.57486043387451</v>
      </c>
    </row>
    <row r="48" spans="1:3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ht="15.75" thickBot="1">
      <c r="A49" s="12" t="s">
        <v>70</v>
      </c>
    </row>
    <row r="50" spans="1:32" ht="15.75" thickBot="1">
      <c r="A50" s="3"/>
      <c r="B50" s="3" t="str">
        <f>B2</f>
        <v xml:space="preserve">93/94 </v>
      </c>
      <c r="C50" s="3" t="str">
        <f t="shared" ref="C50:AF50" si="3">C2</f>
        <v xml:space="preserve">94/95 </v>
      </c>
      <c r="D50" s="3" t="str">
        <f t="shared" si="3"/>
        <v xml:space="preserve">95/96 </v>
      </c>
      <c r="E50" s="3" t="str">
        <f t="shared" si="3"/>
        <v xml:space="preserve">96/97 </v>
      </c>
      <c r="F50" s="3" t="str">
        <f t="shared" si="3"/>
        <v xml:space="preserve">97/98 </v>
      </c>
      <c r="G50" s="3" t="str">
        <f t="shared" si="3"/>
        <v xml:space="preserve">98/99 </v>
      </c>
      <c r="H50" s="3" t="str">
        <f t="shared" si="3"/>
        <v xml:space="preserve">99/00 </v>
      </c>
      <c r="I50" s="3" t="str">
        <f t="shared" si="3"/>
        <v xml:space="preserve">00/01 </v>
      </c>
      <c r="J50" s="3" t="str">
        <f t="shared" si="3"/>
        <v xml:space="preserve">01/02 </v>
      </c>
      <c r="K50" s="3" t="str">
        <f t="shared" si="3"/>
        <v xml:space="preserve">02/03 </v>
      </c>
      <c r="L50" s="3" t="str">
        <f t="shared" si="3"/>
        <v xml:space="preserve">03/04 </v>
      </c>
      <c r="M50" s="3" t="str">
        <f t="shared" si="3"/>
        <v xml:space="preserve">04/05 </v>
      </c>
      <c r="N50" s="3" t="str">
        <f t="shared" si="3"/>
        <v xml:space="preserve">05/06 </v>
      </c>
      <c r="O50" s="3" t="str">
        <f t="shared" si="3"/>
        <v xml:space="preserve">06/07 </v>
      </c>
      <c r="P50" s="3" t="str">
        <f t="shared" si="3"/>
        <v xml:space="preserve">07/08 </v>
      </c>
      <c r="Q50" s="3" t="str">
        <f t="shared" si="3"/>
        <v xml:space="preserve">08/09 </v>
      </c>
      <c r="R50" s="3" t="str">
        <f t="shared" si="3"/>
        <v xml:space="preserve">09/10 </v>
      </c>
      <c r="S50" s="3" t="str">
        <f t="shared" si="3"/>
        <v xml:space="preserve">10/11 </v>
      </c>
      <c r="T50" s="3" t="str">
        <f t="shared" si="3"/>
        <v xml:space="preserve">11/12 </v>
      </c>
      <c r="U50" s="3" t="str">
        <f t="shared" si="3"/>
        <v xml:space="preserve">12/13 </v>
      </c>
      <c r="V50" s="3" t="str">
        <f t="shared" si="3"/>
        <v xml:space="preserve">13/14 </v>
      </c>
      <c r="W50" s="3" t="str">
        <f t="shared" si="3"/>
        <v xml:space="preserve">14/15 </v>
      </c>
      <c r="X50" s="3" t="str">
        <f t="shared" si="3"/>
        <v xml:space="preserve">15/16 </v>
      </c>
      <c r="Y50" s="3" t="str">
        <f t="shared" si="3"/>
        <v xml:space="preserve">16/17 </v>
      </c>
      <c r="Z50" s="3" t="str">
        <f t="shared" si="3"/>
        <v xml:space="preserve">17/18 </v>
      </c>
      <c r="AA50" s="3" t="str">
        <f t="shared" si="3"/>
        <v xml:space="preserve">18/19 </v>
      </c>
      <c r="AB50" s="3" t="str">
        <f t="shared" si="3"/>
        <v xml:space="preserve">19/20 </v>
      </c>
      <c r="AC50" s="3" t="str">
        <f t="shared" si="3"/>
        <v xml:space="preserve">20/21 </v>
      </c>
      <c r="AD50" s="3" t="str">
        <f t="shared" si="3"/>
        <v xml:space="preserve">21/22 </v>
      </c>
      <c r="AE50" s="3" t="str">
        <f t="shared" si="3"/>
        <v xml:space="preserve">22/23 </v>
      </c>
      <c r="AF50" s="3" t="str">
        <f t="shared" si="3"/>
        <v>23/24</v>
      </c>
    </row>
    <row r="51" spans="1:32">
      <c r="A51" s="12" t="s">
        <v>46</v>
      </c>
      <c r="B51" s="18" t="str">
        <f>'[1]Palm Complex'!B157</f>
        <v xml:space="preserve">93/94 </v>
      </c>
      <c r="C51" s="18" t="str">
        <f>'[1]Palm Complex'!C157</f>
        <v xml:space="preserve">94/95 </v>
      </c>
      <c r="D51" s="18" t="str">
        <f>'[1]Palm Complex'!D157</f>
        <v xml:space="preserve">95/96 </v>
      </c>
      <c r="E51" s="18" t="str">
        <f>'[1]Palm Complex'!E157</f>
        <v xml:space="preserve">96/97 </v>
      </c>
      <c r="F51" s="18" t="str">
        <f>'[1]Palm Complex'!F157</f>
        <v xml:space="preserve">97/98 </v>
      </c>
      <c r="G51" s="18" t="str">
        <f>'[1]Palm Complex'!G157</f>
        <v xml:space="preserve">98/99 </v>
      </c>
      <c r="H51" s="18" t="str">
        <f>'[1]Palm Complex'!H157</f>
        <v xml:space="preserve">99/00 </v>
      </c>
      <c r="I51" s="18" t="str">
        <f>'[1]Palm Complex'!I157</f>
        <v xml:space="preserve">00/01 </v>
      </c>
      <c r="J51" s="18" t="str">
        <f>'[1]Palm Complex'!J157</f>
        <v xml:space="preserve">01/02 </v>
      </c>
      <c r="K51" s="18" t="str">
        <f>'[1]Palm Complex'!K157</f>
        <v xml:space="preserve">02/03 </v>
      </c>
      <c r="L51" s="18" t="str">
        <f>'[1]Palm Complex'!L157</f>
        <v xml:space="preserve">03/04 </v>
      </c>
      <c r="M51" s="18" t="str">
        <f>'[1]Palm Complex'!M157</f>
        <v xml:space="preserve">04/05 </v>
      </c>
      <c r="N51" s="18" t="str">
        <f>'[1]Palm Complex'!N157</f>
        <v xml:space="preserve">05/06 </v>
      </c>
      <c r="O51" s="18" t="str">
        <f>'[1]Palm Complex'!O157</f>
        <v xml:space="preserve">06/07 </v>
      </c>
      <c r="P51" s="18" t="str">
        <f>'[1]Palm Complex'!P157</f>
        <v xml:space="preserve">07/08 </v>
      </c>
      <c r="Q51" s="18" t="str">
        <f>'[1]Palm Complex'!Q157</f>
        <v xml:space="preserve">08/09 </v>
      </c>
      <c r="R51" s="18" t="str">
        <f>'[1]Palm Complex'!R157</f>
        <v xml:space="preserve">09/10 </v>
      </c>
      <c r="S51" s="18" t="str">
        <f>'[1]Palm Complex'!S157</f>
        <v xml:space="preserve">10/11 </v>
      </c>
      <c r="T51" s="18" t="str">
        <f>'[1]Palm Complex'!T157</f>
        <v xml:space="preserve">11/12 </v>
      </c>
      <c r="U51" s="18" t="str">
        <f>'[1]Palm Complex'!U157</f>
        <v xml:space="preserve">12/13 </v>
      </c>
      <c r="V51" s="18" t="str">
        <f>'[1]Palm Complex'!V157</f>
        <v xml:space="preserve">13/14 </v>
      </c>
      <c r="W51" s="18" t="str">
        <f>'[1]Palm Complex'!W157</f>
        <v xml:space="preserve">14/15 </v>
      </c>
      <c r="X51" s="18" t="str">
        <f>'[1]Palm Complex'!X157</f>
        <v xml:space="preserve">15/16 </v>
      </c>
      <c r="Y51" s="18" t="str">
        <f>'[1]Palm Complex'!Y157</f>
        <v xml:space="preserve">16/17 </v>
      </c>
      <c r="Z51" s="18" t="str">
        <f>'[1]Palm Complex'!Z157</f>
        <v xml:space="preserve">17/18 </v>
      </c>
      <c r="AA51" s="18" t="str">
        <f>'[1]Palm Complex'!AA157</f>
        <v>18/19</v>
      </c>
      <c r="AB51" s="18" t="str">
        <f>'[1]Palm Complex'!AB157</f>
        <v>19/20</v>
      </c>
      <c r="AC51" s="18" t="str">
        <f>'[1]Palm Complex'!AC157</f>
        <v>20/21</v>
      </c>
      <c r="AD51" s="18" t="str">
        <f>'[1]Palm Complex'!AD157</f>
        <v>21/22</v>
      </c>
      <c r="AE51" s="18" t="str">
        <f>'[1]Palm Complex'!AE157</f>
        <v>22/23</v>
      </c>
      <c r="AF51" s="18" t="str">
        <f>'[1]Palm Complex'!AF157</f>
        <v>23/24</v>
      </c>
    </row>
    <row r="52" spans="1:32">
      <c r="A52" s="12" t="s">
        <v>47</v>
      </c>
      <c r="B52" s="18">
        <f>'[1]Palm Complex'!B158</f>
        <v>0.36001477260000003</v>
      </c>
      <c r="C52" s="18">
        <f>'[1]Palm Complex'!C158</f>
        <v>0.28792363319999997</v>
      </c>
      <c r="D52" s="18">
        <f>'[1]Palm Complex'!D158</f>
        <v>1.1091453281999999</v>
      </c>
      <c r="E52" s="18">
        <f>'[1]Palm Complex'!E158</f>
        <v>0.3723606558</v>
      </c>
      <c r="F52" s="18">
        <f>'[1]Palm Complex'!F158</f>
        <v>0.117947277</v>
      </c>
      <c r="G52" s="18">
        <f>'[1]Palm Complex'!G158</f>
        <v>9.2594124000000014E-2</v>
      </c>
      <c r="H52" s="18">
        <f>'[1]Palm Complex'!H158</f>
        <v>0.21605295599999999</v>
      </c>
      <c r="I52" s="18">
        <f>'[1]Palm Complex'!I158</f>
        <v>0.14682782520000001</v>
      </c>
      <c r="J52" s="18">
        <f>'[1]Palm Complex'!J158</f>
        <v>0.2442721176</v>
      </c>
      <c r="K52" s="18">
        <f>'[1]Palm Complex'!K158</f>
        <v>0.13470240420000001</v>
      </c>
      <c r="L52" s="18">
        <f>'[1]Palm Complex'!L158</f>
        <v>0.15763047299999999</v>
      </c>
      <c r="M52" s="18">
        <f>'[1]Palm Complex'!M158</f>
        <v>0.17747207100000001</v>
      </c>
      <c r="N52" s="18">
        <f>'[1]Palm Complex'!N158</f>
        <v>0.24383119319999999</v>
      </c>
      <c r="O52" s="18">
        <f>'[1]Palm Complex'!O158</f>
        <v>8.9066728800000008E-2</v>
      </c>
      <c r="P52" s="18">
        <f>'[1]Palm Complex'!P158</f>
        <v>0.31283586180000006</v>
      </c>
      <c r="Q52" s="18">
        <f>'[1]Palm Complex'!Q158</f>
        <v>0.57276079560000004</v>
      </c>
      <c r="R52" s="18">
        <f>'[1]Palm Complex'!R158</f>
        <v>0.1181677392</v>
      </c>
      <c r="S52" s="18">
        <f>'[1]Palm Complex'!S158</f>
        <v>0.36706956300000004</v>
      </c>
      <c r="T52" s="18">
        <f>'[1]Palm Complex'!T158</f>
        <v>0.1536621534</v>
      </c>
      <c r="U52" s="18">
        <f>'[1]Palm Complex'!U158</f>
        <v>0.21318694740000002</v>
      </c>
      <c r="V52" s="18">
        <f>'[1]Palm Complex'!V158</f>
        <v>0.14285950559999999</v>
      </c>
      <c r="W52" s="18">
        <f>'[1]Palm Complex'!W158</f>
        <v>0.2462562774</v>
      </c>
      <c r="X52" s="18">
        <f>'[1]Palm Complex'!X158</f>
        <v>0.2239895952</v>
      </c>
      <c r="Y52" s="18">
        <f>'[1]Palm Complex'!Y158</f>
        <v>8.1350551800000004E-2</v>
      </c>
      <c r="Z52" s="18">
        <f>'[1]Palm Complex'!Z158</f>
        <v>3.2721388917800001</v>
      </c>
      <c r="AA52" s="18">
        <f>'[1]Palm Complex'!AA158</f>
        <v>2.4916262500799999</v>
      </c>
      <c r="AB52" s="18">
        <f>'[1]Palm Complex'!AB158</f>
        <v>4.7198158425000001</v>
      </c>
      <c r="AC52" s="18">
        <f>'[1]Palm Complex'!AC158</f>
        <v>2.87159030246</v>
      </c>
      <c r="AD52" s="18">
        <f>'[1]Palm Complex'!AD158</f>
        <v>5.3486175589</v>
      </c>
      <c r="AE52" s="18">
        <f>'[1]Palm Complex'!AE158</f>
        <v>7.6758761602599996</v>
      </c>
      <c r="AF52" s="18">
        <f>'[1]Palm Complex'!AF158</f>
        <v>3.8023383413319469</v>
      </c>
    </row>
    <row r="53" spans="1:32">
      <c r="A53" s="12" t="s">
        <v>48</v>
      </c>
      <c r="B53" s="18">
        <f>'[1]Palm Complex'!B159</f>
        <v>0.4389402402</v>
      </c>
      <c r="C53" s="18">
        <f>'[1]Palm Complex'!C159</f>
        <v>0.26742064859999998</v>
      </c>
      <c r="D53" s="18">
        <f>'[1]Palm Complex'!D159</f>
        <v>0.25507476540000001</v>
      </c>
      <c r="E53" s="18">
        <f>'[1]Palm Complex'!E159</f>
        <v>0.23655594060000001</v>
      </c>
      <c r="F53" s="18">
        <f>'[1]Palm Complex'!F159</f>
        <v>0.13955257259999998</v>
      </c>
      <c r="G53" s="18">
        <f>'[1]Palm Complex'!G159</f>
        <v>2.1146734224000001</v>
      </c>
      <c r="H53" s="18">
        <f>'[1]Palm Complex'!H159</f>
        <v>0.20128198860000002</v>
      </c>
      <c r="I53" s="18">
        <f>'[1]Palm Complex'!I159</f>
        <v>0.15608723760000001</v>
      </c>
      <c r="J53" s="18">
        <f>'[1]Palm Complex'!J159</f>
        <v>0.31349724839999998</v>
      </c>
      <c r="K53" s="18">
        <f>'[1]Palm Complex'!K159</f>
        <v>0.17151959160000002</v>
      </c>
      <c r="L53" s="18">
        <f>'[1]Palm Complex'!L159</f>
        <v>0.16644896100000001</v>
      </c>
      <c r="M53" s="18">
        <f>'[1]Palm Complex'!M159</f>
        <v>0.2129664852</v>
      </c>
      <c r="N53" s="18">
        <f>'[1]Palm Complex'!N159</f>
        <v>0.29343518819999997</v>
      </c>
      <c r="O53" s="18">
        <f>'[1]Palm Complex'!O159</f>
        <v>0.16777173419999999</v>
      </c>
      <c r="P53" s="18">
        <f>'[1]Palm Complex'!P159</f>
        <v>0.4742141922</v>
      </c>
      <c r="Q53" s="18">
        <f>'[1]Palm Complex'!Q159</f>
        <v>0.92483892899999998</v>
      </c>
      <c r="R53" s="18">
        <f>'[1]Palm Complex'!R159</f>
        <v>0.46407293100000002</v>
      </c>
      <c r="S53" s="18">
        <f>'[1]Palm Complex'!S159</f>
        <v>0.38602931219999997</v>
      </c>
      <c r="T53" s="18">
        <f>'[1]Palm Complex'!T159</f>
        <v>0.109128789</v>
      </c>
      <c r="U53" s="18">
        <f>'[1]Palm Complex'!U159</f>
        <v>0.12103374779999999</v>
      </c>
      <c r="V53" s="18">
        <f>'[1]Palm Complex'!V159</f>
        <v>0.26697972420000005</v>
      </c>
      <c r="W53" s="18">
        <f>'[1]Palm Complex'!W159</f>
        <v>0.14859152280000001</v>
      </c>
      <c r="X53" s="18">
        <f>'[1]Palm Complex'!X159</f>
        <v>0.1183882014</v>
      </c>
      <c r="Y53" s="18">
        <f>'[1]Palm Complex'!Y159</f>
        <v>0.25044505919999999</v>
      </c>
      <c r="Z53" s="18">
        <f>'[1]Palm Complex'!Z159</f>
        <v>4.0353342433799995</v>
      </c>
      <c r="AA53" s="18">
        <f>'[1]Palm Complex'!AA159</f>
        <v>2.6182618275</v>
      </c>
      <c r="AB53" s="18">
        <f>'[1]Palm Complex'!AB159</f>
        <v>6.3994166125999996</v>
      </c>
      <c r="AC53" s="18">
        <f>'[1]Palm Complex'!AC159</f>
        <v>3.5556397960600004</v>
      </c>
      <c r="AD53" s="18">
        <f>'[1]Palm Complex'!AD159</f>
        <v>4.5413474442600004</v>
      </c>
      <c r="AE53" s="18">
        <f>'[1]Palm Complex'!AE159</f>
        <v>6.8122140706399996</v>
      </c>
      <c r="AF53" s="18">
        <f>'[1]Palm Complex'!AF159</f>
        <v>4.2996344907858033</v>
      </c>
    </row>
    <row r="54" spans="1:32">
      <c r="A54" s="12" t="s">
        <v>49</v>
      </c>
      <c r="B54" s="18">
        <f>'[1]Palm Complex'!B160</f>
        <v>0.42438973500000005</v>
      </c>
      <c r="C54" s="18">
        <f>'[1]Palm Complex'!C160</f>
        <v>0.10626278040000001</v>
      </c>
      <c r="D54" s="18">
        <f>'[1]Palm Complex'!D160</f>
        <v>0.22443051959999999</v>
      </c>
      <c r="E54" s="18">
        <f>'[1]Palm Complex'!E160</f>
        <v>0.1042786206</v>
      </c>
      <c r="F54" s="18">
        <f>'[1]Palm Complex'!F160</f>
        <v>4.60765998E-2</v>
      </c>
      <c r="G54" s="18">
        <f>'[1]Palm Complex'!G160</f>
        <v>3.9021809400000003E-2</v>
      </c>
      <c r="H54" s="18">
        <f>'[1]Palm Complex'!H160</f>
        <v>0.60252319259999998</v>
      </c>
      <c r="I54" s="18">
        <f>'[1]Palm Complex'!I160</f>
        <v>5.1588154800000001E-2</v>
      </c>
      <c r="J54" s="18">
        <f>'[1]Palm Complex'!J160</f>
        <v>0.28373485139999999</v>
      </c>
      <c r="K54" s="18">
        <f>'[1]Palm Complex'!K160</f>
        <v>8.6862106800000005E-2</v>
      </c>
      <c r="L54" s="18">
        <f>'[1]Palm Complex'!L160</f>
        <v>4.8060759600000003E-2</v>
      </c>
      <c r="M54" s="18">
        <f>'[1]Palm Complex'!M160</f>
        <v>0.1490324472</v>
      </c>
      <c r="N54" s="18">
        <f>'[1]Palm Complex'!N160</f>
        <v>0.29145102839999998</v>
      </c>
      <c r="O54" s="18">
        <f>'[1]Palm Complex'!O160</f>
        <v>0.17659022220000001</v>
      </c>
      <c r="P54" s="18">
        <f>'[1]Palm Complex'!P160</f>
        <v>0.19577043359999999</v>
      </c>
      <c r="Q54" s="18">
        <f>'[1]Palm Complex'!Q160</f>
        <v>1.3439375712000001</v>
      </c>
      <c r="R54" s="18">
        <f>'[1]Palm Complex'!R160</f>
        <v>4.1226431399999999E-2</v>
      </c>
      <c r="S54" s="18">
        <f>'[1]Palm Complex'!S160</f>
        <v>3.4833027600000004E-2</v>
      </c>
      <c r="T54" s="18">
        <f>'[1]Palm Complex'!T160</f>
        <v>0.1507961448</v>
      </c>
      <c r="U54" s="18">
        <f>'[1]Palm Complex'!U160</f>
        <v>0.1225769832</v>
      </c>
      <c r="V54" s="18">
        <f>'[1]Palm Complex'!V160</f>
        <v>0.2239895952</v>
      </c>
      <c r="W54" s="18">
        <f>'[1]Palm Complex'!W160</f>
        <v>4.8060759599999996E-2</v>
      </c>
      <c r="X54" s="18">
        <f>'[1]Palm Complex'!X160</f>
        <v>0.42659435699999998</v>
      </c>
      <c r="Y54" s="18">
        <f>'[1]Palm Complex'!Y160</f>
        <v>0.2945374992</v>
      </c>
      <c r="Z54" s="18">
        <f>'[1]Palm Complex'!Z160</f>
        <v>2.0810576628600002</v>
      </c>
      <c r="AA54" s="18">
        <f>'[1]Palm Complex'!AA160</f>
        <v>2.47216606934</v>
      </c>
      <c r="AB54" s="18">
        <f>'[1]Palm Complex'!AB160</f>
        <v>6.2551198243600004</v>
      </c>
      <c r="AC54" s="18">
        <f>'[1]Palm Complex'!AC160</f>
        <v>2.0781453598399997</v>
      </c>
      <c r="AD54" s="18">
        <f>'[1]Palm Complex'!AD160</f>
        <v>11.0681403866</v>
      </c>
      <c r="AE54" s="18">
        <f>'[1]Palm Complex'!AE160</f>
        <v>3.82436754172</v>
      </c>
      <c r="AF54" s="18">
        <f>'[1]Palm Complex'!AF160</f>
        <v>4.8697943610517926</v>
      </c>
    </row>
    <row r="55" spans="1:32">
      <c r="A55" s="12" t="s">
        <v>50</v>
      </c>
      <c r="B55" s="18">
        <f>'[1]Palm Complex'!B161</f>
        <v>0.26565695099999997</v>
      </c>
      <c r="C55" s="18">
        <f>'[1]Palm Complex'!C161</f>
        <v>0.18342455040000002</v>
      </c>
      <c r="D55" s="18">
        <f>'[1]Palm Complex'!D161</f>
        <v>0.14859152280000001</v>
      </c>
      <c r="E55" s="18">
        <f>'[1]Palm Complex'!E161</f>
        <v>2.3148531000000003E-2</v>
      </c>
      <c r="F55" s="18">
        <f>'[1]Palm Complex'!F161</f>
        <v>0.11397895740000001</v>
      </c>
      <c r="G55" s="18">
        <f>'[1]Palm Complex'!G161</f>
        <v>4.9824457200000005E-2</v>
      </c>
      <c r="H55" s="18">
        <f>'[1]Palm Complex'!H161</f>
        <v>0.29255333939999995</v>
      </c>
      <c r="I55" s="18">
        <f>'[1]Palm Complex'!I161</f>
        <v>5.0706306000000007E-2</v>
      </c>
      <c r="J55" s="18">
        <f>'[1]Palm Complex'!J161</f>
        <v>0.15718954860000001</v>
      </c>
      <c r="K55" s="18">
        <f>'[1]Palm Complex'!K161</f>
        <v>0.1241202186</v>
      </c>
      <c r="L55" s="18">
        <f>'[1]Palm Complex'!L161</f>
        <v>0.13205685779999998</v>
      </c>
      <c r="M55" s="18">
        <f>'[1]Palm Complex'!M161</f>
        <v>0.17416513800000002</v>
      </c>
      <c r="N55" s="18">
        <f>'[1]Palm Complex'!N161</f>
        <v>0.58202020799999998</v>
      </c>
      <c r="O55" s="18">
        <f>'[1]Palm Complex'!O161</f>
        <v>0.1878337944</v>
      </c>
      <c r="P55" s="18">
        <f>'[1]Palm Complex'!P161</f>
        <v>0.46252969560000001</v>
      </c>
      <c r="Q55" s="18">
        <f>'[1]Palm Complex'!Q161</f>
        <v>0.72708433560000008</v>
      </c>
      <c r="R55" s="18">
        <f>'[1]Palm Complex'!R161</f>
        <v>4.6297062E-2</v>
      </c>
      <c r="S55" s="18">
        <f>'[1]Palm Complex'!S161</f>
        <v>0.26499556439999999</v>
      </c>
      <c r="T55" s="18">
        <f>'[1]Palm Complex'!T161</f>
        <v>4.65175242E-2</v>
      </c>
      <c r="U55" s="18">
        <f>'[1]Palm Complex'!U161</f>
        <v>0.31812695459999996</v>
      </c>
      <c r="V55" s="18">
        <f>'[1]Palm Complex'!V161</f>
        <v>0.13911164819999999</v>
      </c>
      <c r="W55" s="18">
        <f>'[1]Palm Complex'!W161</f>
        <v>0.28638039780000002</v>
      </c>
      <c r="X55" s="18">
        <f>'[1]Palm Complex'!X161</f>
        <v>7.1209290600000003E-2</v>
      </c>
      <c r="Y55" s="18">
        <f>'[1]Palm Complex'!Y161</f>
        <v>0.2092186278</v>
      </c>
      <c r="Z55" s="18">
        <f>'[1]Palm Complex'!Z161</f>
        <v>2.64891486398</v>
      </c>
      <c r="AA55" s="18">
        <f>'[1]Palm Complex'!AA161</f>
        <v>2.9529297573600002</v>
      </c>
      <c r="AB55" s="18">
        <f>'[1]Palm Complex'!AB161</f>
        <v>2.9797489596599998</v>
      </c>
      <c r="AC55" s="18">
        <f>'[1]Palm Complex'!AC161</f>
        <v>2.8650540000000002</v>
      </c>
      <c r="AD55" s="18">
        <f>'[1]Palm Complex'!AD161</f>
        <v>3.2372419617999997</v>
      </c>
      <c r="AE55" s="18">
        <f>'[1]Palm Complex'!AE161</f>
        <v>4.3161388974000001</v>
      </c>
      <c r="AF55" s="18">
        <f>'[1]Palm Complex'!AF161</f>
        <v>2.9851233174741494</v>
      </c>
    </row>
    <row r="56" spans="1:32">
      <c r="A56" s="12" t="s">
        <v>51</v>
      </c>
      <c r="B56" s="18">
        <f>'[1]Palm Complex'!B162</f>
        <v>0.27557775000000001</v>
      </c>
      <c r="C56" s="18">
        <f>'[1]Palm Complex'!C162</f>
        <v>0.16644896100000001</v>
      </c>
      <c r="D56" s="18">
        <f>'[1]Palm Complex'!D162</f>
        <v>4.9383532799999998E-2</v>
      </c>
      <c r="E56" s="18">
        <f>'[1]Palm Complex'!E162</f>
        <v>3.72581118E-2</v>
      </c>
      <c r="F56" s="18">
        <f>'[1]Palm Complex'!F162</f>
        <v>0.1219155966</v>
      </c>
      <c r="G56" s="18">
        <f>'[1]Palm Complex'!G162</f>
        <v>1.3007269800000002E-2</v>
      </c>
      <c r="H56" s="18">
        <f>'[1]Palm Complex'!H162</f>
        <v>0.36640817640000001</v>
      </c>
      <c r="I56" s="18">
        <f>'[1]Palm Complex'!I162</f>
        <v>7.4295761400000007E-2</v>
      </c>
      <c r="J56" s="18">
        <f>'[1]Palm Complex'!J162</f>
        <v>7.8925467599999993E-2</v>
      </c>
      <c r="K56" s="18">
        <f>'[1]Palm Complex'!K162</f>
        <v>0.49648087439999999</v>
      </c>
      <c r="L56" s="18">
        <f>'[1]Palm Complex'!L162</f>
        <v>0.12015189900000001</v>
      </c>
      <c r="M56" s="18">
        <f>'[1]Palm Complex'!M162</f>
        <v>0.47465511660000004</v>
      </c>
      <c r="N56" s="18">
        <f>'[1]Palm Complex'!N162</f>
        <v>0.25772031180000005</v>
      </c>
      <c r="O56" s="18">
        <f>'[1]Palm Complex'!O162</f>
        <v>0.34259825880000006</v>
      </c>
      <c r="P56" s="18">
        <f>'[1]Palm Complex'!P162</f>
        <v>8.79644178E-2</v>
      </c>
      <c r="Q56" s="18">
        <f>'[1]Palm Complex'!Q162</f>
        <v>0.17262190259999999</v>
      </c>
      <c r="R56" s="18">
        <f>'[1]Palm Complex'!R162</f>
        <v>0.24669720179999999</v>
      </c>
      <c r="S56" s="18">
        <f>'[1]Palm Complex'!S162</f>
        <v>0.21980081340000002</v>
      </c>
      <c r="T56" s="18">
        <f>'[1]Palm Complex'!T162</f>
        <v>0.20326614839999999</v>
      </c>
      <c r="U56" s="18">
        <f>'[1]Palm Complex'!U162</f>
        <v>0.138891186</v>
      </c>
      <c r="V56" s="18">
        <f>'[1]Palm Complex'!V162</f>
        <v>3.9462733800000004E-2</v>
      </c>
      <c r="W56" s="18">
        <f>'[1]Palm Complex'!W162</f>
        <v>0.32518174499999997</v>
      </c>
      <c r="X56" s="18">
        <f>'[1]Palm Complex'!X162</f>
        <v>3.5273952000000004E-2</v>
      </c>
      <c r="Y56" s="18">
        <f>'[1]Palm Complex'!Y162</f>
        <v>0.22795791479999999</v>
      </c>
      <c r="Z56" s="18">
        <f>'[1]Palm Complex'!Z162</f>
        <v>3.2846060178799998</v>
      </c>
      <c r="AA56" s="18">
        <f>'[1]Palm Complex'!AA162</f>
        <v>1.8956667578199999</v>
      </c>
      <c r="AB56" s="18">
        <f>'[1]Palm Complex'!AB162</f>
        <v>2.57041275502</v>
      </c>
      <c r="AC56" s="18">
        <f>'[1]Palm Complex'!AC162</f>
        <v>2.6337820000000001</v>
      </c>
      <c r="AD56" s="18">
        <f>'[1]Palm Complex'!AD162</f>
        <v>3.03538474998</v>
      </c>
      <c r="AE56" s="18">
        <f>'[1]Palm Complex'!AE162</f>
        <v>3.5019793452600001</v>
      </c>
      <c r="AF56" s="18">
        <f>'[1]Palm Complex'!AF162</f>
        <v>2.7281541340535975</v>
      </c>
    </row>
    <row r="57" spans="1:32">
      <c r="A57" s="12" t="s">
        <v>52</v>
      </c>
      <c r="B57" s="18">
        <f>'[1]Palm Complex'!B163</f>
        <v>0.38272237919999996</v>
      </c>
      <c r="C57" s="18">
        <f>'[1]Palm Complex'!C163</f>
        <v>0.18408593700000001</v>
      </c>
      <c r="D57" s="18">
        <f>'[1]Palm Complex'!D163</f>
        <v>0.15167799360000001</v>
      </c>
      <c r="E57" s="18">
        <f>'[1]Palm Complex'!E163</f>
        <v>0.17659022220000001</v>
      </c>
      <c r="F57" s="18">
        <f>'[1]Palm Complex'!F163</f>
        <v>3.02033214E-2</v>
      </c>
      <c r="G57" s="18">
        <f>'[1]Palm Complex'!G163</f>
        <v>5.7981558600000004E-2</v>
      </c>
      <c r="H57" s="18">
        <f>'[1]Palm Complex'!H163</f>
        <v>7.7161770000000003E-3</v>
      </c>
      <c r="I57" s="18">
        <f>'[1]Palm Complex'!I163</f>
        <v>0.13646610179999999</v>
      </c>
      <c r="J57" s="18">
        <f>'[1]Palm Complex'!J163</f>
        <v>0.1287499248</v>
      </c>
      <c r="K57" s="18">
        <f>'[1]Palm Complex'!K163</f>
        <v>5.2470003600000002E-2</v>
      </c>
      <c r="L57" s="18">
        <f>'[1]Palm Complex'!L163</f>
        <v>8.8625804400000008E-2</v>
      </c>
      <c r="M57" s="18">
        <f>'[1]Palm Complex'!M163</f>
        <v>0.46782078839999997</v>
      </c>
      <c r="N57" s="18">
        <f>'[1]Palm Complex'!N163</f>
        <v>0.15895324620000001</v>
      </c>
      <c r="O57" s="18">
        <f>'[1]Palm Complex'!O163</f>
        <v>0.35141674680000001</v>
      </c>
      <c r="P57" s="18">
        <f>'[1]Palm Complex'!P163</f>
        <v>0.77867249039999997</v>
      </c>
      <c r="Q57" s="18">
        <f>'[1]Palm Complex'!Q163</f>
        <v>0.23677640280000004</v>
      </c>
      <c r="R57" s="18">
        <f>'[1]Palm Complex'!R163</f>
        <v>0.40124120399999996</v>
      </c>
      <c r="S57" s="18">
        <f>'[1]Palm Complex'!S163</f>
        <v>0.24846089939999999</v>
      </c>
      <c r="T57" s="18">
        <f>'[1]Palm Complex'!T163</f>
        <v>0.1086878646</v>
      </c>
      <c r="U57" s="18">
        <f>'[1]Palm Complex'!U163</f>
        <v>4.2108280200000001E-2</v>
      </c>
      <c r="V57" s="18">
        <f>'[1]Palm Complex'!V163</f>
        <v>8.4657484800000002E-2</v>
      </c>
      <c r="W57" s="18">
        <f>'[1]Palm Complex'!W163</f>
        <v>3.3730716600000002E-2</v>
      </c>
      <c r="X57" s="18">
        <f>'[1]Palm Complex'!X163</f>
        <v>1.006409943</v>
      </c>
      <c r="Y57" s="18">
        <f>'[1]Palm Complex'!Y163</f>
        <v>0.21142324980000002</v>
      </c>
      <c r="Z57" s="18">
        <f>'[1]Palm Complex'!Z163</f>
        <v>3.3821891129399999</v>
      </c>
      <c r="AA57" s="18">
        <f>'[1]Palm Complex'!AA163</f>
        <v>3.0271306527000004</v>
      </c>
      <c r="AB57" s="18">
        <f>'[1]Palm Complex'!AB163</f>
        <v>3.27306042294</v>
      </c>
      <c r="AC57" s="18">
        <f>'[1]Palm Complex'!AC163</f>
        <v>2.306073</v>
      </c>
      <c r="AD57" s="18">
        <f>'[1]Palm Complex'!AD163</f>
        <v>11.678866423620001</v>
      </c>
      <c r="AE57" s="18">
        <f>'[1]Palm Complex'!AE163</f>
        <v>3.6677799969799998</v>
      </c>
      <c r="AF57" s="18">
        <f>'[1]Palm Complex'!AF163</f>
        <v>4.8113864811202864</v>
      </c>
    </row>
    <row r="58" spans="1:32">
      <c r="A58" s="12" t="s">
        <v>53</v>
      </c>
      <c r="B58" s="18">
        <f>'[1]Palm Complex'!B164</f>
        <v>0.37169926920000002</v>
      </c>
      <c r="C58" s="18">
        <f>'[1]Palm Complex'!C164</f>
        <v>0.17350375139999999</v>
      </c>
      <c r="D58" s="18">
        <f>'[1]Palm Complex'!D164</f>
        <v>0.17019681840000001</v>
      </c>
      <c r="E58" s="18">
        <f>'[1]Palm Complex'!E164</f>
        <v>7.4516223600000001E-2</v>
      </c>
      <c r="F58" s="18">
        <f>'[1]Palm Complex'!F164</f>
        <v>0.15211891800000002</v>
      </c>
      <c r="G58" s="18">
        <f>'[1]Palm Complex'!G164</f>
        <v>8.0909627400000003E-2</v>
      </c>
      <c r="H58" s="18">
        <f>'[1]Palm Complex'!H164</f>
        <v>9.7003368000000006E-3</v>
      </c>
      <c r="I58" s="18">
        <f>'[1]Palm Complex'!I164</f>
        <v>0.14330043000000001</v>
      </c>
      <c r="J58" s="18">
        <f>'[1]Palm Complex'!J164</f>
        <v>0.17504698680000003</v>
      </c>
      <c r="K58" s="18">
        <f>'[1]Palm Complex'!K164</f>
        <v>0.1119947976</v>
      </c>
      <c r="L58" s="18">
        <f>'[1]Palm Complex'!L164</f>
        <v>0.65807966699999998</v>
      </c>
      <c r="M58" s="18">
        <f>'[1]Palm Complex'!M164</f>
        <v>0.23104438559999999</v>
      </c>
      <c r="N58" s="18">
        <f>'[1]Palm Complex'!N164</f>
        <v>0.23391039419999998</v>
      </c>
      <c r="O58" s="18">
        <f>'[1]Palm Complex'!O164</f>
        <v>0.15718954860000001</v>
      </c>
      <c r="P58" s="18">
        <f>'[1]Palm Complex'!P164</f>
        <v>0.58466575440000002</v>
      </c>
      <c r="Q58" s="18">
        <f>'[1]Palm Complex'!Q164</f>
        <v>0.5870908386</v>
      </c>
      <c r="R58" s="18">
        <f>'[1]Palm Complex'!R164</f>
        <v>0.33289792200000001</v>
      </c>
      <c r="S58" s="18">
        <f>'[1]Palm Complex'!S164</f>
        <v>0.29034871740000001</v>
      </c>
      <c r="T58" s="18">
        <f>'[1]Palm Complex'!T164</f>
        <v>7.0547904000000008E-2</v>
      </c>
      <c r="U58" s="18">
        <f>'[1]Palm Complex'!U164</f>
        <v>3.5273952000000004E-2</v>
      </c>
      <c r="V58" s="18">
        <f>'[1]Palm Complex'!V164</f>
        <v>4.4092440000000004E-2</v>
      </c>
      <c r="W58" s="18">
        <f>'[1]Palm Complex'!W164</f>
        <v>0.103617234</v>
      </c>
      <c r="X58" s="18">
        <f>'[1]Palm Complex'!X164</f>
        <v>1.2145262598</v>
      </c>
      <c r="Y58" s="18">
        <f>'[1]Palm Complex'!Y164</f>
        <v>0.30269460059999997</v>
      </c>
      <c r="Z58" s="18">
        <f>'[1]Palm Complex'!Z164</f>
        <v>2.97471360758</v>
      </c>
      <c r="AA58" s="18">
        <f>'[1]Palm Complex'!AA164</f>
        <v>2.36017137334</v>
      </c>
      <c r="AB58" s="18">
        <f>'[1]Palm Complex'!AB164</f>
        <v>2.1977526087000001</v>
      </c>
      <c r="AC58" s="18">
        <f>'[1]Palm Complex'!AC164</f>
        <v>4.2190719999999997</v>
      </c>
      <c r="AD58" s="18">
        <f>'[1]Palm Complex'!AD164</f>
        <v>3.7545979325799999</v>
      </c>
      <c r="AE58" s="18">
        <f>'[1]Palm Complex'!AE164</f>
        <v>3.7755695103657869</v>
      </c>
      <c r="AF58" s="18">
        <f>'[1]Palm Complex'!AF164</f>
        <v>3.1523146518859972</v>
      </c>
    </row>
    <row r="59" spans="1:32">
      <c r="A59" s="12" t="s">
        <v>54</v>
      </c>
      <c r="B59" s="18">
        <f>'[1]Palm Complex'!B165</f>
        <v>0.30798569339999998</v>
      </c>
      <c r="C59" s="18">
        <f>'[1]Palm Complex'!C165</f>
        <v>0.1022944608</v>
      </c>
      <c r="D59" s="18">
        <f>'[1]Palm Complex'!D165</f>
        <v>3.8139960600000002E-2</v>
      </c>
      <c r="E59" s="18">
        <f>'[1]Palm Complex'!E165</f>
        <v>0.25331106780000001</v>
      </c>
      <c r="F59" s="18">
        <f>'[1]Palm Complex'!F165</f>
        <v>5.8422482999999997E-2</v>
      </c>
      <c r="G59" s="18">
        <f>'[1]Palm Complex'!G165</f>
        <v>8.4877947000000009E-2</v>
      </c>
      <c r="H59" s="18">
        <f>'[1]Palm Complex'!H165</f>
        <v>0.10383769620000001</v>
      </c>
      <c r="I59" s="18">
        <f>'[1]Palm Complex'!I165</f>
        <v>0.18540871019999999</v>
      </c>
      <c r="J59" s="18">
        <f>'[1]Palm Complex'!J165</f>
        <v>0.2112027876</v>
      </c>
      <c r="K59" s="18">
        <f>'[1]Palm Complex'!K165</f>
        <v>7.3854837000000007E-2</v>
      </c>
      <c r="L59" s="18">
        <f>'[1]Palm Complex'!L165</f>
        <v>6.3934037999999999E-2</v>
      </c>
      <c r="M59" s="18">
        <f>'[1]Palm Complex'!M165</f>
        <v>6.6579584400000003E-2</v>
      </c>
      <c r="N59" s="18">
        <f>'[1]Palm Complex'!N165</f>
        <v>0.1832040882</v>
      </c>
      <c r="O59" s="18">
        <f>'[1]Palm Complex'!O165</f>
        <v>0.43034221439999998</v>
      </c>
      <c r="P59" s="18">
        <f>'[1]Palm Complex'!P165</f>
        <v>0.5945865534</v>
      </c>
      <c r="Q59" s="18">
        <f>'[1]Palm Complex'!Q165</f>
        <v>0.22332820860000002</v>
      </c>
      <c r="R59" s="18">
        <f>'[1]Palm Complex'!R165</f>
        <v>0.11001063779999999</v>
      </c>
      <c r="S59" s="18">
        <f>'[1]Palm Complex'!S165</f>
        <v>7.5177610200000008E-2</v>
      </c>
      <c r="T59" s="18">
        <f>'[1]Palm Complex'!T165</f>
        <v>0.38426561459999997</v>
      </c>
      <c r="U59" s="18">
        <f>'[1]Palm Complex'!U165</f>
        <v>0.1126561842</v>
      </c>
      <c r="V59" s="18">
        <f>'[1]Palm Complex'!V165</f>
        <v>0.10538093159999999</v>
      </c>
      <c r="W59" s="18">
        <f>'[1]Palm Complex'!W165</f>
        <v>5.99657184E-2</v>
      </c>
      <c r="X59" s="18">
        <f>'[1]Palm Complex'!X165</f>
        <v>0.35428275539999998</v>
      </c>
      <c r="Y59" s="18">
        <f>'[1]Palm Complex'!Y165</f>
        <v>8.1350551800000004E-2</v>
      </c>
      <c r="Z59" s="18">
        <f>'[1]Palm Complex'!Z165</f>
        <v>2.7743886066599996</v>
      </c>
      <c r="AA59" s="18">
        <f>'[1]Palm Complex'!AA165</f>
        <v>3.0632004405200002</v>
      </c>
      <c r="AB59" s="18">
        <f>'[1]Palm Complex'!AB165</f>
        <v>1.98194897076</v>
      </c>
      <c r="AC59" s="18">
        <f>'[1]Palm Complex'!AC165</f>
        <v>4.1699350000000006</v>
      </c>
      <c r="AD59" s="18">
        <f>'[1]Palm Complex'!AD165</f>
        <v>6.7539569871399996</v>
      </c>
      <c r="AE59" s="18">
        <f>'[1]Palm Complex'!AE165</f>
        <v>3.7807122372659792</v>
      </c>
      <c r="AF59" s="18">
        <f>'[1]Palm Complex'!AF165</f>
        <v>3.8103970882186173</v>
      </c>
    </row>
    <row r="60" spans="1:32">
      <c r="A60" s="12" t="s">
        <v>55</v>
      </c>
      <c r="B60" s="18">
        <f>'[1]Palm Complex'!B166</f>
        <v>1.4621053104000001</v>
      </c>
      <c r="C60" s="18">
        <f>'[1]Palm Complex'!C166</f>
        <v>0.18408593700000001</v>
      </c>
      <c r="D60" s="18">
        <f>'[1]Palm Complex'!D166</f>
        <v>0.1232383698</v>
      </c>
      <c r="E60" s="18">
        <f>'[1]Palm Complex'!E166</f>
        <v>0</v>
      </c>
      <c r="F60" s="18">
        <f>'[1]Palm Complex'!F166</f>
        <v>0.15498492659999999</v>
      </c>
      <c r="G60" s="18">
        <f>'[1]Palm Complex'!G166</f>
        <v>1.7636976000000003E-3</v>
      </c>
      <c r="H60" s="18">
        <f>'[1]Palm Complex'!H166</f>
        <v>0.25066552140000004</v>
      </c>
      <c r="I60" s="18">
        <f>'[1]Palm Complex'!I166</f>
        <v>0.17659022220000001</v>
      </c>
      <c r="J60" s="18">
        <f>'[1]Palm Complex'!J166</f>
        <v>0.24471304199999999</v>
      </c>
      <c r="K60" s="18">
        <f>'[1]Palm Complex'!K166</f>
        <v>9.1932737400000006E-2</v>
      </c>
      <c r="L60" s="18">
        <f>'[1]Palm Complex'!L166</f>
        <v>0.1704172806</v>
      </c>
      <c r="M60" s="18">
        <f>'[1]Palm Complex'!M166</f>
        <v>0.13646610179999999</v>
      </c>
      <c r="N60" s="18">
        <f>'[1]Palm Complex'!N166</f>
        <v>0.16248064140000001</v>
      </c>
      <c r="O60" s="18">
        <f>'[1]Palm Complex'!O166</f>
        <v>9.4798746000000003E-2</v>
      </c>
      <c r="P60" s="18">
        <f>'[1]Palm Complex'!P166</f>
        <v>0.39683196000000004</v>
      </c>
      <c r="Q60" s="18">
        <f>'[1]Palm Complex'!Q166</f>
        <v>0.17945623080000001</v>
      </c>
      <c r="R60" s="18">
        <f>'[1]Palm Complex'!R166</f>
        <v>0.18849518100000001</v>
      </c>
      <c r="S60" s="18">
        <f>'[1]Palm Complex'!S166</f>
        <v>7.0327441800000001E-2</v>
      </c>
      <c r="T60" s="18">
        <f>'[1]Palm Complex'!T166</f>
        <v>0.1084674024</v>
      </c>
      <c r="U60" s="18">
        <f>'[1]Palm Complex'!U166</f>
        <v>0.20988001439999998</v>
      </c>
      <c r="V60" s="18">
        <f>'[1]Palm Complex'!V166</f>
        <v>0.13095454680000002</v>
      </c>
      <c r="W60" s="18">
        <f>'[1]Palm Complex'!W166</f>
        <v>4.60765998E-2</v>
      </c>
      <c r="X60" s="18">
        <f>'[1]Palm Complex'!X166</f>
        <v>0.19797505559999998</v>
      </c>
      <c r="Y60" s="18">
        <f>'[1]Palm Complex'!Y166</f>
        <v>0.30335598720000001</v>
      </c>
      <c r="Z60" s="18">
        <f>'[1]Palm Complex'!Z166</f>
        <v>2.8245767809600002</v>
      </c>
      <c r="AA60" s="18">
        <f>'[1]Palm Complex'!AA166</f>
        <v>3.6284716223800002</v>
      </c>
      <c r="AB60" s="18">
        <f>'[1]Palm Complex'!AB166</f>
        <v>1.72981760446</v>
      </c>
      <c r="AC60" s="18">
        <f>'[1]Palm Complex'!AC166</f>
        <v>7.7835219999999996</v>
      </c>
      <c r="AD60" s="18">
        <f>'[1]Palm Complex'!AD166</f>
        <v>8.64180616244</v>
      </c>
      <c r="AE60" s="18">
        <f>'[1]Palm Complex'!AE166</f>
        <v>5.0958594385624094</v>
      </c>
      <c r="AF60" s="18">
        <f>'[1]Palm Complex'!AF166</f>
        <v>5.0026591390789914</v>
      </c>
    </row>
    <row r="61" spans="1:32">
      <c r="A61" s="12" t="s">
        <v>56</v>
      </c>
      <c r="B61" s="18">
        <f>'[1]Palm Complex'!B167</f>
        <v>0.47465511660000004</v>
      </c>
      <c r="C61" s="18">
        <f>'[1]Palm Complex'!C167</f>
        <v>6.3934037999999999E-2</v>
      </c>
      <c r="D61" s="18">
        <f>'[1]Palm Complex'!D167</f>
        <v>0.23413085640000003</v>
      </c>
      <c r="E61" s="18">
        <f>'[1]Palm Complex'!E167</f>
        <v>7.2752525999999998E-2</v>
      </c>
      <c r="F61" s="18">
        <f>'[1]Palm Complex'!F167</f>
        <v>8.3334711599999986E-2</v>
      </c>
      <c r="G61" s="18">
        <f>'[1]Palm Complex'!G167</f>
        <v>0.1186086636</v>
      </c>
      <c r="H61" s="18">
        <f>'[1]Palm Complex'!H167</f>
        <v>8.4216560400000001E-2</v>
      </c>
      <c r="I61" s="18">
        <f>'[1]Palm Complex'!I167</f>
        <v>0.18166085280000002</v>
      </c>
      <c r="J61" s="18">
        <f>'[1]Palm Complex'!J167</f>
        <v>0.28505762460000006</v>
      </c>
      <c r="K61" s="18">
        <f>'[1]Palm Complex'!K167</f>
        <v>0.11265618420000001</v>
      </c>
      <c r="L61" s="18">
        <f>'[1]Palm Complex'!L167</f>
        <v>0.28373485139999999</v>
      </c>
      <c r="M61" s="18">
        <f>'[1]Palm Complex'!M167</f>
        <v>0.4184372556</v>
      </c>
      <c r="N61" s="18">
        <f>'[1]Palm Complex'!N167</f>
        <v>0.24008333580000002</v>
      </c>
      <c r="O61" s="18">
        <f>'[1]Palm Complex'!O167</f>
        <v>0.29475796139999999</v>
      </c>
      <c r="P61" s="18">
        <f>'[1]Palm Complex'!P167</f>
        <v>0.64352916179999997</v>
      </c>
      <c r="Q61" s="18">
        <f>'[1]Palm Complex'!Q167</f>
        <v>0.18717240780000002</v>
      </c>
      <c r="R61" s="18">
        <f>'[1]Palm Complex'!R167</f>
        <v>6.3272651400000005E-2</v>
      </c>
      <c r="S61" s="18">
        <f>'[1]Palm Complex'!S167</f>
        <v>9.0389501999999997E-3</v>
      </c>
      <c r="T61" s="18">
        <f>'[1]Palm Complex'!T167</f>
        <v>0.22266682199999999</v>
      </c>
      <c r="U61" s="18">
        <f>'[1]Palm Complex'!U167</f>
        <v>0.1148608062</v>
      </c>
      <c r="V61" s="18">
        <f>'[1]Palm Complex'!V167</f>
        <v>0.17813345760000002</v>
      </c>
      <c r="W61" s="18">
        <f>'[1]Palm Complex'!W167</f>
        <v>0.29365565040000002</v>
      </c>
      <c r="X61" s="18">
        <f>'[1]Palm Complex'!X167</f>
        <v>4.2769666800000002E-2</v>
      </c>
      <c r="Y61" s="18">
        <f>'[1]Palm Complex'!Y167</f>
        <v>0.112435722</v>
      </c>
      <c r="Z61" s="18">
        <f>'[1]Palm Complex'!Z167</f>
        <v>2.4370023803400001</v>
      </c>
      <c r="AA61" s="18">
        <f>'[1]Palm Complex'!AA167</f>
        <v>2.4884493926599998</v>
      </c>
      <c r="AB61" s="18">
        <f>'[1]Palm Complex'!AB167</f>
        <v>2.9483022599800002</v>
      </c>
      <c r="AC61" s="18">
        <f>'[1]Palm Complex'!AC167</f>
        <v>3.3859209999999997</v>
      </c>
      <c r="AD61" s="18">
        <f>'[1]Palm Complex'!AD167</f>
        <v>9.7481947094399999</v>
      </c>
      <c r="AE61" s="18">
        <f>'[1]Palm Complex'!AE167</f>
        <v>3.5618678416176222</v>
      </c>
      <c r="AF61" s="18">
        <f>'[1]Palm Complex'!AF167</f>
        <v>4.2707405034456229</v>
      </c>
    </row>
    <row r="62" spans="1:32">
      <c r="A62" s="12" t="s">
        <v>57</v>
      </c>
      <c r="B62" s="18">
        <f>'[1]Palm Complex'!B168</f>
        <v>0.422185113</v>
      </c>
      <c r="C62" s="18">
        <f>'[1]Palm Complex'!C168</f>
        <v>0.20392753499999999</v>
      </c>
      <c r="D62" s="18">
        <f>'[1]Palm Complex'!D168</f>
        <v>0.23170577219999999</v>
      </c>
      <c r="E62" s="18">
        <f>'[1]Palm Complex'!E168</f>
        <v>2.99828592E-2</v>
      </c>
      <c r="F62" s="18">
        <f>'[1]Palm Complex'!F168</f>
        <v>1.1838820139999999</v>
      </c>
      <c r="G62" s="18">
        <f>'[1]Palm Complex'!G168</f>
        <v>6.0186180600000007E-2</v>
      </c>
      <c r="H62" s="18">
        <f>'[1]Palm Complex'!H168</f>
        <v>0.29938766760000002</v>
      </c>
      <c r="I62" s="18">
        <f>'[1]Palm Complex'!I168</f>
        <v>0.27160943040000002</v>
      </c>
      <c r="J62" s="18">
        <f>'[1]Palm Complex'!J168</f>
        <v>0.27557775000000001</v>
      </c>
      <c r="K62" s="18">
        <f>'[1]Palm Complex'!K168</f>
        <v>0.1880542566</v>
      </c>
      <c r="L62" s="18">
        <f>'[1]Palm Complex'!L168</f>
        <v>0.1880542566</v>
      </c>
      <c r="M62" s="18">
        <f>'[1]Palm Complex'!M168</f>
        <v>2.4471304199999998E-2</v>
      </c>
      <c r="N62" s="18">
        <f>'[1]Palm Complex'!N168</f>
        <v>0.57364264440000001</v>
      </c>
      <c r="O62" s="18">
        <f>'[1]Palm Complex'!O168</f>
        <v>0.16248064140000001</v>
      </c>
      <c r="P62" s="18">
        <f>'[1]Palm Complex'!P168</f>
        <v>0.46539570420000004</v>
      </c>
      <c r="Q62" s="18">
        <f>'[1]Palm Complex'!Q168</f>
        <v>0.15785093519999999</v>
      </c>
      <c r="R62" s="18">
        <f>'[1]Palm Complex'!R168</f>
        <v>0.41931910440000003</v>
      </c>
      <c r="S62" s="18">
        <f>'[1]Palm Complex'!S168</f>
        <v>0.26345232900000004</v>
      </c>
      <c r="T62" s="18">
        <f>'[1]Palm Complex'!T168</f>
        <v>0.20216383740000002</v>
      </c>
      <c r="U62" s="18">
        <f>'[1]Palm Complex'!U168</f>
        <v>5.1367692600000001E-2</v>
      </c>
      <c r="V62" s="18">
        <f>'[1]Palm Complex'!V168</f>
        <v>0.35714876400000001</v>
      </c>
      <c r="W62" s="18">
        <f>'[1]Palm Complex'!W168</f>
        <v>0.42901944120000002</v>
      </c>
      <c r="X62" s="18">
        <f>'[1]Palm Complex'!X168</f>
        <v>1.1684496599999998E-2</v>
      </c>
      <c r="Y62" s="18">
        <f>'[1]Palm Complex'!Y168</f>
        <v>3.0439541079199999</v>
      </c>
      <c r="Z62" s="18">
        <f>'[1]Palm Complex'!Z168</f>
        <v>3.1822962175399998</v>
      </c>
      <c r="AA62" s="18">
        <f>'[1]Palm Complex'!AA168</f>
        <v>3.1495818613599997</v>
      </c>
      <c r="AB62" s="18">
        <f>'[1]Palm Complex'!AB168</f>
        <v>2.7635683316999997</v>
      </c>
      <c r="AC62" s="18">
        <f>'[1]Palm Complex'!AC168</f>
        <v>4.4230489999999998</v>
      </c>
      <c r="AD62" s="18">
        <f>'[1]Palm Complex'!AD168</f>
        <v>4.7616198469399995</v>
      </c>
      <c r="AE62" s="18">
        <f>'[1]Palm Complex'!AE168</f>
        <v>5.187537968059071</v>
      </c>
      <c r="AF62" s="18">
        <f>'[1]Palm Complex'!AF168</f>
        <v>3.7162087158408461</v>
      </c>
    </row>
    <row r="63" spans="1:32" ht="15.75" thickBot="1">
      <c r="A63" s="12" t="s">
        <v>58</v>
      </c>
      <c r="B63" s="17">
        <f>SUM(B51:B62)</f>
        <v>5.1859323306000009</v>
      </c>
      <c r="C63" s="17">
        <f t="shared" ref="C63:AF63" si="4">SUM(C51:C62)</f>
        <v>1.9233122328000003</v>
      </c>
      <c r="D63" s="17">
        <f t="shared" si="4"/>
        <v>2.7357154398000008</v>
      </c>
      <c r="E63" s="17">
        <f t="shared" si="4"/>
        <v>1.3807547586000002</v>
      </c>
      <c r="F63" s="17">
        <f t="shared" si="4"/>
        <v>2.2024173779999998</v>
      </c>
      <c r="G63" s="17">
        <f t="shared" si="4"/>
        <v>2.7134487576000001</v>
      </c>
      <c r="H63" s="17">
        <f t="shared" si="4"/>
        <v>2.4343436123999997</v>
      </c>
      <c r="I63" s="17">
        <f t="shared" si="4"/>
        <v>1.5745410324000002</v>
      </c>
      <c r="J63" s="17">
        <f t="shared" si="4"/>
        <v>2.3979673494</v>
      </c>
      <c r="K63" s="17">
        <f t="shared" si="4"/>
        <v>1.6446480120000002</v>
      </c>
      <c r="L63" s="17">
        <f t="shared" si="4"/>
        <v>2.0771948484</v>
      </c>
      <c r="M63" s="17">
        <f t="shared" si="4"/>
        <v>2.5331106780000003</v>
      </c>
      <c r="N63" s="17">
        <f t="shared" si="4"/>
        <v>3.2207322798</v>
      </c>
      <c r="O63" s="17">
        <f t="shared" si="4"/>
        <v>2.4548465970000004</v>
      </c>
      <c r="P63" s="17">
        <f t="shared" si="4"/>
        <v>4.9969962251999993</v>
      </c>
      <c r="Q63" s="17">
        <f t="shared" si="4"/>
        <v>5.3129185577999998</v>
      </c>
      <c r="R63" s="17">
        <f t="shared" si="4"/>
        <v>2.431698066</v>
      </c>
      <c r="S63" s="17">
        <f t="shared" si="4"/>
        <v>2.2295342285999999</v>
      </c>
      <c r="T63" s="17">
        <f t="shared" si="4"/>
        <v>1.7601702048000001</v>
      </c>
      <c r="U63" s="17">
        <f t="shared" si="4"/>
        <v>1.4799627485999998</v>
      </c>
      <c r="V63" s="17">
        <f t="shared" si="4"/>
        <v>1.7127708317999999</v>
      </c>
      <c r="W63" s="17">
        <f t="shared" si="4"/>
        <v>2.0205360629999998</v>
      </c>
      <c r="X63" s="17">
        <f t="shared" si="4"/>
        <v>3.7031035734</v>
      </c>
      <c r="Y63" s="17">
        <f t="shared" si="4"/>
        <v>5.1187238721200004</v>
      </c>
      <c r="Z63" s="17">
        <f t="shared" si="4"/>
        <v>32.897218385900004</v>
      </c>
      <c r="AA63" s="17">
        <f t="shared" si="4"/>
        <v>30.14765600506</v>
      </c>
      <c r="AB63" s="17">
        <f t="shared" si="4"/>
        <v>37.818964192679999</v>
      </c>
      <c r="AC63" s="17">
        <f t="shared" si="4"/>
        <v>40.291783458359994</v>
      </c>
      <c r="AD63" s="17">
        <f t="shared" si="4"/>
        <v>72.569774163699989</v>
      </c>
      <c r="AE63" s="17">
        <f t="shared" si="4"/>
        <v>51.19990300813086</v>
      </c>
      <c r="AF63" s="17">
        <f t="shared" si="4"/>
        <v>43.448751224287662</v>
      </c>
    </row>
    <row r="64" spans="1:3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ht="15.75" thickBot="1">
      <c r="A65" s="12" t="s">
        <v>71</v>
      </c>
    </row>
    <row r="66" spans="1:32" ht="15.75" thickBot="1">
      <c r="A66" s="3"/>
      <c r="B66" s="3" t="str">
        <f>B2</f>
        <v xml:space="preserve">93/94 </v>
      </c>
      <c r="C66" s="3" t="str">
        <f t="shared" ref="C66:AF66" si="5">C2</f>
        <v xml:space="preserve">94/95 </v>
      </c>
      <c r="D66" s="3" t="str">
        <f t="shared" si="5"/>
        <v xml:space="preserve">95/96 </v>
      </c>
      <c r="E66" s="3" t="str">
        <f t="shared" si="5"/>
        <v xml:space="preserve">96/97 </v>
      </c>
      <c r="F66" s="3" t="str">
        <f t="shared" si="5"/>
        <v xml:space="preserve">97/98 </v>
      </c>
      <c r="G66" s="3" t="str">
        <f t="shared" si="5"/>
        <v xml:space="preserve">98/99 </v>
      </c>
      <c r="H66" s="3" t="str">
        <f t="shared" si="5"/>
        <v xml:space="preserve">99/00 </v>
      </c>
      <c r="I66" s="3" t="str">
        <f t="shared" si="5"/>
        <v xml:space="preserve">00/01 </v>
      </c>
      <c r="J66" s="3" t="str">
        <f t="shared" si="5"/>
        <v xml:space="preserve">01/02 </v>
      </c>
      <c r="K66" s="3" t="str">
        <f t="shared" si="5"/>
        <v xml:space="preserve">02/03 </v>
      </c>
      <c r="L66" s="3" t="str">
        <f t="shared" si="5"/>
        <v xml:space="preserve">03/04 </v>
      </c>
      <c r="M66" s="3" t="str">
        <f t="shared" si="5"/>
        <v xml:space="preserve">04/05 </v>
      </c>
      <c r="N66" s="3" t="str">
        <f t="shared" si="5"/>
        <v xml:space="preserve">05/06 </v>
      </c>
      <c r="O66" s="3" t="str">
        <f t="shared" si="5"/>
        <v xml:space="preserve">06/07 </v>
      </c>
      <c r="P66" s="3" t="str">
        <f t="shared" si="5"/>
        <v xml:space="preserve">07/08 </v>
      </c>
      <c r="Q66" s="3" t="str">
        <f t="shared" si="5"/>
        <v xml:space="preserve">08/09 </v>
      </c>
      <c r="R66" s="3" t="str">
        <f t="shared" si="5"/>
        <v xml:space="preserve">09/10 </v>
      </c>
      <c r="S66" s="3" t="str">
        <f t="shared" si="5"/>
        <v xml:space="preserve">10/11 </v>
      </c>
      <c r="T66" s="3" t="str">
        <f t="shared" si="5"/>
        <v xml:space="preserve">11/12 </v>
      </c>
      <c r="U66" s="3" t="str">
        <f t="shared" si="5"/>
        <v xml:space="preserve">12/13 </v>
      </c>
      <c r="V66" s="3" t="str">
        <f t="shared" si="5"/>
        <v xml:space="preserve">13/14 </v>
      </c>
      <c r="W66" s="3" t="str">
        <f t="shared" si="5"/>
        <v xml:space="preserve">14/15 </v>
      </c>
      <c r="X66" s="3" t="str">
        <f t="shared" si="5"/>
        <v xml:space="preserve">15/16 </v>
      </c>
      <c r="Y66" s="3" t="str">
        <f t="shared" si="5"/>
        <v xml:space="preserve">16/17 </v>
      </c>
      <c r="Z66" s="3" t="str">
        <f t="shared" si="5"/>
        <v xml:space="preserve">17/18 </v>
      </c>
      <c r="AA66" s="3" t="str">
        <f t="shared" si="5"/>
        <v xml:space="preserve">18/19 </v>
      </c>
      <c r="AB66" s="3" t="str">
        <f t="shared" si="5"/>
        <v xml:space="preserve">19/20 </v>
      </c>
      <c r="AC66" s="3" t="str">
        <f t="shared" si="5"/>
        <v xml:space="preserve">20/21 </v>
      </c>
      <c r="AD66" s="3" t="str">
        <f t="shared" si="5"/>
        <v xml:space="preserve">21/22 </v>
      </c>
      <c r="AE66" s="3" t="str">
        <f t="shared" si="5"/>
        <v xml:space="preserve">22/23 </v>
      </c>
      <c r="AF66" s="3" t="str">
        <f t="shared" si="5"/>
        <v>23/24</v>
      </c>
    </row>
    <row r="67" spans="1:32">
      <c r="A67" s="12" t="s">
        <v>46</v>
      </c>
      <c r="B67" s="14" t="e">
        <f>B3+B35-B51-B115</f>
        <v>#VALUE!</v>
      </c>
      <c r="C67" s="14" t="e">
        <f>B126+C35-C51-C115</f>
        <v>#VALUE!</v>
      </c>
      <c r="D67" s="14" t="e">
        <f t="shared" ref="D67:AF67" si="6">C126+D35-D51-D115</f>
        <v>#VALUE!</v>
      </c>
      <c r="E67" s="14" t="e">
        <f t="shared" si="6"/>
        <v>#VALUE!</v>
      </c>
      <c r="F67" s="14" t="e">
        <f t="shared" si="6"/>
        <v>#VALUE!</v>
      </c>
      <c r="G67" s="14" t="e">
        <f t="shared" si="6"/>
        <v>#VALUE!</v>
      </c>
      <c r="H67" s="14" t="e">
        <f t="shared" si="6"/>
        <v>#VALUE!</v>
      </c>
      <c r="I67" s="14" t="e">
        <f t="shared" si="6"/>
        <v>#VALUE!</v>
      </c>
      <c r="J67" s="14">
        <f t="shared" si="6"/>
        <v>-45529.330999999998</v>
      </c>
      <c r="K67" s="14">
        <f t="shared" si="6"/>
        <v>-45553.784</v>
      </c>
      <c r="L67" s="14">
        <f t="shared" si="6"/>
        <v>-45676.800000000003</v>
      </c>
      <c r="M67" s="14">
        <f t="shared" si="6"/>
        <v>-45698.8</v>
      </c>
      <c r="N67" s="14">
        <f t="shared" si="6"/>
        <v>-45725</v>
      </c>
      <c r="O67" s="14">
        <f t="shared" si="6"/>
        <v>-45739.4</v>
      </c>
      <c r="P67" s="14">
        <f t="shared" si="6"/>
        <v>-45767.1</v>
      </c>
      <c r="Q67" s="14">
        <f t="shared" si="6"/>
        <v>-45785.2</v>
      </c>
      <c r="R67" s="14">
        <f t="shared" si="6"/>
        <v>-45832.5</v>
      </c>
      <c r="S67" s="14">
        <f t="shared" si="6"/>
        <v>-45866.714999999997</v>
      </c>
      <c r="T67" s="14">
        <f t="shared" si="6"/>
        <v>-45887.531499999997</v>
      </c>
      <c r="U67" s="14">
        <f t="shared" si="6"/>
        <v>-45922</v>
      </c>
      <c r="V67" s="14" t="e">
        <f t="shared" si="6"/>
        <v>#VALUE!</v>
      </c>
      <c r="W67" s="14" t="e">
        <f t="shared" si="6"/>
        <v>#VALUE!</v>
      </c>
      <c r="X67" s="14" t="e">
        <f t="shared" si="6"/>
        <v>#VALUE!</v>
      </c>
      <c r="Y67" s="14" t="e">
        <f t="shared" si="6"/>
        <v>#VALUE!</v>
      </c>
      <c r="Z67" s="14" t="e">
        <f t="shared" si="6"/>
        <v>#VALUE!</v>
      </c>
      <c r="AA67" s="14" t="e">
        <f t="shared" si="6"/>
        <v>#VALUE!</v>
      </c>
      <c r="AB67" s="14" t="e">
        <f t="shared" si="6"/>
        <v>#VALUE!</v>
      </c>
      <c r="AC67" s="14" t="e">
        <f t="shared" si="6"/>
        <v>#VALUE!</v>
      </c>
      <c r="AD67" s="14" t="e">
        <f t="shared" si="6"/>
        <v>#VALUE!</v>
      </c>
      <c r="AE67" s="14" t="e">
        <f t="shared" si="6"/>
        <v>#VALUE!</v>
      </c>
      <c r="AF67" s="14" t="e">
        <f t="shared" si="6"/>
        <v>#VALUE!</v>
      </c>
    </row>
    <row r="68" spans="1:32">
      <c r="A68" s="12" t="s">
        <v>47</v>
      </c>
      <c r="B68" s="14" t="e">
        <f>B115+B36-B52-B116</f>
        <v>#VALUE!</v>
      </c>
      <c r="C68" s="14" t="e">
        <f t="shared" ref="C68:AF76" si="7">C115+C36-C52-C116</f>
        <v>#VALUE!</v>
      </c>
      <c r="D68" s="14" t="e">
        <f t="shared" si="7"/>
        <v>#VALUE!</v>
      </c>
      <c r="E68" s="14" t="e">
        <f t="shared" si="7"/>
        <v>#VALUE!</v>
      </c>
      <c r="F68" s="14" t="e">
        <f t="shared" si="7"/>
        <v>#VALUE!</v>
      </c>
      <c r="G68" s="14" t="e">
        <f t="shared" si="7"/>
        <v>#VALUE!</v>
      </c>
      <c r="H68" s="14" t="e">
        <f t="shared" si="7"/>
        <v>#VALUE!</v>
      </c>
      <c r="I68" s="14" t="e">
        <f t="shared" si="7"/>
        <v>#VALUE!</v>
      </c>
      <c r="J68" s="14">
        <f t="shared" si="7"/>
        <v>45556.115011349204</v>
      </c>
      <c r="K68" s="14">
        <f t="shared" si="7"/>
        <v>45645.713035136207</v>
      </c>
      <c r="L68" s="14">
        <f t="shared" si="7"/>
        <v>45716.285870298998</v>
      </c>
      <c r="M68" s="14">
        <f t="shared" si="7"/>
        <v>45751.020290409993</v>
      </c>
      <c r="N68" s="14">
        <f t="shared" si="7"/>
        <v>45757.4853912256</v>
      </c>
      <c r="O68" s="14">
        <f t="shared" si="7"/>
        <v>45808.372267799408</v>
      </c>
      <c r="P68" s="14">
        <f t="shared" si="7"/>
        <v>45817.498774953201</v>
      </c>
      <c r="Q68" s="14">
        <f t="shared" si="7"/>
        <v>45881.640515226602</v>
      </c>
      <c r="R68" s="14">
        <f t="shared" si="7"/>
        <v>45886.857309266801</v>
      </c>
      <c r="S68" s="14">
        <f t="shared" si="7"/>
        <v>45914.208601761398</v>
      </c>
      <c r="T68" s="14">
        <f t="shared" si="7"/>
        <v>46013.223802755594</v>
      </c>
      <c r="U68" s="14">
        <f t="shared" si="7"/>
        <v>45958.487366300935</v>
      </c>
      <c r="V68" s="14" t="e">
        <f t="shared" si="7"/>
        <v>#VALUE!</v>
      </c>
      <c r="W68" s="14" t="e">
        <f t="shared" si="7"/>
        <v>#VALUE!</v>
      </c>
      <c r="X68" s="14" t="e">
        <f t="shared" si="7"/>
        <v>#VALUE!</v>
      </c>
      <c r="Y68" s="14" t="e">
        <f t="shared" si="7"/>
        <v>#VALUE!</v>
      </c>
      <c r="Z68" s="14" t="e">
        <f t="shared" si="7"/>
        <v>#VALUE!</v>
      </c>
      <c r="AA68" s="14" t="e">
        <f t="shared" si="7"/>
        <v>#VALUE!</v>
      </c>
      <c r="AB68" s="14" t="e">
        <f t="shared" si="7"/>
        <v>#VALUE!</v>
      </c>
      <c r="AC68" s="14" t="e">
        <f t="shared" si="7"/>
        <v>#VALUE!</v>
      </c>
      <c r="AD68" s="14" t="e">
        <f t="shared" si="7"/>
        <v>#VALUE!</v>
      </c>
      <c r="AE68" s="14" t="e">
        <f t="shared" si="7"/>
        <v>#VALUE!</v>
      </c>
      <c r="AF68" s="14" t="e">
        <f t="shared" si="7"/>
        <v>#VALUE!</v>
      </c>
    </row>
    <row r="69" spans="1:32">
      <c r="A69" s="12" t="s">
        <v>48</v>
      </c>
      <c r="B69" s="14">
        <f t="shared" ref="B69:Q78" si="8">B116+B37-B53-B117</f>
        <v>39.415286499600015</v>
      </c>
      <c r="C69" s="14">
        <f t="shared" si="8"/>
        <v>20.753414810200006</v>
      </c>
      <c r="D69" s="14">
        <f t="shared" si="8"/>
        <v>31.337124852800002</v>
      </c>
      <c r="E69" s="14">
        <f t="shared" si="8"/>
        <v>19.279413937400008</v>
      </c>
      <c r="F69" s="14">
        <f t="shared" si="8"/>
        <v>22.899581248800011</v>
      </c>
      <c r="G69" s="14">
        <f t="shared" si="8"/>
        <v>20.409484945200006</v>
      </c>
      <c r="H69" s="14">
        <f t="shared" si="8"/>
        <v>36.051758617400012</v>
      </c>
      <c r="I69" s="14">
        <f t="shared" si="8"/>
        <v>26.772775262599993</v>
      </c>
      <c r="J69" s="14">
        <f t="shared" si="8"/>
        <v>40.186926627800005</v>
      </c>
      <c r="K69" s="14">
        <f t="shared" si="8"/>
        <v>67.285816212400007</v>
      </c>
      <c r="L69" s="14">
        <f t="shared" si="8"/>
        <v>57.615490422600004</v>
      </c>
      <c r="M69" s="14">
        <f t="shared" si="8"/>
        <v>29.598993161799996</v>
      </c>
      <c r="N69" s="14">
        <f t="shared" si="8"/>
        <v>38.343489121999994</v>
      </c>
      <c r="O69" s="14">
        <f t="shared" si="8"/>
        <v>24.871584239599997</v>
      </c>
      <c r="P69" s="14">
        <f t="shared" si="8"/>
        <v>39.849270756800024</v>
      </c>
      <c r="Q69" s="14">
        <f t="shared" si="8"/>
        <v>60.309437199200019</v>
      </c>
      <c r="R69" s="14">
        <f t="shared" si="7"/>
        <v>50.045600142799998</v>
      </c>
      <c r="S69" s="14">
        <f t="shared" si="7"/>
        <v>40.674927504399989</v>
      </c>
      <c r="T69" s="14">
        <f t="shared" si="7"/>
        <v>75.986045087399987</v>
      </c>
      <c r="U69" s="14">
        <f t="shared" si="7"/>
        <v>38.817872217133328</v>
      </c>
      <c r="V69" s="14">
        <f t="shared" si="7"/>
        <v>81.406990123199989</v>
      </c>
      <c r="W69" s="14">
        <f t="shared" si="7"/>
        <v>26.187897556599992</v>
      </c>
      <c r="X69" s="14">
        <f t="shared" si="7"/>
        <v>18.688686397800012</v>
      </c>
      <c r="Y69" s="14">
        <f t="shared" si="7"/>
        <v>78.21947895400001</v>
      </c>
      <c r="Z69" s="14">
        <f t="shared" si="7"/>
        <v>93.707189479459998</v>
      </c>
      <c r="AA69" s="14">
        <f t="shared" si="7"/>
        <v>37.402699652799996</v>
      </c>
      <c r="AB69" s="14">
        <f t="shared" si="7"/>
        <v>57.65489122004</v>
      </c>
      <c r="AC69" s="14">
        <f t="shared" si="7"/>
        <v>66.01089907846</v>
      </c>
      <c r="AD69" s="14">
        <f t="shared" si="7"/>
        <v>74.011008081160014</v>
      </c>
      <c r="AE69" s="14">
        <f t="shared" si="7"/>
        <v>43.396508319779997</v>
      </c>
      <c r="AF69" s="14">
        <f t="shared" si="7"/>
        <v>48.20461315246483</v>
      </c>
    </row>
    <row r="70" spans="1:32">
      <c r="A70" s="12" t="s">
        <v>49</v>
      </c>
      <c r="B70" s="14">
        <f t="shared" si="8"/>
        <v>14.951401897799997</v>
      </c>
      <c r="C70" s="14">
        <f t="shared" si="7"/>
        <v>32.472245626199992</v>
      </c>
      <c r="D70" s="14">
        <f t="shared" si="7"/>
        <v>7.8646786839999976</v>
      </c>
      <c r="E70" s="14">
        <f t="shared" si="7"/>
        <v>49.148079170399996</v>
      </c>
      <c r="F70" s="14">
        <f t="shared" si="7"/>
        <v>21.285276014600001</v>
      </c>
      <c r="G70" s="14">
        <f t="shared" si="7"/>
        <v>29.690702056599996</v>
      </c>
      <c r="H70" s="14">
        <f t="shared" si="7"/>
        <v>50.706490566799999</v>
      </c>
      <c r="I70" s="14">
        <f t="shared" si="7"/>
        <v>9.5532494182000107</v>
      </c>
      <c r="J70" s="14">
        <f t="shared" si="7"/>
        <v>11.181680967199981</v>
      </c>
      <c r="K70" s="14">
        <f t="shared" si="7"/>
        <v>54.184252315400002</v>
      </c>
      <c r="L70" s="14">
        <f t="shared" si="7"/>
        <v>32.062308851399997</v>
      </c>
      <c r="M70" s="14">
        <f t="shared" si="7"/>
        <v>26.225183053199999</v>
      </c>
      <c r="N70" s="14">
        <f t="shared" si="7"/>
        <v>14.332086173799993</v>
      </c>
      <c r="O70" s="14">
        <f t="shared" si="7"/>
        <v>54.095867777999999</v>
      </c>
      <c r="P70" s="14">
        <f t="shared" si="7"/>
        <v>41.581311638799988</v>
      </c>
      <c r="Q70" s="14">
        <f t="shared" si="7"/>
        <v>66.298996542200001</v>
      </c>
      <c r="R70" s="14">
        <f t="shared" si="7"/>
        <v>49.055171928400007</v>
      </c>
      <c r="S70" s="14">
        <f t="shared" si="7"/>
        <v>49.75386644400001</v>
      </c>
      <c r="T70" s="14">
        <f t="shared" si="7"/>
        <v>30.477355914599997</v>
      </c>
      <c r="U70" s="14">
        <f t="shared" si="7"/>
        <v>50.038957272733356</v>
      </c>
      <c r="V70" s="14">
        <f t="shared" si="7"/>
        <v>38.255262330600004</v>
      </c>
      <c r="W70" s="14">
        <f t="shared" si="7"/>
        <v>58.100682855399995</v>
      </c>
      <c r="X70" s="14">
        <f t="shared" si="7"/>
        <v>66.96230764340001</v>
      </c>
      <c r="Y70" s="14">
        <f t="shared" si="7"/>
        <v>48.093657162</v>
      </c>
      <c r="Z70" s="14">
        <f t="shared" si="7"/>
        <v>40.925998797260021</v>
      </c>
      <c r="AA70" s="14">
        <f t="shared" si="7"/>
        <v>73.375043376139999</v>
      </c>
      <c r="AB70" s="14">
        <f t="shared" si="7"/>
        <v>44.986063080660003</v>
      </c>
      <c r="AC70" s="14">
        <f t="shared" si="7"/>
        <v>88.259608013299996</v>
      </c>
      <c r="AD70" s="14">
        <f t="shared" si="7"/>
        <v>51.335275730840024</v>
      </c>
      <c r="AE70" s="14">
        <f t="shared" si="7"/>
        <v>72.483154282840019</v>
      </c>
      <c r="AF70" s="14">
        <f t="shared" si="7"/>
        <v>54.036830006340409</v>
      </c>
    </row>
    <row r="71" spans="1:32">
      <c r="A71" s="12" t="s">
        <v>50</v>
      </c>
      <c r="B71" s="14">
        <f t="shared" si="8"/>
        <v>17.250969987800005</v>
      </c>
      <c r="C71" s="14">
        <f t="shared" si="7"/>
        <v>20.594314401399998</v>
      </c>
      <c r="D71" s="14">
        <f t="shared" si="7"/>
        <v>13.194248244600004</v>
      </c>
      <c r="E71" s="14">
        <f t="shared" si="7"/>
        <v>25.952228294400001</v>
      </c>
      <c r="F71" s="14">
        <f t="shared" si="7"/>
        <v>40.339307483000006</v>
      </c>
      <c r="G71" s="14">
        <f t="shared" si="7"/>
        <v>28.580604396999995</v>
      </c>
      <c r="H71" s="14">
        <f t="shared" si="7"/>
        <v>21.166461174400006</v>
      </c>
      <c r="I71" s="14">
        <f t="shared" si="7"/>
        <v>28.320935820800003</v>
      </c>
      <c r="J71" s="14">
        <f t="shared" si="7"/>
        <v>37.19319813140001</v>
      </c>
      <c r="K71" s="14">
        <f t="shared" si="7"/>
        <v>42.560956041200015</v>
      </c>
      <c r="L71" s="14">
        <f t="shared" si="7"/>
        <v>45.956638101799996</v>
      </c>
      <c r="M71" s="14">
        <f t="shared" si="7"/>
        <v>43.564206552800002</v>
      </c>
      <c r="N71" s="14">
        <f t="shared" si="7"/>
        <v>50.260469600600004</v>
      </c>
      <c r="O71" s="14">
        <f t="shared" si="7"/>
        <v>87.496512061999994</v>
      </c>
      <c r="P71" s="14">
        <f t="shared" si="7"/>
        <v>52.002714138200005</v>
      </c>
      <c r="Q71" s="14">
        <f t="shared" si="7"/>
        <v>51.575939158199958</v>
      </c>
      <c r="R71" s="14">
        <f t="shared" si="7"/>
        <v>27.420995935800008</v>
      </c>
      <c r="S71" s="14">
        <f t="shared" si="7"/>
        <v>40.468700132400002</v>
      </c>
      <c r="T71" s="14">
        <f t="shared" si="7"/>
        <v>52.953918128999987</v>
      </c>
      <c r="U71" s="14">
        <f t="shared" si="7"/>
        <v>49.440622861933349</v>
      </c>
      <c r="V71" s="14">
        <f t="shared" si="7"/>
        <v>63.348269934600012</v>
      </c>
      <c r="W71" s="14">
        <f t="shared" si="7"/>
        <v>69.82023294519999</v>
      </c>
      <c r="X71" s="14">
        <f t="shared" si="7"/>
        <v>65.886102449400028</v>
      </c>
      <c r="Y71" s="14">
        <f t="shared" si="7"/>
        <v>80.696945076799992</v>
      </c>
      <c r="Z71" s="14">
        <f t="shared" si="7"/>
        <v>100.57598776302</v>
      </c>
      <c r="AA71" s="14">
        <f t="shared" si="7"/>
        <v>56.006307730000003</v>
      </c>
      <c r="AB71" s="14">
        <f t="shared" si="7"/>
        <v>61.922914822939994</v>
      </c>
      <c r="AC71" s="14">
        <f t="shared" si="7"/>
        <v>92.808075000000002</v>
      </c>
      <c r="AD71" s="14">
        <f t="shared" si="7"/>
        <v>65.964740253340011</v>
      </c>
      <c r="AE71" s="14">
        <f t="shared" si="7"/>
        <v>51.188545256299996</v>
      </c>
      <c r="AF71" s="14">
        <f t="shared" si="7"/>
        <v>71.089705058512891</v>
      </c>
    </row>
    <row r="72" spans="1:32">
      <c r="A72" s="12" t="s">
        <v>51</v>
      </c>
      <c r="B72" s="14">
        <f t="shared" si="8"/>
        <v>40.556655023000019</v>
      </c>
      <c r="C72" s="14">
        <f t="shared" si="7"/>
        <v>20.256983553400005</v>
      </c>
      <c r="D72" s="14">
        <f t="shared" si="7"/>
        <v>8.7161963562000011</v>
      </c>
      <c r="E72" s="14">
        <f t="shared" si="7"/>
        <v>27.174295379400007</v>
      </c>
      <c r="F72" s="14">
        <f t="shared" si="7"/>
        <v>26.693676133399997</v>
      </c>
      <c r="G72" s="14">
        <f t="shared" si="7"/>
        <v>17.009584743800005</v>
      </c>
      <c r="H72" s="14">
        <f t="shared" si="7"/>
        <v>43.643505661199995</v>
      </c>
      <c r="I72" s="14">
        <f t="shared" si="7"/>
        <v>5.2507880565999869</v>
      </c>
      <c r="J72" s="14">
        <f t="shared" si="7"/>
        <v>4.0929842142000155</v>
      </c>
      <c r="K72" s="14">
        <f t="shared" si="7"/>
        <v>14.965904475599984</v>
      </c>
      <c r="L72" s="14">
        <f t="shared" si="7"/>
        <v>37.717637720799985</v>
      </c>
      <c r="M72" s="14">
        <f t="shared" si="7"/>
        <v>47.709028608399997</v>
      </c>
      <c r="N72" s="14">
        <f t="shared" si="7"/>
        <v>38.9950558484</v>
      </c>
      <c r="O72" s="14">
        <f t="shared" si="7"/>
        <v>50.992234950200015</v>
      </c>
      <c r="P72" s="14">
        <f t="shared" si="7"/>
        <v>24.045240042800017</v>
      </c>
      <c r="Q72" s="14">
        <f t="shared" si="7"/>
        <v>76.238326580399985</v>
      </c>
      <c r="R72" s="14">
        <f t="shared" si="7"/>
        <v>81.884117675599981</v>
      </c>
      <c r="S72" s="14">
        <f t="shared" si="7"/>
        <v>48.870817466199966</v>
      </c>
      <c r="T72" s="14">
        <f t="shared" si="7"/>
        <v>59.898256966800005</v>
      </c>
      <c r="U72" s="14">
        <f t="shared" si="7"/>
        <v>45.147121516933339</v>
      </c>
      <c r="V72" s="14">
        <f t="shared" si="7"/>
        <v>31.62993229620001</v>
      </c>
      <c r="W72" s="14">
        <f t="shared" si="7"/>
        <v>47.923927241199991</v>
      </c>
      <c r="X72" s="14">
        <f t="shared" si="7"/>
        <v>109.95577893419997</v>
      </c>
      <c r="Y72" s="14">
        <f t="shared" si="7"/>
        <v>84.629042085200012</v>
      </c>
      <c r="Z72" s="14">
        <f t="shared" si="7"/>
        <v>65.116122622240013</v>
      </c>
      <c r="AA72" s="14">
        <f t="shared" si="7"/>
        <v>73.505637464199992</v>
      </c>
      <c r="AB72" s="14">
        <f t="shared" si="7"/>
        <v>89.933925564500015</v>
      </c>
      <c r="AC72" s="14">
        <f t="shared" si="7"/>
        <v>61.173227999999995</v>
      </c>
      <c r="AD72" s="14">
        <f t="shared" si="7"/>
        <v>60.560215612360011</v>
      </c>
      <c r="AE72" s="14">
        <f t="shared" si="7"/>
        <v>83.284291341379998</v>
      </c>
      <c r="AF72" s="14">
        <f t="shared" si="7"/>
        <v>69.229464036047148</v>
      </c>
    </row>
    <row r="73" spans="1:32">
      <c r="A73" s="12" t="s">
        <v>52</v>
      </c>
      <c r="B73" s="14">
        <f t="shared" si="8"/>
        <v>18.255924280600013</v>
      </c>
      <c r="C73" s="14">
        <f t="shared" si="7"/>
        <v>23.0030248212</v>
      </c>
      <c r="D73" s="14">
        <f t="shared" si="7"/>
        <v>36.797804392399996</v>
      </c>
      <c r="E73" s="14">
        <f t="shared" si="7"/>
        <v>37.660459077399992</v>
      </c>
      <c r="F73" s="14">
        <f t="shared" si="7"/>
        <v>24.069883318400009</v>
      </c>
      <c r="G73" s="14">
        <f t="shared" si="7"/>
        <v>6.1220723369999916</v>
      </c>
      <c r="H73" s="14">
        <f t="shared" si="7"/>
        <v>41.887355083800003</v>
      </c>
      <c r="I73" s="14">
        <f t="shared" si="7"/>
        <v>30.066417678799993</v>
      </c>
      <c r="J73" s="14">
        <f t="shared" si="7"/>
        <v>14.484019064000023</v>
      </c>
      <c r="K73" s="14">
        <f t="shared" si="7"/>
        <v>55.594749491200005</v>
      </c>
      <c r="L73" s="14">
        <f t="shared" si="7"/>
        <v>41.04646527100001</v>
      </c>
      <c r="M73" s="14">
        <f t="shared" si="7"/>
        <v>30.362480259400002</v>
      </c>
      <c r="N73" s="14">
        <f t="shared" si="7"/>
        <v>28.034569889999986</v>
      </c>
      <c r="O73" s="14">
        <f t="shared" si="7"/>
        <v>62.271155528600005</v>
      </c>
      <c r="P73" s="14">
        <f t="shared" si="7"/>
        <v>27.787507699000003</v>
      </c>
      <c r="Q73" s="14">
        <f t="shared" si="7"/>
        <v>40.777723157400018</v>
      </c>
      <c r="R73" s="14">
        <f t="shared" si="7"/>
        <v>54.780062321800031</v>
      </c>
      <c r="S73" s="14">
        <f t="shared" si="7"/>
        <v>62.598488770600007</v>
      </c>
      <c r="T73" s="14">
        <f t="shared" si="7"/>
        <v>61.073540954999999</v>
      </c>
      <c r="U73" s="14">
        <f t="shared" si="7"/>
        <v>51.58990884973332</v>
      </c>
      <c r="V73" s="14">
        <f t="shared" si="7"/>
        <v>69.326322949799987</v>
      </c>
      <c r="W73" s="14">
        <f t="shared" si="7"/>
        <v>58.299539759800012</v>
      </c>
      <c r="X73" s="14">
        <f t="shared" si="7"/>
        <v>87.355752927000026</v>
      </c>
      <c r="Y73" s="14">
        <f t="shared" si="7"/>
        <v>73.586824256600011</v>
      </c>
      <c r="Z73" s="14">
        <f t="shared" si="7"/>
        <v>66.501083380839987</v>
      </c>
      <c r="AA73" s="14">
        <f t="shared" si="7"/>
        <v>55.954375190440004</v>
      </c>
      <c r="AB73" s="14">
        <f t="shared" si="7"/>
        <v>87.000458755039986</v>
      </c>
      <c r="AC73" s="14">
        <f t="shared" si="7"/>
        <v>71.268103000000011</v>
      </c>
      <c r="AD73" s="14">
        <f t="shared" si="7"/>
        <v>33.283408929840007</v>
      </c>
      <c r="AE73" s="14">
        <f t="shared" si="7"/>
        <v>56.188182896679997</v>
      </c>
      <c r="AF73" s="14">
        <f t="shared" si="7"/>
        <v>66.316589690485756</v>
      </c>
    </row>
    <row r="74" spans="1:32">
      <c r="A74" s="12" t="s">
        <v>53</v>
      </c>
      <c r="B74" s="14">
        <f t="shared" si="8"/>
        <v>31.555379613800014</v>
      </c>
      <c r="C74" s="14">
        <f t="shared" si="7"/>
        <v>23.845032175999989</v>
      </c>
      <c r="D74" s="14">
        <f t="shared" si="7"/>
        <v>21.850294134199999</v>
      </c>
      <c r="E74" s="14">
        <f t="shared" si="7"/>
        <v>24.390009845200012</v>
      </c>
      <c r="F74" s="14">
        <f t="shared" si="7"/>
        <v>5.4001197182000027</v>
      </c>
      <c r="G74" s="14">
        <f t="shared" si="7"/>
        <v>29.163217581200001</v>
      </c>
      <c r="H74" s="14">
        <f t="shared" si="7"/>
        <v>5.9859830749999929</v>
      </c>
      <c r="I74" s="14">
        <f t="shared" si="7"/>
        <v>24.046939731199998</v>
      </c>
      <c r="J74" s="14">
        <f t="shared" si="7"/>
        <v>57.58559028900001</v>
      </c>
      <c r="K74" s="14">
        <f t="shared" si="7"/>
        <v>45.313966925399995</v>
      </c>
      <c r="L74" s="14">
        <f t="shared" si="7"/>
        <v>16.073855581800018</v>
      </c>
      <c r="M74" s="14">
        <f t="shared" si="7"/>
        <v>59.876550182400003</v>
      </c>
      <c r="N74" s="14">
        <f t="shared" si="7"/>
        <v>50.496228078600012</v>
      </c>
      <c r="O74" s="14">
        <f t="shared" si="7"/>
        <v>51.178892570599984</v>
      </c>
      <c r="P74" s="14">
        <f t="shared" si="7"/>
        <v>34.146509436000002</v>
      </c>
      <c r="Q74" s="14">
        <f t="shared" si="7"/>
        <v>57.772859085399986</v>
      </c>
      <c r="R74" s="14">
        <f t="shared" si="7"/>
        <v>76.290227858000009</v>
      </c>
      <c r="S74" s="14">
        <f t="shared" si="7"/>
        <v>45.989478552000001</v>
      </c>
      <c r="T74" s="14">
        <f t="shared" si="7"/>
        <v>37.146117002400004</v>
      </c>
      <c r="U74" s="14">
        <f t="shared" si="7"/>
        <v>75.850671648733325</v>
      </c>
      <c r="V74" s="14">
        <f t="shared" si="7"/>
        <v>45.414331351200005</v>
      </c>
      <c r="W74" s="14">
        <f t="shared" si="7"/>
        <v>61.253071853199984</v>
      </c>
      <c r="X74" s="14">
        <f t="shared" si="7"/>
        <v>56.526053022799985</v>
      </c>
      <c r="Y74" s="14">
        <f t="shared" si="7"/>
        <v>40.910362595199985</v>
      </c>
      <c r="Z74" s="14">
        <f t="shared" si="7"/>
        <v>77.893494816939992</v>
      </c>
      <c r="AA74" s="14">
        <f t="shared" si="7"/>
        <v>58.525700780899996</v>
      </c>
      <c r="AB74" s="14">
        <f t="shared" si="7"/>
        <v>54.182941786839997</v>
      </c>
      <c r="AC74" s="14">
        <f t="shared" si="7"/>
        <v>69.749342000000013</v>
      </c>
      <c r="AD74" s="14">
        <f t="shared" si="7"/>
        <v>58.194095815180006</v>
      </c>
      <c r="AE74" s="14">
        <f t="shared" si="7"/>
        <v>67.464761145208485</v>
      </c>
      <c r="AF74" s="14">
        <f t="shared" si="7"/>
        <v>67.275020397736256</v>
      </c>
    </row>
    <row r="75" spans="1:32">
      <c r="A75" s="12" t="s">
        <v>54</v>
      </c>
      <c r="B75" s="14">
        <f t="shared" si="8"/>
        <v>14.901791886799998</v>
      </c>
      <c r="C75" s="14">
        <f t="shared" si="7"/>
        <v>15.9059729624</v>
      </c>
      <c r="D75" s="14">
        <f t="shared" si="7"/>
        <v>28.63700137219999</v>
      </c>
      <c r="E75" s="14">
        <f t="shared" si="7"/>
        <v>24.690302480199996</v>
      </c>
      <c r="F75" s="14">
        <f t="shared" si="7"/>
        <v>22.717775486999997</v>
      </c>
      <c r="G75" s="14">
        <f t="shared" si="7"/>
        <v>27.685324505400004</v>
      </c>
      <c r="H75" s="14">
        <f t="shared" si="7"/>
        <v>36.149799266400009</v>
      </c>
      <c r="I75" s="14">
        <f t="shared" si="7"/>
        <v>44.789042779399992</v>
      </c>
      <c r="J75" s="14">
        <f t="shared" si="7"/>
        <v>19.285323535200007</v>
      </c>
      <c r="K75" s="14">
        <f t="shared" si="7"/>
        <v>25.130037547399994</v>
      </c>
      <c r="L75" s="14">
        <f t="shared" si="7"/>
        <v>62.9719082628</v>
      </c>
      <c r="M75" s="14">
        <f t="shared" si="7"/>
        <v>40.870674383000001</v>
      </c>
      <c r="N75" s="14">
        <f t="shared" si="7"/>
        <v>32.5942587678</v>
      </c>
      <c r="O75" s="14">
        <f t="shared" si="7"/>
        <v>46.137752215600017</v>
      </c>
      <c r="P75" s="14">
        <f t="shared" si="7"/>
        <v>36.720396224599995</v>
      </c>
      <c r="Q75" s="14">
        <f t="shared" si="7"/>
        <v>66.589827149999991</v>
      </c>
      <c r="R75" s="14">
        <f t="shared" si="7"/>
        <v>62.519102203999992</v>
      </c>
      <c r="S75" s="14">
        <f t="shared" si="7"/>
        <v>51.949028565399999</v>
      </c>
      <c r="T75" s="14">
        <f t="shared" si="7"/>
        <v>41.055573194999994</v>
      </c>
      <c r="U75" s="14">
        <f t="shared" si="7"/>
        <v>53.560179531133315</v>
      </c>
      <c r="V75" s="14">
        <f t="shared" si="7"/>
        <v>53.549606993400005</v>
      </c>
      <c r="W75" s="14">
        <f t="shared" si="7"/>
        <v>39.10147092160004</v>
      </c>
      <c r="X75" s="14">
        <f t="shared" si="7"/>
        <v>29.106955202800023</v>
      </c>
      <c r="Y75" s="14">
        <f t="shared" si="7"/>
        <v>103.1446352542</v>
      </c>
      <c r="Z75" s="14">
        <f t="shared" si="7"/>
        <v>61.626627470999992</v>
      </c>
      <c r="AA75" s="14">
        <f t="shared" si="7"/>
        <v>59.938677710639993</v>
      </c>
      <c r="AB75" s="14">
        <f t="shared" si="7"/>
        <v>58.48434487398</v>
      </c>
      <c r="AC75" s="14">
        <f t="shared" si="7"/>
        <v>68.134194000000008</v>
      </c>
      <c r="AD75" s="14">
        <f t="shared" si="7"/>
        <v>54.580446756720008</v>
      </c>
      <c r="AE75" s="14">
        <f t="shared" si="7"/>
        <v>56.398181175014372</v>
      </c>
      <c r="AF75" s="14">
        <f t="shared" si="7"/>
        <v>63.942102562017567</v>
      </c>
    </row>
    <row r="76" spans="1:32">
      <c r="A76" s="12" t="s">
        <v>55</v>
      </c>
      <c r="B76" s="14">
        <f t="shared" si="8"/>
        <v>30.748929449599999</v>
      </c>
      <c r="C76" s="14">
        <f t="shared" si="7"/>
        <v>26.341181884399987</v>
      </c>
      <c r="D76" s="14">
        <f t="shared" si="7"/>
        <v>28.466711897999993</v>
      </c>
      <c r="E76" s="14">
        <f t="shared" si="7"/>
        <v>23.010811662200013</v>
      </c>
      <c r="F76" s="14">
        <f t="shared" si="7"/>
        <v>27.542392263600007</v>
      </c>
      <c r="G76" s="14">
        <f t="shared" si="7"/>
        <v>35.166633709199999</v>
      </c>
      <c r="H76" s="14">
        <f t="shared" si="7"/>
        <v>39.996328822599999</v>
      </c>
      <c r="I76" s="14">
        <f t="shared" si="7"/>
        <v>4.727424766199988</v>
      </c>
      <c r="J76" s="14">
        <f t="shared" si="7"/>
        <v>51.104247342199983</v>
      </c>
      <c r="K76" s="14">
        <f t="shared" si="7"/>
        <v>49.105244292199998</v>
      </c>
      <c r="L76" s="14">
        <f t="shared" si="7"/>
        <v>54.246069638399987</v>
      </c>
      <c r="M76" s="14">
        <f t="shared" si="7"/>
        <v>50.747482250399997</v>
      </c>
      <c r="N76" s="14">
        <f t="shared" si="7"/>
        <v>35.132374483000007</v>
      </c>
      <c r="O76" s="14">
        <f t="shared" si="7"/>
        <v>59.35388786759998</v>
      </c>
      <c r="P76" s="14">
        <f t="shared" si="7"/>
        <v>47.405275861800021</v>
      </c>
      <c r="Q76" s="14">
        <f t="shared" si="7"/>
        <v>63.985997541999993</v>
      </c>
      <c r="R76" s="14">
        <f t="shared" si="7"/>
        <v>38.842371182800001</v>
      </c>
      <c r="S76" s="14">
        <f t="shared" si="7"/>
        <v>64.236005591000009</v>
      </c>
      <c r="T76" s="14">
        <f t="shared" si="7"/>
        <v>41.993198931600006</v>
      </c>
      <c r="U76" s="14">
        <f t="shared" si="7"/>
        <v>73.639435782733344</v>
      </c>
      <c r="V76" s="14">
        <f t="shared" si="7"/>
        <v>49.418145365400008</v>
      </c>
      <c r="W76" s="14">
        <f t="shared" si="7"/>
        <v>66.148368314200013</v>
      </c>
      <c r="X76" s="14">
        <f t="shared" si="7"/>
        <v>70.851707995199973</v>
      </c>
      <c r="Y76" s="14">
        <f t="shared" si="7"/>
        <v>24.376712468999997</v>
      </c>
      <c r="Z76" s="14">
        <f t="shared" si="7"/>
        <v>44.434939208499998</v>
      </c>
      <c r="AA76" s="14">
        <f t="shared" si="7"/>
        <v>11.027415269540001</v>
      </c>
      <c r="AB76" s="14">
        <f t="shared" si="7"/>
        <v>49.153263896719992</v>
      </c>
      <c r="AC76" s="14">
        <f t="shared" si="7"/>
        <v>63.672657999999998</v>
      </c>
      <c r="AD76" s="14">
        <f t="shared" si="7"/>
        <v>24.966593821799997</v>
      </c>
      <c r="AE76" s="14">
        <f t="shared" si="7"/>
        <v>35.696202652181547</v>
      </c>
      <c r="AF76" s="14">
        <f t="shared" si="7"/>
        <v>40.814333478901077</v>
      </c>
    </row>
    <row r="77" spans="1:32">
      <c r="A77" s="12" t="s">
        <v>56</v>
      </c>
      <c r="B77" s="14">
        <f t="shared" si="8"/>
        <v>33.641751178599996</v>
      </c>
      <c r="C77" s="14">
        <f t="shared" si="8"/>
        <v>20.751259805799997</v>
      </c>
      <c r="D77" s="14">
        <f t="shared" si="8"/>
        <v>16.050866245399995</v>
      </c>
      <c r="E77" s="14">
        <f t="shared" si="8"/>
        <v>39.163096917599987</v>
      </c>
      <c r="F77" s="14">
        <f t="shared" si="8"/>
        <v>41.734592827200004</v>
      </c>
      <c r="G77" s="14">
        <f t="shared" si="8"/>
        <v>57.880951156800016</v>
      </c>
      <c r="H77" s="14">
        <f t="shared" si="8"/>
        <v>9.9652256044000183</v>
      </c>
      <c r="I77" s="14">
        <f t="shared" si="8"/>
        <v>21.371635835799992</v>
      </c>
      <c r="J77" s="14">
        <f t="shared" si="8"/>
        <v>4.7476723796000044</v>
      </c>
      <c r="K77" s="14">
        <f t="shared" si="8"/>
        <v>31.118708643600009</v>
      </c>
      <c r="L77" s="14">
        <f t="shared" si="8"/>
        <v>41.689293569799993</v>
      </c>
      <c r="M77" s="14">
        <f t="shared" si="8"/>
        <v>21.542727373400012</v>
      </c>
      <c r="N77" s="14">
        <f t="shared" si="8"/>
        <v>43.182491011799996</v>
      </c>
      <c r="O77" s="14">
        <f t="shared" si="8"/>
        <v>34.021921412000012</v>
      </c>
      <c r="P77" s="14">
        <f t="shared" si="8"/>
        <v>59.202858483800014</v>
      </c>
      <c r="Q77" s="14">
        <f t="shared" si="8"/>
        <v>45.754917824399982</v>
      </c>
      <c r="R77" s="14">
        <f t="shared" ref="C77:AU78" si="9">R124+R45-R61-R125</f>
        <v>59.586657665199994</v>
      </c>
      <c r="S77" s="14">
        <f t="shared" si="9"/>
        <v>50.076702474800001</v>
      </c>
      <c r="T77" s="14">
        <f t="shared" si="9"/>
        <v>44.099053866000006</v>
      </c>
      <c r="U77" s="14">
        <f t="shared" si="9"/>
        <v>37.447038257533336</v>
      </c>
      <c r="V77" s="14">
        <f t="shared" si="9"/>
        <v>45.040206997800013</v>
      </c>
      <c r="W77" s="14">
        <f t="shared" si="9"/>
        <v>25.308045236400005</v>
      </c>
      <c r="X77" s="14">
        <f t="shared" si="9"/>
        <v>87.651937739199994</v>
      </c>
      <c r="Y77" s="14">
        <f t="shared" si="9"/>
        <v>85.435276352600027</v>
      </c>
      <c r="Z77" s="14">
        <f t="shared" si="9"/>
        <v>64.888242748380009</v>
      </c>
      <c r="AA77" s="14">
        <f t="shared" si="9"/>
        <v>88.804198439040007</v>
      </c>
      <c r="AB77" s="14">
        <f t="shared" si="9"/>
        <v>64.152863393419992</v>
      </c>
      <c r="AC77" s="14">
        <f t="shared" si="9"/>
        <v>86.436095000000023</v>
      </c>
      <c r="AD77" s="14">
        <f t="shared" si="9"/>
        <v>84.075095187700015</v>
      </c>
      <c r="AE77" s="14">
        <f t="shared" si="9"/>
        <v>76.708020754156479</v>
      </c>
      <c r="AF77" s="14">
        <f t="shared" si="9"/>
        <v>82.018691016990687</v>
      </c>
    </row>
    <row r="78" spans="1:32">
      <c r="A78" s="12" t="s">
        <v>57</v>
      </c>
      <c r="B78" s="14">
        <f t="shared" si="8"/>
        <v>31.375493545200008</v>
      </c>
      <c r="C78" s="14">
        <f t="shared" si="9"/>
        <v>29.146431629199988</v>
      </c>
      <c r="D78" s="14">
        <f t="shared" si="9"/>
        <v>30.572100535799997</v>
      </c>
      <c r="E78" s="14">
        <f t="shared" si="9"/>
        <v>14.085062131800001</v>
      </c>
      <c r="F78" s="14">
        <f t="shared" si="9"/>
        <v>22.998944107599996</v>
      </c>
      <c r="G78" s="14">
        <f t="shared" si="9"/>
        <v>35.525561201200006</v>
      </c>
      <c r="H78" s="14">
        <f t="shared" si="9"/>
        <v>44.444684470799999</v>
      </c>
      <c r="I78" s="14">
        <f t="shared" si="9"/>
        <v>23.910795576600009</v>
      </c>
      <c r="J78" s="14">
        <f t="shared" si="9"/>
        <v>26.773743514399996</v>
      </c>
      <c r="K78" s="14">
        <f t="shared" si="9"/>
        <v>42.771101967199996</v>
      </c>
      <c r="L78" s="14">
        <f t="shared" si="9"/>
        <v>57.299193885800008</v>
      </c>
      <c r="M78" s="14">
        <f t="shared" si="9"/>
        <v>45.973790551799993</v>
      </c>
      <c r="N78" s="14">
        <f t="shared" si="9"/>
        <v>71.782342903800014</v>
      </c>
      <c r="O78" s="14">
        <f t="shared" si="9"/>
        <v>55.343608095399986</v>
      </c>
      <c r="P78" s="14">
        <f t="shared" si="9"/>
        <v>36.248446795199996</v>
      </c>
      <c r="Q78" s="14">
        <f t="shared" si="9"/>
        <v>58.553297527000012</v>
      </c>
      <c r="R78" s="14">
        <f t="shared" si="9"/>
        <v>59.421883974400004</v>
      </c>
      <c r="S78" s="14">
        <f t="shared" si="9"/>
        <v>41.67151278919998</v>
      </c>
      <c r="T78" s="14">
        <f t="shared" si="9"/>
        <v>43.360505496000016</v>
      </c>
      <c r="U78" s="14">
        <f t="shared" si="9"/>
        <v>39.968684901133329</v>
      </c>
      <c r="V78" s="14">
        <f t="shared" si="9"/>
        <v>33.010466592599997</v>
      </c>
      <c r="W78" s="14">
        <f t="shared" si="9"/>
        <v>85.710011348199998</v>
      </c>
      <c r="X78" s="14">
        <f t="shared" si="9"/>
        <v>77.51289906880001</v>
      </c>
      <c r="Y78" s="14">
        <f t="shared" si="9"/>
        <v>75.940120690139992</v>
      </c>
      <c r="Z78" s="14">
        <f t="shared" si="9"/>
        <v>64.417967725979992</v>
      </c>
      <c r="AA78" s="14">
        <f t="shared" si="9"/>
        <v>55.720128947420022</v>
      </c>
      <c r="AB78" s="14">
        <f t="shared" si="9"/>
        <v>84.565304414399989</v>
      </c>
      <c r="AC78" s="14">
        <f t="shared" si="9"/>
        <v>26.423466999999995</v>
      </c>
      <c r="AD78" s="14">
        <f t="shared" si="9"/>
        <v>49.360996466579998</v>
      </c>
      <c r="AE78" s="14">
        <f t="shared" si="9"/>
        <v>77.346178797410516</v>
      </c>
      <c r="AF78" s="14">
        <f t="shared" si="9"/>
        <v>59.237447568920729</v>
      </c>
    </row>
    <row r="79" spans="1:32" ht="15.75" thickBot="1">
      <c r="A79" s="12" t="s">
        <v>58</v>
      </c>
      <c r="B79" s="17" t="e">
        <f>SUM(B67:B78)</f>
        <v>#VALUE!</v>
      </c>
      <c r="C79" s="17" t="e">
        <f t="shared" ref="C79:AF79" si="10">SUM(C67:C78)</f>
        <v>#VALUE!</v>
      </c>
      <c r="D79" s="17" t="e">
        <f t="shared" si="10"/>
        <v>#VALUE!</v>
      </c>
      <c r="E79" s="17" t="e">
        <f t="shared" si="10"/>
        <v>#VALUE!</v>
      </c>
      <c r="F79" s="17" t="e">
        <f t="shared" si="10"/>
        <v>#VALUE!</v>
      </c>
      <c r="G79" s="17" t="e">
        <f t="shared" si="10"/>
        <v>#VALUE!</v>
      </c>
      <c r="H79" s="17" t="e">
        <f t="shared" si="10"/>
        <v>#VALUE!</v>
      </c>
      <c r="I79" s="17" t="e">
        <f t="shared" si="10"/>
        <v>#VALUE!</v>
      </c>
      <c r="J79" s="17">
        <f t="shared" si="10"/>
        <v>293.41939741420566</v>
      </c>
      <c r="K79" s="17">
        <f t="shared" si="10"/>
        <v>519.95977304780695</v>
      </c>
      <c r="L79" s="17">
        <f t="shared" si="10"/>
        <v>486.16473160519502</v>
      </c>
      <c r="M79" s="17">
        <f t="shared" si="10"/>
        <v>448.69140678659039</v>
      </c>
      <c r="N79" s="17">
        <f t="shared" si="10"/>
        <v>435.63875710540037</v>
      </c>
      <c r="O79" s="17">
        <f t="shared" si="10"/>
        <v>594.73568451900678</v>
      </c>
      <c r="P79" s="17">
        <f t="shared" si="10"/>
        <v>449.38830603020256</v>
      </c>
      <c r="Q79" s="17">
        <f t="shared" si="10"/>
        <v>684.29783699280449</v>
      </c>
      <c r="R79" s="17">
        <f t="shared" si="10"/>
        <v>614.20350015560109</v>
      </c>
      <c r="S79" s="17">
        <f t="shared" si="10"/>
        <v>543.78313005140183</v>
      </c>
      <c r="T79" s="17">
        <f t="shared" si="10"/>
        <v>613.73586829939666</v>
      </c>
      <c r="U79" s="17">
        <f t="shared" si="10"/>
        <v>551.98785914066809</v>
      </c>
      <c r="V79" s="17" t="e">
        <f t="shared" si="10"/>
        <v>#VALUE!</v>
      </c>
      <c r="W79" s="17" t="e">
        <f t="shared" si="10"/>
        <v>#VALUE!</v>
      </c>
      <c r="X79" s="17" t="e">
        <f t="shared" si="10"/>
        <v>#VALUE!</v>
      </c>
      <c r="Y79" s="17" t="e">
        <f t="shared" si="10"/>
        <v>#VALUE!</v>
      </c>
      <c r="Z79" s="17" t="e">
        <f t="shared" si="10"/>
        <v>#VALUE!</v>
      </c>
      <c r="AA79" s="17" t="e">
        <f t="shared" si="10"/>
        <v>#VALUE!</v>
      </c>
      <c r="AB79" s="17" t="e">
        <f t="shared" si="10"/>
        <v>#VALUE!</v>
      </c>
      <c r="AC79" s="17" t="e">
        <f t="shared" si="10"/>
        <v>#VALUE!</v>
      </c>
      <c r="AD79" s="17" t="e">
        <f t="shared" si="10"/>
        <v>#VALUE!</v>
      </c>
      <c r="AE79" s="17" t="e">
        <f t="shared" si="10"/>
        <v>#VALUE!</v>
      </c>
      <c r="AF79" s="17" t="e">
        <f t="shared" si="10"/>
        <v>#VALUE!</v>
      </c>
    </row>
    <row r="80" spans="1:3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ht="15.75" thickBot="1">
      <c r="A81" s="12" t="s">
        <v>72</v>
      </c>
    </row>
    <row r="82" spans="1:32" ht="15.75" thickBot="1">
      <c r="A82" s="3"/>
      <c r="B82" s="3" t="str">
        <f>B2</f>
        <v xml:space="preserve">93/94 </v>
      </c>
      <c r="C82" s="3" t="str">
        <f t="shared" ref="C82:AF82" si="11">C2</f>
        <v xml:space="preserve">94/95 </v>
      </c>
      <c r="D82" s="3" t="str">
        <f t="shared" si="11"/>
        <v xml:space="preserve">95/96 </v>
      </c>
      <c r="E82" s="3" t="str">
        <f t="shared" si="11"/>
        <v xml:space="preserve">96/97 </v>
      </c>
      <c r="F82" s="3" t="str">
        <f t="shared" si="11"/>
        <v xml:space="preserve">97/98 </v>
      </c>
      <c r="G82" s="3" t="str">
        <f t="shared" si="11"/>
        <v xml:space="preserve">98/99 </v>
      </c>
      <c r="H82" s="3" t="str">
        <f t="shared" si="11"/>
        <v xml:space="preserve">99/00 </v>
      </c>
      <c r="I82" s="3" t="str">
        <f t="shared" si="11"/>
        <v xml:space="preserve">00/01 </v>
      </c>
      <c r="J82" s="3" t="str">
        <f t="shared" si="11"/>
        <v xml:space="preserve">01/02 </v>
      </c>
      <c r="K82" s="3" t="str">
        <f t="shared" si="11"/>
        <v xml:space="preserve">02/03 </v>
      </c>
      <c r="L82" s="3" t="str">
        <f t="shared" si="11"/>
        <v xml:space="preserve">03/04 </v>
      </c>
      <c r="M82" s="3" t="str">
        <f t="shared" si="11"/>
        <v xml:space="preserve">04/05 </v>
      </c>
      <c r="N82" s="3" t="str">
        <f t="shared" si="11"/>
        <v xml:space="preserve">05/06 </v>
      </c>
      <c r="O82" s="3" t="str">
        <f t="shared" si="11"/>
        <v xml:space="preserve">06/07 </v>
      </c>
      <c r="P82" s="3" t="str">
        <f t="shared" si="11"/>
        <v xml:space="preserve">07/08 </v>
      </c>
      <c r="Q82" s="3" t="str">
        <f t="shared" si="11"/>
        <v xml:space="preserve">08/09 </v>
      </c>
      <c r="R82" s="3" t="str">
        <f t="shared" si="11"/>
        <v xml:space="preserve">09/10 </v>
      </c>
      <c r="S82" s="3" t="str">
        <f t="shared" si="11"/>
        <v xml:space="preserve">10/11 </v>
      </c>
      <c r="T82" s="3" t="str">
        <f t="shared" si="11"/>
        <v xml:space="preserve">11/12 </v>
      </c>
      <c r="U82" s="3" t="str">
        <f t="shared" si="11"/>
        <v xml:space="preserve">12/13 </v>
      </c>
      <c r="V82" s="3" t="str">
        <f t="shared" si="11"/>
        <v xml:space="preserve">13/14 </v>
      </c>
      <c r="W82" s="3" t="str">
        <f t="shared" si="11"/>
        <v xml:space="preserve">14/15 </v>
      </c>
      <c r="X82" s="3" t="str">
        <f t="shared" si="11"/>
        <v xml:space="preserve">15/16 </v>
      </c>
      <c r="Y82" s="3" t="str">
        <f t="shared" si="11"/>
        <v xml:space="preserve">16/17 </v>
      </c>
      <c r="Z82" s="3" t="str">
        <f t="shared" si="11"/>
        <v xml:space="preserve">17/18 </v>
      </c>
      <c r="AA82" s="3" t="str">
        <f t="shared" si="11"/>
        <v xml:space="preserve">18/19 </v>
      </c>
      <c r="AB82" s="3" t="str">
        <f t="shared" si="11"/>
        <v xml:space="preserve">19/20 </v>
      </c>
      <c r="AC82" s="3" t="str">
        <f t="shared" si="11"/>
        <v xml:space="preserve">20/21 </v>
      </c>
      <c r="AD82" s="3" t="str">
        <f t="shared" si="11"/>
        <v xml:space="preserve">21/22 </v>
      </c>
      <c r="AE82" s="3" t="str">
        <f t="shared" si="11"/>
        <v xml:space="preserve">22/23 </v>
      </c>
      <c r="AF82" s="3" t="str">
        <f t="shared" si="11"/>
        <v>23/24</v>
      </c>
    </row>
    <row r="83" spans="1:32">
      <c r="A83" s="12" t="s">
        <v>46</v>
      </c>
    </row>
    <row r="84" spans="1:32">
      <c r="A84" s="12" t="s">
        <v>47</v>
      </c>
    </row>
    <row r="85" spans="1:32">
      <c r="A85" s="12" t="s">
        <v>48</v>
      </c>
    </row>
    <row r="86" spans="1:32">
      <c r="A86" s="12" t="s">
        <v>49</v>
      </c>
    </row>
    <row r="87" spans="1:32">
      <c r="A87" s="12" t="s">
        <v>50</v>
      </c>
    </row>
    <row r="88" spans="1:32">
      <c r="A88" s="12" t="s">
        <v>51</v>
      </c>
    </row>
    <row r="89" spans="1:32">
      <c r="A89" s="12" t="s">
        <v>52</v>
      </c>
    </row>
    <row r="90" spans="1:32">
      <c r="A90" s="12" t="s">
        <v>53</v>
      </c>
    </row>
    <row r="91" spans="1:32">
      <c r="A91" s="12" t="s">
        <v>54</v>
      </c>
    </row>
    <row r="92" spans="1:32">
      <c r="A92" s="12" t="s">
        <v>55</v>
      </c>
    </row>
    <row r="93" spans="1:32">
      <c r="A93" s="12" t="s">
        <v>56</v>
      </c>
    </row>
    <row r="94" spans="1:32">
      <c r="A94" s="12" t="s">
        <v>57</v>
      </c>
    </row>
    <row r="95" spans="1:32" ht="15.75" thickBot="1">
      <c r="A95" s="12" t="s">
        <v>58</v>
      </c>
    </row>
    <row r="96" spans="1:3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ht="15.75" thickBot="1">
      <c r="A97" s="12" t="s">
        <v>73</v>
      </c>
    </row>
    <row r="98" spans="1:32" ht="15.75" thickBot="1">
      <c r="A98" s="3"/>
      <c r="B98" s="3" t="str">
        <f>B2</f>
        <v xml:space="preserve">93/94 </v>
      </c>
      <c r="C98" s="3" t="str">
        <f t="shared" ref="C98:AF98" si="12">C2</f>
        <v xml:space="preserve">94/95 </v>
      </c>
      <c r="D98" s="3" t="str">
        <f t="shared" si="12"/>
        <v xml:space="preserve">95/96 </v>
      </c>
      <c r="E98" s="3" t="str">
        <f t="shared" si="12"/>
        <v xml:space="preserve">96/97 </v>
      </c>
      <c r="F98" s="3" t="str">
        <f t="shared" si="12"/>
        <v xml:space="preserve">97/98 </v>
      </c>
      <c r="G98" s="3" t="str">
        <f t="shared" si="12"/>
        <v xml:space="preserve">98/99 </v>
      </c>
      <c r="H98" s="3" t="str">
        <f t="shared" si="12"/>
        <v xml:space="preserve">99/00 </v>
      </c>
      <c r="I98" s="3" t="str">
        <f t="shared" si="12"/>
        <v xml:space="preserve">00/01 </v>
      </c>
      <c r="J98" s="3" t="str">
        <f t="shared" si="12"/>
        <v xml:space="preserve">01/02 </v>
      </c>
      <c r="K98" s="3" t="str">
        <f t="shared" si="12"/>
        <v xml:space="preserve">02/03 </v>
      </c>
      <c r="L98" s="3" t="str">
        <f t="shared" si="12"/>
        <v xml:space="preserve">03/04 </v>
      </c>
      <c r="M98" s="3" t="str">
        <f t="shared" si="12"/>
        <v xml:space="preserve">04/05 </v>
      </c>
      <c r="N98" s="3" t="str">
        <f t="shared" si="12"/>
        <v xml:space="preserve">05/06 </v>
      </c>
      <c r="O98" s="3" t="str">
        <f t="shared" si="12"/>
        <v xml:space="preserve">06/07 </v>
      </c>
      <c r="P98" s="3" t="str">
        <f t="shared" si="12"/>
        <v xml:space="preserve">07/08 </v>
      </c>
      <c r="Q98" s="3" t="str">
        <f t="shared" si="12"/>
        <v xml:space="preserve">08/09 </v>
      </c>
      <c r="R98" s="3" t="str">
        <f t="shared" si="12"/>
        <v xml:space="preserve">09/10 </v>
      </c>
      <c r="S98" s="3" t="str">
        <f t="shared" si="12"/>
        <v xml:space="preserve">10/11 </v>
      </c>
      <c r="T98" s="3" t="str">
        <f t="shared" si="12"/>
        <v xml:space="preserve">11/12 </v>
      </c>
      <c r="U98" s="3" t="str">
        <f t="shared" si="12"/>
        <v xml:space="preserve">12/13 </v>
      </c>
      <c r="V98" s="3" t="str">
        <f t="shared" si="12"/>
        <v xml:space="preserve">13/14 </v>
      </c>
      <c r="W98" s="3" t="str">
        <f t="shared" si="12"/>
        <v xml:space="preserve">14/15 </v>
      </c>
      <c r="X98" s="3" t="str">
        <f t="shared" si="12"/>
        <v xml:space="preserve">15/16 </v>
      </c>
      <c r="Y98" s="3" t="str">
        <f t="shared" si="12"/>
        <v xml:space="preserve">16/17 </v>
      </c>
      <c r="Z98" s="3" t="str">
        <f t="shared" si="12"/>
        <v xml:space="preserve">17/18 </v>
      </c>
      <c r="AA98" s="3" t="str">
        <f t="shared" si="12"/>
        <v xml:space="preserve">18/19 </v>
      </c>
      <c r="AB98" s="3" t="str">
        <f t="shared" si="12"/>
        <v xml:space="preserve">19/20 </v>
      </c>
      <c r="AC98" s="3" t="str">
        <f t="shared" si="12"/>
        <v xml:space="preserve">20/21 </v>
      </c>
      <c r="AD98" s="3" t="str">
        <f t="shared" si="12"/>
        <v xml:space="preserve">21/22 </v>
      </c>
      <c r="AE98" s="3" t="str">
        <f t="shared" si="12"/>
        <v xml:space="preserve">22/23 </v>
      </c>
      <c r="AF98" s="3" t="str">
        <f t="shared" si="12"/>
        <v>23/24</v>
      </c>
    </row>
    <row r="99" spans="1:32">
      <c r="A99" s="12" t="s">
        <v>46</v>
      </c>
    </row>
    <row r="100" spans="1:32">
      <c r="A100" s="12" t="s">
        <v>47</v>
      </c>
    </row>
    <row r="101" spans="1:32">
      <c r="A101" s="12" t="s">
        <v>48</v>
      </c>
    </row>
    <row r="102" spans="1:32">
      <c r="A102" s="12" t="s">
        <v>49</v>
      </c>
    </row>
    <row r="103" spans="1:32">
      <c r="A103" s="12" t="s">
        <v>50</v>
      </c>
    </row>
    <row r="104" spans="1:32">
      <c r="A104" s="12" t="s">
        <v>51</v>
      </c>
    </row>
    <row r="105" spans="1:32">
      <c r="A105" s="12" t="s">
        <v>52</v>
      </c>
    </row>
    <row r="106" spans="1:32">
      <c r="A106" s="12" t="s">
        <v>53</v>
      </c>
    </row>
    <row r="107" spans="1:32">
      <c r="A107" s="12" t="s">
        <v>54</v>
      </c>
    </row>
    <row r="108" spans="1:32">
      <c r="A108" s="12" t="s">
        <v>55</v>
      </c>
    </row>
    <row r="109" spans="1:32">
      <c r="A109" s="12" t="s">
        <v>56</v>
      </c>
    </row>
    <row r="110" spans="1:32">
      <c r="A110" s="12" t="s">
        <v>57</v>
      </c>
    </row>
    <row r="111" spans="1:32" ht="15.75" thickBot="1">
      <c r="A111" s="12" t="s">
        <v>58</v>
      </c>
    </row>
    <row r="112" spans="1:3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</row>
    <row r="113" spans="1:32" ht="15.75" thickBot="1">
      <c r="A113" s="12" t="s">
        <v>74</v>
      </c>
    </row>
    <row r="114" spans="1:32" ht="15.75" thickBot="1">
      <c r="A114" s="3"/>
      <c r="B114" s="3" t="str">
        <f>B2</f>
        <v xml:space="preserve">93/94 </v>
      </c>
      <c r="C114" s="3" t="str">
        <f t="shared" ref="C114:AF114" si="13">C2</f>
        <v xml:space="preserve">94/95 </v>
      </c>
      <c r="D114" s="3" t="str">
        <f t="shared" si="13"/>
        <v xml:space="preserve">95/96 </v>
      </c>
      <c r="E114" s="3" t="str">
        <f t="shared" si="13"/>
        <v xml:space="preserve">96/97 </v>
      </c>
      <c r="F114" s="3" t="str">
        <f t="shared" si="13"/>
        <v xml:space="preserve">97/98 </v>
      </c>
      <c r="G114" s="3" t="str">
        <f t="shared" si="13"/>
        <v xml:space="preserve">98/99 </v>
      </c>
      <c r="H114" s="3" t="str">
        <f t="shared" si="13"/>
        <v xml:space="preserve">99/00 </v>
      </c>
      <c r="I114" s="3" t="str">
        <f t="shared" si="13"/>
        <v xml:space="preserve">00/01 </v>
      </c>
      <c r="J114" s="3" t="str">
        <f t="shared" si="13"/>
        <v xml:space="preserve">01/02 </v>
      </c>
      <c r="K114" s="3" t="str">
        <f t="shared" si="13"/>
        <v xml:space="preserve">02/03 </v>
      </c>
      <c r="L114" s="3" t="str">
        <f t="shared" si="13"/>
        <v xml:space="preserve">03/04 </v>
      </c>
      <c r="M114" s="3" t="str">
        <f t="shared" si="13"/>
        <v xml:space="preserve">04/05 </v>
      </c>
      <c r="N114" s="3" t="str">
        <f t="shared" si="13"/>
        <v xml:space="preserve">05/06 </v>
      </c>
      <c r="O114" s="3" t="str">
        <f t="shared" si="13"/>
        <v xml:space="preserve">06/07 </v>
      </c>
      <c r="P114" s="3" t="str">
        <f t="shared" si="13"/>
        <v xml:space="preserve">07/08 </v>
      </c>
      <c r="Q114" s="3" t="str">
        <f t="shared" si="13"/>
        <v xml:space="preserve">08/09 </v>
      </c>
      <c r="R114" s="3" t="str">
        <f t="shared" si="13"/>
        <v xml:space="preserve">09/10 </v>
      </c>
      <c r="S114" s="3" t="str">
        <f t="shared" si="13"/>
        <v xml:space="preserve">10/11 </v>
      </c>
      <c r="T114" s="3" t="str">
        <f t="shared" si="13"/>
        <v xml:space="preserve">11/12 </v>
      </c>
      <c r="U114" s="3" t="str">
        <f t="shared" si="13"/>
        <v xml:space="preserve">12/13 </v>
      </c>
      <c r="V114" s="3" t="str">
        <f t="shared" si="13"/>
        <v xml:space="preserve">13/14 </v>
      </c>
      <c r="W114" s="3" t="str">
        <f t="shared" si="13"/>
        <v xml:space="preserve">14/15 </v>
      </c>
      <c r="X114" s="3" t="str">
        <f t="shared" si="13"/>
        <v xml:space="preserve">15/16 </v>
      </c>
      <c r="Y114" s="3" t="str">
        <f t="shared" si="13"/>
        <v xml:space="preserve">16/17 </v>
      </c>
      <c r="Z114" s="3" t="str">
        <f t="shared" si="13"/>
        <v xml:space="preserve">17/18 </v>
      </c>
      <c r="AA114" s="3" t="str">
        <f t="shared" si="13"/>
        <v xml:space="preserve">18/19 </v>
      </c>
      <c r="AB114" s="3" t="str">
        <f t="shared" si="13"/>
        <v xml:space="preserve">19/20 </v>
      </c>
      <c r="AC114" s="3" t="str">
        <f t="shared" si="13"/>
        <v xml:space="preserve">20/21 </v>
      </c>
      <c r="AD114" s="3" t="str">
        <f t="shared" si="13"/>
        <v xml:space="preserve">21/22 </v>
      </c>
      <c r="AE114" s="3" t="str">
        <f t="shared" si="13"/>
        <v xml:space="preserve">22/23 </v>
      </c>
      <c r="AF114" s="3" t="str">
        <f t="shared" si="13"/>
        <v>23/24</v>
      </c>
    </row>
    <row r="115" spans="1:32">
      <c r="A115" s="12" t="s">
        <v>46</v>
      </c>
      <c r="B115" s="17" t="str">
        <f>'[1]Palm Complex'!B189</f>
        <v xml:space="preserve">93/94 </v>
      </c>
      <c r="C115" s="17" t="str">
        <f>'[1]Palm Complex'!C189</f>
        <v xml:space="preserve">94/95 </v>
      </c>
      <c r="D115" s="17" t="str">
        <f>'[1]Palm Complex'!D189</f>
        <v xml:space="preserve">95/96 </v>
      </c>
      <c r="E115" s="17" t="str">
        <f>'[1]Palm Complex'!E189</f>
        <v xml:space="preserve">96/97 </v>
      </c>
      <c r="F115" s="17" t="str">
        <f>'[1]Palm Complex'!F189</f>
        <v xml:space="preserve">97/98 </v>
      </c>
      <c r="G115" s="17" t="str">
        <f>'[1]Palm Complex'!G189</f>
        <v xml:space="preserve">98/99 </v>
      </c>
      <c r="H115" s="17" t="str">
        <f>'[1]Palm Complex'!H189</f>
        <v xml:space="preserve">99/00 </v>
      </c>
      <c r="I115" s="17" t="str">
        <f>'[1]Palm Complex'!I189</f>
        <v xml:space="preserve">00/01 </v>
      </c>
      <c r="J115" s="17" t="str">
        <f>'[1]Palm Complex'!J189</f>
        <v xml:space="preserve">01/02 </v>
      </c>
      <c r="K115" s="17" t="str">
        <f>'[1]Palm Complex'!K189</f>
        <v xml:space="preserve">02/03 </v>
      </c>
      <c r="L115" s="17" t="str">
        <f>'[1]Palm Complex'!L189</f>
        <v xml:space="preserve">03/04 </v>
      </c>
      <c r="M115" s="17" t="str">
        <f>'[1]Palm Complex'!M189</f>
        <v xml:space="preserve">04/05 </v>
      </c>
      <c r="N115" s="17" t="str">
        <f>'[1]Palm Complex'!N189</f>
        <v xml:space="preserve">05/06 </v>
      </c>
      <c r="O115" s="17" t="str">
        <f>'[1]Palm Complex'!O189</f>
        <v xml:space="preserve">06/07 </v>
      </c>
      <c r="P115" s="17" t="str">
        <f>'[1]Palm Complex'!P189</f>
        <v xml:space="preserve">07/08 </v>
      </c>
      <c r="Q115" s="17" t="str">
        <f>'[1]Palm Complex'!Q189</f>
        <v xml:space="preserve">08/09 </v>
      </c>
      <c r="R115" s="17" t="str">
        <f>'[1]Palm Complex'!R189</f>
        <v xml:space="preserve">09/10 </v>
      </c>
      <c r="S115" s="17" t="str">
        <f>'[1]Palm Complex'!S189</f>
        <v xml:space="preserve">10/11 </v>
      </c>
      <c r="T115" s="17" t="str">
        <f>'[1]Palm Complex'!T189</f>
        <v xml:space="preserve">11/12 </v>
      </c>
      <c r="U115" s="17" t="str">
        <f>'[1]Palm Complex'!U189</f>
        <v xml:space="preserve">12/13 </v>
      </c>
      <c r="V115" s="17" t="str">
        <f>'[1]Palm Complex'!V189</f>
        <v xml:space="preserve">13/14 </v>
      </c>
      <c r="W115" s="17" t="str">
        <f>'[1]Palm Complex'!W189</f>
        <v xml:space="preserve">14/15 </v>
      </c>
      <c r="X115" s="17" t="str">
        <f>'[1]Palm Complex'!X189</f>
        <v xml:space="preserve">15/16 </v>
      </c>
      <c r="Y115" s="17" t="str">
        <f>'[1]Palm Complex'!Y189</f>
        <v xml:space="preserve">16/17 </v>
      </c>
      <c r="Z115" s="17" t="str">
        <f>'[1]Palm Complex'!Z189</f>
        <v xml:space="preserve">17/18 </v>
      </c>
      <c r="AA115" s="17" t="str">
        <f>'[1]Palm Complex'!AA189</f>
        <v>18/19</v>
      </c>
      <c r="AB115" s="17" t="str">
        <f>'[1]Palm Complex'!AB189</f>
        <v>19/20</v>
      </c>
      <c r="AC115" s="17" t="str">
        <f>'[1]Palm Complex'!AC189</f>
        <v>20/21</v>
      </c>
      <c r="AD115" s="17" t="str">
        <f>'[1]Palm Complex'!AD189</f>
        <v>21/22</v>
      </c>
      <c r="AE115" s="17" t="str">
        <f>'[1]Palm Complex'!AE189</f>
        <v>22/23</v>
      </c>
      <c r="AF115" s="17" t="str">
        <f>'[1]Palm Complex'!AF189</f>
        <v>23/24</v>
      </c>
    </row>
    <row r="116" spans="1:32">
      <c r="A116" s="12" t="s">
        <v>47</v>
      </c>
      <c r="B116" s="17">
        <f>'[1]Palm Complex'!B190</f>
        <v>78.400000000000006</v>
      </c>
      <c r="C116" s="17">
        <f>'[1]Palm Complex'!C190</f>
        <v>50</v>
      </c>
      <c r="D116" s="17">
        <f>'[1]Palm Complex'!D190</f>
        <v>53.5</v>
      </c>
      <c r="E116" s="17">
        <f>'[1]Palm Complex'!E190</f>
        <v>38.799999999999997</v>
      </c>
      <c r="F116" s="17">
        <f>'[1]Palm Complex'!F190</f>
        <v>48</v>
      </c>
      <c r="G116" s="17">
        <f>'[1]Palm Complex'!G190</f>
        <v>70.7</v>
      </c>
      <c r="H116" s="17">
        <f>'[1]Palm Complex'!H190</f>
        <v>77.2</v>
      </c>
      <c r="I116" s="17">
        <f>'[1]Palm Complex'!I190</f>
        <v>85</v>
      </c>
      <c r="J116" s="17">
        <f>'[1]Palm Complex'!J190</f>
        <v>120.1</v>
      </c>
      <c r="K116" s="17">
        <f>'[1]Palm Complex'!K190</f>
        <v>106.062</v>
      </c>
      <c r="L116" s="17">
        <f>'[1]Palm Complex'!L190</f>
        <v>63.8</v>
      </c>
      <c r="M116" s="17">
        <f>'[1]Palm Complex'!M190</f>
        <v>38.799999999999997</v>
      </c>
      <c r="N116" s="17">
        <f>'[1]Palm Complex'!N190</f>
        <v>59.3</v>
      </c>
      <c r="O116" s="17">
        <f>'[1]Palm Complex'!O190</f>
        <v>70.7</v>
      </c>
      <c r="P116" s="17">
        <f>'[1]Palm Complex'!P190</f>
        <v>66.400000000000006</v>
      </c>
      <c r="Q116" s="17">
        <f>'[1]Palm Complex'!Q190</f>
        <v>70.7</v>
      </c>
      <c r="R116" s="17">
        <f>'[1]Palm Complex'!R190</f>
        <v>49.2</v>
      </c>
      <c r="S116" s="17">
        <f>'[1]Palm Complex'!S190</f>
        <v>77.571999999999989</v>
      </c>
      <c r="T116" s="17">
        <f>'[1]Palm Complex'!T190</f>
        <v>82</v>
      </c>
      <c r="U116" s="17">
        <f>'[1]Palm Complex'!U190</f>
        <v>81.416666666666671</v>
      </c>
      <c r="V116" s="17">
        <f>'[1]Palm Complex'!V190</f>
        <v>75</v>
      </c>
      <c r="W116" s="17">
        <f>'[1]Palm Complex'!W190</f>
        <v>76.888625000000005</v>
      </c>
      <c r="X116" s="17">
        <f>'[1]Palm Complex'!X190</f>
        <v>90.367999999999995</v>
      </c>
      <c r="Y116" s="17">
        <f>'[1]Palm Complex'!Y190</f>
        <v>92.566000000000003</v>
      </c>
      <c r="Z116" s="17">
        <f>'[1]Palm Complex'!Z190</f>
        <v>109.712</v>
      </c>
      <c r="AA116" s="17">
        <f>'[1]Palm Complex'!AA190</f>
        <v>65.625</v>
      </c>
      <c r="AB116" s="17">
        <f>'[1]Palm Complex'!AB190</f>
        <v>73.522000000000006</v>
      </c>
      <c r="AC116" s="17">
        <f>'[1]Palm Complex'!AC190</f>
        <v>96.637</v>
      </c>
      <c r="AD116" s="17">
        <f>'[1]Palm Complex'!AD190</f>
        <v>53.622999999999998</v>
      </c>
      <c r="AE116" s="17">
        <f>'[1]Palm Complex'!AE190</f>
        <v>50.988999999999997</v>
      </c>
      <c r="AF116" s="17">
        <f>'[1]Palm Complex'!AF190</f>
        <v>60.917000000000002</v>
      </c>
    </row>
    <row r="117" spans="1:32">
      <c r="A117" s="12" t="s">
        <v>48</v>
      </c>
      <c r="B117" s="17">
        <f>'[1]Palm Complex'!B191</f>
        <v>83.5</v>
      </c>
      <c r="C117" s="17">
        <f>'[1]Palm Complex'!C191</f>
        <v>57.1</v>
      </c>
      <c r="D117" s="17">
        <f>'[1]Palm Complex'!D191</f>
        <v>48.8</v>
      </c>
      <c r="E117" s="17">
        <f>'[1]Palm Complex'!E191</f>
        <v>51.8</v>
      </c>
      <c r="F117" s="17">
        <f>'[1]Palm Complex'!F191</f>
        <v>53.1</v>
      </c>
      <c r="G117" s="17">
        <f>'[1]Palm Complex'!G191</f>
        <v>74.599999999999994</v>
      </c>
      <c r="H117" s="17">
        <f>'[1]Palm Complex'!H191</f>
        <v>75.5</v>
      </c>
      <c r="I117" s="17">
        <f>'[1]Palm Complex'!I191</f>
        <v>89</v>
      </c>
      <c r="J117" s="17">
        <f>'[1]Palm Complex'!J191</f>
        <v>110.98699999999999</v>
      </c>
      <c r="K117" s="17">
        <f>'[1]Palm Complex'!K191</f>
        <v>70.531999999999996</v>
      </c>
      <c r="L117" s="17">
        <f>'[1]Palm Complex'!L191</f>
        <v>49.7</v>
      </c>
      <c r="M117" s="17">
        <f>'[1]Palm Complex'!M191</f>
        <v>36.299999999999997</v>
      </c>
      <c r="N117" s="17">
        <f>'[1]Palm Complex'!N191</f>
        <v>64.5</v>
      </c>
      <c r="O117" s="17">
        <f>'[1]Palm Complex'!O191</f>
        <v>81.900000000000006</v>
      </c>
      <c r="P117" s="17">
        <f>'[1]Palm Complex'!P191</f>
        <v>73.099999999999994</v>
      </c>
      <c r="Q117" s="17">
        <f>'[1]Palm Complex'!Q191</f>
        <v>79.8</v>
      </c>
      <c r="R117" s="17">
        <f>'[1]Palm Complex'!R191</f>
        <v>63.7</v>
      </c>
      <c r="S117" s="17">
        <f>'[1]Palm Complex'!S191</f>
        <v>86.259</v>
      </c>
      <c r="T117" s="17">
        <f>'[1]Palm Complex'!T191</f>
        <v>82</v>
      </c>
      <c r="U117" s="17">
        <f>'[1]Palm Complex'!U191</f>
        <v>80.833333333333343</v>
      </c>
      <c r="V117" s="17">
        <f>'[1]Palm Complex'!V191</f>
        <v>75</v>
      </c>
      <c r="W117" s="17">
        <f>'[1]Palm Complex'!W191</f>
        <v>78.777250000000009</v>
      </c>
      <c r="X117" s="17">
        <f>'[1]Palm Complex'!X191</f>
        <v>122.672</v>
      </c>
      <c r="Y117" s="17">
        <f>'[1]Palm Complex'!Y191</f>
        <v>81.162000000000006</v>
      </c>
      <c r="Z117" s="17">
        <f>'[1]Palm Complex'!Z191</f>
        <v>117.28700000000001</v>
      </c>
      <c r="AA117" s="17">
        <f>'[1]Palm Complex'!AA191</f>
        <v>58.539000000000001</v>
      </c>
      <c r="AB117" s="17">
        <f>'[1]Palm Complex'!AB191</f>
        <v>69.665000000000006</v>
      </c>
      <c r="AC117" s="17">
        <f>'[1]Palm Complex'!AC191</f>
        <v>93.980999999999995</v>
      </c>
      <c r="AD117" s="17">
        <f>'[1]Palm Complex'!AD191</f>
        <v>70.558999999999997</v>
      </c>
      <c r="AE117" s="17">
        <f>'[1]Palm Complex'!AE191</f>
        <v>62.253</v>
      </c>
      <c r="AF117" s="17">
        <f>'[1]Palm Complex'!AF191</f>
        <v>85.835999999999999</v>
      </c>
    </row>
    <row r="118" spans="1:32">
      <c r="A118" s="12" t="s">
        <v>49</v>
      </c>
      <c r="B118" s="17">
        <f>'[1]Palm Complex'!B192</f>
        <v>76</v>
      </c>
      <c r="C118" s="17">
        <f>'[1]Palm Complex'!C192</f>
        <v>60.7</v>
      </c>
      <c r="D118" s="17">
        <f>'[1]Palm Complex'!D192</f>
        <v>48.7</v>
      </c>
      <c r="E118" s="17">
        <f>'[1]Palm Complex'!E192</f>
        <v>51.8</v>
      </c>
      <c r="F118" s="17">
        <f>'[1]Palm Complex'!F192</f>
        <v>61.3</v>
      </c>
      <c r="G118" s="17">
        <f>'[1]Palm Complex'!G192</f>
        <v>55.9</v>
      </c>
      <c r="H118" s="17">
        <f>'[1]Palm Complex'!H192</f>
        <v>60</v>
      </c>
      <c r="I118" s="17">
        <f>'[1]Palm Complex'!I192</f>
        <v>97.3</v>
      </c>
      <c r="J118" s="17">
        <f>'[1]Palm Complex'!J192</f>
        <v>121.251</v>
      </c>
      <c r="K118" s="17">
        <f>'[1]Palm Complex'!K192</f>
        <v>62.954999999999998</v>
      </c>
      <c r="L118" s="17">
        <f>'[1]Palm Complex'!L192</f>
        <v>55.4</v>
      </c>
      <c r="M118" s="17">
        <f>'[1]Palm Complex'!M192</f>
        <v>55.8</v>
      </c>
      <c r="N118" s="17">
        <f>'[1]Palm Complex'!N192</f>
        <v>73.400000000000006</v>
      </c>
      <c r="O118" s="17">
        <f>'[1]Palm Complex'!O192</f>
        <v>103.2</v>
      </c>
      <c r="P118" s="17">
        <f>'[1]Palm Complex'!P192</f>
        <v>79.900000000000006</v>
      </c>
      <c r="Q118" s="17">
        <f>'[1]Palm Complex'!Q192</f>
        <v>56.8</v>
      </c>
      <c r="R118" s="17">
        <f>'[1]Palm Complex'!R192</f>
        <v>50.1</v>
      </c>
      <c r="S118" s="17">
        <f>'[1]Palm Complex'!S192</f>
        <v>86.334000000000003</v>
      </c>
      <c r="T118" s="17">
        <f>'[1]Palm Complex'!T192</f>
        <v>82</v>
      </c>
      <c r="U118" s="17">
        <f>'[1]Palm Complex'!U192</f>
        <v>80.250000000000014</v>
      </c>
      <c r="V118" s="17">
        <f>'[1]Palm Complex'!V192</f>
        <v>75</v>
      </c>
      <c r="W118" s="17">
        <f>'[1]Palm Complex'!W192</f>
        <v>80.665875000000014</v>
      </c>
      <c r="X118" s="17">
        <f>'[1]Palm Complex'!X192</f>
        <v>124.857</v>
      </c>
      <c r="Y118" s="17">
        <f>'[1]Palm Complex'!Y192</f>
        <v>76.215000000000003</v>
      </c>
      <c r="Z118" s="17">
        <f>'[1]Palm Complex'!Z192</f>
        <v>109.878</v>
      </c>
      <c r="AA118" s="17">
        <f>'[1]Palm Complex'!AA192</f>
        <v>61.585999999999999</v>
      </c>
      <c r="AB118" s="17">
        <f>'[1]Palm Complex'!AB192</f>
        <v>78.385999999999996</v>
      </c>
      <c r="AC118" s="17">
        <f>'[1]Palm Complex'!AC192</f>
        <v>74.882999999999996</v>
      </c>
      <c r="AD118" s="17">
        <f>'[1]Palm Complex'!AD192</f>
        <v>66.930999999999997</v>
      </c>
      <c r="AE118" s="17">
        <f>'[1]Palm Complex'!AE192</f>
        <v>62.652999999999999</v>
      </c>
      <c r="AF118" s="17">
        <f>'[1]Palm Complex'!AF192</f>
        <v>92.256</v>
      </c>
    </row>
    <row r="119" spans="1:32">
      <c r="A119" s="12" t="s">
        <v>50</v>
      </c>
      <c r="B119" s="17">
        <f>'[1]Palm Complex'!B193</f>
        <v>109.4</v>
      </c>
      <c r="C119" s="17">
        <f>'[1]Palm Complex'!C193</f>
        <v>66.900000000000006</v>
      </c>
      <c r="D119" s="17">
        <f>'[1]Palm Complex'!D193</f>
        <v>58.3</v>
      </c>
      <c r="E119" s="17">
        <f>'[1]Palm Complex'!E193</f>
        <v>80.599999999999994</v>
      </c>
      <c r="F119" s="17">
        <f>'[1]Palm Complex'!F193</f>
        <v>59.6</v>
      </c>
      <c r="G119" s="17">
        <f>'[1]Palm Complex'!G193</f>
        <v>51.6</v>
      </c>
      <c r="H119" s="17">
        <f>'[1]Palm Complex'!H193</f>
        <v>58.4</v>
      </c>
      <c r="I119" s="17">
        <f>'[1]Palm Complex'!I193</f>
        <v>108.5</v>
      </c>
      <c r="J119" s="17">
        <f>'[1]Palm Complex'!J193</f>
        <v>100.303</v>
      </c>
      <c r="K119" s="17">
        <f>'[1]Palm Complex'!K193</f>
        <v>76.599999999999994</v>
      </c>
      <c r="L119" s="17">
        <f>'[1]Palm Complex'!L193</f>
        <v>66.900000000000006</v>
      </c>
      <c r="M119" s="17">
        <f>'[1]Palm Complex'!M193</f>
        <v>66.099999999999994</v>
      </c>
      <c r="N119" s="17">
        <f>'[1]Palm Complex'!N193</f>
        <v>51</v>
      </c>
      <c r="O119" s="17">
        <f>'[1]Palm Complex'!O193</f>
        <v>87.4</v>
      </c>
      <c r="P119" s="17">
        <f>'[1]Palm Complex'!P193</f>
        <v>82.7</v>
      </c>
      <c r="Q119" s="17">
        <f>'[1]Palm Complex'!Q193</f>
        <v>94</v>
      </c>
      <c r="R119" s="17">
        <f>'[1]Palm Complex'!R193</f>
        <v>96.332999999999998</v>
      </c>
      <c r="S119" s="17">
        <f>'[1]Palm Complex'!S193</f>
        <v>100.461</v>
      </c>
      <c r="T119" s="17">
        <f>'[1]Palm Complex'!T193</f>
        <v>82</v>
      </c>
      <c r="U119" s="17">
        <f>'[1]Palm Complex'!U193</f>
        <v>79.666666666666686</v>
      </c>
      <c r="V119" s="17">
        <f>'[1]Palm Complex'!V193</f>
        <v>75</v>
      </c>
      <c r="W119" s="17">
        <f>'[1]Palm Complex'!W193</f>
        <v>82.554500000000019</v>
      </c>
      <c r="X119" s="17">
        <f>'[1]Palm Complex'!X193</f>
        <v>132.02699999999999</v>
      </c>
      <c r="Y119" s="17">
        <f>'[1]Palm Complex'!Y193</f>
        <v>71.962000000000003</v>
      </c>
      <c r="Z119" s="17">
        <f>'[1]Palm Complex'!Z193</f>
        <v>90.177000000000007</v>
      </c>
      <c r="AA119" s="17">
        <f>'[1]Palm Complex'!AA193</f>
        <v>64.754999999999995</v>
      </c>
      <c r="AB119" s="17">
        <f>'[1]Palm Complex'!AB193</f>
        <v>53.07</v>
      </c>
      <c r="AC119" s="17">
        <f>'[1]Palm Complex'!AC193</f>
        <v>68.643000000000001</v>
      </c>
      <c r="AD119" s="17">
        <f>'[1]Palm Complex'!AD193</f>
        <v>60.478999999999999</v>
      </c>
      <c r="AE119" s="17">
        <f>'[1]Palm Complex'!AE193</f>
        <v>52.523000000000003</v>
      </c>
      <c r="AF119" s="17">
        <f>'[1]Palm Complex'!AF193</f>
        <v>90.578000000000003</v>
      </c>
    </row>
    <row r="120" spans="1:32">
      <c r="A120" s="12" t="s">
        <v>51</v>
      </c>
      <c r="B120" s="17">
        <f>'[1]Palm Complex'!B194</f>
        <v>90</v>
      </c>
      <c r="C120" s="17">
        <f>'[1]Palm Complex'!C194</f>
        <v>77</v>
      </c>
      <c r="D120" s="17">
        <f>'[1]Palm Complex'!D194</f>
        <v>71.8</v>
      </c>
      <c r="E120" s="17">
        <f>'[1]Palm Complex'!E194</f>
        <v>90.8</v>
      </c>
      <c r="F120" s="17">
        <f>'[1]Palm Complex'!F194</f>
        <v>53.1</v>
      </c>
      <c r="G120" s="17">
        <f>'[1]Palm Complex'!G194</f>
        <v>67.599999999999994</v>
      </c>
      <c r="H120" s="17">
        <f>'[1]Palm Complex'!H194</f>
        <v>59.3</v>
      </c>
      <c r="I120" s="17">
        <f>'[1]Palm Complex'!I194</f>
        <v>142.9</v>
      </c>
      <c r="J120" s="17">
        <f>'[1]Palm Complex'!J194</f>
        <v>131.29900000000001</v>
      </c>
      <c r="K120" s="17">
        <f>'[1]Palm Complex'!K194</f>
        <v>74.2</v>
      </c>
      <c r="L120" s="17">
        <f>'[1]Palm Complex'!L194</f>
        <v>71.900000000000006</v>
      </c>
      <c r="M120" s="17">
        <f>'[1]Palm Complex'!M194</f>
        <v>47.1</v>
      </c>
      <c r="N120" s="17">
        <f>'[1]Palm Complex'!N194</f>
        <v>70.3</v>
      </c>
      <c r="O120" s="17">
        <f>'[1]Palm Complex'!O194</f>
        <v>76.099999999999994</v>
      </c>
      <c r="P120" s="17">
        <f>'[1]Palm Complex'!P194</f>
        <v>80.099999999999994</v>
      </c>
      <c r="Q120" s="17">
        <f>'[1]Palm Complex'!Q194</f>
        <v>90.4</v>
      </c>
      <c r="R120" s="17">
        <f>'[1]Palm Complex'!R194</f>
        <v>72.430000000000007</v>
      </c>
      <c r="S120" s="17">
        <f>'[1]Palm Complex'!S194</f>
        <v>93.659000000000006</v>
      </c>
      <c r="T120" s="17">
        <f>'[1]Palm Complex'!T194</f>
        <v>82</v>
      </c>
      <c r="U120" s="17">
        <f>'[1]Palm Complex'!U194</f>
        <v>79.083333333333357</v>
      </c>
      <c r="V120" s="17">
        <f>'[1]Palm Complex'!V194</f>
        <v>75</v>
      </c>
      <c r="W120" s="17">
        <f>'[1]Palm Complex'!W194</f>
        <v>84.443125000000023</v>
      </c>
      <c r="X120" s="17">
        <f>'[1]Palm Complex'!X194</f>
        <v>127.179</v>
      </c>
      <c r="Y120" s="17">
        <f>'[1]Palm Complex'!Y194</f>
        <v>62.104999999999997</v>
      </c>
      <c r="Z120" s="17">
        <f>'[1]Palm Complex'!Z194</f>
        <v>94.057000000000002</v>
      </c>
      <c r="AA120" s="17">
        <f>'[1]Palm Complex'!AA194</f>
        <v>65.707999999999998</v>
      </c>
      <c r="AB120" s="17">
        <f>'[1]Palm Complex'!AB194</f>
        <v>55.32</v>
      </c>
      <c r="AC120" s="17">
        <f>'[1]Palm Complex'!AC194</f>
        <v>73.793000000000006</v>
      </c>
      <c r="AD120" s="17">
        <f>'[1]Palm Complex'!AD194</f>
        <v>56.191000000000003</v>
      </c>
      <c r="AE120" s="17">
        <f>'[1]Palm Complex'!AE194</f>
        <v>55.149000000000001</v>
      </c>
      <c r="AF120" s="17">
        <f>'[1]Palm Complex'!AF194</f>
        <v>98.361999999999995</v>
      </c>
    </row>
    <row r="121" spans="1:32">
      <c r="A121" s="12" t="s">
        <v>52</v>
      </c>
      <c r="B121" s="17">
        <f>'[1]Palm Complex'!B195</f>
        <v>112.7</v>
      </c>
      <c r="C121" s="17">
        <f>'[1]Palm Complex'!C195</f>
        <v>71.599999999999994</v>
      </c>
      <c r="D121" s="17">
        <f>'[1]Palm Complex'!D195</f>
        <v>78.2</v>
      </c>
      <c r="E121" s="17">
        <f>'[1]Palm Complex'!E195</f>
        <v>69.7</v>
      </c>
      <c r="F121" s="17">
        <f>'[1]Palm Complex'!F195</f>
        <v>52.9</v>
      </c>
      <c r="G121" s="17">
        <f>'[1]Palm Complex'!G195</f>
        <v>108.4</v>
      </c>
      <c r="H121" s="17">
        <f>'[1]Palm Complex'!H195</f>
        <v>71.3</v>
      </c>
      <c r="I121" s="17">
        <f>'[1]Palm Complex'!I195</f>
        <v>114.521</v>
      </c>
      <c r="J121" s="17">
        <f>'[1]Palm Complex'!J195</f>
        <v>125.21899999999999</v>
      </c>
      <c r="K121" s="17">
        <f>'[1]Palm Complex'!K195</f>
        <v>95.7</v>
      </c>
      <c r="L121" s="17">
        <f>'[1]Palm Complex'!L195</f>
        <v>54.4</v>
      </c>
      <c r="M121" s="17">
        <f>'[1]Palm Complex'!M195</f>
        <v>54.2</v>
      </c>
      <c r="N121" s="17">
        <f>'[1]Palm Complex'!N195</f>
        <v>111.7</v>
      </c>
      <c r="O121" s="17">
        <f>'[1]Palm Complex'!O195</f>
        <v>69.3</v>
      </c>
      <c r="P121" s="17">
        <f>'[1]Palm Complex'!P195</f>
        <v>94.1</v>
      </c>
      <c r="Q121" s="17">
        <f>'[1]Palm Complex'!Q195</f>
        <v>118.3</v>
      </c>
      <c r="R121" s="17">
        <f>'[1]Palm Complex'!R195</f>
        <v>72.923999999999992</v>
      </c>
      <c r="S121" s="17">
        <f>'[1]Palm Complex'!S195</f>
        <v>62.746000000000002</v>
      </c>
      <c r="T121" s="17">
        <f>'[1]Palm Complex'!T195</f>
        <v>82</v>
      </c>
      <c r="U121" s="17">
        <f>'[1]Palm Complex'!U195</f>
        <v>78.500000000000028</v>
      </c>
      <c r="V121" s="17">
        <f>'[1]Palm Complex'!V195</f>
        <v>75</v>
      </c>
      <c r="W121" s="17">
        <f>'[1]Palm Complex'!W195</f>
        <v>86.331750000000028</v>
      </c>
      <c r="X121" s="17">
        <f>'[1]Palm Complex'!X195</f>
        <v>116.166</v>
      </c>
      <c r="Y121" s="17">
        <f>'[1]Palm Complex'!Y195</f>
        <v>65.867999999999995</v>
      </c>
      <c r="Z121" s="17">
        <f>'[1]Palm Complex'!Z195</f>
        <v>95.451999999999998</v>
      </c>
      <c r="AA121" s="17">
        <f>'[1]Palm Complex'!AA195</f>
        <v>62.244</v>
      </c>
      <c r="AB121" s="17">
        <f>'[1]Palm Complex'!AB195</f>
        <v>54.192999999999998</v>
      </c>
      <c r="AC121" s="17">
        <f>'[1]Palm Complex'!AC195</f>
        <v>52.938000000000002</v>
      </c>
      <c r="AD121" s="17">
        <f>'[1]Palm Complex'!AD195</f>
        <v>58.658000000000001</v>
      </c>
      <c r="AE121" s="17">
        <f>'[1]Palm Complex'!AE195</f>
        <v>57.765999999999998</v>
      </c>
      <c r="AF121" s="17">
        <f>'[1]Palm Complex'!AF195</f>
        <v>95.054063583242879</v>
      </c>
    </row>
    <row r="122" spans="1:32">
      <c r="A122" s="12" t="s">
        <v>53</v>
      </c>
      <c r="B122" s="17">
        <f>'[1]Palm Complex'!B196</f>
        <v>94.5</v>
      </c>
      <c r="C122" s="17">
        <f>'[1]Palm Complex'!C196</f>
        <v>51.3</v>
      </c>
      <c r="D122" s="17">
        <f>'[1]Palm Complex'!D196</f>
        <v>76.8</v>
      </c>
      <c r="E122" s="17">
        <f>'[1]Palm Complex'!E196</f>
        <v>65.099999999999994</v>
      </c>
      <c r="F122" s="17">
        <f>'[1]Palm Complex'!F196</f>
        <v>73.400000000000006</v>
      </c>
      <c r="G122" s="17">
        <f>'[1]Palm Complex'!G196</f>
        <v>89.3</v>
      </c>
      <c r="H122" s="17">
        <f>'[1]Palm Complex'!H196</f>
        <v>78.900000000000006</v>
      </c>
      <c r="I122" s="17">
        <f>'[1]Palm Complex'!I196</f>
        <v>123.3</v>
      </c>
      <c r="J122" s="17">
        <f>'[1]Palm Complex'!J196</f>
        <v>119</v>
      </c>
      <c r="K122" s="17">
        <f>'[1]Palm Complex'!K196</f>
        <v>71.099999999999994</v>
      </c>
      <c r="L122" s="17">
        <f>'[1]Palm Complex'!L196</f>
        <v>81.099999999999994</v>
      </c>
      <c r="M122" s="17">
        <f>'[1]Palm Complex'!M196</f>
        <v>37.4</v>
      </c>
      <c r="N122" s="17">
        <f>'[1]Palm Complex'!N196</f>
        <v>102.4</v>
      </c>
      <c r="O122" s="17">
        <f>'[1]Palm Complex'!O196</f>
        <v>56.2</v>
      </c>
      <c r="P122" s="17">
        <f>'[1]Palm Complex'!P196</f>
        <v>99.5</v>
      </c>
      <c r="Q122" s="17">
        <f>'[1]Palm Complex'!Q196</f>
        <v>101.7</v>
      </c>
      <c r="R122" s="17">
        <f>'[1]Palm Complex'!R196</f>
        <v>53.598999999999997</v>
      </c>
      <c r="S122" s="17">
        <f>'[1]Palm Complex'!S196</f>
        <v>59.341000000000001</v>
      </c>
      <c r="T122" s="17">
        <f>'[1]Palm Complex'!T196</f>
        <v>82</v>
      </c>
      <c r="U122" s="17">
        <f>'[1]Palm Complex'!U196</f>
        <v>77.9166666666667</v>
      </c>
      <c r="V122" s="17">
        <f>'[1]Palm Complex'!V196</f>
        <v>75</v>
      </c>
      <c r="W122" s="17">
        <f>'[1]Palm Complex'!W196</f>
        <v>88.220375000000033</v>
      </c>
      <c r="X122" s="17">
        <f>'[1]Palm Complex'!X196</f>
        <v>111.04600000000001</v>
      </c>
      <c r="Y122" s="17">
        <f>'[1]Palm Complex'!Y196</f>
        <v>72.581000000000003</v>
      </c>
      <c r="Z122" s="17">
        <f>'[1]Palm Complex'!Z196</f>
        <v>83.483999999999995</v>
      </c>
      <c r="AA122" s="17">
        <f>'[1]Palm Complex'!AA196</f>
        <v>65.501000000000005</v>
      </c>
      <c r="AB122" s="17">
        <f>'[1]Palm Complex'!AB196</f>
        <v>56.93</v>
      </c>
      <c r="AC122" s="17">
        <f>'[1]Palm Complex'!AC196</f>
        <v>64.594999999999999</v>
      </c>
      <c r="AD122" s="17">
        <f>'[1]Palm Complex'!AD196</f>
        <v>63.768000000000001</v>
      </c>
      <c r="AE122" s="17">
        <f>'[1]Palm Complex'!AE196</f>
        <v>51.052999999999997</v>
      </c>
      <c r="AF122" s="17">
        <f>'[1]Palm Complex'!AF196</f>
        <v>98.616219650319834</v>
      </c>
    </row>
    <row r="123" spans="1:32">
      <c r="A123" s="12" t="s">
        <v>54</v>
      </c>
      <c r="B123" s="17">
        <f>'[1]Palm Complex'!B197</f>
        <v>97.3</v>
      </c>
      <c r="C123" s="17">
        <f>'[1]Palm Complex'!C197</f>
        <v>55.3</v>
      </c>
      <c r="D123" s="17">
        <f>'[1]Palm Complex'!D197</f>
        <v>70</v>
      </c>
      <c r="E123" s="17">
        <f>'[1]Palm Complex'!E197</f>
        <v>53.9</v>
      </c>
      <c r="F123" s="17">
        <f>'[1]Palm Complex'!F197</f>
        <v>88.4</v>
      </c>
      <c r="G123" s="17">
        <f>'[1]Palm Complex'!G197</f>
        <v>88.7</v>
      </c>
      <c r="H123" s="17">
        <f>'[1]Palm Complex'!H197</f>
        <v>78.599999999999994</v>
      </c>
      <c r="I123" s="17">
        <f>'[1]Palm Complex'!I197</f>
        <v>108.61</v>
      </c>
      <c r="J123" s="17">
        <f>'[1]Palm Complex'!J197</f>
        <v>129.19399999999999</v>
      </c>
      <c r="K123" s="17">
        <f>'[1]Palm Complex'!K197</f>
        <v>73.3</v>
      </c>
      <c r="L123" s="17">
        <f>'[1]Palm Complex'!L197</f>
        <v>41.8</v>
      </c>
      <c r="M123" s="17">
        <f>'[1]Palm Complex'!M197</f>
        <v>54.9</v>
      </c>
      <c r="N123" s="17">
        <f>'[1]Palm Complex'!N197</f>
        <v>103.9</v>
      </c>
      <c r="O123" s="17">
        <f>'[1]Palm Complex'!O197</f>
        <v>69.3</v>
      </c>
      <c r="P123" s="17">
        <f>'[1]Palm Complex'!P197</f>
        <v>99</v>
      </c>
      <c r="Q123" s="17">
        <f>'[1]Palm Complex'!Q197</f>
        <v>118.5</v>
      </c>
      <c r="R123" s="17">
        <f>'[1]Palm Complex'!R197</f>
        <v>47.698999999999998</v>
      </c>
      <c r="S123" s="17">
        <f>'[1]Palm Complex'!S197</f>
        <v>69.156000000000006</v>
      </c>
      <c r="T123" s="17">
        <f>'[1]Palm Complex'!T197</f>
        <v>82</v>
      </c>
      <c r="U123" s="17">
        <f>'[1]Palm Complex'!U197</f>
        <v>77.333333333333371</v>
      </c>
      <c r="V123" s="17">
        <f>'[1]Palm Complex'!V197</f>
        <v>75</v>
      </c>
      <c r="W123" s="17">
        <f>'[1]Palm Complex'!W197</f>
        <v>90.108999999999995</v>
      </c>
      <c r="X123" s="17">
        <f>'[1]Palm Complex'!X197</f>
        <v>116.127</v>
      </c>
      <c r="Y123" s="17">
        <f>'[1]Palm Complex'!Y197</f>
        <v>62.551000000000002</v>
      </c>
      <c r="Z123" s="17">
        <f>'[1]Palm Complex'!Z197</f>
        <v>73.45</v>
      </c>
      <c r="AA123" s="17">
        <f>'[1]Palm Complex'!AA197</f>
        <v>67.759</v>
      </c>
      <c r="AB123" s="17">
        <f>'[1]Palm Complex'!AB197</f>
        <v>43.722000000000001</v>
      </c>
      <c r="AC123" s="17">
        <f>'[1]Palm Complex'!AC197</f>
        <v>50.005000000000003</v>
      </c>
      <c r="AD123" s="17">
        <f>'[1]Palm Complex'!AD197</f>
        <v>60.22</v>
      </c>
      <c r="AE123" s="17">
        <f>'[1]Palm Complex'!AE197</f>
        <v>53.832999999999998</v>
      </c>
      <c r="AF123" s="17">
        <f>'[1]Palm Complex'!AF197</f>
        <v>91.452050663360808</v>
      </c>
    </row>
    <row r="124" spans="1:32">
      <c r="A124" s="12" t="s">
        <v>55</v>
      </c>
      <c r="B124" s="17">
        <f>'[1]Palm Complex'!B198</f>
        <v>81.8</v>
      </c>
      <c r="C124" s="17">
        <f>'[1]Palm Complex'!C198</f>
        <v>50.3</v>
      </c>
      <c r="D124" s="17">
        <f>'[1]Palm Complex'!D198</f>
        <v>49.6</v>
      </c>
      <c r="E124" s="17">
        <f>'[1]Palm Complex'!E198</f>
        <v>74.099999999999994</v>
      </c>
      <c r="F124" s="17">
        <f>'[1]Palm Complex'!F198</f>
        <v>91.4</v>
      </c>
      <c r="G124" s="17">
        <f>'[1]Palm Complex'!G198</f>
        <v>78.2</v>
      </c>
      <c r="H124" s="17">
        <f>'[1]Palm Complex'!H198</f>
        <v>53.9</v>
      </c>
      <c r="I124" s="17">
        <f>'[1]Palm Complex'!I198</f>
        <v>117.622</v>
      </c>
      <c r="J124" s="17">
        <f>'[1]Palm Complex'!J198</f>
        <v>102.429</v>
      </c>
      <c r="K124" s="17">
        <f>'[1]Palm Complex'!K198</f>
        <v>34.700000000000003</v>
      </c>
      <c r="L124" s="17">
        <f>'[1]Palm Complex'!L198</f>
        <v>32.5</v>
      </c>
      <c r="M124" s="17">
        <f>'[1]Palm Complex'!M198</f>
        <v>49.2</v>
      </c>
      <c r="N124" s="17">
        <f>'[1]Palm Complex'!N198</f>
        <v>104.1</v>
      </c>
      <c r="O124" s="17">
        <f>'[1]Palm Complex'!O198</f>
        <v>74.400000000000006</v>
      </c>
      <c r="P124" s="17">
        <f>'[1]Palm Complex'!P198</f>
        <v>96</v>
      </c>
      <c r="Q124" s="17">
        <f>'[1]Palm Complex'!Q198</f>
        <v>98.3</v>
      </c>
      <c r="R124" s="17">
        <f>'[1]Palm Complex'!R198</f>
        <v>43.243000000000002</v>
      </c>
      <c r="S124" s="17">
        <f>'[1]Palm Complex'!S198</f>
        <v>64.974999999999994</v>
      </c>
      <c r="T124" s="17">
        <f>'[1]Palm Complex'!T198</f>
        <v>82</v>
      </c>
      <c r="U124" s="17">
        <f>'[1]Palm Complex'!U198</f>
        <v>76.750000000000043</v>
      </c>
      <c r="V124" s="17">
        <f>'[1]Palm Complex'!V198</f>
        <v>75</v>
      </c>
      <c r="W124" s="17">
        <f>'[1]Palm Complex'!W198</f>
        <v>84.513000000000005</v>
      </c>
      <c r="X124" s="17">
        <f>'[1]Palm Complex'!X198</f>
        <v>105.465</v>
      </c>
      <c r="Y124" s="17">
        <f>'[1]Palm Complex'!Y198</f>
        <v>94.369</v>
      </c>
      <c r="Z124" s="17">
        <f>'[1]Palm Complex'!Z198</f>
        <v>65.546000000000006</v>
      </c>
      <c r="AA124" s="17">
        <f>'[1]Palm Complex'!AA198</f>
        <v>71.366</v>
      </c>
      <c r="AB124" s="17">
        <f>'[1]Palm Complex'!AB198</f>
        <v>67.751000000000005</v>
      </c>
      <c r="AC124" s="17">
        <f>'[1]Palm Complex'!AC198</f>
        <v>37.694000000000003</v>
      </c>
      <c r="AD124" s="17">
        <f>'[1]Palm Complex'!AD198</f>
        <v>60.323</v>
      </c>
      <c r="AE124" s="17">
        <f>'[1]Palm Complex'!AE198</f>
        <v>62.207000000000001</v>
      </c>
      <c r="AF124" s="17">
        <f>'[1]Palm Complex'!AF198</f>
        <v>93.993827545310083</v>
      </c>
    </row>
    <row r="125" spans="1:32">
      <c r="A125" s="12" t="s">
        <v>56</v>
      </c>
      <c r="B125" s="17">
        <f>'[1]Palm Complex'!B199</f>
        <v>58.6</v>
      </c>
      <c r="C125" s="17">
        <f>'[1]Palm Complex'!C199</f>
        <v>60.4</v>
      </c>
      <c r="D125" s="17">
        <f>'[1]Palm Complex'!D199</f>
        <v>56.6</v>
      </c>
      <c r="E125" s="17">
        <f>'[1]Palm Complex'!E199</f>
        <v>53.7</v>
      </c>
      <c r="F125" s="17">
        <f>'[1]Palm Complex'!F199</f>
        <v>72.5</v>
      </c>
      <c r="G125" s="17">
        <f>'[1]Palm Complex'!G199</f>
        <v>62.9</v>
      </c>
      <c r="H125" s="17">
        <f>'[1]Palm Complex'!H199</f>
        <v>90.1</v>
      </c>
      <c r="I125" s="17">
        <f>'[1]Palm Complex'!I199</f>
        <v>126.804</v>
      </c>
      <c r="J125" s="17">
        <f>'[1]Palm Complex'!J199</f>
        <v>132.364</v>
      </c>
      <c r="K125" s="17">
        <f>'[1]Palm Complex'!K199</f>
        <v>52.4</v>
      </c>
      <c r="L125" s="17">
        <f>'[1]Palm Complex'!L199</f>
        <v>60.6</v>
      </c>
      <c r="M125" s="17">
        <f>'[1]Palm Complex'!M199</f>
        <v>59.8</v>
      </c>
      <c r="N125" s="17">
        <f>'[1]Palm Complex'!N199</f>
        <v>87.3</v>
      </c>
      <c r="O125" s="17">
        <f>'[1]Palm Complex'!O199</f>
        <v>107.5</v>
      </c>
      <c r="P125" s="17">
        <f>'[1]Palm Complex'!P199</f>
        <v>79</v>
      </c>
      <c r="Q125" s="17">
        <f>'[1]Palm Complex'!Q199</f>
        <v>83.3</v>
      </c>
      <c r="R125" s="17">
        <f>'[1]Palm Complex'!R199</f>
        <v>75.78</v>
      </c>
      <c r="S125" s="17">
        <f>'[1]Palm Complex'!S199</f>
        <v>88.936999999999998</v>
      </c>
      <c r="T125" s="17">
        <f>'[1]Palm Complex'!T199</f>
        <v>82</v>
      </c>
      <c r="U125" s="17">
        <f>'[1]Palm Complex'!U199</f>
        <v>76.166666666666714</v>
      </c>
      <c r="V125" s="17">
        <f>'[1]Palm Complex'!V199</f>
        <v>75</v>
      </c>
      <c r="W125" s="17">
        <f>'[1]Palm Complex'!W199</f>
        <v>97.557000000000002</v>
      </c>
      <c r="X125" s="17">
        <f>'[1]Palm Complex'!X199</f>
        <v>95.093000000000004</v>
      </c>
      <c r="Y125" s="17">
        <f>'[1]Palm Complex'!Y199</f>
        <v>86.212999999999994</v>
      </c>
      <c r="Z125" s="17">
        <f>'[1]Palm Complex'!Z199</f>
        <v>63.32</v>
      </c>
      <c r="AA125" s="17">
        <f>'[1]Palm Complex'!AA199</f>
        <v>75.927000000000007</v>
      </c>
      <c r="AB125" s="17">
        <f>'[1]Palm Complex'!AB199</f>
        <v>72.567999999999998</v>
      </c>
      <c r="AC125" s="17">
        <f>'[1]Palm Complex'!AC199</f>
        <v>34.884999999999998</v>
      </c>
      <c r="AD125" s="17">
        <f>'[1]Palm Complex'!AD199</f>
        <v>54.01</v>
      </c>
      <c r="AE125" s="17">
        <f>'[1]Palm Complex'!AE199</f>
        <v>60.642000000000003</v>
      </c>
      <c r="AF125" s="17">
        <f>'[1]Palm Complex'!AF199</f>
        <v>95.114426517545297</v>
      </c>
    </row>
    <row r="126" spans="1:32" ht="15.75" thickBot="1">
      <c r="A126" s="12" t="s">
        <v>57</v>
      </c>
      <c r="B126" s="17">
        <f>'[1]Palm Complex'!B200</f>
        <v>54.4</v>
      </c>
      <c r="C126" s="17">
        <f>'[1]Palm Complex'!C200</f>
        <v>50.1</v>
      </c>
      <c r="D126" s="17">
        <f>'[1]Palm Complex'!D200</f>
        <v>32</v>
      </c>
      <c r="E126" s="17">
        <f>'[1]Palm Complex'!E200</f>
        <v>61.5</v>
      </c>
      <c r="F126" s="17">
        <f>'[1]Palm Complex'!F200</f>
        <v>76.3</v>
      </c>
      <c r="G126" s="17">
        <f>'[1]Palm Complex'!G200</f>
        <v>85.3</v>
      </c>
      <c r="H126" s="17">
        <f>'[1]Palm Complex'!H200</f>
        <v>65.5</v>
      </c>
      <c r="I126" s="17">
        <f>'[1]Palm Complex'!I200</f>
        <v>129.66900000000001</v>
      </c>
      <c r="J126" s="17">
        <f>'[1]Palm Complex'!J200</f>
        <v>137.21600000000001</v>
      </c>
      <c r="K126" s="17">
        <f>'[1]Palm Complex'!K200</f>
        <v>43.2</v>
      </c>
      <c r="L126" s="17">
        <f>'[1]Palm Complex'!L200</f>
        <v>53.2</v>
      </c>
      <c r="M126" s="17">
        <f>'[1]Palm Complex'!M200</f>
        <v>58</v>
      </c>
      <c r="N126" s="17">
        <f>'[1]Palm Complex'!N200</f>
        <v>75.599999999999994</v>
      </c>
      <c r="O126" s="17">
        <f>'[1]Palm Complex'!O200</f>
        <v>78.900000000000006</v>
      </c>
      <c r="P126" s="17">
        <f>'[1]Palm Complex'!P200</f>
        <v>92.8</v>
      </c>
      <c r="Q126" s="17">
        <f>'[1]Palm Complex'!Q200</f>
        <v>77.5</v>
      </c>
      <c r="R126" s="17">
        <f>'[1]Palm Complex'!R200</f>
        <v>74.284999999999997</v>
      </c>
      <c r="S126" s="17">
        <f>'[1]Palm Complex'!S200</f>
        <v>85.468500000000006</v>
      </c>
      <c r="T126" s="17">
        <f>'[1]Palm Complex'!T200</f>
        <v>82</v>
      </c>
      <c r="U126" s="17">
        <f>'[1]Palm Complex'!U200</f>
        <v>75.583333333333385</v>
      </c>
      <c r="V126" s="17">
        <f>'[1]Palm Complex'!V200</f>
        <v>75</v>
      </c>
      <c r="W126" s="17">
        <f>'[1]Palm Complex'!W200</f>
        <v>81.100999999999999</v>
      </c>
      <c r="X126" s="17">
        <f>'[1]Palm Complex'!X200</f>
        <v>84.843999999999994</v>
      </c>
      <c r="Y126" s="17">
        <f>'[1]Palm Complex'!Y200</f>
        <v>105.18</v>
      </c>
      <c r="Z126" s="17">
        <f>'[1]Palm Complex'!Z200</f>
        <v>61.12</v>
      </c>
      <c r="AA126" s="17">
        <f>'[1]Palm Complex'!AA200</f>
        <v>75.588999999999999</v>
      </c>
      <c r="AB126" s="17">
        <f>'[1]Palm Complex'!AB200</f>
        <v>81.265000000000001</v>
      </c>
      <c r="AC126" s="17">
        <f>'[1]Palm Complex'!AC200</f>
        <v>39.51</v>
      </c>
      <c r="AD126" s="17">
        <f>'[1]Palm Complex'!AD200</f>
        <v>53.192</v>
      </c>
      <c r="AE126" s="17">
        <f>'[1]Palm Complex'!AE200</f>
        <v>48.116999999999997</v>
      </c>
      <c r="AF126" s="17">
        <f>'[1]Palm Complex'!AF200</f>
        <v>98.40235072660947</v>
      </c>
    </row>
    <row r="127" spans="1:3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</row>
    <row r="128" spans="1:32" ht="15.75" thickBot="1">
      <c r="A128" s="12" t="s">
        <v>75</v>
      </c>
    </row>
    <row r="129" spans="1:32" ht="15.75" thickBot="1">
      <c r="A129" s="3"/>
      <c r="B129" s="3" t="str">
        <f>B2</f>
        <v xml:space="preserve">93/94 </v>
      </c>
      <c r="C129" s="3" t="str">
        <f t="shared" ref="C129:AF129" si="14">C2</f>
        <v xml:space="preserve">94/95 </v>
      </c>
      <c r="D129" s="3" t="str">
        <f t="shared" si="14"/>
        <v xml:space="preserve">95/96 </v>
      </c>
      <c r="E129" s="3" t="str">
        <f t="shared" si="14"/>
        <v xml:space="preserve">96/97 </v>
      </c>
      <c r="F129" s="3" t="str">
        <f t="shared" si="14"/>
        <v xml:space="preserve">97/98 </v>
      </c>
      <c r="G129" s="3" t="str">
        <f t="shared" si="14"/>
        <v xml:space="preserve">98/99 </v>
      </c>
      <c r="H129" s="3" t="str">
        <f t="shared" si="14"/>
        <v xml:space="preserve">99/00 </v>
      </c>
      <c r="I129" s="3" t="str">
        <f t="shared" si="14"/>
        <v xml:space="preserve">00/01 </v>
      </c>
      <c r="J129" s="3" t="str">
        <f t="shared" si="14"/>
        <v xml:space="preserve">01/02 </v>
      </c>
      <c r="K129" s="3" t="str">
        <f t="shared" si="14"/>
        <v xml:space="preserve">02/03 </v>
      </c>
      <c r="L129" s="3" t="str">
        <f t="shared" si="14"/>
        <v xml:space="preserve">03/04 </v>
      </c>
      <c r="M129" s="3" t="str">
        <f t="shared" si="14"/>
        <v xml:space="preserve">04/05 </v>
      </c>
      <c r="N129" s="3" t="str">
        <f t="shared" si="14"/>
        <v xml:space="preserve">05/06 </v>
      </c>
      <c r="O129" s="3" t="str">
        <f t="shared" si="14"/>
        <v xml:space="preserve">06/07 </v>
      </c>
      <c r="P129" s="3" t="str">
        <f t="shared" si="14"/>
        <v xml:space="preserve">07/08 </v>
      </c>
      <c r="Q129" s="3" t="str">
        <f t="shared" si="14"/>
        <v xml:space="preserve">08/09 </v>
      </c>
      <c r="R129" s="3" t="str">
        <f t="shared" si="14"/>
        <v xml:space="preserve">09/10 </v>
      </c>
      <c r="S129" s="3" t="str">
        <f t="shared" si="14"/>
        <v xml:space="preserve">10/11 </v>
      </c>
      <c r="T129" s="3" t="str">
        <f t="shared" si="14"/>
        <v xml:space="preserve">11/12 </v>
      </c>
      <c r="U129" s="3" t="str">
        <f t="shared" si="14"/>
        <v xml:space="preserve">12/13 </v>
      </c>
      <c r="V129" s="3" t="str">
        <f t="shared" si="14"/>
        <v xml:space="preserve">13/14 </v>
      </c>
      <c r="W129" s="3" t="str">
        <f t="shared" si="14"/>
        <v xml:space="preserve">14/15 </v>
      </c>
      <c r="X129" s="3" t="str">
        <f t="shared" si="14"/>
        <v xml:space="preserve">15/16 </v>
      </c>
      <c r="Y129" s="3" t="str">
        <f t="shared" si="14"/>
        <v xml:space="preserve">16/17 </v>
      </c>
      <c r="Z129" s="3" t="str">
        <f t="shared" si="14"/>
        <v xml:space="preserve">17/18 </v>
      </c>
      <c r="AA129" s="3" t="str">
        <f t="shared" si="14"/>
        <v xml:space="preserve">18/19 </v>
      </c>
      <c r="AB129" s="3" t="str">
        <f t="shared" si="14"/>
        <v xml:space="preserve">19/20 </v>
      </c>
      <c r="AC129" s="3" t="str">
        <f t="shared" si="14"/>
        <v xml:space="preserve">20/21 </v>
      </c>
      <c r="AD129" s="3" t="str">
        <f t="shared" si="14"/>
        <v xml:space="preserve">21/22 </v>
      </c>
      <c r="AE129" s="3" t="str">
        <f t="shared" si="14"/>
        <v xml:space="preserve">22/23 </v>
      </c>
      <c r="AF129" s="3" t="str">
        <f t="shared" si="14"/>
        <v>23/24</v>
      </c>
    </row>
    <row r="130" spans="1:32">
      <c r="A130" s="12" t="s">
        <v>46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>
        <v>28.829499999999999</v>
      </c>
      <c r="P130" s="15">
        <v>50.891300000000001</v>
      </c>
      <c r="Q130" s="15">
        <v>40.956499999999998</v>
      </c>
      <c r="R130" s="15">
        <v>38.386299999999999</v>
      </c>
      <c r="S130" s="15">
        <v>72.142799999999994</v>
      </c>
      <c r="T130" s="15">
        <v>55.523800000000001</v>
      </c>
      <c r="U130" s="15">
        <v>44.130400000000002</v>
      </c>
      <c r="V130" s="15">
        <v>46.543500000000002</v>
      </c>
      <c r="W130" s="15">
        <v>46.188600000000001</v>
      </c>
      <c r="X130" s="15">
        <v>47.7273</v>
      </c>
      <c r="Y130" s="15">
        <v>69.8095</v>
      </c>
      <c r="Z130" s="15">
        <v>70.409099999999995</v>
      </c>
      <c r="AA130" s="16">
        <f>'Palm Kernel Oil Price Analysis'!$B153</f>
        <v>29.5</v>
      </c>
      <c r="AB130" s="16">
        <f>'Palm Kernel Oil Price Analysis'!$B165</f>
        <v>13.3</v>
      </c>
      <c r="AC130" s="16">
        <f>'Palm Kernel Oil Price Analysis'!$B177</f>
        <v>37.1</v>
      </c>
      <c r="AD130" s="16">
        <f>'Palm Kernel Oil Price Analysis'!$B189</f>
        <v>57.900000000000006</v>
      </c>
      <c r="AE130" s="16">
        <f>'Palm Kernel Oil Price Analysis'!$B201</f>
        <v>50.5</v>
      </c>
      <c r="AF130" s="16">
        <f>'Palm Kernel Oil Price Analysis'!$B213</f>
        <v>45.6</v>
      </c>
    </row>
    <row r="131" spans="1:32">
      <c r="A131" s="12" t="s">
        <v>47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>
        <v>31.274999999999999</v>
      </c>
      <c r="P131" s="15">
        <v>55.424999999999997</v>
      </c>
      <c r="Q131" s="15">
        <v>29.368400000000001</v>
      </c>
      <c r="R131" s="15">
        <v>40.487499999999997</v>
      </c>
      <c r="S131" s="15">
        <v>81.5</v>
      </c>
      <c r="T131" s="15">
        <v>65.642799999999994</v>
      </c>
      <c r="U131" s="15">
        <v>42.5227</v>
      </c>
      <c r="V131" s="15">
        <v>54.674999999999997</v>
      </c>
      <c r="W131" s="15">
        <v>48.020400000000002</v>
      </c>
      <c r="X131" s="15">
        <v>44.4375</v>
      </c>
      <c r="Y131" s="15">
        <v>75.535700000000006</v>
      </c>
      <c r="Z131" s="15">
        <v>72.369</v>
      </c>
      <c r="AA131" s="16">
        <f>'Palm Kernel Oil Price Analysis'!$B154</f>
        <v>34.200000000000003</v>
      </c>
      <c r="AB131" s="16">
        <f>'Palm Kernel Oil Price Analysis'!$B166</f>
        <v>36.700000000000003</v>
      </c>
      <c r="AC131" s="16">
        <f>'Palm Kernel Oil Price Analysis'!$B178</f>
        <v>48.800000000000004</v>
      </c>
      <c r="AD131" s="16">
        <f>'Palm Kernel Oil Price Analysis'!$B190</f>
        <v>43.6</v>
      </c>
      <c r="AE131" s="16">
        <f>'Palm Kernel Oil Price Analysis'!$B202</f>
        <v>48.7</v>
      </c>
      <c r="AF131" s="16">
        <f>'Palm Kernel Oil Price Analysis'!$B214</f>
        <v>47.400000000000006</v>
      </c>
    </row>
    <row r="132" spans="1:32">
      <c r="A132" s="12" t="s">
        <v>48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>
        <v>34.15</v>
      </c>
      <c r="P132" s="15">
        <v>57.6</v>
      </c>
      <c r="Q132" s="15">
        <v>29.4772</v>
      </c>
      <c r="R132" s="15">
        <v>44.193100000000001</v>
      </c>
      <c r="S132" s="15">
        <v>94.454499999999996</v>
      </c>
      <c r="T132" s="15">
        <v>69.452299999999994</v>
      </c>
      <c r="U132" s="15">
        <v>38.524999999999999</v>
      </c>
      <c r="V132" s="15">
        <v>57.047600000000003</v>
      </c>
      <c r="W132" s="15">
        <v>49.785699999999999</v>
      </c>
      <c r="X132" s="15">
        <v>45.3386</v>
      </c>
      <c r="Y132" s="15">
        <v>83.047600000000003</v>
      </c>
      <c r="Z132" s="15">
        <v>68.150000000000006</v>
      </c>
      <c r="AA132" s="16">
        <f>'Palm Kernel Oil Price Analysis'!$B155</f>
        <v>29.700000000000003</v>
      </c>
      <c r="AB132" s="16">
        <f>'Palm Kernel Oil Price Analysis'!$B167</f>
        <v>39.1</v>
      </c>
      <c r="AC132" s="16">
        <f>'Palm Kernel Oil Price Analysis'!$B179</f>
        <v>50.400000000000006</v>
      </c>
      <c r="AD132" s="16">
        <f>'Palm Kernel Oil Price Analysis'!$B191</f>
        <v>55.6</v>
      </c>
      <c r="AE132" s="16">
        <f>'Palm Kernel Oil Price Analysis'!$B203</f>
        <v>32.5</v>
      </c>
      <c r="AF132" s="16">
        <f>'Palm Kernel Oil Price Analysis'!$B215</f>
        <v>52.7</v>
      </c>
    </row>
    <row r="133" spans="1:32">
      <c r="A133" s="12" t="s">
        <v>49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>
        <v>34.837499999999999</v>
      </c>
      <c r="P133" s="15">
        <v>64.8095</v>
      </c>
      <c r="Q133" s="15">
        <v>31.975000000000001</v>
      </c>
      <c r="R133" s="15">
        <v>45.920999999999999</v>
      </c>
      <c r="S133" s="15">
        <v>108.2375</v>
      </c>
      <c r="T133" s="15">
        <v>71.45</v>
      </c>
      <c r="U133" s="15">
        <v>41.595199999999998</v>
      </c>
      <c r="V133" s="15">
        <v>59</v>
      </c>
      <c r="W133" s="15">
        <v>50.5</v>
      </c>
      <c r="X133" s="15">
        <v>49.210500000000003</v>
      </c>
      <c r="Y133" s="15">
        <v>90.2</v>
      </c>
      <c r="Z133" s="15">
        <v>67.369</v>
      </c>
      <c r="AA133" s="16">
        <f>'Palm Kernel Oil Price Analysis'!$B156</f>
        <v>31.800000000000004</v>
      </c>
      <c r="AB133" s="16">
        <f>'Palm Kernel Oil Price Analysis'!$B168</f>
        <v>37.700000000000003</v>
      </c>
      <c r="AC133" s="16">
        <f>'Palm Kernel Oil Price Analysis'!$B180</f>
        <v>41.800000000000004</v>
      </c>
      <c r="AD133" s="16">
        <f>'Palm Kernel Oil Price Analysis'!$B192</f>
        <v>50.1</v>
      </c>
      <c r="AE133" s="16">
        <f>'Palm Kernel Oil Price Analysis'!$B204</f>
        <v>54.7</v>
      </c>
      <c r="AF133" s="16">
        <f>'Palm Kernel Oil Price Analysis'!$B216</f>
        <v>44.300000000000004</v>
      </c>
    </row>
    <row r="134" spans="1:32">
      <c r="A134" s="12" t="s">
        <v>50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>
        <v>35.131500000000003</v>
      </c>
      <c r="P134" s="15">
        <v>69.224999999999994</v>
      </c>
      <c r="Q134" s="15">
        <v>32.026299999999999</v>
      </c>
      <c r="R134" s="15">
        <v>46.420999999999999</v>
      </c>
      <c r="S134" s="15">
        <v>113.7368</v>
      </c>
      <c r="T134" s="15">
        <v>68.712500000000006</v>
      </c>
      <c r="U134" s="15">
        <v>43.039499999999997</v>
      </c>
      <c r="V134" s="15">
        <v>62.657899999999998</v>
      </c>
      <c r="W134" s="15">
        <v>56.552599999999998</v>
      </c>
      <c r="X134" s="15">
        <v>53.375</v>
      </c>
      <c r="Y134" s="15">
        <v>84.881600000000006</v>
      </c>
      <c r="Z134" s="15">
        <v>62.447400000000002</v>
      </c>
      <c r="AA134" s="16">
        <f>'Palm Kernel Oil Price Analysis'!$B157</f>
        <v>28.4</v>
      </c>
      <c r="AB134" s="16">
        <f>'Palm Kernel Oil Price Analysis'!$B169</f>
        <v>38.1</v>
      </c>
      <c r="AC134" s="16">
        <f>'Palm Kernel Oil Price Analysis'!$B181</f>
        <v>48.900000000000006</v>
      </c>
      <c r="AD134" s="16">
        <f>'Palm Kernel Oil Price Analysis'!$B193</f>
        <v>43.1</v>
      </c>
      <c r="AE134" s="16">
        <f>'Palm Kernel Oil Price Analysis'!$B205</f>
        <v>41.7</v>
      </c>
      <c r="AF134" s="16">
        <f>'Palm Kernel Oil Price Analysis'!$B217</f>
        <v>47.1</v>
      </c>
    </row>
    <row r="135" spans="1:32">
      <c r="A135" s="12" t="s">
        <v>51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>
        <v>35.886299999999999</v>
      </c>
      <c r="P135" s="15">
        <v>70.825000000000003</v>
      </c>
      <c r="Q135" s="15">
        <v>31.908999999999999</v>
      </c>
      <c r="R135" s="15">
        <v>52.489100000000001</v>
      </c>
      <c r="S135" s="15">
        <v>103.43470000000001</v>
      </c>
      <c r="T135" s="15">
        <v>71.761300000000006</v>
      </c>
      <c r="U135" s="15">
        <v>42.15</v>
      </c>
      <c r="V135" s="15">
        <v>70</v>
      </c>
      <c r="W135" s="15">
        <v>56.840899999999998</v>
      </c>
      <c r="X135" s="15">
        <v>56.5227</v>
      </c>
      <c r="Y135" s="15">
        <v>64.760900000000007</v>
      </c>
      <c r="Z135" s="15">
        <v>53.678600000000003</v>
      </c>
      <c r="AA135" s="16">
        <f>'Palm Kernel Oil Price Analysis'!$B158</f>
        <v>37</v>
      </c>
      <c r="AB135" s="16">
        <f>'Palm Kernel Oil Price Analysis'!$B170</f>
        <v>38</v>
      </c>
      <c r="AC135" s="16">
        <f>'Palm Kernel Oil Price Analysis'!$B182</f>
        <v>44.900000000000006</v>
      </c>
      <c r="AD135" s="16">
        <f>'Palm Kernel Oil Price Analysis'!$B194</f>
        <v>45.2</v>
      </c>
      <c r="AE135" s="16">
        <f>'Palm Kernel Oil Price Analysis'!$B206</f>
        <v>44.400000000000006</v>
      </c>
      <c r="AF135" s="16">
        <f>'Palm Kernel Oil Price Analysis'!$B218</f>
        <v>47.900000000000006</v>
      </c>
    </row>
    <row r="136" spans="1:32">
      <c r="A136" s="12" t="s">
        <v>52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29.982099999999999</v>
      </c>
      <c r="O136" s="15">
        <v>39.837499999999999</v>
      </c>
      <c r="P136" s="15">
        <v>69.181799999999996</v>
      </c>
      <c r="Q136" s="15">
        <v>38.3095</v>
      </c>
      <c r="R136" s="15">
        <v>53.357100000000003</v>
      </c>
      <c r="S136" s="15">
        <v>94.375</v>
      </c>
      <c r="T136" s="15">
        <v>72.012500000000003</v>
      </c>
      <c r="U136" s="15">
        <v>41.045499999999997</v>
      </c>
      <c r="V136" s="15">
        <v>67.428600000000003</v>
      </c>
      <c r="W136" s="15">
        <v>50.833300000000001</v>
      </c>
      <c r="X136" s="15">
        <v>69.023799999999994</v>
      </c>
      <c r="Y136" s="15">
        <v>53.276299999999999</v>
      </c>
      <c r="Z136" s="16">
        <f>'Palm Kernel Oil Price Analysis'!B147</f>
        <v>35.800000000000004</v>
      </c>
      <c r="AA136" s="16">
        <f>'Palm Kernel Oil Price Analysis'!$B159</f>
        <v>36.700000000000003</v>
      </c>
      <c r="AB136" s="16">
        <f>'Palm Kernel Oil Price Analysis'!$B171</f>
        <v>36.200000000000003</v>
      </c>
      <c r="AC136" s="16">
        <f>'Palm Kernel Oil Price Analysis'!$B183</f>
        <v>44.2</v>
      </c>
      <c r="AD136" s="16">
        <f>'Palm Kernel Oil Price Analysis'!$B195</f>
        <v>44.7</v>
      </c>
      <c r="AE136" s="16">
        <f>'Palm Kernel Oil Price Analysis'!$B207</f>
        <v>53.900000000000006</v>
      </c>
      <c r="AF136" s="16">
        <f>'Palm Kernel Oil Price Analysis'!$B219</f>
        <v>48.7</v>
      </c>
    </row>
    <row r="137" spans="1:32">
      <c r="A137" s="12" t="s">
        <v>53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28.908999999999999</v>
      </c>
      <c r="O137" s="15">
        <v>42.875</v>
      </c>
      <c r="P137" s="15">
        <v>71.345200000000006</v>
      </c>
      <c r="Q137" s="15">
        <v>42.375</v>
      </c>
      <c r="R137" s="15">
        <v>53.6</v>
      </c>
      <c r="S137" s="15">
        <v>96.297600000000003</v>
      </c>
      <c r="T137" s="15">
        <v>63.045499999999997</v>
      </c>
      <c r="U137" s="15">
        <v>41.920499999999997</v>
      </c>
      <c r="V137" s="15">
        <v>66.428600000000003</v>
      </c>
      <c r="W137" s="15">
        <v>50.8095</v>
      </c>
      <c r="X137" s="15">
        <v>63.464300000000001</v>
      </c>
      <c r="Y137" s="15">
        <v>54.665500000000002</v>
      </c>
      <c r="Z137" s="16">
        <f>'Palm Kernel Oil Price Analysis'!B148</f>
        <v>29.700000000000003</v>
      </c>
      <c r="AA137" s="16">
        <f>'Palm Kernel Oil Price Analysis'!$B160</f>
        <v>31.700000000000003</v>
      </c>
      <c r="AB137" s="16">
        <f>'Palm Kernel Oil Price Analysis'!$B172</f>
        <v>45.400000000000006</v>
      </c>
      <c r="AC137" s="16">
        <f>'Palm Kernel Oil Price Analysis'!$B184</f>
        <v>29.900000000000002</v>
      </c>
      <c r="AD137" s="16">
        <f>'Palm Kernel Oil Price Analysis'!$B196</f>
        <v>51.2</v>
      </c>
      <c r="AE137" s="16">
        <f>'Palm Kernel Oil Price Analysis'!$B208</f>
        <v>50</v>
      </c>
      <c r="AF137" s="16">
        <f>'Palm Kernel Oil Price Analysis'!$B220</f>
        <v>48.800000000000004</v>
      </c>
    </row>
    <row r="138" spans="1:32">
      <c r="A138" s="12" t="s">
        <v>54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27.5227</v>
      </c>
      <c r="O138" s="15">
        <v>47.690399999999997</v>
      </c>
      <c r="P138" s="15">
        <v>72.5</v>
      </c>
      <c r="Q138" s="15">
        <v>40.875</v>
      </c>
      <c r="R138" s="15">
        <v>54.386299999999999</v>
      </c>
      <c r="S138" s="15">
        <v>89.704499999999996</v>
      </c>
      <c r="T138" s="15">
        <v>57.345199999999998</v>
      </c>
      <c r="U138" s="15">
        <v>42.774999999999999</v>
      </c>
      <c r="V138" s="15">
        <v>63.619</v>
      </c>
      <c r="W138" s="15">
        <v>48.090899999999998</v>
      </c>
      <c r="X138" s="15">
        <v>66.954499999999996</v>
      </c>
      <c r="Y138" s="15">
        <v>54.170499999999997</v>
      </c>
      <c r="Z138" s="16">
        <f>'Palm Kernel Oil Price Analysis'!B149</f>
        <v>31.900000000000006</v>
      </c>
      <c r="AA138" s="16">
        <f>'Palm Kernel Oil Price Analysis'!$B161</f>
        <v>35.1</v>
      </c>
      <c r="AB138" s="16">
        <f>'Palm Kernel Oil Price Analysis'!$B173</f>
        <v>44.7</v>
      </c>
      <c r="AC138" s="16">
        <f>'Palm Kernel Oil Price Analysis'!$B185</f>
        <v>49.7</v>
      </c>
      <c r="AD138" s="16">
        <f>'Palm Kernel Oil Price Analysis'!$B197</f>
        <v>44.2</v>
      </c>
      <c r="AE138" s="16">
        <f>'Palm Kernel Oil Price Analysis'!$B209</f>
        <v>40.900000000000006</v>
      </c>
      <c r="AF138" s="16">
        <f>'Palm Kernel Oil Price Analysis'!$B221</f>
        <v>52.1</v>
      </c>
    </row>
    <row r="139" spans="1:32">
      <c r="A139" s="12" t="s">
        <v>55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29.175000000000001</v>
      </c>
      <c r="O139" s="15">
        <v>47.452300000000001</v>
      </c>
      <c r="P139" s="15">
        <v>67.2727</v>
      </c>
      <c r="Q139" s="15">
        <v>35.590899999999998</v>
      </c>
      <c r="R139" s="15">
        <v>56.321399999999997</v>
      </c>
      <c r="S139" s="15">
        <v>72.724999999999994</v>
      </c>
      <c r="T139" s="15">
        <v>56.404800000000002</v>
      </c>
      <c r="U139" s="15">
        <v>42.315199999999997</v>
      </c>
      <c r="V139" s="15">
        <v>59.7727</v>
      </c>
      <c r="W139" s="15">
        <v>46.159100000000002</v>
      </c>
      <c r="X139" s="15">
        <v>65.599999999999994</v>
      </c>
      <c r="Y139" s="15">
        <v>52.7</v>
      </c>
      <c r="Z139" s="16">
        <f>'Palm Kernel Oil Price Analysis'!B150</f>
        <v>31.800000000000004</v>
      </c>
      <c r="AA139" s="16">
        <f>'Palm Kernel Oil Price Analysis'!$B162</f>
        <v>31.400000000000006</v>
      </c>
      <c r="AB139" s="16">
        <f>'Palm Kernel Oil Price Analysis'!$B174</f>
        <v>44.5</v>
      </c>
      <c r="AC139" s="16">
        <f>'Palm Kernel Oil Price Analysis'!$B186</f>
        <v>43.6</v>
      </c>
      <c r="AD139" s="16">
        <f>'Palm Kernel Oil Price Analysis'!$B198</f>
        <v>38.5</v>
      </c>
      <c r="AE139" s="16">
        <f>'Palm Kernel Oil Price Analysis'!$B210</f>
        <v>47.300000000000004</v>
      </c>
      <c r="AF139" s="16">
        <f>'Palm Kernel Oil Price Analysis'!$B222</f>
        <v>48.6</v>
      </c>
    </row>
    <row r="140" spans="1:32">
      <c r="A140" s="12" t="s">
        <v>56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29.521699999999999</v>
      </c>
      <c r="O140" s="15">
        <v>46.869500000000002</v>
      </c>
      <c r="P140" s="15">
        <v>54.857100000000003</v>
      </c>
      <c r="Q140" s="15">
        <v>38.916600000000003</v>
      </c>
      <c r="R140" s="15">
        <v>59.602200000000003</v>
      </c>
      <c r="S140" s="15">
        <v>72.543400000000005</v>
      </c>
      <c r="T140" s="15">
        <v>52.760899999999999</v>
      </c>
      <c r="U140" s="15">
        <v>42.5</v>
      </c>
      <c r="V140" s="15">
        <v>50.107100000000003</v>
      </c>
      <c r="W140" s="15">
        <v>41.333300000000001</v>
      </c>
      <c r="X140" s="15">
        <v>71.021699999999996</v>
      </c>
      <c r="Y140" s="15">
        <v>57.912999999999997</v>
      </c>
      <c r="Z140" s="16">
        <f>'Palm Kernel Oil Price Analysis'!B151</f>
        <v>25.1</v>
      </c>
      <c r="AA140" s="16">
        <f>'Palm Kernel Oil Price Analysis'!$B163</f>
        <v>21.5</v>
      </c>
      <c r="AB140" s="16">
        <f>'Palm Kernel Oil Price Analysis'!$B175</f>
        <v>38.6</v>
      </c>
      <c r="AC140" s="16">
        <f>'Palm Kernel Oil Price Analysis'!$B187</f>
        <v>53.5</v>
      </c>
      <c r="AD140" s="16">
        <f>'Palm Kernel Oil Price Analysis'!$B199</f>
        <v>59.800000000000004</v>
      </c>
      <c r="AE140" s="16">
        <f>'Palm Kernel Oil Price Analysis'!$B211</f>
        <v>59.7</v>
      </c>
      <c r="AF140" s="16">
        <f>'Palm Kernel Oil Price Analysis'!$B223</f>
        <v>53.300000000000004</v>
      </c>
    </row>
    <row r="141" spans="1:32">
      <c r="A141" s="12" t="s">
        <v>57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28.2</v>
      </c>
      <c r="O141" s="15">
        <v>47.631500000000003</v>
      </c>
      <c r="P141" s="15">
        <v>50.785699999999999</v>
      </c>
      <c r="Q141" s="15">
        <v>38.285699999999999</v>
      </c>
      <c r="R141" s="15">
        <v>64.25</v>
      </c>
      <c r="S141" s="15">
        <v>65.904700000000005</v>
      </c>
      <c r="T141" s="15">
        <v>49.486800000000002</v>
      </c>
      <c r="U141" s="15">
        <v>45.5</v>
      </c>
      <c r="V141" s="15">
        <v>47.023800000000001</v>
      </c>
      <c r="W141" s="15">
        <v>41.369</v>
      </c>
      <c r="X141" s="15">
        <v>73.714299999999994</v>
      </c>
      <c r="Y141" s="15">
        <v>68.5</v>
      </c>
      <c r="Z141" s="16">
        <f>'Palm Kernel Oil Price Analysis'!$B152</f>
        <v>41.1</v>
      </c>
      <c r="AA141" s="16">
        <f>'Palm Kernel Oil Price Analysis'!$B164</f>
        <v>36.300000000000004</v>
      </c>
      <c r="AB141" s="16">
        <f>'Palm Kernel Oil Price Analysis'!$B176</f>
        <v>45.400000000000006</v>
      </c>
      <c r="AC141" s="16">
        <f>'Palm Kernel Oil Price Analysis'!$B188</f>
        <v>38.400000000000006</v>
      </c>
      <c r="AD141" s="16">
        <f>'Palm Kernel Oil Price Analysis'!$B200</f>
        <v>53.300000000000004</v>
      </c>
      <c r="AE141" s="16">
        <f>'Palm Kernel Oil Price Analysis'!$B212</f>
        <v>53.900000000000006</v>
      </c>
      <c r="AF141" s="16">
        <f>'Palm Kernel Oil Price Analysis'!$B224</f>
        <v>60.1</v>
      </c>
    </row>
    <row r="142" spans="1:32" ht="15.75" thickBot="1">
      <c r="A142" s="12" t="s">
        <v>66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>
        <f>AVERAGE(O130:O141)</f>
        <v>39.372166666666672</v>
      </c>
      <c r="P142" s="15">
        <f t="shared" ref="P142:AF142" si="15">AVERAGE(P130:P141)</f>
        <v>62.89319166666666</v>
      </c>
      <c r="Q142" s="15">
        <f t="shared" si="15"/>
        <v>35.838758333333331</v>
      </c>
      <c r="R142" s="15">
        <f t="shared" si="15"/>
        <v>50.78458333333333</v>
      </c>
      <c r="S142" s="15">
        <f t="shared" si="15"/>
        <v>88.754708333333326</v>
      </c>
      <c r="T142" s="15">
        <f t="shared" si="15"/>
        <v>62.799866666666667</v>
      </c>
      <c r="U142" s="15">
        <f t="shared" si="15"/>
        <v>42.334916666666665</v>
      </c>
      <c r="V142" s="15">
        <f t="shared" si="15"/>
        <v>58.691983333333333</v>
      </c>
      <c r="W142" s="15">
        <f t="shared" si="15"/>
        <v>48.87360833333333</v>
      </c>
      <c r="X142" s="15">
        <f t="shared" si="15"/>
        <v>58.865849999999995</v>
      </c>
      <c r="Y142" s="15">
        <f t="shared" si="15"/>
        <v>67.45505</v>
      </c>
      <c r="Z142" s="16">
        <f t="shared" si="15"/>
        <v>49.151925000000006</v>
      </c>
      <c r="AA142" s="16">
        <f>AVERAGE(AA130:AA140)</f>
        <v>31.545454545454547</v>
      </c>
      <c r="AB142" s="16">
        <f t="shared" si="15"/>
        <v>38.141666666666673</v>
      </c>
      <c r="AC142" s="16">
        <f t="shared" si="15"/>
        <v>44.266666666666673</v>
      </c>
      <c r="AD142" s="16">
        <f t="shared" si="15"/>
        <v>48.93333333333333</v>
      </c>
      <c r="AE142" s="16">
        <f t="shared" si="15"/>
        <v>48.18333333333333</v>
      </c>
      <c r="AF142" s="16">
        <f t="shared" si="15"/>
        <v>49.716666666666669</v>
      </c>
    </row>
    <row r="143" spans="1:3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E3F2E-D856-4CCE-A308-65D0562A0B93}">
  <dimension ref="A2:G255"/>
  <sheetViews>
    <sheetView topLeftCell="A159" workbookViewId="0">
      <selection activeCell="L142" sqref="L142"/>
    </sheetView>
  </sheetViews>
  <sheetFormatPr defaultRowHeight="15"/>
  <cols>
    <col min="1" max="1" width="9.7109375" bestFit="1" customWidth="1"/>
    <col min="2" max="5" width="12.85546875" customWidth="1"/>
  </cols>
  <sheetData>
    <row r="2" spans="1:7">
      <c r="B2" s="19" t="s">
        <v>76</v>
      </c>
      <c r="C2" s="19" t="s">
        <v>77</v>
      </c>
      <c r="D2" s="19" t="s">
        <v>78</v>
      </c>
      <c r="E2" s="19" t="s">
        <v>42</v>
      </c>
    </row>
    <row r="3" spans="1:7">
      <c r="A3" s="20">
        <v>37865</v>
      </c>
      <c r="B3" s="15">
        <f>'Coconut Oil Balance Sheet'!K141</f>
        <v>20.882300000000001</v>
      </c>
      <c r="C3" s="13">
        <f>'Coconut Oil Balance Sheet'!K126</f>
        <v>216.3</v>
      </c>
      <c r="D3" s="13">
        <f>'Coconut Oil Balance Sheet'!L67+'Coconut Oil Balance Sheet'!L51</f>
        <v>89.080383552800058</v>
      </c>
      <c r="E3" s="21">
        <f>C3/D3</f>
        <v>2.4281440130058924</v>
      </c>
      <c r="F3" s="15">
        <f>56.172*(E3^-0.394)</f>
        <v>39.602422921226754</v>
      </c>
      <c r="G3" s="15">
        <f>B3-F3</f>
        <v>-18.720122921226753</v>
      </c>
    </row>
    <row r="4" spans="1:7">
      <c r="A4" s="20">
        <v>37895</v>
      </c>
      <c r="B4" s="15">
        <f>'Coconut Oil Balance Sheet'!L130</f>
        <v>22.108599999999999</v>
      </c>
      <c r="C4" s="13">
        <f>'Coconut Oil Balance Sheet'!L115</f>
        <v>188.79999999999998</v>
      </c>
      <c r="D4" s="13">
        <f>'Coconut Oil Balance Sheet'!L68+'Coconut Oil Balance Sheet'!L52</f>
        <v>52.743155702399989</v>
      </c>
      <c r="E4" s="21">
        <f t="shared" ref="E4:E67" si="0">C4/D4</f>
        <v>3.5796113729958132</v>
      </c>
      <c r="F4" s="15">
        <f t="shared" ref="F4:F67" si="1">56.172*(E4^-0.394)</f>
        <v>33.986664998148463</v>
      </c>
      <c r="G4" s="15">
        <f t="shared" ref="G4:G67" si="2">B4-F4</f>
        <v>-11.878064998148464</v>
      </c>
    </row>
    <row r="5" spans="1:7">
      <c r="A5" s="20">
        <v>37926</v>
      </c>
      <c r="B5" s="15">
        <f>'Coconut Oil Balance Sheet'!L131</f>
        <v>25.25</v>
      </c>
      <c r="C5" s="13">
        <f>'Coconut Oil Balance Sheet'!L116</f>
        <v>186.1</v>
      </c>
      <c r="D5" s="13">
        <f>'Coconut Oil Balance Sheet'!L69+'Coconut Oil Balance Sheet'!L53</f>
        <v>70.712585319599995</v>
      </c>
      <c r="E5" s="21">
        <f t="shared" si="0"/>
        <v>2.6317804554717235</v>
      </c>
      <c r="F5" s="15">
        <f t="shared" si="1"/>
        <v>38.365558272014233</v>
      </c>
      <c r="G5" s="15">
        <f t="shared" si="2"/>
        <v>-13.115558272014233</v>
      </c>
    </row>
    <row r="6" spans="1:7">
      <c r="A6" s="20">
        <v>37956</v>
      </c>
      <c r="B6" s="15">
        <f>'Coconut Oil Balance Sheet'!L132</f>
        <v>27.535699999999999</v>
      </c>
      <c r="C6" s="13">
        <f>'Coconut Oil Balance Sheet'!L117</f>
        <v>167.2</v>
      </c>
      <c r="D6" s="13">
        <f>'Coconut Oil Balance Sheet'!L70+'Coconut Oil Balance Sheet'!L54</f>
        <v>58.222177676999991</v>
      </c>
      <c r="E6" s="21">
        <f t="shared" si="0"/>
        <v>2.8717579223432317</v>
      </c>
      <c r="F6" s="15">
        <f t="shared" si="1"/>
        <v>37.068895241254147</v>
      </c>
      <c r="G6" s="15">
        <f t="shared" si="2"/>
        <v>-9.5331952412541483</v>
      </c>
    </row>
    <row r="7" spans="1:7">
      <c r="A7" s="20">
        <v>37987</v>
      </c>
      <c r="B7" s="15">
        <f>'Coconut Oil Balance Sheet'!L133</f>
        <v>28.175000000000001</v>
      </c>
      <c r="C7" s="13">
        <f>'Coconut Oil Balance Sheet'!L118</f>
        <v>160.24299999999999</v>
      </c>
      <c r="D7" s="13">
        <f>'Coconut Oil Balance Sheet'!L71+'Coconut Oil Balance Sheet'!L55</f>
        <v>86.932230411399956</v>
      </c>
      <c r="E7" s="21">
        <f t="shared" si="0"/>
        <v>1.8433094289846537</v>
      </c>
      <c r="F7" s="15">
        <f t="shared" si="1"/>
        <v>44.144253672958222</v>
      </c>
      <c r="G7" s="15">
        <f t="shared" si="2"/>
        <v>-15.969253672958221</v>
      </c>
    </row>
    <row r="8" spans="1:7">
      <c r="A8" s="20">
        <v>38018</v>
      </c>
      <c r="B8" s="15">
        <f>'Coconut Oil Balance Sheet'!L134</f>
        <v>28.7638</v>
      </c>
      <c r="C8" s="13">
        <f>'Coconut Oil Balance Sheet'!L119</f>
        <v>192.60000000000002</v>
      </c>
      <c r="D8" s="13">
        <f>'Coconut Oil Balance Sheet'!L72+'Coconut Oil Balance Sheet'!L56</f>
        <v>72.045632094400062</v>
      </c>
      <c r="E8" s="21">
        <f t="shared" si="0"/>
        <v>2.6733057147397887</v>
      </c>
      <c r="F8" s="15">
        <f t="shared" si="1"/>
        <v>38.1296420465303</v>
      </c>
      <c r="G8" s="15">
        <f t="shared" si="2"/>
        <v>-9.3658420465303003</v>
      </c>
    </row>
    <row r="9" spans="1:7">
      <c r="A9" s="20">
        <v>38047</v>
      </c>
      <c r="B9" s="15">
        <f>'Coconut Oil Balance Sheet'!L135</f>
        <v>32.5</v>
      </c>
      <c r="C9" s="13">
        <f>'Coconut Oil Balance Sheet'!L120</f>
        <v>181.7</v>
      </c>
      <c r="D9" s="13">
        <f>'Coconut Oil Balance Sheet'!L73+'Coconut Oil Balance Sheet'!L57</f>
        <v>71.164893693599979</v>
      </c>
      <c r="E9" s="21">
        <f t="shared" si="0"/>
        <v>2.553225200929945</v>
      </c>
      <c r="F9" s="15">
        <f t="shared" si="1"/>
        <v>38.826368576885585</v>
      </c>
      <c r="G9" s="15">
        <f t="shared" si="2"/>
        <v>-6.3263685768855851</v>
      </c>
    </row>
    <row r="10" spans="1:7">
      <c r="A10" s="20">
        <v>38078</v>
      </c>
      <c r="B10" s="15">
        <f>'Coconut Oil Balance Sheet'!L136</f>
        <v>34.880899999999997</v>
      </c>
      <c r="C10" s="13">
        <f>'Coconut Oil Balance Sheet'!L121</f>
        <v>131.30000000000001</v>
      </c>
      <c r="D10" s="13">
        <f>'Coconut Oil Balance Sheet'!L74+'Coconut Oil Balance Sheet'!L58</f>
        <v>84.391586340399996</v>
      </c>
      <c r="E10" s="21">
        <f t="shared" si="0"/>
        <v>1.5558423024588173</v>
      </c>
      <c r="F10" s="15">
        <f t="shared" si="1"/>
        <v>47.193854625708518</v>
      </c>
      <c r="G10" s="15">
        <f t="shared" si="2"/>
        <v>-12.312954625708521</v>
      </c>
    </row>
    <row r="11" spans="1:7">
      <c r="A11" s="20">
        <v>38108</v>
      </c>
      <c r="B11" s="15">
        <f>'Coconut Oil Balance Sheet'!L137</f>
        <v>36.5</v>
      </c>
      <c r="C11" s="13">
        <f>'Coconut Oil Balance Sheet'!L122</f>
        <v>108.7</v>
      </c>
      <c r="D11" s="13">
        <f>'Coconut Oil Balance Sheet'!L75+'Coconut Oil Balance Sheet'!L59</f>
        <v>68.725869812000013</v>
      </c>
      <c r="E11" s="21">
        <f t="shared" si="0"/>
        <v>1.5816460424196803</v>
      </c>
      <c r="F11" s="15">
        <f t="shared" si="1"/>
        <v>46.888984098352175</v>
      </c>
      <c r="G11" s="15">
        <f t="shared" si="2"/>
        <v>-10.388984098352175</v>
      </c>
    </row>
    <row r="12" spans="1:7">
      <c r="A12" s="20">
        <v>38139</v>
      </c>
      <c r="B12" s="15">
        <f>'Coconut Oil Balance Sheet'!L138</f>
        <v>37.125</v>
      </c>
      <c r="C12" s="13">
        <f>'Coconut Oil Balance Sheet'!L123</f>
        <v>89.9</v>
      </c>
      <c r="D12" s="13">
        <f>'Coconut Oil Balance Sheet'!L76+'Coconut Oil Balance Sheet'!L60</f>
        <v>62.677992291800038</v>
      </c>
      <c r="E12" s="21">
        <f t="shared" si="0"/>
        <v>1.4343152470721583</v>
      </c>
      <c r="F12" s="15">
        <f t="shared" si="1"/>
        <v>48.730616845311687</v>
      </c>
      <c r="G12" s="15">
        <f t="shared" si="2"/>
        <v>-11.605616845311687</v>
      </c>
    </row>
    <row r="13" spans="1:7">
      <c r="A13" s="20">
        <v>38169</v>
      </c>
      <c r="B13" s="15">
        <f>'Coconut Oil Balance Sheet'!L139</f>
        <v>36.261899999999997</v>
      </c>
      <c r="C13" s="13">
        <f>'Coconut Oil Balance Sheet'!L124</f>
        <v>133.5</v>
      </c>
      <c r="D13" s="13">
        <f>'Coconut Oil Balance Sheet'!L77+'Coconut Oil Balance Sheet'!L61</f>
        <v>94.246262837600014</v>
      </c>
      <c r="E13" s="21">
        <f t="shared" si="0"/>
        <v>1.4165017898910206</v>
      </c>
      <c r="F13" s="15">
        <f t="shared" si="1"/>
        <v>48.97115407291588</v>
      </c>
      <c r="G13" s="15">
        <f t="shared" si="2"/>
        <v>-12.709254072915883</v>
      </c>
    </row>
    <row r="14" spans="1:7">
      <c r="A14" s="20">
        <v>38200</v>
      </c>
      <c r="B14" s="15">
        <f>'Coconut Oil Balance Sheet'!L140</f>
        <v>33.357900000000001</v>
      </c>
      <c r="C14" s="13">
        <f>'Coconut Oil Balance Sheet'!L125</f>
        <v>149.19999999999999</v>
      </c>
      <c r="D14" s="13">
        <f>'Coconut Oil Balance Sheet'!L78+'Coconut Oil Balance Sheet'!L62</f>
        <v>70.485876878400006</v>
      </c>
      <c r="E14" s="21">
        <f t="shared" si="0"/>
        <v>2.1167360981746044</v>
      </c>
      <c r="F14" s="15">
        <f t="shared" si="1"/>
        <v>41.802976020856633</v>
      </c>
      <c r="G14" s="15">
        <f t="shared" si="2"/>
        <v>-8.4450760208566322</v>
      </c>
    </row>
    <row r="15" spans="1:7">
      <c r="A15" s="20">
        <v>38231</v>
      </c>
      <c r="B15" s="15">
        <f>'Coconut Oil Balance Sheet'!L141</f>
        <v>32.601100000000002</v>
      </c>
      <c r="C15" s="13">
        <f>'Coconut Oil Balance Sheet'!L126</f>
        <v>131.19999999999999</v>
      </c>
      <c r="D15" s="13">
        <f>'Coconut Oil Balance Sheet'!M67+'Coconut Oil Balance Sheet'!M51</f>
        <v>57.368946580799999</v>
      </c>
      <c r="E15" s="21">
        <f t="shared" si="0"/>
        <v>2.2869515272555039</v>
      </c>
      <c r="F15" s="15">
        <f t="shared" si="1"/>
        <v>40.54829944566405</v>
      </c>
      <c r="G15" s="15">
        <f t="shared" si="2"/>
        <v>-7.9471994456640473</v>
      </c>
    </row>
    <row r="16" spans="1:7">
      <c r="A16" s="20">
        <v>38261</v>
      </c>
      <c r="B16" s="15">
        <f>'Coconut Oil Balance Sheet'!M130</f>
        <v>31.720199999999998</v>
      </c>
      <c r="C16" s="13">
        <f>'Coconut Oil Balance Sheet'!M115</f>
        <v>147.69999999999999</v>
      </c>
      <c r="D16" s="13">
        <f>'Coconut Oil Balance Sheet'!M68+'Coconut Oil Balance Sheet'!M52</f>
        <v>68.837075597999998</v>
      </c>
      <c r="E16" s="21">
        <f t="shared" si="0"/>
        <v>2.1456460594367739</v>
      </c>
      <c r="F16" s="15">
        <f t="shared" si="1"/>
        <v>41.580145271671988</v>
      </c>
      <c r="G16" s="15">
        <f t="shared" si="2"/>
        <v>-9.8599452716719895</v>
      </c>
    </row>
    <row r="17" spans="1:7">
      <c r="A17" s="20">
        <v>38292</v>
      </c>
      <c r="B17" s="15">
        <f>'Coconut Oil Balance Sheet'!M131</f>
        <v>32.118699999999997</v>
      </c>
      <c r="C17" s="13">
        <f>'Coconut Oil Balance Sheet'!M116</f>
        <v>182.5</v>
      </c>
      <c r="D17" s="13">
        <f>'Coconut Oil Balance Sheet'!M69+'Coconut Oil Balance Sheet'!M53</f>
        <v>15.733694057199978</v>
      </c>
      <c r="E17" s="21">
        <f t="shared" si="0"/>
        <v>11.599310329571663</v>
      </c>
      <c r="F17" s="15">
        <f t="shared" si="1"/>
        <v>21.386199464397375</v>
      </c>
      <c r="G17" s="15">
        <f t="shared" si="2"/>
        <v>10.732500535602622</v>
      </c>
    </row>
    <row r="18" spans="1:7">
      <c r="A18" s="20">
        <v>38322</v>
      </c>
      <c r="B18" s="15">
        <f>'Coconut Oil Balance Sheet'!M132</f>
        <v>32.857100000000003</v>
      </c>
      <c r="C18" s="13">
        <f>'Coconut Oil Balance Sheet'!M117</f>
        <v>225.9</v>
      </c>
      <c r="D18" s="13">
        <f>'Coconut Oil Balance Sheet'!M70+'Coconut Oil Balance Sheet'!M54</f>
        <v>94.102733876399981</v>
      </c>
      <c r="E18" s="21">
        <f t="shared" si="0"/>
        <v>2.4005678761332296</v>
      </c>
      <c r="F18" s="15">
        <f t="shared" si="1"/>
        <v>39.781043875044638</v>
      </c>
      <c r="G18" s="15">
        <f t="shared" si="2"/>
        <v>-6.9239438750446354</v>
      </c>
    </row>
    <row r="19" spans="1:7">
      <c r="A19" s="20">
        <v>38353</v>
      </c>
      <c r="B19" s="15">
        <f>'Coconut Oil Balance Sheet'!M133</f>
        <v>31.837499999999999</v>
      </c>
      <c r="C19" s="13">
        <f>'Coconut Oil Balance Sheet'!M118</f>
        <v>163.80000000000001</v>
      </c>
      <c r="D19" s="13">
        <f>'Coconut Oil Balance Sheet'!M71+'Coconut Oil Balance Sheet'!M55</f>
        <v>48.205126627000013</v>
      </c>
      <c r="E19" s="21">
        <f t="shared" si="0"/>
        <v>3.3979788346464903</v>
      </c>
      <c r="F19" s="15">
        <f t="shared" si="1"/>
        <v>34.691169700820375</v>
      </c>
      <c r="G19" s="15">
        <f t="shared" si="2"/>
        <v>-2.853669700820376</v>
      </c>
    </row>
    <row r="20" spans="1:7">
      <c r="A20" s="20">
        <v>38384</v>
      </c>
      <c r="B20" s="15">
        <f>'Coconut Oil Balance Sheet'!M134</f>
        <v>31.5</v>
      </c>
      <c r="C20" s="13">
        <f>'Coconut Oil Balance Sheet'!M119</f>
        <v>188.3</v>
      </c>
      <c r="D20" s="13">
        <f>'Coconut Oil Balance Sheet'!M72+'Coconut Oil Balance Sheet'!M56</f>
        <v>20.403687334600022</v>
      </c>
      <c r="E20" s="21">
        <f t="shared" si="0"/>
        <v>9.2287240493381777</v>
      </c>
      <c r="F20" s="15">
        <f t="shared" si="1"/>
        <v>23.402059167952356</v>
      </c>
      <c r="G20" s="15">
        <f t="shared" si="2"/>
        <v>8.0979408320476445</v>
      </c>
    </row>
    <row r="21" spans="1:7">
      <c r="A21" s="20">
        <v>38412</v>
      </c>
      <c r="B21" s="15">
        <f>'Coconut Oil Balance Sheet'!M135</f>
        <v>31.965900000000001</v>
      </c>
      <c r="C21" s="13">
        <f>'Coconut Oil Balance Sheet'!M120</f>
        <v>190.89999999999998</v>
      </c>
      <c r="D21" s="13">
        <f>'Coconut Oil Balance Sheet'!M73+'Coconut Oil Balance Sheet'!M57</f>
        <v>81.852164391199977</v>
      </c>
      <c r="E21" s="21">
        <f t="shared" si="0"/>
        <v>2.3322535380692249</v>
      </c>
      <c r="F21" s="15">
        <f t="shared" si="1"/>
        <v>40.236133229104844</v>
      </c>
      <c r="G21" s="15">
        <f t="shared" si="2"/>
        <v>-8.2702332291048428</v>
      </c>
    </row>
    <row r="22" spans="1:7">
      <c r="A22" s="20">
        <v>38443</v>
      </c>
      <c r="B22" s="15">
        <f>'Coconut Oil Balance Sheet'!M136</f>
        <v>33.035699999999999</v>
      </c>
      <c r="C22" s="13">
        <f>'Coconut Oil Balance Sheet'!M121</f>
        <v>170.6</v>
      </c>
      <c r="D22" s="13">
        <f>'Coconut Oil Balance Sheet'!M74+'Coconut Oil Balance Sheet'!M58</f>
        <v>66.562669514800007</v>
      </c>
      <c r="E22" s="21">
        <f t="shared" si="0"/>
        <v>2.5629981676451181</v>
      </c>
      <c r="F22" s="15">
        <f t="shared" si="1"/>
        <v>38.767969816958804</v>
      </c>
      <c r="G22" s="15">
        <f t="shared" si="2"/>
        <v>-5.7322698169588051</v>
      </c>
    </row>
    <row r="23" spans="1:7">
      <c r="A23" s="20">
        <v>38473</v>
      </c>
      <c r="B23" s="15">
        <f>'Coconut Oil Balance Sheet'!M137</f>
        <v>32.113</v>
      </c>
      <c r="C23" s="13">
        <f>'Coconut Oil Balance Sheet'!M122</f>
        <v>187.6</v>
      </c>
      <c r="D23" s="13">
        <f>'Coconut Oil Balance Sheet'!M75+'Coconut Oil Balance Sheet'!M59</f>
        <v>107.66057557739998</v>
      </c>
      <c r="E23" s="21">
        <f t="shared" si="0"/>
        <v>1.7425134409125418</v>
      </c>
      <c r="F23" s="15">
        <f t="shared" si="1"/>
        <v>45.133237690399866</v>
      </c>
      <c r="G23" s="15">
        <f t="shared" si="2"/>
        <v>-13.020237690399867</v>
      </c>
    </row>
    <row r="24" spans="1:7">
      <c r="A24" s="20">
        <v>38504</v>
      </c>
      <c r="B24" s="15">
        <f>'Coconut Oil Balance Sheet'!M138</f>
        <v>30.25</v>
      </c>
      <c r="C24" s="13">
        <f>'Coconut Oil Balance Sheet'!M123</f>
        <v>263.5</v>
      </c>
      <c r="D24" s="13">
        <f>'Coconut Oil Balance Sheet'!M76+'Coconut Oil Balance Sheet'!M60</f>
        <v>78.07541159400003</v>
      </c>
      <c r="E24" s="21">
        <f t="shared" si="0"/>
        <v>3.374942182440567</v>
      </c>
      <c r="F24" s="15">
        <f t="shared" si="1"/>
        <v>34.784274554876241</v>
      </c>
      <c r="G24" s="15">
        <f t="shared" si="2"/>
        <v>-4.5342745548762409</v>
      </c>
    </row>
    <row r="25" spans="1:7">
      <c r="A25" s="20">
        <v>38534</v>
      </c>
      <c r="B25" s="15">
        <f>'Coconut Oil Balance Sheet'!M139</f>
        <v>29.8125</v>
      </c>
      <c r="C25" s="13">
        <f>'Coconut Oil Balance Sheet'!M124</f>
        <v>250.29999999999998</v>
      </c>
      <c r="D25" s="13">
        <f>'Coconut Oil Balance Sheet'!M77+'Coconut Oil Balance Sheet'!M61</f>
        <v>95.002731422200043</v>
      </c>
      <c r="E25" s="21">
        <f t="shared" si="0"/>
        <v>2.6346610908232306</v>
      </c>
      <c r="F25" s="15">
        <f t="shared" si="1"/>
        <v>38.349025517794118</v>
      </c>
      <c r="G25" s="15">
        <f t="shared" si="2"/>
        <v>-8.5365255177941179</v>
      </c>
    </row>
    <row r="26" spans="1:7">
      <c r="A26" s="20">
        <v>38565</v>
      </c>
      <c r="B26" s="15">
        <f>'Coconut Oil Balance Sheet'!M140</f>
        <v>27.902100000000001</v>
      </c>
      <c r="C26" s="13">
        <f>'Coconut Oil Balance Sheet'!M125</f>
        <v>253.79999999999998</v>
      </c>
      <c r="D26" s="13">
        <f>'Coconut Oil Balance Sheet'!M78+'Coconut Oil Balance Sheet'!M62</f>
        <v>86.31265542019996</v>
      </c>
      <c r="E26" s="21">
        <f t="shared" si="0"/>
        <v>2.9404726197382471</v>
      </c>
      <c r="F26" s="15">
        <f t="shared" si="1"/>
        <v>36.725146261610348</v>
      </c>
      <c r="G26" s="15">
        <f t="shared" si="2"/>
        <v>-8.8230462616103473</v>
      </c>
    </row>
    <row r="27" spans="1:7">
      <c r="A27" s="20">
        <v>38596</v>
      </c>
      <c r="B27" s="15">
        <f>'Coconut Oil Balance Sheet'!M141</f>
        <v>26.824999999999999</v>
      </c>
      <c r="C27" s="13">
        <f>'Coconut Oil Balance Sheet'!M126</f>
        <v>242.2</v>
      </c>
      <c r="D27" s="13">
        <f>'Coconut Oil Balance Sheet'!N67+'Coconut Oil Balance Sheet'!N51</f>
        <v>81.942712705799963</v>
      </c>
      <c r="E27" s="21">
        <f t="shared" si="0"/>
        <v>2.9557234804951351</v>
      </c>
      <c r="F27" s="15">
        <f t="shared" si="1"/>
        <v>36.650368813592145</v>
      </c>
      <c r="G27" s="15">
        <f t="shared" si="2"/>
        <v>-9.8253688135921458</v>
      </c>
    </row>
    <row r="28" spans="1:7">
      <c r="A28" s="20">
        <v>38626</v>
      </c>
      <c r="B28" s="15">
        <f>'Coconut Oil Balance Sheet'!N130</f>
        <v>28.642800000000001</v>
      </c>
      <c r="C28" s="13">
        <f>'Coconut Oil Balance Sheet'!N115</f>
        <v>239.5</v>
      </c>
      <c r="D28" s="13">
        <f>'Coconut Oil Balance Sheet'!N68+'Coconut Oil Balance Sheet'!N52</f>
        <v>83.421038054399972</v>
      </c>
      <c r="E28" s="21">
        <f t="shared" si="0"/>
        <v>2.8709784196621824</v>
      </c>
      <c r="F28" s="15">
        <f t="shared" si="1"/>
        <v>37.072860374857804</v>
      </c>
      <c r="G28" s="15">
        <f t="shared" si="2"/>
        <v>-8.4300603748578027</v>
      </c>
    </row>
    <row r="29" spans="1:7">
      <c r="A29" s="20">
        <v>38657</v>
      </c>
      <c r="B29" s="15">
        <f>'Coconut Oil Balance Sheet'!N131</f>
        <v>28.25</v>
      </c>
      <c r="C29" s="13">
        <f>'Coconut Oil Balance Sheet'!N116</f>
        <v>255.10000000000002</v>
      </c>
      <c r="D29" s="13">
        <f>'Coconut Oil Balance Sheet'!N69+'Coconut Oil Balance Sheet'!N53</f>
        <v>107.30344787899998</v>
      </c>
      <c r="E29" s="21">
        <f t="shared" si="0"/>
        <v>2.3773700197188616</v>
      </c>
      <c r="F29" s="15">
        <f t="shared" si="1"/>
        <v>39.933534876163435</v>
      </c>
      <c r="G29" s="15">
        <f t="shared" si="2"/>
        <v>-11.683534876163435</v>
      </c>
    </row>
    <row r="30" spans="1:7">
      <c r="A30" s="20">
        <v>38687</v>
      </c>
      <c r="B30" s="15">
        <f>'Coconut Oil Balance Sheet'!N132</f>
        <v>26.962499999999999</v>
      </c>
      <c r="C30" s="13">
        <f>'Coconut Oil Balance Sheet'!N117</f>
        <v>236.3</v>
      </c>
      <c r="D30" s="13">
        <f>'Coconut Oil Balance Sheet'!N70+'Coconut Oil Balance Sheet'!N54</f>
        <v>125.26477715520002</v>
      </c>
      <c r="E30" s="21">
        <f t="shared" si="0"/>
        <v>1.8864041861283163</v>
      </c>
      <c r="F30" s="15">
        <f t="shared" si="1"/>
        <v>43.744131163107689</v>
      </c>
      <c r="G30" s="15">
        <f t="shared" si="2"/>
        <v>-16.78163116310769</v>
      </c>
    </row>
    <row r="31" spans="1:7">
      <c r="A31" s="20">
        <v>38718</v>
      </c>
      <c r="B31" s="15">
        <f>'Coconut Oil Balance Sheet'!N133</f>
        <v>27.612500000000001</v>
      </c>
      <c r="C31" s="13">
        <f>'Coconut Oil Balance Sheet'!N118</f>
        <v>199.4</v>
      </c>
      <c r="D31" s="13">
        <f>'Coconut Oil Balance Sheet'!N71+'Coconut Oil Balance Sheet'!N55</f>
        <v>78.706845777600037</v>
      </c>
      <c r="E31" s="21">
        <f t="shared" si="0"/>
        <v>2.5334517986331151</v>
      </c>
      <c r="F31" s="15">
        <f t="shared" si="1"/>
        <v>38.945483933391586</v>
      </c>
      <c r="G31" s="15">
        <f t="shared" si="2"/>
        <v>-11.332983933391585</v>
      </c>
    </row>
    <row r="32" spans="1:7">
      <c r="A32" s="20">
        <v>38749</v>
      </c>
      <c r="B32" s="15">
        <f>'Coconut Oil Balance Sheet'!N134</f>
        <v>28.328900000000001</v>
      </c>
      <c r="C32" s="13">
        <f>'Coconut Oil Balance Sheet'!N119</f>
        <v>214.7</v>
      </c>
      <c r="D32" s="13">
        <f>'Coconut Oil Balance Sheet'!N72+'Coconut Oil Balance Sheet'!N56</f>
        <v>87.116595731999922</v>
      </c>
      <c r="E32" s="21">
        <f t="shared" si="0"/>
        <v>2.464513198615907</v>
      </c>
      <c r="F32" s="15">
        <f t="shared" si="1"/>
        <v>39.371124104697543</v>
      </c>
      <c r="G32" s="15">
        <f t="shared" si="2"/>
        <v>-11.042224104697542</v>
      </c>
    </row>
    <row r="33" spans="1:7">
      <c r="A33" s="20">
        <v>38777</v>
      </c>
      <c r="B33" s="15">
        <f>'Coconut Oil Balance Sheet'!N135</f>
        <v>28.1739</v>
      </c>
      <c r="C33" s="13">
        <f>'Coconut Oil Balance Sheet'!N120</f>
        <v>224.60000000000002</v>
      </c>
      <c r="D33" s="13">
        <f>'Coconut Oil Balance Sheet'!N73+'Coconut Oil Balance Sheet'!N57</f>
        <v>98.596083532400016</v>
      </c>
      <c r="E33" s="21">
        <f t="shared" si="0"/>
        <v>2.2779809496813677</v>
      </c>
      <c r="F33" s="15">
        <f t="shared" si="1"/>
        <v>40.611137360731682</v>
      </c>
      <c r="G33" s="15">
        <f t="shared" si="2"/>
        <v>-12.437237360731682</v>
      </c>
    </row>
    <row r="34" spans="1:7">
      <c r="A34" s="20">
        <v>38808</v>
      </c>
      <c r="B34" s="15">
        <f>'Coconut Oil Balance Sheet'!N136</f>
        <v>28.513100000000001</v>
      </c>
      <c r="C34" s="13">
        <f>'Coconut Oil Balance Sheet'!N121</f>
        <v>257.10000000000002</v>
      </c>
      <c r="D34" s="13">
        <f>'Coconut Oil Balance Sheet'!N74+'Coconut Oil Balance Sheet'!N58</f>
        <v>112.52831819620005</v>
      </c>
      <c r="E34" s="21">
        <f t="shared" si="0"/>
        <v>2.2847582201640155</v>
      </c>
      <c r="F34" s="15">
        <f t="shared" si="1"/>
        <v>40.563631550622191</v>
      </c>
      <c r="G34" s="15">
        <f t="shared" si="2"/>
        <v>-12.050531550622189</v>
      </c>
    </row>
    <row r="35" spans="1:7">
      <c r="A35" s="20">
        <v>38838</v>
      </c>
      <c r="B35" s="15">
        <f>'Coconut Oil Balance Sheet'!N137</f>
        <v>28.579499999999999</v>
      </c>
      <c r="C35" s="13">
        <f>'Coconut Oil Balance Sheet'!N122</f>
        <v>227.9</v>
      </c>
      <c r="D35" s="13">
        <f>'Coconut Oil Balance Sheet'!N75+'Coconut Oil Balance Sheet'!N59</f>
        <v>99.459460690200004</v>
      </c>
      <c r="E35" s="21">
        <f t="shared" si="0"/>
        <v>2.2913858412109365</v>
      </c>
      <c r="F35" s="15">
        <f t="shared" si="1"/>
        <v>40.51736431702664</v>
      </c>
      <c r="G35" s="15">
        <f t="shared" si="2"/>
        <v>-11.937864317026641</v>
      </c>
    </row>
    <row r="36" spans="1:7">
      <c r="A36" s="20">
        <v>38869</v>
      </c>
      <c r="B36" s="15">
        <f>'Coconut Oil Balance Sheet'!N138</f>
        <v>27.840900000000001</v>
      </c>
      <c r="C36" s="13">
        <f>'Coconut Oil Balance Sheet'!N123</f>
        <v>212.6</v>
      </c>
      <c r="D36" s="13">
        <f>'Coconut Oil Balance Sheet'!N76+'Coconut Oil Balance Sheet'!N60</f>
        <v>72.704733066599999</v>
      </c>
      <c r="E36" s="21">
        <f t="shared" si="0"/>
        <v>2.9241562554840987</v>
      </c>
      <c r="F36" s="15">
        <f t="shared" si="1"/>
        <v>36.805749015451575</v>
      </c>
      <c r="G36" s="15">
        <f t="shared" si="2"/>
        <v>-8.9648490154515734</v>
      </c>
    </row>
    <row r="37" spans="1:7">
      <c r="A37" s="20">
        <v>38899</v>
      </c>
      <c r="B37" s="15">
        <f>'Coconut Oil Balance Sheet'!N139</f>
        <v>28.337499999999999</v>
      </c>
      <c r="C37" s="13">
        <f>'Coconut Oil Balance Sheet'!N124</f>
        <v>204.8</v>
      </c>
      <c r="D37" s="13">
        <f>'Coconut Oil Balance Sheet'!N77+'Coconut Oil Balance Sheet'!N61</f>
        <v>105.68857391400005</v>
      </c>
      <c r="E37" s="21">
        <f t="shared" si="0"/>
        <v>1.9377686008579131</v>
      </c>
      <c r="F37" s="15">
        <f t="shared" si="1"/>
        <v>43.283555947112816</v>
      </c>
      <c r="G37" s="15">
        <f t="shared" si="2"/>
        <v>-14.946055947112818</v>
      </c>
    </row>
    <row r="38" spans="1:7">
      <c r="A38" s="20">
        <v>38930</v>
      </c>
      <c r="B38" s="15">
        <f>'Coconut Oil Balance Sheet'!N140</f>
        <v>29.826000000000001</v>
      </c>
      <c r="C38" s="13">
        <f>'Coconut Oil Balance Sheet'!N125</f>
        <v>202.7</v>
      </c>
      <c r="D38" s="13">
        <f>'Coconut Oil Balance Sheet'!N78+'Coconut Oil Balance Sheet'!N62</f>
        <v>78.228468175800003</v>
      </c>
      <c r="E38" s="21">
        <f t="shared" si="0"/>
        <v>2.5911283286856599</v>
      </c>
      <c r="F38" s="15">
        <f t="shared" si="1"/>
        <v>38.60159516309276</v>
      </c>
      <c r="G38" s="15">
        <f t="shared" si="2"/>
        <v>-8.7755951630927598</v>
      </c>
    </row>
    <row r="39" spans="1:7">
      <c r="A39" s="20">
        <v>38961</v>
      </c>
      <c r="B39" s="15">
        <f>'Coconut Oil Balance Sheet'!N141</f>
        <v>29.625</v>
      </c>
      <c r="C39" s="13">
        <f>'Coconut Oil Balance Sheet'!N126</f>
        <v>222.2</v>
      </c>
      <c r="D39" s="13">
        <f>'Coconut Oil Balance Sheet'!O51+'Coconut Oil Balance Sheet'!O67</f>
        <v>112.31045737759997</v>
      </c>
      <c r="E39" s="21">
        <f t="shared" si="0"/>
        <v>1.9784444404223145</v>
      </c>
      <c r="F39" s="15">
        <f t="shared" si="1"/>
        <v>42.9307313340299</v>
      </c>
      <c r="G39" s="15">
        <f t="shared" si="2"/>
        <v>-13.3057313340299</v>
      </c>
    </row>
    <row r="40" spans="1:7">
      <c r="A40" s="20">
        <v>38991</v>
      </c>
      <c r="B40" s="15">
        <f>'Coconut Oil Balance Sheet'!O130</f>
        <v>30.25</v>
      </c>
      <c r="C40" s="13">
        <f>'Coconut Oil Balance Sheet'!O115</f>
        <v>177</v>
      </c>
      <c r="D40" s="13">
        <f>'Coconut Oil Balance Sheet'!O52+'Coconut Oil Balance Sheet'!O68</f>
        <v>62.278783557000004</v>
      </c>
      <c r="E40" s="21">
        <f t="shared" si="0"/>
        <v>2.8420593642135383</v>
      </c>
      <c r="F40" s="15">
        <f t="shared" si="1"/>
        <v>37.221033514822587</v>
      </c>
      <c r="G40" s="15">
        <f t="shared" si="2"/>
        <v>-6.9710335148225866</v>
      </c>
    </row>
    <row r="41" spans="1:7">
      <c r="A41" s="20">
        <v>39022</v>
      </c>
      <c r="B41" s="15">
        <f>'Coconut Oil Balance Sheet'!O131</f>
        <v>31.8</v>
      </c>
      <c r="C41" s="13">
        <f>'Coconut Oil Balance Sheet'!O116</f>
        <v>178.2</v>
      </c>
      <c r="D41" s="13">
        <f>'Coconut Oil Balance Sheet'!O53+'Coconut Oil Balance Sheet'!O69</f>
        <v>61.061619075000038</v>
      </c>
      <c r="E41" s="21">
        <f t="shared" si="0"/>
        <v>2.9183634941144061</v>
      </c>
      <c r="F41" s="15">
        <f t="shared" si="1"/>
        <v>36.83451618513692</v>
      </c>
      <c r="G41" s="15">
        <f t="shared" si="2"/>
        <v>-5.0345161851369191</v>
      </c>
    </row>
    <row r="42" spans="1:7">
      <c r="A42" s="20">
        <v>39052</v>
      </c>
      <c r="B42" s="15">
        <f>'Coconut Oil Balance Sheet'!O132</f>
        <v>35.487499999999997</v>
      </c>
      <c r="C42" s="13">
        <f>'Coconut Oil Balance Sheet'!O117</f>
        <v>214.5</v>
      </c>
      <c r="D42" s="13">
        <f>'Coconut Oil Balance Sheet'!O54+'Coconut Oil Balance Sheet'!O70</f>
        <v>89.127154798999968</v>
      </c>
      <c r="E42" s="21">
        <f t="shared" si="0"/>
        <v>2.4066739310117273</v>
      </c>
      <c r="F42" s="15">
        <f t="shared" si="1"/>
        <v>39.741246902397926</v>
      </c>
      <c r="G42" s="15">
        <f t="shared" si="2"/>
        <v>-4.2537469023979284</v>
      </c>
    </row>
    <row r="43" spans="1:7">
      <c r="A43" s="20">
        <v>39083</v>
      </c>
      <c r="B43" s="15">
        <f>'Coconut Oil Balance Sheet'!O133</f>
        <v>35.5625</v>
      </c>
      <c r="C43" s="13">
        <f>'Coconut Oil Balance Sheet'!O118</f>
        <v>229</v>
      </c>
      <c r="D43" s="13">
        <f>'Coconut Oil Balance Sheet'!O55+'Coconut Oil Balance Sheet'!O71</f>
        <v>60.329350969999993</v>
      </c>
      <c r="E43" s="21">
        <f t="shared" si="0"/>
        <v>3.7958306581795473</v>
      </c>
      <c r="F43" s="15">
        <f t="shared" si="1"/>
        <v>33.21031512020496</v>
      </c>
      <c r="G43" s="15">
        <f t="shared" si="2"/>
        <v>2.3521848797950398</v>
      </c>
    </row>
    <row r="44" spans="1:7">
      <c r="A44" s="20">
        <v>39114</v>
      </c>
      <c r="B44" s="15">
        <f>'Coconut Oil Balance Sheet'!O134</f>
        <v>36.342100000000002</v>
      </c>
      <c r="C44" s="13">
        <f>'Coconut Oil Balance Sheet'!O119</f>
        <v>231.8</v>
      </c>
      <c r="D44" s="13">
        <f>'Coconut Oil Balance Sheet'!O56+'Coconut Oil Balance Sheet'!O72</f>
        <v>86.864432085600043</v>
      </c>
      <c r="E44" s="21">
        <f t="shared" si="0"/>
        <v>2.6685260518548497</v>
      </c>
      <c r="F44" s="15">
        <f t="shared" si="1"/>
        <v>38.156535664728437</v>
      </c>
      <c r="G44" s="15">
        <f t="shared" si="2"/>
        <v>-1.8144356647284354</v>
      </c>
    </row>
    <row r="45" spans="1:7">
      <c r="A45" s="20">
        <v>39142</v>
      </c>
      <c r="B45" s="15">
        <f>'Coconut Oil Balance Sheet'!O135</f>
        <v>36.704500000000003</v>
      </c>
      <c r="C45" s="13">
        <f>'Coconut Oil Balance Sheet'!O120</f>
        <v>223.1</v>
      </c>
      <c r="D45" s="13">
        <f>'Coconut Oil Balance Sheet'!O57+'Coconut Oil Balance Sheet'!O73</f>
        <v>36.747620961999971</v>
      </c>
      <c r="E45" s="21">
        <f t="shared" si="0"/>
        <v>6.0711413190721526</v>
      </c>
      <c r="F45" s="15">
        <f t="shared" si="1"/>
        <v>27.60014555238563</v>
      </c>
      <c r="G45" s="15">
        <f t="shared" si="2"/>
        <v>9.104354447614373</v>
      </c>
    </row>
    <row r="46" spans="1:7">
      <c r="A46" s="20">
        <v>39173</v>
      </c>
      <c r="B46" s="15">
        <f>'Coconut Oil Balance Sheet'!O136</f>
        <v>39</v>
      </c>
      <c r="C46" s="13">
        <f>'Coconut Oil Balance Sheet'!O121</f>
        <v>191.8</v>
      </c>
      <c r="D46" s="13">
        <f>'Coconut Oil Balance Sheet'!O58+'Coconut Oil Balance Sheet'!O74</f>
        <v>111.56755107140002</v>
      </c>
      <c r="E46" s="21">
        <f t="shared" si="0"/>
        <v>1.7191378510876656</v>
      </c>
      <c r="F46" s="15">
        <f t="shared" si="1"/>
        <v>45.374042175601815</v>
      </c>
      <c r="G46" s="15">
        <f t="shared" si="2"/>
        <v>-6.3740421756018151</v>
      </c>
    </row>
    <row r="47" spans="1:7">
      <c r="A47" s="20">
        <v>39203</v>
      </c>
      <c r="B47" s="15">
        <f>'Coconut Oil Balance Sheet'!O137</f>
        <v>42.136299999999999</v>
      </c>
      <c r="C47" s="13">
        <f>'Coconut Oil Balance Sheet'!O122</f>
        <v>157.69999999999999</v>
      </c>
      <c r="D47" s="13">
        <f>'Coconut Oil Balance Sheet'!O59+'Coconut Oil Balance Sheet'!O75</f>
        <v>119.27697812939999</v>
      </c>
      <c r="E47" s="21">
        <f t="shared" si="0"/>
        <v>1.322132757495885</v>
      </c>
      <c r="F47" s="15">
        <f t="shared" si="1"/>
        <v>50.319638372831157</v>
      </c>
      <c r="G47" s="15">
        <f t="shared" si="2"/>
        <v>-8.1833383728311588</v>
      </c>
    </row>
    <row r="48" spans="1:7">
      <c r="A48" s="20">
        <v>39234</v>
      </c>
      <c r="B48" s="15">
        <f>'Coconut Oil Balance Sheet'!O138</f>
        <v>48.1785</v>
      </c>
      <c r="C48" s="13">
        <f>'Coconut Oil Balance Sheet'!O123</f>
        <v>136.69999999999999</v>
      </c>
      <c r="D48" s="13">
        <f>'Coconut Oil Balance Sheet'!O60+'Coconut Oil Balance Sheet'!O76</f>
        <v>41.101547924000023</v>
      </c>
      <c r="E48" s="21">
        <f t="shared" si="0"/>
        <v>3.3259088016044793</v>
      </c>
      <c r="F48" s="15">
        <f t="shared" si="1"/>
        <v>34.985429879092962</v>
      </c>
      <c r="G48" s="15">
        <f t="shared" si="2"/>
        <v>13.193070120907038</v>
      </c>
    </row>
    <row r="49" spans="1:7">
      <c r="A49" s="20">
        <v>39264</v>
      </c>
      <c r="B49" s="15">
        <f>'Coconut Oil Balance Sheet'!O139</f>
        <v>45.3095</v>
      </c>
      <c r="C49" s="13">
        <f>'Coconut Oil Balance Sheet'!O124</f>
        <v>157.19999999999999</v>
      </c>
      <c r="D49" s="13">
        <f>'Coconut Oil Balance Sheet'!O61+'Coconut Oil Balance Sheet'!O77</f>
        <v>144.72558130220003</v>
      </c>
      <c r="E49" s="21">
        <f t="shared" si="0"/>
        <v>1.0861935988479621</v>
      </c>
      <c r="F49" s="15">
        <f t="shared" si="1"/>
        <v>54.371640281348959</v>
      </c>
      <c r="G49" s="15">
        <f t="shared" si="2"/>
        <v>-9.0621402813489595</v>
      </c>
    </row>
    <row r="50" spans="1:7">
      <c r="A50" s="20">
        <v>39295</v>
      </c>
      <c r="B50" s="15">
        <f>'Coconut Oil Balance Sheet'!O140</f>
        <v>44.282600000000002</v>
      </c>
      <c r="C50" s="13">
        <f>'Coconut Oil Balance Sheet'!O125</f>
        <v>127.6</v>
      </c>
      <c r="D50" s="13">
        <f>'Coconut Oil Balance Sheet'!O62+'Coconut Oil Balance Sheet'!O78</f>
        <v>83.274803205399991</v>
      </c>
      <c r="E50" s="21">
        <f t="shared" si="0"/>
        <v>1.5322762118725213</v>
      </c>
      <c r="F50" s="15">
        <f t="shared" si="1"/>
        <v>47.47851050242344</v>
      </c>
      <c r="G50" s="15">
        <f t="shared" si="2"/>
        <v>-3.1959105024234375</v>
      </c>
    </row>
    <row r="51" spans="1:7">
      <c r="A51" s="20">
        <v>39326</v>
      </c>
      <c r="B51" s="15">
        <f>'Coconut Oil Balance Sheet'!O141</f>
        <v>44.263100000000001</v>
      </c>
      <c r="C51" s="13">
        <f>'Coconut Oil Balance Sheet'!O126</f>
        <v>128.4</v>
      </c>
      <c r="D51" s="13">
        <f>'Coconut Oil Balance Sheet'!P67+'Coconut Oil Balance Sheet'!P51</f>
        <v>46.980203875200019</v>
      </c>
      <c r="E51" s="21">
        <f t="shared" si="0"/>
        <v>2.733066045032214</v>
      </c>
      <c r="F51" s="15">
        <f t="shared" si="1"/>
        <v>37.798950117608584</v>
      </c>
      <c r="G51" s="15">
        <f t="shared" si="2"/>
        <v>6.4641498823914176</v>
      </c>
    </row>
    <row r="52" spans="1:7">
      <c r="A52" s="20">
        <v>39356</v>
      </c>
      <c r="B52" s="15">
        <f>'Coconut Oil Balance Sheet'!P130</f>
        <v>47.521700000000003</v>
      </c>
      <c r="C52" s="13">
        <f>'Coconut Oil Balance Sheet'!P115</f>
        <v>142.80000000000001</v>
      </c>
      <c r="D52" s="13">
        <f>'Coconut Oil Balance Sheet'!P68+'Coconut Oil Balance Sheet'!P52</f>
        <v>98.880038463999995</v>
      </c>
      <c r="E52" s="21">
        <f t="shared" si="0"/>
        <v>1.4441741955024652</v>
      </c>
      <c r="F52" s="15">
        <f t="shared" si="1"/>
        <v>48.599272965131838</v>
      </c>
      <c r="G52" s="15">
        <f t="shared" si="2"/>
        <v>-1.0775729651318358</v>
      </c>
    </row>
    <row r="53" spans="1:7">
      <c r="A53" s="20">
        <v>39387</v>
      </c>
      <c r="B53" s="15">
        <f>'Coconut Oil Balance Sheet'!P131</f>
        <v>52.375</v>
      </c>
      <c r="C53" s="13">
        <f>'Coconut Oil Balance Sheet'!P116</f>
        <v>212.6</v>
      </c>
      <c r="D53" s="13">
        <f>'Coconut Oil Balance Sheet'!P69+'Coconut Oil Balance Sheet'!P53</f>
        <v>98.356138908200009</v>
      </c>
      <c r="E53" s="21">
        <f t="shared" si="0"/>
        <v>2.1615325932876308</v>
      </c>
      <c r="F53" s="15">
        <f t="shared" si="1"/>
        <v>41.459469668312522</v>
      </c>
      <c r="G53" s="15">
        <f t="shared" si="2"/>
        <v>10.915530331687478</v>
      </c>
    </row>
    <row r="54" spans="1:7">
      <c r="A54" s="20">
        <v>39417</v>
      </c>
      <c r="B54" s="15">
        <f>'Coconut Oil Balance Sheet'!P132</f>
        <v>54.075000000000003</v>
      </c>
      <c r="C54" s="13">
        <f>'Coconut Oil Balance Sheet'!P117</f>
        <v>205.5</v>
      </c>
      <c r="D54" s="13">
        <f>'Coconut Oil Balance Sheet'!P70+'Coconut Oil Balance Sheet'!P54</f>
        <v>116.42760399299998</v>
      </c>
      <c r="E54" s="21">
        <f t="shared" si="0"/>
        <v>1.7650453410718248</v>
      </c>
      <c r="F54" s="15">
        <f t="shared" si="1"/>
        <v>44.905348986768225</v>
      </c>
      <c r="G54" s="15">
        <f t="shared" si="2"/>
        <v>9.1696510132317783</v>
      </c>
    </row>
    <row r="55" spans="1:7">
      <c r="A55" s="20">
        <v>39448</v>
      </c>
      <c r="B55" s="15">
        <f>'Coconut Oil Balance Sheet'!P133</f>
        <v>60.357100000000003</v>
      </c>
      <c r="C55" s="13">
        <f>'Coconut Oil Balance Sheet'!P118</f>
        <v>193.2</v>
      </c>
      <c r="D55" s="13">
        <f>'Coconut Oil Balance Sheet'!P71+'Coconut Oil Balance Sheet'!P55</f>
        <v>75.792607082199979</v>
      </c>
      <c r="E55" s="21">
        <f t="shared" si="0"/>
        <v>2.5490612796900787</v>
      </c>
      <c r="F55" s="15">
        <f t="shared" si="1"/>
        <v>38.851345009251887</v>
      </c>
      <c r="G55" s="15">
        <f t="shared" si="2"/>
        <v>21.505754990748116</v>
      </c>
    </row>
    <row r="56" spans="1:7">
      <c r="A56" s="20">
        <v>39479</v>
      </c>
      <c r="B56" s="15">
        <f>'Coconut Oil Balance Sheet'!P134</f>
        <v>64.362499999999997</v>
      </c>
      <c r="C56" s="13">
        <f>'Coconut Oil Balance Sheet'!P119</f>
        <v>179.6</v>
      </c>
      <c r="D56" s="13">
        <f>'Coconut Oil Balance Sheet'!P72+'Coconut Oil Balance Sheet'!P56</f>
        <v>97.840978887599988</v>
      </c>
      <c r="E56" s="21">
        <f t="shared" si="0"/>
        <v>1.8356316754181805</v>
      </c>
      <c r="F56" s="15">
        <f t="shared" si="1"/>
        <v>44.216909342787119</v>
      </c>
      <c r="G56" s="15">
        <f t="shared" si="2"/>
        <v>20.145590657212878</v>
      </c>
    </row>
    <row r="57" spans="1:7">
      <c r="A57" s="20">
        <v>39508</v>
      </c>
      <c r="B57" s="15">
        <f>'Coconut Oil Balance Sheet'!P135</f>
        <v>72.075000000000003</v>
      </c>
      <c r="C57" s="13">
        <f>'Coconut Oil Balance Sheet'!P120</f>
        <v>186.8</v>
      </c>
      <c r="D57" s="13">
        <f>'Coconut Oil Balance Sheet'!P73+'Coconut Oil Balance Sheet'!P57</f>
        <v>90.340158869800021</v>
      </c>
      <c r="E57" s="21">
        <f t="shared" si="0"/>
        <v>2.0677404416481022</v>
      </c>
      <c r="F57" s="15">
        <f t="shared" si="1"/>
        <v>42.190478850539357</v>
      </c>
      <c r="G57" s="15">
        <f t="shared" si="2"/>
        <v>29.884521149460646</v>
      </c>
    </row>
    <row r="58" spans="1:7">
      <c r="A58" s="20">
        <v>39539</v>
      </c>
      <c r="B58" s="15">
        <f>'Coconut Oil Balance Sheet'!P136</f>
        <v>68.593100000000007</v>
      </c>
      <c r="C58" s="13">
        <f>'Coconut Oil Balance Sheet'!P121</f>
        <v>223.9</v>
      </c>
      <c r="D58" s="13">
        <f>'Coconut Oil Balance Sheet'!P74+'Coconut Oil Balance Sheet'!P58</f>
        <v>91.001925508600067</v>
      </c>
      <c r="E58" s="21">
        <f t="shared" si="0"/>
        <v>2.4603875000297712</v>
      </c>
      <c r="F58" s="15">
        <f t="shared" si="1"/>
        <v>39.397122557545302</v>
      </c>
      <c r="G58" s="15">
        <f t="shared" si="2"/>
        <v>29.195977442454705</v>
      </c>
    </row>
    <row r="59" spans="1:7">
      <c r="A59" s="20">
        <v>39569</v>
      </c>
      <c r="B59" s="15">
        <f>'Coconut Oil Balance Sheet'!P137</f>
        <v>70.380899999999997</v>
      </c>
      <c r="C59" s="13">
        <f>'Coconut Oil Balance Sheet'!P122</f>
        <v>204</v>
      </c>
      <c r="D59" s="13">
        <f>'Coconut Oil Balance Sheet'!P75+'Coconut Oil Balance Sheet'!P59</f>
        <v>112.97351576419993</v>
      </c>
      <c r="E59" s="21">
        <f t="shared" si="0"/>
        <v>1.8057329509492468</v>
      </c>
      <c r="F59" s="15">
        <f t="shared" si="1"/>
        <v>44.503933610905953</v>
      </c>
      <c r="G59" s="15">
        <f t="shared" si="2"/>
        <v>25.876966389094044</v>
      </c>
    </row>
    <row r="60" spans="1:7">
      <c r="A60" s="20">
        <v>39600</v>
      </c>
      <c r="B60" s="15">
        <f>'Coconut Oil Balance Sheet'!P138</f>
        <v>74.642799999999994</v>
      </c>
      <c r="C60" s="13">
        <f>'Coconut Oil Balance Sheet'!P123</f>
        <v>187.9</v>
      </c>
      <c r="D60" s="13">
        <f>'Coconut Oil Balance Sheet'!P76+'Coconut Oil Balance Sheet'!P60</f>
        <v>99.512740933200035</v>
      </c>
      <c r="E60" s="21">
        <f t="shared" si="0"/>
        <v>1.8882004277837321</v>
      </c>
      <c r="F60" s="15">
        <f t="shared" si="1"/>
        <v>43.727730631819846</v>
      </c>
      <c r="G60" s="15">
        <f t="shared" si="2"/>
        <v>30.915069368180149</v>
      </c>
    </row>
    <row r="61" spans="1:7">
      <c r="A61" s="20">
        <v>39630</v>
      </c>
      <c r="B61" s="15">
        <f>'Coconut Oil Balance Sheet'!P139</f>
        <v>69.738600000000005</v>
      </c>
      <c r="C61" s="13">
        <f>'Coconut Oil Balance Sheet'!P124</f>
        <v>181.6</v>
      </c>
      <c r="D61" s="13">
        <f>'Coconut Oil Balance Sheet'!P77+'Coconut Oil Balance Sheet'!P61</f>
        <v>104.67216987239995</v>
      </c>
      <c r="E61" s="21">
        <f t="shared" si="0"/>
        <v>1.7349406267337202</v>
      </c>
      <c r="F61" s="15">
        <f t="shared" si="1"/>
        <v>45.210753801053713</v>
      </c>
      <c r="G61" s="15">
        <f t="shared" si="2"/>
        <v>24.527846198946293</v>
      </c>
    </row>
    <row r="62" spans="1:7">
      <c r="A62" s="20">
        <v>39661</v>
      </c>
      <c r="B62" s="15">
        <f>'Coconut Oil Balance Sheet'!P140</f>
        <v>57.773800000000001</v>
      </c>
      <c r="C62" s="13">
        <f>'Coconut Oil Balance Sheet'!P125</f>
        <v>180.4</v>
      </c>
      <c r="D62" s="13">
        <f>'Coconut Oil Balance Sheet'!P78+'Coconut Oil Balance Sheet'!P62</f>
        <v>96.713697208400021</v>
      </c>
      <c r="E62" s="21">
        <f t="shared" si="0"/>
        <v>1.8652993857868092</v>
      </c>
      <c r="F62" s="15">
        <f t="shared" si="1"/>
        <v>43.938472981840675</v>
      </c>
      <c r="G62" s="15">
        <f t="shared" si="2"/>
        <v>13.835327018159326</v>
      </c>
    </row>
    <row r="63" spans="1:7">
      <c r="A63" s="20">
        <v>39692</v>
      </c>
      <c r="B63" s="15">
        <f>'Coconut Oil Balance Sheet'!P141</f>
        <v>53.904699999999998</v>
      </c>
      <c r="C63" s="13">
        <f>'Coconut Oil Balance Sheet'!P126</f>
        <v>181.4</v>
      </c>
      <c r="D63" s="13">
        <f>'Coconut Oil Balance Sheet'!Q51+'Coconut Oil Balance Sheet'!Q67</f>
        <v>92.186012009000024</v>
      </c>
      <c r="E63" s="21">
        <f t="shared" si="0"/>
        <v>1.9677605750240081</v>
      </c>
      <c r="F63" s="15">
        <f t="shared" si="1"/>
        <v>43.022418315992581</v>
      </c>
      <c r="G63" s="15">
        <f t="shared" si="2"/>
        <v>10.882281684007417</v>
      </c>
    </row>
    <row r="64" spans="1:7">
      <c r="A64" s="20">
        <v>39722</v>
      </c>
      <c r="B64" s="15">
        <f>'Coconut Oil Balance Sheet'!Q130</f>
        <v>43.260800000000003</v>
      </c>
      <c r="C64" s="13">
        <f>'Coconut Oil Balance Sheet'!Q115</f>
        <v>163.19999999999999</v>
      </c>
      <c r="D64" s="13">
        <f>'Coconut Oil Balance Sheet'!Q52+'Coconut Oil Balance Sheet'!Q68</f>
        <v>103.94229564479998</v>
      </c>
      <c r="E64" s="21">
        <f t="shared" si="0"/>
        <v>1.5701019396156135</v>
      </c>
      <c r="F64" s="15">
        <f t="shared" si="1"/>
        <v>47.024513830927994</v>
      </c>
      <c r="G64" s="15">
        <f t="shared" si="2"/>
        <v>-3.7637138309279905</v>
      </c>
    </row>
    <row r="65" spans="1:7">
      <c r="A65" s="20">
        <v>39753</v>
      </c>
      <c r="B65" s="15">
        <f>'Coconut Oil Balance Sheet'!Q131</f>
        <v>35.973599999999998</v>
      </c>
      <c r="C65" s="13">
        <f>'Coconut Oil Balance Sheet'!Q116</f>
        <v>174.6</v>
      </c>
      <c r="D65" s="13">
        <f>'Coconut Oil Balance Sheet'!Q53+'Coconut Oil Balance Sheet'!Q69</f>
        <v>59.088987031199991</v>
      </c>
      <c r="E65" s="21">
        <f t="shared" si="0"/>
        <v>2.9548653441597876</v>
      </c>
      <c r="F65" s="15">
        <f t="shared" si="1"/>
        <v>36.654562104150152</v>
      </c>
      <c r="G65" s="15">
        <f t="shared" si="2"/>
        <v>-0.68096210415015435</v>
      </c>
    </row>
    <row r="66" spans="1:7">
      <c r="A66" s="20">
        <v>39783</v>
      </c>
      <c r="B66" s="15">
        <f>'Coconut Oil Balance Sheet'!Q132</f>
        <v>37.636299999999999</v>
      </c>
      <c r="C66" s="13">
        <f>'Coconut Oil Balance Sheet'!Q117</f>
        <v>164.1</v>
      </c>
      <c r="D66" s="13">
        <f>'Coconut Oil Balance Sheet'!Q54+'Coconut Oil Balance Sheet'!Q70</f>
        <v>75.072388644399979</v>
      </c>
      <c r="E66" s="21">
        <f t="shared" si="0"/>
        <v>2.1858902182705631</v>
      </c>
      <c r="F66" s="15">
        <f t="shared" si="1"/>
        <v>41.276828277787743</v>
      </c>
      <c r="G66" s="15">
        <f t="shared" si="2"/>
        <v>-3.6405282777877446</v>
      </c>
    </row>
    <row r="67" spans="1:7">
      <c r="A67" s="20">
        <v>39814</v>
      </c>
      <c r="B67" s="15">
        <f>'Coconut Oil Balance Sheet'!Q133</f>
        <v>36.375</v>
      </c>
      <c r="C67" s="13">
        <f>'Coconut Oil Balance Sheet'!Q118</f>
        <v>184.4</v>
      </c>
      <c r="D67" s="13">
        <f>'Coconut Oil Balance Sheet'!Q55+'Coconut Oil Balance Sheet'!Q71</f>
        <v>64.31411332399999</v>
      </c>
      <c r="E67" s="21">
        <f t="shared" si="0"/>
        <v>2.867177831886361</v>
      </c>
      <c r="F67" s="15">
        <f t="shared" si="1"/>
        <v>37.092214525287197</v>
      </c>
      <c r="G67" s="15">
        <f t="shared" si="2"/>
        <v>-0.71721452528719709</v>
      </c>
    </row>
    <row r="68" spans="1:7">
      <c r="A68" s="20">
        <v>39845</v>
      </c>
      <c r="B68" s="15">
        <f>'Coconut Oil Balance Sheet'!Q134</f>
        <v>33.263100000000001</v>
      </c>
      <c r="C68" s="13">
        <f>'Coconut Oil Balance Sheet'!Q119</f>
        <v>216.3</v>
      </c>
      <c r="D68" s="13">
        <f>'Coconut Oil Balance Sheet'!Q56+'Coconut Oil Balance Sheet'!Q72</f>
        <v>66.295578160599987</v>
      </c>
      <c r="E68" s="21">
        <f t="shared" ref="E68:E131" si="3">C68/D68</f>
        <v>3.2626610401679685</v>
      </c>
      <c r="F68" s="15">
        <f t="shared" ref="F68:F131" si="4">56.172*(E68^-0.394)</f>
        <v>35.251088842836296</v>
      </c>
      <c r="G68" s="15">
        <f t="shared" ref="G68:G131" si="5">B68-F68</f>
        <v>-1.9879888428362946</v>
      </c>
    </row>
    <row r="69" spans="1:7">
      <c r="A69" s="20">
        <v>39873</v>
      </c>
      <c r="B69" s="15">
        <f>'Coconut Oil Balance Sheet'!Q135</f>
        <v>31.795400000000001</v>
      </c>
      <c r="C69" s="13">
        <f>'Coconut Oil Balance Sheet'!Q120</f>
        <v>167.9</v>
      </c>
      <c r="D69" s="13">
        <f>'Coconut Oil Balance Sheet'!Q57+'Coconut Oil Balance Sheet'!Q73</f>
        <v>86.45183811439999</v>
      </c>
      <c r="E69" s="21">
        <f t="shared" si="3"/>
        <v>1.9421218063382446</v>
      </c>
      <c r="F69" s="15">
        <f t="shared" si="4"/>
        <v>43.245304570527594</v>
      </c>
      <c r="G69" s="15">
        <f t="shared" si="5"/>
        <v>-11.449904570527593</v>
      </c>
    </row>
    <row r="70" spans="1:7">
      <c r="A70" s="20">
        <v>39904</v>
      </c>
      <c r="B70" s="15">
        <f>'Coconut Oil Balance Sheet'!Q136</f>
        <v>35.333300000000001</v>
      </c>
      <c r="C70" s="13">
        <f>'Coconut Oil Balance Sheet'!Q121</f>
        <v>144.6</v>
      </c>
      <c r="D70" s="13">
        <f>'Coconut Oil Balance Sheet'!Q58+'Coconut Oil Balance Sheet'!Q74</f>
        <v>79.822077971000013</v>
      </c>
      <c r="E70" s="21">
        <f t="shared" si="3"/>
        <v>1.8115288861877827</v>
      </c>
      <c r="F70" s="15">
        <f t="shared" si="4"/>
        <v>44.44777783634359</v>
      </c>
      <c r="G70" s="15">
        <f t="shared" si="5"/>
        <v>-9.114477836343589</v>
      </c>
    </row>
    <row r="71" spans="1:7">
      <c r="A71" s="20">
        <v>39934</v>
      </c>
      <c r="B71" s="15">
        <f>'Coconut Oil Balance Sheet'!Q137</f>
        <v>40.35</v>
      </c>
      <c r="C71" s="13">
        <f>'Coconut Oil Balance Sheet'!Q122</f>
        <v>138.69999999999999</v>
      </c>
      <c r="D71" s="13">
        <f>'Coconut Oil Balance Sheet'!Q59+'Coconut Oil Balance Sheet'!Q75</f>
        <v>55.567268214799974</v>
      </c>
      <c r="E71" s="21">
        <f t="shared" si="3"/>
        <v>2.4960737580952048</v>
      </c>
      <c r="F71" s="15">
        <f t="shared" si="4"/>
        <v>39.174229734290265</v>
      </c>
      <c r="G71" s="15">
        <f t="shared" si="5"/>
        <v>1.1757702657097369</v>
      </c>
    </row>
    <row r="72" spans="1:7">
      <c r="A72" s="20">
        <v>39965</v>
      </c>
      <c r="B72" s="15">
        <f>'Coconut Oil Balance Sheet'!Q138</f>
        <v>36.840899999999998</v>
      </c>
      <c r="C72" s="13">
        <f>'Coconut Oil Balance Sheet'!Q123</f>
        <v>135.5</v>
      </c>
      <c r="D72" s="13">
        <f>'Coconut Oil Balance Sheet'!Q60+'Coconut Oil Balance Sheet'!Q76</f>
        <v>104.52432130539997</v>
      </c>
      <c r="E72" s="21">
        <f t="shared" si="3"/>
        <v>1.2963490057409228</v>
      </c>
      <c r="F72" s="15">
        <f t="shared" si="4"/>
        <v>50.711615187112415</v>
      </c>
      <c r="G72" s="15">
        <f t="shared" si="5"/>
        <v>-13.870715187112417</v>
      </c>
    </row>
    <row r="73" spans="1:7">
      <c r="A73" s="20">
        <v>39995</v>
      </c>
      <c r="B73" s="15">
        <f>'Coconut Oil Balance Sheet'!Q139</f>
        <v>33.931800000000003</v>
      </c>
      <c r="C73" s="13">
        <f>'Coconut Oil Balance Sheet'!Q124</f>
        <v>133.9</v>
      </c>
      <c r="D73" s="13">
        <f>'Coconut Oil Balance Sheet'!Q61+'Coconut Oil Balance Sheet'!Q77</f>
        <v>132.08509500960002</v>
      </c>
      <c r="E73" s="21">
        <f t="shared" si="3"/>
        <v>1.0137404223411284</v>
      </c>
      <c r="F73" s="15">
        <f t="shared" si="4"/>
        <v>55.870780981267131</v>
      </c>
      <c r="G73" s="15">
        <f t="shared" si="5"/>
        <v>-21.938980981267129</v>
      </c>
    </row>
    <row r="74" spans="1:7">
      <c r="A74" s="20">
        <v>40026</v>
      </c>
      <c r="B74" s="15">
        <f>'Coconut Oil Balance Sheet'!Q140</f>
        <v>36.0595</v>
      </c>
      <c r="C74" s="13">
        <f>'Coconut Oil Balance Sheet'!Q125</f>
        <v>103</v>
      </c>
      <c r="D74" s="13">
        <f>'Coconut Oil Balance Sheet'!Q62+'Coconut Oil Balance Sheet'!Q78</f>
        <v>37.226145143800018</v>
      </c>
      <c r="E74" s="21">
        <f t="shared" si="3"/>
        <v>2.7668725730833446</v>
      </c>
      <c r="F74" s="15">
        <f t="shared" si="4"/>
        <v>37.616307220304499</v>
      </c>
      <c r="G74" s="15">
        <f t="shared" si="5"/>
        <v>-1.5568072203044991</v>
      </c>
    </row>
    <row r="75" spans="1:7">
      <c r="A75" s="20">
        <v>40057</v>
      </c>
      <c r="B75" s="15">
        <f>'Coconut Oil Balance Sheet'!Q141</f>
        <v>34.214199999999998</v>
      </c>
      <c r="C75" s="13">
        <f>'Coconut Oil Balance Sheet'!Q126</f>
        <v>183</v>
      </c>
      <c r="D75" s="13">
        <f>'Coconut Oil Balance Sheet'!R51+'Coconut Oil Balance Sheet'!R67</f>
        <v>111.58946892160003</v>
      </c>
      <c r="E75" s="21">
        <f t="shared" si="3"/>
        <v>1.6399396983291605</v>
      </c>
      <c r="F75" s="15">
        <f t="shared" si="4"/>
        <v>46.225083340255154</v>
      </c>
      <c r="G75" s="15">
        <f t="shared" si="5"/>
        <v>-12.010883340255155</v>
      </c>
    </row>
    <row r="76" spans="1:7">
      <c r="A76" s="20">
        <v>40087</v>
      </c>
      <c r="B76" s="15">
        <f>'Coconut Oil Balance Sheet'!R130</f>
        <v>34.920400000000001</v>
      </c>
      <c r="C76" s="13">
        <f>'Coconut Oil Balance Sheet'!R115</f>
        <v>159.80000000000001</v>
      </c>
      <c r="D76" s="13">
        <f>'Coconut Oil Balance Sheet'!R52+'Coconut Oil Balance Sheet'!R68</f>
        <v>126.72234935900002</v>
      </c>
      <c r="E76" s="21">
        <f t="shared" si="3"/>
        <v>1.2610246006984305</v>
      </c>
      <c r="F76" s="15">
        <f t="shared" si="4"/>
        <v>51.266634103490205</v>
      </c>
      <c r="G76" s="15">
        <f t="shared" si="5"/>
        <v>-16.346234103490204</v>
      </c>
    </row>
    <row r="77" spans="1:7">
      <c r="A77" s="20">
        <v>40118</v>
      </c>
      <c r="B77" s="15">
        <f>'Coconut Oil Balance Sheet'!R131</f>
        <v>35.674999999999997</v>
      </c>
      <c r="C77" s="13">
        <f>'Coconut Oil Balance Sheet'!R116</f>
        <v>155.4</v>
      </c>
      <c r="D77" s="13">
        <f>'Coconut Oil Balance Sheet'!R53+'Coconut Oil Balance Sheet'!R69</f>
        <v>68.055339373399946</v>
      </c>
      <c r="E77" s="21">
        <f t="shared" si="3"/>
        <v>2.2834358248860562</v>
      </c>
      <c r="F77" s="15">
        <f t="shared" si="4"/>
        <v>40.572885547306711</v>
      </c>
      <c r="G77" s="15">
        <f t="shared" si="5"/>
        <v>-4.8978855473067142</v>
      </c>
    </row>
    <row r="78" spans="1:7">
      <c r="A78" s="20">
        <v>40148</v>
      </c>
      <c r="B78" s="15">
        <f>'Coconut Oil Balance Sheet'!R132</f>
        <v>37.318100000000001</v>
      </c>
      <c r="C78" s="13">
        <f>'Coconut Oil Balance Sheet'!R117</f>
        <v>220.9</v>
      </c>
      <c r="D78" s="13">
        <f>'Coconut Oil Balance Sheet'!R54+'Coconut Oil Balance Sheet'!R70</f>
        <v>101.13594723300005</v>
      </c>
      <c r="E78" s="21">
        <f t="shared" si="3"/>
        <v>2.1841887681249865</v>
      </c>
      <c r="F78" s="15">
        <f t="shared" si="4"/>
        <v>41.289493975606</v>
      </c>
      <c r="G78" s="15">
        <f t="shared" si="5"/>
        <v>-3.9713939756059986</v>
      </c>
    </row>
    <row r="79" spans="1:7">
      <c r="A79" s="20">
        <v>40179</v>
      </c>
      <c r="B79" s="15">
        <f>'Coconut Oil Balance Sheet'!R133</f>
        <v>37.618400000000001</v>
      </c>
      <c r="C79" s="13">
        <f>'Coconut Oil Balance Sheet'!R118</f>
        <v>204.976</v>
      </c>
      <c r="D79" s="13">
        <f>'Coconut Oil Balance Sheet'!R55+'Coconut Oil Balance Sheet'!R71</f>
        <v>125.57379739280003</v>
      </c>
      <c r="E79" s="21">
        <f t="shared" si="3"/>
        <v>1.6323150550176211</v>
      </c>
      <c r="F79" s="15">
        <f t="shared" si="4"/>
        <v>46.310035788381413</v>
      </c>
      <c r="G79" s="15">
        <f t="shared" si="5"/>
        <v>-8.6916357883814115</v>
      </c>
    </row>
    <row r="80" spans="1:7">
      <c r="A80" s="20">
        <v>40210</v>
      </c>
      <c r="B80" s="15">
        <f>'Coconut Oil Balance Sheet'!R134</f>
        <v>38.5</v>
      </c>
      <c r="C80" s="13">
        <f>'Coconut Oil Balance Sheet'!R119</f>
        <v>171.23</v>
      </c>
      <c r="D80" s="13">
        <f>'Coconut Oil Balance Sheet'!R56+'Coconut Oil Balance Sheet'!R72</f>
        <v>108.22695378279998</v>
      </c>
      <c r="E80" s="21">
        <f t="shared" si="3"/>
        <v>1.5821382198711833</v>
      </c>
      <c r="F80" s="15">
        <f t="shared" si="4"/>
        <v>46.883236515013273</v>
      </c>
      <c r="G80" s="15">
        <f t="shared" si="5"/>
        <v>-8.383236515013273</v>
      </c>
    </row>
    <row r="81" spans="1:7">
      <c r="A81" s="20">
        <v>40238</v>
      </c>
      <c r="B81" s="15">
        <f>'Coconut Oil Balance Sheet'!R135</f>
        <v>44.152099999999997</v>
      </c>
      <c r="C81" s="13">
        <f>'Coconut Oil Balance Sheet'!R120</f>
        <v>137.73400000000001</v>
      </c>
      <c r="D81" s="13">
        <f>'Coconut Oil Balance Sheet'!R57+'Coconut Oil Balance Sheet'!R73</f>
        <v>97.000083533400016</v>
      </c>
      <c r="E81" s="21">
        <f t="shared" si="3"/>
        <v>1.4199369215241355</v>
      </c>
      <c r="F81" s="15">
        <f t="shared" si="4"/>
        <v>48.924441957437132</v>
      </c>
      <c r="G81" s="15">
        <f t="shared" si="5"/>
        <v>-4.7723419574371349</v>
      </c>
    </row>
    <row r="82" spans="1:7">
      <c r="A82" s="20">
        <v>40269</v>
      </c>
      <c r="B82" s="15">
        <f>'Coconut Oil Balance Sheet'!R136</f>
        <v>45.3095</v>
      </c>
      <c r="C82" s="13">
        <f>'Coconut Oil Balance Sheet'!R121</f>
        <v>119.791</v>
      </c>
      <c r="D82" s="13">
        <f>'Coconut Oil Balance Sheet'!R58+'Coconut Oil Balance Sheet'!R74</f>
        <v>142.06243366879997</v>
      </c>
      <c r="E82" s="21">
        <f t="shared" si="3"/>
        <v>0.84322784642192661</v>
      </c>
      <c r="F82" s="15">
        <f t="shared" si="4"/>
        <v>60.075525829145356</v>
      </c>
      <c r="G82" s="15">
        <f t="shared" si="5"/>
        <v>-14.766025829145356</v>
      </c>
    </row>
    <row r="83" spans="1:7">
      <c r="A83" s="20">
        <v>40299</v>
      </c>
      <c r="B83" s="15">
        <f>'Coconut Oil Balance Sheet'!R137</f>
        <v>45.674999999999997</v>
      </c>
      <c r="C83" s="13">
        <f>'Coconut Oil Balance Sheet'!R122</f>
        <v>120.61099999999999</v>
      </c>
      <c r="D83" s="13">
        <f>'Coconut Oil Balance Sheet'!R59+'Coconut Oil Balance Sheet'!R75</f>
        <v>92.382273597599976</v>
      </c>
      <c r="E83" s="21">
        <f t="shared" si="3"/>
        <v>1.3055643177321994</v>
      </c>
      <c r="F83" s="15">
        <f t="shared" si="4"/>
        <v>50.570281139022853</v>
      </c>
      <c r="G83" s="15">
        <f t="shared" si="5"/>
        <v>-4.8952811390228561</v>
      </c>
    </row>
    <row r="84" spans="1:7">
      <c r="A84" s="20">
        <v>40330</v>
      </c>
      <c r="B84" s="15">
        <f>'Coconut Oil Balance Sheet'!R138</f>
        <v>48</v>
      </c>
      <c r="C84" s="13">
        <f>'Coconut Oil Balance Sheet'!R123</f>
        <v>172.52300000000002</v>
      </c>
      <c r="D84" s="13">
        <f>'Coconut Oil Balance Sheet'!R60+'Coconut Oil Balance Sheet'!R76</f>
        <v>131.0991037318</v>
      </c>
      <c r="E84" s="21">
        <f t="shared" si="3"/>
        <v>1.3159739089669462</v>
      </c>
      <c r="F84" s="15">
        <f t="shared" si="4"/>
        <v>50.412293877277797</v>
      </c>
      <c r="G84" s="15">
        <f t="shared" si="5"/>
        <v>-2.4122938772777971</v>
      </c>
    </row>
    <row r="85" spans="1:7">
      <c r="A85" s="20">
        <v>40360</v>
      </c>
      <c r="B85" s="15">
        <f>'Coconut Oil Balance Sheet'!R139</f>
        <v>50.380899999999997</v>
      </c>
      <c r="C85" s="13">
        <f>'Coconut Oil Balance Sheet'!R124</f>
        <v>179.71300000000002</v>
      </c>
      <c r="D85" s="13">
        <f>'Coconut Oil Balance Sheet'!R61+'Coconut Oil Balance Sheet'!R77</f>
        <v>137.42325740980004</v>
      </c>
      <c r="E85" s="21">
        <f t="shared" si="3"/>
        <v>1.3077335189639026</v>
      </c>
      <c r="F85" s="15">
        <f t="shared" si="4"/>
        <v>50.537214459013242</v>
      </c>
      <c r="G85" s="15">
        <f t="shared" si="5"/>
        <v>-0.15631445901324525</v>
      </c>
    </row>
    <row r="86" spans="1:7">
      <c r="A86" s="20">
        <v>40391</v>
      </c>
      <c r="B86" s="15">
        <f>'Coconut Oil Balance Sheet'!R140</f>
        <v>56.068100000000001</v>
      </c>
      <c r="C86" s="13">
        <f>'Coconut Oil Balance Sheet'!R125</f>
        <v>197.44200000000001</v>
      </c>
      <c r="D86" s="13">
        <f>'Coconut Oil Balance Sheet'!R62+'Coconut Oil Balance Sheet'!R78</f>
        <v>90.15573871780002</v>
      </c>
      <c r="E86" s="21">
        <f t="shared" si="3"/>
        <v>2.1900103399742625</v>
      </c>
      <c r="F86" s="15">
        <f t="shared" si="4"/>
        <v>41.246214694609158</v>
      </c>
      <c r="G86" s="15">
        <f t="shared" si="5"/>
        <v>14.821885305390843</v>
      </c>
    </row>
    <row r="87" spans="1:7">
      <c r="A87" s="20">
        <v>40422</v>
      </c>
      <c r="B87" s="15">
        <f>'Coconut Oil Balance Sheet'!R141</f>
        <v>61.333300000000001</v>
      </c>
      <c r="C87" s="13">
        <f>'Coconut Oil Balance Sheet'!R126</f>
        <v>185.96899999999999</v>
      </c>
      <c r="D87" s="13">
        <f>'Coconut Oil Balance Sheet'!S51+'Coconut Oil Balance Sheet'!S67</f>
        <v>93.061748694800002</v>
      </c>
      <c r="E87" s="21">
        <f t="shared" si="3"/>
        <v>1.9983398400334524</v>
      </c>
      <c r="F87" s="15">
        <f t="shared" si="4"/>
        <v>42.761818370738844</v>
      </c>
      <c r="G87" s="15">
        <f t="shared" si="5"/>
        <v>18.571481629261157</v>
      </c>
    </row>
    <row r="88" spans="1:7">
      <c r="A88" s="20">
        <v>40452</v>
      </c>
      <c r="B88" s="15">
        <f>'Coconut Oil Balance Sheet'!S130</f>
        <v>68.666600000000003</v>
      </c>
      <c r="C88" s="13">
        <f>'Coconut Oil Balance Sheet'!S115</f>
        <v>166.96799999999999</v>
      </c>
      <c r="D88" s="13">
        <f>'Coconut Oil Balance Sheet'!S52+'Coconut Oil Balance Sheet'!S68</f>
        <v>102.6698754116</v>
      </c>
      <c r="E88" s="21">
        <f t="shared" si="3"/>
        <v>1.6262608611399498</v>
      </c>
      <c r="F88" s="15">
        <f t="shared" si="4"/>
        <v>46.377885540867588</v>
      </c>
      <c r="G88" s="15">
        <f t="shared" si="5"/>
        <v>22.288714459132414</v>
      </c>
    </row>
    <row r="89" spans="1:7">
      <c r="A89" s="20">
        <v>40483</v>
      </c>
      <c r="B89" s="15">
        <f>'Coconut Oil Balance Sheet'!S131</f>
        <v>72.952299999999994</v>
      </c>
      <c r="C89" s="13">
        <f>'Coconut Oil Balance Sheet'!S116</f>
        <v>167.66800000000001</v>
      </c>
      <c r="D89" s="13">
        <f>'Coconut Oil Balance Sheet'!S53+'Coconut Oil Balance Sheet'!S69</f>
        <v>95.04565575440003</v>
      </c>
      <c r="E89" s="21">
        <f t="shared" si="3"/>
        <v>1.7640785227812794</v>
      </c>
      <c r="F89" s="15">
        <f t="shared" si="4"/>
        <v>44.915044016350031</v>
      </c>
      <c r="G89" s="15">
        <f t="shared" si="5"/>
        <v>28.037255983649963</v>
      </c>
    </row>
    <row r="90" spans="1:7">
      <c r="A90" s="20">
        <v>40513</v>
      </c>
      <c r="B90" s="15">
        <f>'Coconut Oil Balance Sheet'!S132</f>
        <v>82.045400000000001</v>
      </c>
      <c r="C90" s="13">
        <f>'Coconut Oil Balance Sheet'!S117</f>
        <v>172.41499999999999</v>
      </c>
      <c r="D90" s="13">
        <f>'Coconut Oil Balance Sheet'!S54+'Coconut Oil Balance Sheet'!S70</f>
        <v>86.063886100999994</v>
      </c>
      <c r="E90" s="21">
        <f t="shared" si="3"/>
        <v>2.0033373789055138</v>
      </c>
      <c r="F90" s="15">
        <f t="shared" si="4"/>
        <v>42.719757035425822</v>
      </c>
      <c r="G90" s="15">
        <f t="shared" si="5"/>
        <v>39.325642964574179</v>
      </c>
    </row>
    <row r="91" spans="1:7">
      <c r="A91" s="20">
        <v>40544</v>
      </c>
      <c r="B91" s="15">
        <f>'Coconut Oil Balance Sheet'!S133</f>
        <v>96.025000000000006</v>
      </c>
      <c r="C91" s="13">
        <f>'Coconut Oil Balance Sheet'!S118</f>
        <v>150.16499999999999</v>
      </c>
      <c r="D91" s="13">
        <f>'Coconut Oil Balance Sheet'!S55+'Coconut Oil Balance Sheet'!S71</f>
        <v>118.70033047260002</v>
      </c>
      <c r="E91" s="21">
        <f t="shared" si="3"/>
        <v>1.2650765115996292</v>
      </c>
      <c r="F91" s="15">
        <f t="shared" si="4"/>
        <v>51.201875702943802</v>
      </c>
      <c r="G91" s="15">
        <f t="shared" si="5"/>
        <v>44.823124297056204</v>
      </c>
    </row>
    <row r="92" spans="1:7">
      <c r="A92" s="20">
        <v>40575</v>
      </c>
      <c r="B92" s="15">
        <f>'Coconut Oil Balance Sheet'!S134</f>
        <v>106.31570000000001</v>
      </c>
      <c r="C92" s="13">
        <f>'Coconut Oil Balance Sheet'!S119</f>
        <v>162.66900000000001</v>
      </c>
      <c r="D92" s="13">
        <f>'Coconut Oil Balance Sheet'!S56+'Coconut Oil Balance Sheet'!S72</f>
        <v>132.01114850320002</v>
      </c>
      <c r="E92" s="21">
        <f t="shared" si="3"/>
        <v>1.232236836391563</v>
      </c>
      <c r="F92" s="15">
        <f t="shared" si="4"/>
        <v>51.735229184801533</v>
      </c>
      <c r="G92" s="15">
        <f t="shared" si="5"/>
        <v>54.580470815198474</v>
      </c>
    </row>
    <row r="93" spans="1:7">
      <c r="A93" s="20">
        <v>40603</v>
      </c>
      <c r="B93" s="15">
        <f>'Coconut Oil Balance Sheet'!S135</f>
        <v>94.021699999999996</v>
      </c>
      <c r="C93" s="13">
        <f>'Coconut Oil Balance Sheet'!S120</f>
        <v>154.59200000000001</v>
      </c>
      <c r="D93" s="13">
        <f>'Coconut Oil Balance Sheet'!S57+'Coconut Oil Balance Sheet'!S73</f>
        <v>72.158796990799999</v>
      </c>
      <c r="E93" s="21">
        <f t="shared" si="3"/>
        <v>2.1423860491979925</v>
      </c>
      <c r="F93" s="15">
        <f t="shared" si="4"/>
        <v>41.605062706708516</v>
      </c>
      <c r="G93" s="15">
        <f t="shared" si="5"/>
        <v>52.41663729329148</v>
      </c>
    </row>
    <row r="94" spans="1:7">
      <c r="A94" s="20">
        <v>40634</v>
      </c>
      <c r="B94" s="15">
        <f>'Coconut Oil Balance Sheet'!S136</f>
        <v>98.5</v>
      </c>
      <c r="C94" s="13">
        <f>'Coconut Oil Balance Sheet'!S121</f>
        <v>150.03</v>
      </c>
      <c r="D94" s="13">
        <f>'Coconut Oil Balance Sheet'!S58+'Coconut Oil Balance Sheet'!S74</f>
        <v>99.164063922200043</v>
      </c>
      <c r="E94" s="21">
        <f t="shared" si="3"/>
        <v>1.5129472720854527</v>
      </c>
      <c r="F94" s="15">
        <f t="shared" si="4"/>
        <v>47.716580443694703</v>
      </c>
      <c r="G94" s="15">
        <f t="shared" si="5"/>
        <v>50.783419556305297</v>
      </c>
    </row>
    <row r="95" spans="1:7">
      <c r="A95" s="20">
        <v>40664</v>
      </c>
      <c r="B95" s="15">
        <f>'Coconut Oil Balance Sheet'!S137</f>
        <v>100.1666</v>
      </c>
      <c r="C95" s="13">
        <f>'Coconut Oil Balance Sheet'!S122</f>
        <v>157.636</v>
      </c>
      <c r="D95" s="13">
        <f>'Coconut Oil Balance Sheet'!S59+'Coconut Oil Balance Sheet'!S75</f>
        <v>92.970481220000011</v>
      </c>
      <c r="E95" s="21">
        <f t="shared" si="3"/>
        <v>1.6955489304931015</v>
      </c>
      <c r="F95" s="15">
        <f t="shared" si="4"/>
        <v>45.621716166179134</v>
      </c>
      <c r="G95" s="15">
        <f t="shared" si="5"/>
        <v>54.544883833820869</v>
      </c>
    </row>
    <row r="96" spans="1:7">
      <c r="A96" s="20">
        <v>40695</v>
      </c>
      <c r="B96" s="15">
        <f>'Coconut Oil Balance Sheet'!S138</f>
        <v>91.25</v>
      </c>
      <c r="C96" s="13">
        <f>'Coconut Oil Balance Sheet'!S123</f>
        <v>158.38399999999999</v>
      </c>
      <c r="D96" s="13">
        <f>'Coconut Oil Balance Sheet'!S60+'Coconut Oil Balance Sheet'!S76</f>
        <v>77.594207513399994</v>
      </c>
      <c r="E96" s="21">
        <f t="shared" si="3"/>
        <v>2.0411832928720632</v>
      </c>
      <c r="F96" s="15">
        <f t="shared" si="4"/>
        <v>42.405909016701138</v>
      </c>
      <c r="G96" s="15">
        <f t="shared" si="5"/>
        <v>48.844090983298862</v>
      </c>
    </row>
    <row r="97" spans="1:7">
      <c r="A97" s="20">
        <v>40725</v>
      </c>
      <c r="B97" s="15">
        <f>'Coconut Oil Balance Sheet'!S139</f>
        <v>79.224999999999994</v>
      </c>
      <c r="C97" s="13">
        <f>'Coconut Oil Balance Sheet'!S124</f>
        <v>190.91</v>
      </c>
      <c r="D97" s="13">
        <f>'Coconut Oil Balance Sheet'!S61+'Coconut Oil Balance Sheet'!S77</f>
        <v>69.747313883800018</v>
      </c>
      <c r="E97" s="21">
        <f t="shared" si="3"/>
        <v>2.7371663418903656</v>
      </c>
      <c r="F97" s="15">
        <f t="shared" si="4"/>
        <v>37.776630471377231</v>
      </c>
      <c r="G97" s="15">
        <f t="shared" si="5"/>
        <v>41.448369528622763</v>
      </c>
    </row>
    <row r="98" spans="1:7" hidden="1">
      <c r="A98" s="20">
        <v>40756</v>
      </c>
      <c r="B98" s="15">
        <f>'Coconut Oil Balance Sheet'!S140</f>
        <v>70.217299999999994</v>
      </c>
      <c r="C98" s="13">
        <f>'Coconut Oil Balance Sheet'!S125</f>
        <v>186.95499999999998</v>
      </c>
      <c r="D98" s="13">
        <f>'Coconut Oil Balance Sheet'!S62+'Coconut Oil Balance Sheet'!S78</f>
        <v>40.786076518600012</v>
      </c>
      <c r="E98" s="21">
        <f t="shared" si="3"/>
        <v>4.5837946661709745</v>
      </c>
      <c r="F98" s="15">
        <f t="shared" si="4"/>
        <v>30.831679028718618</v>
      </c>
      <c r="G98" s="15">
        <f t="shared" si="5"/>
        <v>39.385620971281377</v>
      </c>
    </row>
    <row r="99" spans="1:7" hidden="1">
      <c r="A99" s="20">
        <v>40787</v>
      </c>
      <c r="B99" s="15">
        <f>'Coconut Oil Balance Sheet'!S141</f>
        <v>63.690399999999997</v>
      </c>
      <c r="C99" s="13">
        <f>'Coconut Oil Balance Sheet'!S126</f>
        <v>183</v>
      </c>
      <c r="D99" s="13">
        <f>'Coconut Oil Balance Sheet'!T51+'Coconut Oil Balance Sheet'!T67</f>
        <v>112.52829131520004</v>
      </c>
      <c r="E99" s="21">
        <f t="shared" si="3"/>
        <v>1.6262576980521593</v>
      </c>
      <c r="F99" s="15">
        <f t="shared" si="4"/>
        <v>46.377921081797837</v>
      </c>
      <c r="G99" s="15">
        <f t="shared" si="5"/>
        <v>17.31247891820216</v>
      </c>
    </row>
    <row r="100" spans="1:7" hidden="1">
      <c r="A100" s="20">
        <v>40817</v>
      </c>
      <c r="B100" s="15">
        <f>'Coconut Oil Balance Sheet'!T130</f>
        <v>58.285699999999999</v>
      </c>
      <c r="C100" s="13">
        <f>'Coconut Oil Balance Sheet'!T115</f>
        <v>181.5</v>
      </c>
      <c r="D100" s="13">
        <f>'Coconut Oil Balance Sheet'!T52+'Coconut Oil Balance Sheet'!T68</f>
        <v>106.51628712119999</v>
      </c>
      <c r="E100" s="21">
        <f t="shared" si="3"/>
        <v>1.7039647635622097</v>
      </c>
      <c r="F100" s="15">
        <f t="shared" si="4"/>
        <v>45.532805164368597</v>
      </c>
      <c r="G100" s="15">
        <f t="shared" si="5"/>
        <v>12.752894835631402</v>
      </c>
    </row>
    <row r="101" spans="1:7" hidden="1">
      <c r="A101" s="20">
        <v>40848</v>
      </c>
      <c r="B101" s="15">
        <f>'Coconut Oil Balance Sheet'!T131</f>
        <v>70.952299999999994</v>
      </c>
      <c r="C101" s="13">
        <f>'Coconut Oil Balance Sheet'!T116</f>
        <v>180</v>
      </c>
      <c r="D101" s="13">
        <f>'Coconut Oil Balance Sheet'!T53+'Coconut Oil Balance Sheet'!T69</f>
        <v>80.904091036199972</v>
      </c>
      <c r="E101" s="21">
        <f t="shared" si="3"/>
        <v>2.2248565887658294</v>
      </c>
      <c r="F101" s="15">
        <f t="shared" si="4"/>
        <v>40.990469285823558</v>
      </c>
      <c r="G101" s="15">
        <f t="shared" si="5"/>
        <v>29.961830714176436</v>
      </c>
    </row>
    <row r="102" spans="1:7" hidden="1">
      <c r="A102" s="20">
        <v>40878</v>
      </c>
      <c r="B102" s="15">
        <f>'Coconut Oil Balance Sheet'!T132</f>
        <v>69.547600000000003</v>
      </c>
      <c r="C102" s="13">
        <f>'Coconut Oil Balance Sheet'!T117</f>
        <v>178.5</v>
      </c>
      <c r="D102" s="13">
        <f>'Coconut Oil Balance Sheet'!T54+'Coconut Oil Balance Sheet'!T70</f>
        <v>74.527001439000003</v>
      </c>
      <c r="E102" s="21">
        <f t="shared" si="3"/>
        <v>2.3951050834388043</v>
      </c>
      <c r="F102" s="15">
        <f t="shared" si="4"/>
        <v>39.816768088151228</v>
      </c>
      <c r="G102" s="15">
        <f t="shared" si="5"/>
        <v>29.730831911848774</v>
      </c>
    </row>
    <row r="103" spans="1:7" hidden="1">
      <c r="A103" s="20">
        <v>40909</v>
      </c>
      <c r="B103" s="15">
        <f>'Coconut Oil Balance Sheet'!T133</f>
        <v>70.400000000000006</v>
      </c>
      <c r="C103" s="13">
        <f>'Coconut Oil Balance Sheet'!T118</f>
        <v>177</v>
      </c>
      <c r="D103" s="13">
        <f>'Coconut Oil Balance Sheet'!T55+'Coconut Oil Balance Sheet'!T71</f>
        <v>95.598117128400034</v>
      </c>
      <c r="E103" s="21">
        <f t="shared" si="3"/>
        <v>1.8515009010299568</v>
      </c>
      <c r="F103" s="15">
        <f t="shared" si="4"/>
        <v>44.067200308266088</v>
      </c>
      <c r="G103" s="15">
        <f t="shared" si="5"/>
        <v>26.332799691733918</v>
      </c>
    </row>
    <row r="104" spans="1:7" hidden="1">
      <c r="A104" s="20">
        <v>40940</v>
      </c>
      <c r="B104" s="15">
        <f>'Coconut Oil Balance Sheet'!T134</f>
        <v>69.125</v>
      </c>
      <c r="C104" s="13">
        <f>'Coconut Oil Balance Sheet'!T119</f>
        <v>175.5</v>
      </c>
      <c r="D104" s="13">
        <f>'Coconut Oil Balance Sheet'!T56+'Coconut Oil Balance Sheet'!T72</f>
        <v>99.723846739200013</v>
      </c>
      <c r="E104" s="21">
        <f t="shared" si="3"/>
        <v>1.759859910528436</v>
      </c>
      <c r="F104" s="15">
        <f t="shared" si="4"/>
        <v>44.957434113469326</v>
      </c>
      <c r="G104" s="15">
        <f t="shared" si="5"/>
        <v>24.167565886530674</v>
      </c>
    </row>
    <row r="105" spans="1:7" hidden="1">
      <c r="A105" s="20">
        <v>40969</v>
      </c>
      <c r="B105" s="15">
        <f>'Coconut Oil Balance Sheet'!T135</f>
        <v>65.920400000000001</v>
      </c>
      <c r="C105" s="13">
        <f>'Coconut Oil Balance Sheet'!T120</f>
        <v>174</v>
      </c>
      <c r="D105" s="13">
        <f>'Coconut Oil Balance Sheet'!T57+'Coconut Oil Balance Sheet'!T73</f>
        <v>41.287474620599994</v>
      </c>
      <c r="E105" s="21">
        <f t="shared" si="3"/>
        <v>4.2143531809326102</v>
      </c>
      <c r="F105" s="15">
        <f t="shared" si="4"/>
        <v>31.869547804144339</v>
      </c>
      <c r="G105" s="15">
        <f t="shared" si="5"/>
        <v>34.050852195855661</v>
      </c>
    </row>
    <row r="106" spans="1:7" hidden="1">
      <c r="A106" s="20">
        <v>41000</v>
      </c>
      <c r="B106" s="15">
        <f>'Coconut Oil Balance Sheet'!T136</f>
        <v>65.275000000000006</v>
      </c>
      <c r="C106" s="13">
        <f>'Coconut Oil Balance Sheet'!T121</f>
        <v>172.5</v>
      </c>
      <c r="D106" s="13">
        <f>'Coconut Oil Balance Sheet'!T58+'Coconut Oil Balance Sheet'!T74</f>
        <v>106.19573508239999</v>
      </c>
      <c r="E106" s="21">
        <f t="shared" si="3"/>
        <v>1.6243590184309458</v>
      </c>
      <c r="F106" s="15">
        <f t="shared" si="4"/>
        <v>46.399272337361232</v>
      </c>
      <c r="G106" s="15">
        <f t="shared" si="5"/>
        <v>18.875727662638774</v>
      </c>
    </row>
    <row r="107" spans="1:7" hidden="1">
      <c r="A107" s="20">
        <v>41030</v>
      </c>
      <c r="B107" s="15">
        <f>'Coconut Oil Balance Sheet'!T137</f>
        <v>57.193199999999997</v>
      </c>
      <c r="C107" s="13">
        <f>'Coconut Oil Balance Sheet'!T122</f>
        <v>171</v>
      </c>
      <c r="D107" s="13">
        <f>'Coconut Oil Balance Sheet'!T59+'Coconut Oil Balance Sheet'!T75</f>
        <v>91.11832522440001</v>
      </c>
      <c r="E107" s="21">
        <f t="shared" si="3"/>
        <v>1.8766806740452355</v>
      </c>
      <c r="F107" s="15">
        <f t="shared" si="4"/>
        <v>43.833290810269169</v>
      </c>
      <c r="G107" s="15">
        <f t="shared" si="5"/>
        <v>13.359909189730828</v>
      </c>
    </row>
    <row r="108" spans="1:7" hidden="1">
      <c r="A108" s="20">
        <v>41061</v>
      </c>
      <c r="B108" s="15">
        <f>'Coconut Oil Balance Sheet'!T138</f>
        <v>53.261899999999997</v>
      </c>
      <c r="C108" s="13">
        <f>'Coconut Oil Balance Sheet'!T123</f>
        <v>169.5</v>
      </c>
      <c r="D108" s="13">
        <f>'Coconut Oil Balance Sheet'!T60+'Coconut Oil Balance Sheet'!T76</f>
        <v>139.45223749020002</v>
      </c>
      <c r="E108" s="21">
        <f t="shared" si="3"/>
        <v>1.2154699203869825</v>
      </c>
      <c r="F108" s="15">
        <f t="shared" si="4"/>
        <v>52.01524712813174</v>
      </c>
      <c r="G108" s="15">
        <f t="shared" si="5"/>
        <v>1.2466528718682568</v>
      </c>
    </row>
    <row r="109" spans="1:7" hidden="1">
      <c r="A109" s="20">
        <v>41091</v>
      </c>
      <c r="B109" s="15">
        <f>'Coconut Oil Balance Sheet'!T139</f>
        <v>52.9405</v>
      </c>
      <c r="C109" s="13">
        <f>'Coconut Oil Balance Sheet'!T124</f>
        <v>168</v>
      </c>
      <c r="D109" s="13">
        <f>'Coconut Oil Balance Sheet'!T61+'Coconut Oil Balance Sheet'!T77</f>
        <v>98.926875886200008</v>
      </c>
      <c r="E109" s="21">
        <f t="shared" si="3"/>
        <v>1.6982240518062846</v>
      </c>
      <c r="F109" s="15">
        <f t="shared" si="4"/>
        <v>45.593387655156498</v>
      </c>
      <c r="G109" s="15">
        <f t="shared" si="5"/>
        <v>7.3471123448435023</v>
      </c>
    </row>
    <row r="110" spans="1:7" hidden="1">
      <c r="A110" s="20">
        <v>41122</v>
      </c>
      <c r="B110" s="15">
        <f>'Coconut Oil Balance Sheet'!T140</f>
        <v>49.347799999999999</v>
      </c>
      <c r="C110" s="13">
        <f>'Coconut Oil Balance Sheet'!T125</f>
        <v>166.5</v>
      </c>
      <c r="D110" s="13">
        <f>'Coconut Oil Balance Sheet'!T62+'Coconut Oil Balance Sheet'!T78</f>
        <v>132.73872257580004</v>
      </c>
      <c r="E110" s="21">
        <f t="shared" si="3"/>
        <v>1.2543438475906734</v>
      </c>
      <c r="F110" s="15">
        <f t="shared" si="4"/>
        <v>51.37404303748967</v>
      </c>
      <c r="G110" s="15">
        <f t="shared" si="5"/>
        <v>-2.0262430374896709</v>
      </c>
    </row>
    <row r="111" spans="1:7" hidden="1">
      <c r="A111" s="20">
        <v>41153</v>
      </c>
      <c r="B111" s="15">
        <f>'Coconut Oil Balance Sheet'!T141</f>
        <v>47.776299999999999</v>
      </c>
      <c r="C111" s="13">
        <f>'Coconut Oil Balance Sheet'!T126</f>
        <v>165</v>
      </c>
      <c r="D111" s="13">
        <f>'Coconut Oil Balance Sheet'!U51+'Coconut Oil Balance Sheet'!U67</f>
        <v>78.434498280599996</v>
      </c>
      <c r="E111" s="21">
        <f t="shared" si="3"/>
        <v>2.1036661624290791</v>
      </c>
      <c r="F111" s="15">
        <f t="shared" si="4"/>
        <v>41.905113334101586</v>
      </c>
      <c r="G111" s="15">
        <f t="shared" si="5"/>
        <v>5.8711866658984135</v>
      </c>
    </row>
    <row r="112" spans="1:7" hidden="1">
      <c r="A112" s="20">
        <v>41183</v>
      </c>
      <c r="B112" s="15">
        <f>'Coconut Oil Balance Sheet'!U130</f>
        <v>44.391300000000001</v>
      </c>
      <c r="C112" s="13">
        <f>'Coconut Oil Balance Sheet'!U115</f>
        <v>165</v>
      </c>
      <c r="D112" s="13">
        <f>'Coconut Oil Balance Sheet'!U52+'Coconut Oil Balance Sheet'!U68</f>
        <v>91.403628120000008</v>
      </c>
      <c r="E112" s="21">
        <f t="shared" si="3"/>
        <v>1.8051799845776186</v>
      </c>
      <c r="F112" s="15">
        <f t="shared" si="4"/>
        <v>44.509304331107678</v>
      </c>
      <c r="G112" s="15">
        <f t="shared" si="5"/>
        <v>-0.11800433110767727</v>
      </c>
    </row>
    <row r="113" spans="1:7" hidden="1">
      <c r="A113" s="20">
        <v>41214</v>
      </c>
      <c r="B113" s="15">
        <f>'Coconut Oil Balance Sheet'!U131</f>
        <v>41.704500000000003</v>
      </c>
      <c r="C113" s="13">
        <f>'Coconut Oil Balance Sheet'!U116</f>
        <v>165</v>
      </c>
      <c r="D113" s="13">
        <f>'Coconut Oil Balance Sheet'!U53+'Coconut Oil Balance Sheet'!U69</f>
        <v>86.582119806000023</v>
      </c>
      <c r="E113" s="21">
        <f t="shared" si="3"/>
        <v>1.9057052468766851</v>
      </c>
      <c r="F113" s="15">
        <f t="shared" si="4"/>
        <v>43.569033868004944</v>
      </c>
      <c r="G113" s="15">
        <f t="shared" si="5"/>
        <v>-1.8645338680049406</v>
      </c>
    </row>
    <row r="114" spans="1:7" hidden="1">
      <c r="A114" s="20">
        <v>41244</v>
      </c>
      <c r="B114" s="15">
        <f>'Coconut Oil Balance Sheet'!U132</f>
        <v>37.524999999999999</v>
      </c>
      <c r="C114" s="13">
        <f>'Coconut Oil Balance Sheet'!U117</f>
        <v>165</v>
      </c>
      <c r="D114" s="13">
        <f>'Coconut Oil Balance Sheet'!U54+'Coconut Oil Balance Sheet'!U70</f>
        <v>129.35421169020003</v>
      </c>
      <c r="E114" s="21">
        <f t="shared" si="3"/>
        <v>1.275567280292123</v>
      </c>
      <c r="F114" s="15">
        <f t="shared" si="4"/>
        <v>51.03554526753377</v>
      </c>
      <c r="G114" s="15">
        <f t="shared" si="5"/>
        <v>-13.510545267533772</v>
      </c>
    </row>
    <row r="115" spans="1:7" hidden="1">
      <c r="A115" s="20">
        <v>41275</v>
      </c>
      <c r="B115" s="15">
        <f>'Coconut Oil Balance Sheet'!U133</f>
        <v>41.071399999999997</v>
      </c>
      <c r="C115" s="13">
        <f>'Coconut Oil Balance Sheet'!U118</f>
        <v>165</v>
      </c>
      <c r="D115" s="13">
        <f>'Coconut Oil Balance Sheet'!U55+'Coconut Oil Balance Sheet'!U71</f>
        <v>65.352271332599983</v>
      </c>
      <c r="E115" s="21">
        <f t="shared" si="3"/>
        <v>2.5247783533070911</v>
      </c>
      <c r="F115" s="15">
        <f t="shared" si="4"/>
        <v>38.998142647465954</v>
      </c>
      <c r="G115" s="15">
        <f t="shared" si="5"/>
        <v>2.0732573525340428</v>
      </c>
    </row>
    <row r="116" spans="1:7" hidden="1">
      <c r="A116" s="20">
        <v>41306</v>
      </c>
      <c r="B116" s="15">
        <f>'Coconut Oil Balance Sheet'!U134</f>
        <v>42.223700000000001</v>
      </c>
      <c r="C116" s="13">
        <f>'Coconut Oil Balance Sheet'!U119</f>
        <v>165</v>
      </c>
      <c r="D116" s="13">
        <f>'Coconut Oil Balance Sheet'!U56+'Coconut Oil Balance Sheet'!U72</f>
        <v>125.39404919160003</v>
      </c>
      <c r="E116" s="21">
        <f t="shared" si="3"/>
        <v>1.3158519169269567</v>
      </c>
      <c r="F116" s="15">
        <f t="shared" si="4"/>
        <v>50.414135263791643</v>
      </c>
      <c r="G116" s="15">
        <f t="shared" si="5"/>
        <v>-8.1904352637916418</v>
      </c>
    </row>
    <row r="117" spans="1:7" hidden="1">
      <c r="A117" s="20">
        <v>41334</v>
      </c>
      <c r="B117" s="15">
        <f>'Coconut Oil Balance Sheet'!U135</f>
        <v>40.024999999999999</v>
      </c>
      <c r="C117" s="13">
        <f>'Coconut Oil Balance Sheet'!U120</f>
        <v>165</v>
      </c>
      <c r="D117" s="13">
        <f>'Coconut Oil Balance Sheet'!U57+'Coconut Oil Balance Sheet'!U73</f>
        <v>130.16374888860005</v>
      </c>
      <c r="E117" s="21">
        <f t="shared" si="3"/>
        <v>1.2676340487182369</v>
      </c>
      <c r="F117" s="15">
        <f t="shared" si="4"/>
        <v>51.161149319817085</v>
      </c>
      <c r="G117" s="15">
        <f t="shared" si="5"/>
        <v>-11.136149319817086</v>
      </c>
    </row>
    <row r="118" spans="1:7" hidden="1">
      <c r="A118" s="20">
        <v>41365</v>
      </c>
      <c r="B118" s="15">
        <f>'Coconut Oil Balance Sheet'!U136</f>
        <v>39.5</v>
      </c>
      <c r="C118" s="13">
        <f>'Coconut Oil Balance Sheet'!U121</f>
        <v>165</v>
      </c>
      <c r="D118" s="13">
        <f>'Coconut Oil Balance Sheet'!U58+'Coconut Oil Balance Sheet'!U74</f>
        <v>114.93135410399999</v>
      </c>
      <c r="E118" s="21">
        <f t="shared" si="3"/>
        <v>1.4356395718673383</v>
      </c>
      <c r="F118" s="15">
        <f t="shared" si="4"/>
        <v>48.712900723757137</v>
      </c>
      <c r="G118" s="15">
        <f t="shared" si="5"/>
        <v>-9.2129007237571372</v>
      </c>
    </row>
    <row r="119" spans="1:7" hidden="1">
      <c r="A119" s="20">
        <v>41395</v>
      </c>
      <c r="B119" s="15">
        <f>'Coconut Oil Balance Sheet'!U137</f>
        <v>40.045499999999997</v>
      </c>
      <c r="C119" s="13">
        <f>'Coconut Oil Balance Sheet'!U122</f>
        <v>165</v>
      </c>
      <c r="D119" s="13">
        <f>'Coconut Oil Balance Sheet'!U59+'Coconut Oil Balance Sheet'!U75</f>
        <v>89.988260796000006</v>
      </c>
      <c r="E119" s="21">
        <f t="shared" si="3"/>
        <v>1.8335724964620528</v>
      </c>
      <c r="F119" s="15">
        <f t="shared" si="4"/>
        <v>44.236467723315457</v>
      </c>
      <c r="G119" s="15">
        <f t="shared" si="5"/>
        <v>-4.1909677233154596</v>
      </c>
    </row>
    <row r="120" spans="1:7" hidden="1">
      <c r="A120" s="20">
        <v>41426</v>
      </c>
      <c r="B120" s="15">
        <f>'Coconut Oil Balance Sheet'!U138</f>
        <v>42.6</v>
      </c>
      <c r="C120" s="13">
        <f>'Coconut Oil Balance Sheet'!U123</f>
        <v>165</v>
      </c>
      <c r="D120" s="13">
        <f>'Coconut Oil Balance Sheet'!U60+'Coconut Oil Balance Sheet'!U76</f>
        <v>115.7968887012</v>
      </c>
      <c r="E120" s="21">
        <f t="shared" si="3"/>
        <v>1.4249087505775975</v>
      </c>
      <c r="F120" s="15">
        <f t="shared" si="4"/>
        <v>48.857111586891087</v>
      </c>
      <c r="G120" s="15">
        <f t="shared" si="5"/>
        <v>-6.2571115868910852</v>
      </c>
    </row>
    <row r="121" spans="1:7" hidden="1">
      <c r="A121" s="20">
        <v>41456</v>
      </c>
      <c r="B121" s="15">
        <f>'Coconut Oil Balance Sheet'!U139</f>
        <v>41.195700000000002</v>
      </c>
      <c r="C121" s="13">
        <f>'Coconut Oil Balance Sheet'!U124</f>
        <v>165</v>
      </c>
      <c r="D121" s="13">
        <f>'Coconut Oil Balance Sheet'!U61+'Coconut Oil Balance Sheet'!U77</f>
        <v>108.02758031099999</v>
      </c>
      <c r="E121" s="21">
        <f t="shared" si="3"/>
        <v>1.5273877238107383</v>
      </c>
      <c r="F121" s="15">
        <f t="shared" si="4"/>
        <v>47.538323824260146</v>
      </c>
      <c r="G121" s="15">
        <f t="shared" si="5"/>
        <v>-6.3426238242601443</v>
      </c>
    </row>
    <row r="122" spans="1:7" hidden="1">
      <c r="A122" s="20">
        <v>41487</v>
      </c>
      <c r="B122" s="15">
        <f>'Coconut Oil Balance Sheet'!U140</f>
        <v>41.863599999999998</v>
      </c>
      <c r="C122" s="13">
        <f>'Coconut Oil Balance Sheet'!U125</f>
        <v>165</v>
      </c>
      <c r="D122" s="13">
        <f>'Coconut Oil Balance Sheet'!U62+'Coconut Oil Balance Sheet'!U78</f>
        <v>78.333526593000002</v>
      </c>
      <c r="E122" s="21">
        <f t="shared" si="3"/>
        <v>2.1063777819846634</v>
      </c>
      <c r="F122" s="15">
        <f t="shared" si="4"/>
        <v>41.883850300789149</v>
      </c>
      <c r="G122" s="15">
        <f t="shared" si="5"/>
        <v>-2.0250300789150799E-2</v>
      </c>
    </row>
    <row r="123" spans="1:7" hidden="1">
      <c r="A123" s="20">
        <v>41518</v>
      </c>
      <c r="B123" s="15">
        <f>'Coconut Oil Balance Sheet'!U141</f>
        <v>46.625</v>
      </c>
      <c r="C123" s="13">
        <f>'Coconut Oil Balance Sheet'!U126</f>
        <v>165</v>
      </c>
      <c r="D123" s="13">
        <f>'Coconut Oil Balance Sheet'!V51+'Coconut Oil Balance Sheet'!V67</f>
        <v>115.81518706380002</v>
      </c>
      <c r="E123" s="21">
        <f t="shared" si="3"/>
        <v>1.4246836203710067</v>
      </c>
      <c r="F123" s="15">
        <f t="shared" si="4"/>
        <v>48.860153302144177</v>
      </c>
      <c r="G123" s="15">
        <f t="shared" si="5"/>
        <v>-2.2351533021441767</v>
      </c>
    </row>
    <row r="124" spans="1:7" hidden="1">
      <c r="A124" s="20">
        <v>41548</v>
      </c>
      <c r="B124" s="15">
        <f>'Coconut Oil Balance Sheet'!V130</f>
        <v>46.152200000000001</v>
      </c>
      <c r="C124" s="13">
        <f>'Coconut Oil Balance Sheet'!V115</f>
        <v>165</v>
      </c>
      <c r="D124" s="13">
        <f>'Coconut Oil Balance Sheet'!V52+'Coconut Oil Balance Sheet'!V68</f>
        <v>72.441674298000009</v>
      </c>
      <c r="E124" s="21">
        <f t="shared" si="3"/>
        <v>2.2776944569398965</v>
      </c>
      <c r="F124" s="15">
        <f t="shared" si="4"/>
        <v>40.613149893599221</v>
      </c>
      <c r="G124" s="15">
        <f t="shared" si="5"/>
        <v>5.5390501064007793</v>
      </c>
    </row>
    <row r="125" spans="1:7" hidden="1">
      <c r="A125" s="20">
        <v>41579</v>
      </c>
      <c r="B125" s="15">
        <f>'Coconut Oil Balance Sheet'!V131</f>
        <v>59.997500000000002</v>
      </c>
      <c r="C125" s="13">
        <f>'Coconut Oil Balance Sheet'!V116</f>
        <v>165</v>
      </c>
      <c r="D125" s="13">
        <f>'Coconut Oil Balance Sheet'!V53+'Coconut Oil Balance Sheet'!V69</f>
        <v>90.119215342800004</v>
      </c>
      <c r="E125" s="21">
        <f t="shared" si="3"/>
        <v>1.8309080851665729</v>
      </c>
      <c r="F125" s="15">
        <f t="shared" si="4"/>
        <v>44.261820176930073</v>
      </c>
      <c r="G125" s="15">
        <f t="shared" si="5"/>
        <v>15.73567982306993</v>
      </c>
    </row>
    <row r="126" spans="1:7" hidden="1">
      <c r="A126" s="20">
        <v>41609</v>
      </c>
      <c r="B126" s="15">
        <f>'Coconut Oil Balance Sheet'!V132</f>
        <v>59.964300000000001</v>
      </c>
      <c r="C126" s="13">
        <f>'Coconut Oil Balance Sheet'!V117</f>
        <v>165</v>
      </c>
      <c r="D126" s="13">
        <f>'Coconut Oil Balance Sheet'!V54+'Coconut Oil Balance Sheet'!V70</f>
        <v>112.87135530719999</v>
      </c>
      <c r="E126" s="21">
        <f t="shared" si="3"/>
        <v>1.4618412222562791</v>
      </c>
      <c r="F126" s="15">
        <f t="shared" si="4"/>
        <v>48.367006224544895</v>
      </c>
      <c r="G126" s="15">
        <f t="shared" si="5"/>
        <v>11.597293775455107</v>
      </c>
    </row>
    <row r="127" spans="1:7" hidden="1">
      <c r="A127" s="20">
        <v>41640</v>
      </c>
      <c r="B127" s="15">
        <f>'Coconut Oil Balance Sheet'!V133</f>
        <v>58.714500000000001</v>
      </c>
      <c r="C127" s="13">
        <f>'Coconut Oil Balance Sheet'!V118</f>
        <v>165</v>
      </c>
      <c r="D127" s="13">
        <f>'Coconut Oil Balance Sheet'!V55+'Coconut Oil Balance Sheet'!V71</f>
        <v>60.199628794200009</v>
      </c>
      <c r="E127" s="21">
        <f t="shared" si="3"/>
        <v>2.740880688219411</v>
      </c>
      <c r="F127" s="15">
        <f t="shared" si="4"/>
        <v>37.75645191349885</v>
      </c>
      <c r="G127" s="15">
        <f t="shared" si="5"/>
        <v>20.958048086501151</v>
      </c>
    </row>
    <row r="128" spans="1:7" hidden="1">
      <c r="A128" s="20">
        <v>41671</v>
      </c>
      <c r="B128" s="15">
        <f>'Coconut Oil Balance Sheet'!V134</f>
        <v>62.726999999999997</v>
      </c>
      <c r="C128" s="13">
        <f>'Coconut Oil Balance Sheet'!V119</f>
        <v>165</v>
      </c>
      <c r="D128" s="13">
        <f>'Coconut Oil Balance Sheet'!V56+'Coconut Oil Balance Sheet'!V72</f>
        <v>117.98144864099997</v>
      </c>
      <c r="E128" s="21">
        <f t="shared" si="3"/>
        <v>1.3985249537159905</v>
      </c>
      <c r="F128" s="15">
        <f t="shared" si="4"/>
        <v>49.218210635623187</v>
      </c>
      <c r="G128" s="15">
        <f t="shared" si="5"/>
        <v>13.50878936437681</v>
      </c>
    </row>
    <row r="129" spans="1:7" hidden="1">
      <c r="A129" s="20">
        <v>41699</v>
      </c>
      <c r="B129" s="15">
        <f>'Coconut Oil Balance Sheet'!V135</f>
        <v>64.2333</v>
      </c>
      <c r="C129" s="13">
        <f>'Coconut Oil Balance Sheet'!V120</f>
        <v>165</v>
      </c>
      <c r="D129" s="13">
        <f>'Coconut Oil Balance Sheet'!V57+'Coconut Oil Balance Sheet'!V73</f>
        <v>104.8502790846</v>
      </c>
      <c r="E129" s="21">
        <f t="shared" si="3"/>
        <v>1.5736724922483736</v>
      </c>
      <c r="F129" s="15">
        <f t="shared" si="4"/>
        <v>46.98244693630766</v>
      </c>
      <c r="G129" s="15">
        <f t="shared" si="5"/>
        <v>17.25085306369234</v>
      </c>
    </row>
    <row r="130" spans="1:7" hidden="1">
      <c r="A130" s="20">
        <v>41730</v>
      </c>
      <c r="B130" s="15">
        <f>'Coconut Oil Balance Sheet'!V136</f>
        <v>62.517899999999997</v>
      </c>
      <c r="C130" s="13">
        <f>'Coconut Oil Balance Sheet'!V121</f>
        <v>165</v>
      </c>
      <c r="D130" s="13">
        <f>'Coconut Oil Balance Sheet'!V58+'Coconut Oil Balance Sheet'!V74</f>
        <v>65.249535947400005</v>
      </c>
      <c r="E130" s="21">
        <f t="shared" si="3"/>
        <v>2.5287536164703521</v>
      </c>
      <c r="F130" s="15">
        <f t="shared" si="4"/>
        <v>38.973976551132729</v>
      </c>
      <c r="G130" s="15">
        <f t="shared" si="5"/>
        <v>23.543923448867268</v>
      </c>
    </row>
    <row r="131" spans="1:7" hidden="1">
      <c r="A131" s="20">
        <v>41760</v>
      </c>
      <c r="B131" s="15">
        <f>'Coconut Oil Balance Sheet'!V137</f>
        <v>65.281000000000006</v>
      </c>
      <c r="C131" s="13">
        <f>'Coconut Oil Balance Sheet'!V122</f>
        <v>165</v>
      </c>
      <c r="D131" s="13">
        <f>'Coconut Oil Balance Sheet'!V59+'Coconut Oil Balance Sheet'!V75</f>
        <v>119.98765466099997</v>
      </c>
      <c r="E131" s="21">
        <f t="shared" si="3"/>
        <v>1.3751414715636621</v>
      </c>
      <c r="F131" s="15">
        <f t="shared" si="4"/>
        <v>49.546276225587995</v>
      </c>
      <c r="G131" s="15">
        <f t="shared" si="5"/>
        <v>15.734723774412011</v>
      </c>
    </row>
    <row r="132" spans="1:7" hidden="1">
      <c r="A132" s="20">
        <v>41791</v>
      </c>
      <c r="B132" s="15">
        <f>'Coconut Oil Balance Sheet'!V138</f>
        <v>63.914299999999997</v>
      </c>
      <c r="C132" s="13">
        <f>'Coconut Oil Balance Sheet'!V123</f>
        <v>165</v>
      </c>
      <c r="D132" s="13">
        <f>'Coconut Oil Balance Sheet'!V60+'Coconut Oil Balance Sheet'!V76</f>
        <v>125.80499073240004</v>
      </c>
      <c r="E132" s="21">
        <f t="shared" ref="E132:E195" si="6">C132/D132</f>
        <v>1.3115536914665946</v>
      </c>
      <c r="F132" s="15">
        <f t="shared" ref="F132:F195" si="7">56.172*(E132^-0.394)</f>
        <v>50.479166341736267</v>
      </c>
      <c r="G132" s="15">
        <f t="shared" ref="G132:G195" si="8">B132-F132</f>
        <v>13.43513365826373</v>
      </c>
    </row>
    <row r="133" spans="1:7" hidden="1">
      <c r="A133" s="20">
        <v>41821</v>
      </c>
      <c r="B133" s="15">
        <f>'Coconut Oil Balance Sheet'!V139</f>
        <v>57.375500000000002</v>
      </c>
      <c r="C133" s="13">
        <f>'Coconut Oil Balance Sheet'!V124</f>
        <v>165</v>
      </c>
      <c r="D133" s="13">
        <f>'Coconut Oil Balance Sheet'!V61+'Coconut Oil Balance Sheet'!V77</f>
        <v>111.31908095699997</v>
      </c>
      <c r="E133" s="21">
        <f t="shared" si="6"/>
        <v>1.4822256757916978</v>
      </c>
      <c r="F133" s="15">
        <f t="shared" si="7"/>
        <v>48.103828262789726</v>
      </c>
      <c r="G133" s="15">
        <f t="shared" si="8"/>
        <v>9.2716717372102764</v>
      </c>
    </row>
    <row r="134" spans="1:7" hidden="1">
      <c r="A134" s="20">
        <v>41852</v>
      </c>
      <c r="B134" s="15">
        <f>'Coconut Oil Balance Sheet'!V140</f>
        <v>57.042400000000001</v>
      </c>
      <c r="C134" s="13">
        <f>'Coconut Oil Balance Sheet'!V125</f>
        <v>165</v>
      </c>
      <c r="D134" s="13">
        <f>'Coconut Oil Balance Sheet'!V62+'Coconut Oil Balance Sheet'!V78</f>
        <v>72.051897128400014</v>
      </c>
      <c r="E134" s="21">
        <f t="shared" si="6"/>
        <v>2.2900160381060046</v>
      </c>
      <c r="F134" s="15">
        <f t="shared" si="7"/>
        <v>40.526911567921985</v>
      </c>
      <c r="G134" s="15">
        <f t="shared" si="8"/>
        <v>16.515488432078016</v>
      </c>
    </row>
    <row r="135" spans="1:7" hidden="1">
      <c r="A135" s="20">
        <v>41883</v>
      </c>
      <c r="B135" s="15">
        <f>'Coconut Oil Balance Sheet'!V141</f>
        <v>55.574800000000003</v>
      </c>
      <c r="C135" s="13">
        <f>'Coconut Oil Balance Sheet'!V126</f>
        <v>165</v>
      </c>
      <c r="D135" s="13">
        <f>'Coconut Oil Balance Sheet'!W51+'Coconut Oil Balance Sheet'!W67</f>
        <v>168.76420927160001</v>
      </c>
      <c r="E135" s="21">
        <f t="shared" si="6"/>
        <v>0.97769545279863168</v>
      </c>
      <c r="F135" s="15">
        <f t="shared" si="7"/>
        <v>56.673452540810999</v>
      </c>
      <c r="G135" s="15">
        <f t="shared" si="8"/>
        <v>-1.0986525408109955</v>
      </c>
    </row>
    <row r="136" spans="1:7" hidden="1">
      <c r="A136" s="20">
        <v>41913</v>
      </c>
      <c r="B136" s="15">
        <f>'Coconut Oil Balance Sheet'!W130</f>
        <v>53.4602</v>
      </c>
      <c r="C136" s="13">
        <f>'Coconut Oil Balance Sheet'!W115</f>
        <v>158.31475</v>
      </c>
      <c r="D136" s="13">
        <f>'Coconut Oil Balance Sheet'!W52+'Coconut Oil Balance Sheet'!W68</f>
        <v>83.323422274999999</v>
      </c>
      <c r="E136" s="21">
        <f t="shared" si="6"/>
        <v>1.9000029724835257</v>
      </c>
      <c r="F136" s="15">
        <f t="shared" si="7"/>
        <v>43.620506159898532</v>
      </c>
      <c r="G136" s="15">
        <f t="shared" si="8"/>
        <v>9.839693840101468</v>
      </c>
    </row>
    <row r="137" spans="1:7" hidden="1">
      <c r="A137" s="20">
        <v>41944</v>
      </c>
      <c r="B137" s="15">
        <f>'Coconut Oil Balance Sheet'!W131</f>
        <v>54.964500000000001</v>
      </c>
      <c r="C137" s="13">
        <f>'Coconut Oil Balance Sheet'!W116</f>
        <v>151.62950000000001</v>
      </c>
      <c r="D137" s="13">
        <f>'Coconut Oil Balance Sheet'!W53+'Coconut Oil Balance Sheet'!W69</f>
        <v>101.08187294720001</v>
      </c>
      <c r="E137" s="21">
        <f t="shared" si="6"/>
        <v>1.5000661897035039</v>
      </c>
      <c r="F137" s="15">
        <f t="shared" si="7"/>
        <v>47.877600954963398</v>
      </c>
      <c r="G137" s="15">
        <f t="shared" si="8"/>
        <v>7.0868990450366027</v>
      </c>
    </row>
    <row r="138" spans="1:7" hidden="1">
      <c r="A138" s="20">
        <v>41974</v>
      </c>
      <c r="B138" s="15">
        <f>'Coconut Oil Balance Sheet'!W132</f>
        <v>55.721899999999998</v>
      </c>
      <c r="C138" s="13">
        <f>'Coconut Oil Balance Sheet'!W117</f>
        <v>144.94425000000001</v>
      </c>
      <c r="D138" s="13">
        <f>'Coconut Oil Balance Sheet'!W54+'Coconut Oil Balance Sheet'!W70</f>
        <v>114.02609055800001</v>
      </c>
      <c r="E138" s="21">
        <f t="shared" si="6"/>
        <v>1.2711498683388895</v>
      </c>
      <c r="F138" s="15">
        <f t="shared" si="7"/>
        <v>51.105349770363262</v>
      </c>
      <c r="G138" s="15">
        <f t="shared" si="8"/>
        <v>4.6165502296367364</v>
      </c>
    </row>
    <row r="139" spans="1:7" hidden="1">
      <c r="A139" s="20">
        <v>42005</v>
      </c>
      <c r="B139" s="15">
        <f>'Coconut Oil Balance Sheet'!W133</f>
        <v>54.511499999999998</v>
      </c>
      <c r="C139" s="13">
        <f>'Coconut Oil Balance Sheet'!W118</f>
        <v>138.25900000000001</v>
      </c>
      <c r="D139" s="13">
        <f>'Coconut Oil Balance Sheet'!W55+'Coconut Oil Balance Sheet'!W71</f>
        <v>81.070298590999968</v>
      </c>
      <c r="E139" s="21">
        <f t="shared" si="6"/>
        <v>1.7054211271321118</v>
      </c>
      <c r="F139" s="15">
        <f t="shared" si="7"/>
        <v>45.517481197392293</v>
      </c>
      <c r="G139" s="15">
        <f t="shared" si="8"/>
        <v>8.9940188026077053</v>
      </c>
    </row>
    <row r="140" spans="1:7" hidden="1">
      <c r="A140" s="20">
        <v>42036</v>
      </c>
      <c r="B140" s="15">
        <f>'Coconut Oil Balance Sheet'!W134</f>
        <v>54.736800000000002</v>
      </c>
      <c r="C140" s="13">
        <f>'Coconut Oil Balance Sheet'!W119</f>
        <v>131.57375000000002</v>
      </c>
      <c r="D140" s="13">
        <f>'Coconut Oil Balance Sheet'!W56+'Coconut Oil Balance Sheet'!W72</f>
        <v>99.663639614600015</v>
      </c>
      <c r="E140" s="21">
        <f t="shared" si="6"/>
        <v>1.3201780559971181</v>
      </c>
      <c r="F140" s="15">
        <f t="shared" si="7"/>
        <v>50.348980185605093</v>
      </c>
      <c r="G140" s="15">
        <f t="shared" si="8"/>
        <v>4.3878198143949092</v>
      </c>
    </row>
    <row r="141" spans="1:7" hidden="1">
      <c r="A141" s="20">
        <v>42064</v>
      </c>
      <c r="B141" s="15">
        <f>'Coconut Oil Balance Sheet'!W135</f>
        <v>52.805700000000002</v>
      </c>
      <c r="C141" s="13">
        <f>'Coconut Oil Balance Sheet'!W120</f>
        <v>124.88850000000002</v>
      </c>
      <c r="D141" s="13">
        <f>'Coconut Oil Balance Sheet'!W57+'Coconut Oil Balance Sheet'!W73</f>
        <v>112.7950296332</v>
      </c>
      <c r="E141" s="21">
        <f t="shared" si="6"/>
        <v>1.1072163410579967</v>
      </c>
      <c r="F141" s="15">
        <f t="shared" si="7"/>
        <v>53.962528046586883</v>
      </c>
      <c r="G141" s="15">
        <f t="shared" si="8"/>
        <v>-1.156828046586881</v>
      </c>
    </row>
    <row r="142" spans="1:7" hidden="1">
      <c r="A142" s="20">
        <v>42095</v>
      </c>
      <c r="B142" s="15">
        <f>'Coconut Oil Balance Sheet'!W136</f>
        <v>49.8155</v>
      </c>
      <c r="C142" s="13">
        <f>'Coconut Oil Balance Sheet'!W121</f>
        <v>118.20325000000003</v>
      </c>
      <c r="D142" s="13">
        <f>'Coconut Oil Balance Sheet'!W58+'Coconut Oil Balance Sheet'!W74</f>
        <v>91.577086118600008</v>
      </c>
      <c r="E142" s="21">
        <f t="shared" si="6"/>
        <v>1.2907513768992049</v>
      </c>
      <c r="F142" s="15">
        <f t="shared" si="7"/>
        <v>50.798150912759027</v>
      </c>
      <c r="G142" s="15">
        <f t="shared" si="8"/>
        <v>-0.98265091275902705</v>
      </c>
    </row>
    <row r="143" spans="1:7">
      <c r="A143" s="20">
        <v>42125</v>
      </c>
      <c r="B143" s="15">
        <f>'Coconut Oil Balance Sheet'!W137</f>
        <v>52.7423</v>
      </c>
      <c r="C143" s="13">
        <f>'Coconut Oil Balance Sheet'!W122</f>
        <v>111.518</v>
      </c>
      <c r="D143" s="13">
        <f>'Coconut Oil Balance Sheet'!W59+'Coconut Oil Balance Sheet'!W75</f>
        <v>133.1264370836</v>
      </c>
      <c r="E143" s="21">
        <f t="shared" si="6"/>
        <v>0.83768485391049374</v>
      </c>
      <c r="F143" s="15">
        <f t="shared" si="7"/>
        <v>60.231836594855402</v>
      </c>
      <c r="G143" s="15">
        <f t="shared" si="8"/>
        <v>-7.4895365948554016</v>
      </c>
    </row>
    <row r="144" spans="1:7">
      <c r="A144" s="20">
        <v>42156</v>
      </c>
      <c r="B144" s="15">
        <f>'Coconut Oil Balance Sheet'!W138</f>
        <v>53.137500000000003</v>
      </c>
      <c r="C144" s="13">
        <f>'Coconut Oil Balance Sheet'!W123</f>
        <v>111.03</v>
      </c>
      <c r="D144" s="13">
        <f>'Coconut Oil Balance Sheet'!W60+'Coconut Oil Balance Sheet'!W76</f>
        <v>88.906989572200018</v>
      </c>
      <c r="E144" s="21">
        <f t="shared" si="6"/>
        <v>1.2488331967402206</v>
      </c>
      <c r="F144" s="15">
        <f t="shared" si="7"/>
        <v>51.463241782504781</v>
      </c>
      <c r="G144" s="15">
        <f t="shared" si="8"/>
        <v>1.6742582174952219</v>
      </c>
    </row>
    <row r="145" spans="1:7">
      <c r="A145" s="20">
        <v>42186</v>
      </c>
      <c r="B145" s="15">
        <f>'Coconut Oil Balance Sheet'!W139</f>
        <v>52.003599999999999</v>
      </c>
      <c r="C145" s="13">
        <f>'Coconut Oil Balance Sheet'!W124</f>
        <v>116.93299999999999</v>
      </c>
      <c r="D145" s="13">
        <f>'Coconut Oil Balance Sheet'!W61+'Coconut Oil Balance Sheet'!W77</f>
        <v>119.12481793500002</v>
      </c>
      <c r="E145" s="21">
        <f t="shared" si="6"/>
        <v>0.98160066077753849</v>
      </c>
      <c r="F145" s="15">
        <f t="shared" si="7"/>
        <v>56.584509997651885</v>
      </c>
      <c r="G145" s="15">
        <f t="shared" si="8"/>
        <v>-4.5809099976518866</v>
      </c>
    </row>
    <row r="146" spans="1:7">
      <c r="A146" s="20">
        <v>42217</v>
      </c>
      <c r="B146" s="15">
        <f>'Coconut Oil Balance Sheet'!W140</f>
        <v>50.287100000000002</v>
      </c>
      <c r="C146" s="13">
        <f>'Coconut Oil Balance Sheet'!W125</f>
        <v>115.298</v>
      </c>
      <c r="D146" s="13">
        <f>'Coconut Oil Balance Sheet'!W62+'Coconut Oil Balance Sheet'!W78</f>
        <v>97.272341564000016</v>
      </c>
      <c r="E146" s="21">
        <f t="shared" si="6"/>
        <v>1.1853112420876604</v>
      </c>
      <c r="F146" s="15">
        <f t="shared" si="7"/>
        <v>52.532723899757997</v>
      </c>
      <c r="G146" s="15">
        <f t="shared" si="8"/>
        <v>-2.2456238997579945</v>
      </c>
    </row>
    <row r="147" spans="1:7">
      <c r="A147" s="20">
        <v>42248</v>
      </c>
      <c r="B147" s="15">
        <f>'Coconut Oil Balance Sheet'!W141</f>
        <v>49.053600000000003</v>
      </c>
      <c r="C147" s="13">
        <f>'Coconut Oil Balance Sheet'!W126</f>
        <v>133.905</v>
      </c>
      <c r="D147" s="13">
        <f>'Coconut Oil Balance Sheet'!X51+'Coconut Oil Balance Sheet'!X67</f>
        <v>111.76312926540002</v>
      </c>
      <c r="E147" s="21">
        <f t="shared" si="6"/>
        <v>1.198114269707145</v>
      </c>
      <c r="F147" s="15">
        <f t="shared" si="7"/>
        <v>52.310826318685343</v>
      </c>
      <c r="G147" s="15">
        <f t="shared" si="8"/>
        <v>-3.2572263186853405</v>
      </c>
    </row>
    <row r="148" spans="1:7">
      <c r="A148" s="20">
        <v>42278</v>
      </c>
      <c r="B148" s="15">
        <f>'Coconut Oil Balance Sheet'!X130</f>
        <v>51.572299999999998</v>
      </c>
      <c r="C148" s="13">
        <f>'Coconut Oil Balance Sheet'!X115</f>
        <v>143.1</v>
      </c>
      <c r="D148" s="13">
        <f>'Coconut Oil Balance Sheet'!X52+'Coconut Oil Balance Sheet'!X68</f>
        <v>97.763763505600025</v>
      </c>
      <c r="E148" s="21">
        <f t="shared" si="6"/>
        <v>1.4637325208107712</v>
      </c>
      <c r="F148" s="15">
        <f t="shared" si="7"/>
        <v>48.342373417130311</v>
      </c>
      <c r="G148" s="15">
        <f t="shared" si="8"/>
        <v>3.2299265828696875</v>
      </c>
    </row>
    <row r="149" spans="1:7">
      <c r="A149" s="20">
        <v>42309</v>
      </c>
      <c r="B149" s="15">
        <f>'Coconut Oil Balance Sheet'!X131</f>
        <v>50.597499999999997</v>
      </c>
      <c r="C149" s="13">
        <f>'Coconut Oil Balance Sheet'!X116</f>
        <v>116.027</v>
      </c>
      <c r="D149" s="13">
        <f>'Coconut Oil Balance Sheet'!X53+'Coconut Oil Balance Sheet'!X69</f>
        <v>78.47421927420001</v>
      </c>
      <c r="E149" s="21">
        <f t="shared" si="6"/>
        <v>1.4785365317823076</v>
      </c>
      <c r="F149" s="15">
        <f t="shared" si="7"/>
        <v>48.151082568626379</v>
      </c>
      <c r="G149" s="15">
        <f t="shared" si="8"/>
        <v>2.446417431373618</v>
      </c>
    </row>
    <row r="150" spans="1:7">
      <c r="A150" s="20">
        <v>42339</v>
      </c>
      <c r="B150" s="15">
        <f>'Coconut Oil Balance Sheet'!X132</f>
        <v>53.075200000000002</v>
      </c>
      <c r="C150" s="13">
        <f>'Coconut Oil Balance Sheet'!X117</f>
        <v>130.46899999999999</v>
      </c>
      <c r="D150" s="13">
        <f>'Coconut Oil Balance Sheet'!X54+'Coconut Oil Balance Sheet'!X70</f>
        <v>98.7345841116</v>
      </c>
      <c r="E150" s="21">
        <f t="shared" si="6"/>
        <v>1.3214113491634349</v>
      </c>
      <c r="F150" s="15">
        <f t="shared" si="7"/>
        <v>50.330460310528188</v>
      </c>
      <c r="G150" s="15">
        <f t="shared" si="8"/>
        <v>2.7447396894718139</v>
      </c>
    </row>
    <row r="151" spans="1:7">
      <c r="A151" s="20">
        <v>42370</v>
      </c>
      <c r="B151" s="15">
        <f>'Coconut Oil Balance Sheet'!X133</f>
        <v>54.053699999999999</v>
      </c>
      <c r="C151" s="13">
        <f>'Coconut Oil Balance Sheet'!X118</f>
        <v>114.932</v>
      </c>
      <c r="D151" s="13">
        <f>'Coconut Oil Balance Sheet'!X55+'Coconut Oil Balance Sheet'!X71</f>
        <v>102.65611713700001</v>
      </c>
      <c r="E151" s="21">
        <f t="shared" si="6"/>
        <v>1.1195825753531783</v>
      </c>
      <c r="F151" s="15">
        <f t="shared" si="7"/>
        <v>53.726898619451241</v>
      </c>
      <c r="G151" s="15">
        <f t="shared" si="8"/>
        <v>0.3268013805487584</v>
      </c>
    </row>
    <row r="152" spans="1:7">
      <c r="A152" s="20">
        <v>42401</v>
      </c>
      <c r="B152" s="15">
        <f>'Coconut Oil Balance Sheet'!X134</f>
        <v>57.121499999999997</v>
      </c>
      <c r="C152" s="13">
        <f>'Coconut Oil Balance Sheet'!X119</f>
        <v>99.762999999999991</v>
      </c>
      <c r="D152" s="13">
        <f>'Coconut Oil Balance Sheet'!X56+'Coconut Oil Balance Sheet'!X72</f>
        <v>116.68846550679999</v>
      </c>
      <c r="E152" s="21">
        <f t="shared" si="6"/>
        <v>0.85495168324230242</v>
      </c>
      <c r="F152" s="15">
        <f t="shared" si="7"/>
        <v>59.749587030187321</v>
      </c>
      <c r="G152" s="15">
        <f t="shared" si="8"/>
        <v>-2.6280870301873236</v>
      </c>
    </row>
    <row r="153" spans="1:7">
      <c r="A153" s="20">
        <v>42430</v>
      </c>
      <c r="B153" s="15">
        <f>'Coconut Oil Balance Sheet'!X135</f>
        <v>65.565899999999999</v>
      </c>
      <c r="C153" s="13">
        <f>'Coconut Oil Balance Sheet'!X120</f>
        <v>81.707999999999998</v>
      </c>
      <c r="D153" s="13">
        <f>'Coconut Oil Balance Sheet'!X57+'Coconut Oil Balance Sheet'!X73</f>
        <v>67.74185677159997</v>
      </c>
      <c r="E153" s="21">
        <f t="shared" si="6"/>
        <v>1.2061671157832092</v>
      </c>
      <c r="F153" s="15">
        <f t="shared" si="7"/>
        <v>52.172943379996283</v>
      </c>
      <c r="G153" s="15">
        <f t="shared" si="8"/>
        <v>13.392956620003716</v>
      </c>
    </row>
    <row r="154" spans="1:7">
      <c r="A154" s="20">
        <v>42461</v>
      </c>
      <c r="B154" s="15">
        <f>'Coconut Oil Balance Sheet'!X136</f>
        <v>74.368600000000001</v>
      </c>
      <c r="C154" s="13">
        <f>'Coconut Oil Balance Sheet'!X121</f>
        <v>90.616</v>
      </c>
      <c r="D154" s="13">
        <f>'Coconut Oil Balance Sheet'!X58+'Coconut Oil Balance Sheet'!X74</f>
        <v>63.197191368599988</v>
      </c>
      <c r="E154" s="21">
        <f t="shared" si="6"/>
        <v>1.4338611896765916</v>
      </c>
      <c r="F154" s="15">
        <f t="shared" si="7"/>
        <v>48.736696236769632</v>
      </c>
      <c r="G154" s="15">
        <f t="shared" si="8"/>
        <v>25.631903763230369</v>
      </c>
    </row>
    <row r="155" spans="1:7">
      <c r="A155" s="20">
        <v>42491</v>
      </c>
      <c r="B155" s="15">
        <f>'Coconut Oil Balance Sheet'!X137</f>
        <v>67.023799999999994</v>
      </c>
      <c r="C155" s="13">
        <f>'Coconut Oil Balance Sheet'!X122</f>
        <v>115.34200000000001</v>
      </c>
      <c r="D155" s="13">
        <f>'Coconut Oil Balance Sheet'!X59+'Coconut Oil Balance Sheet'!X75</f>
        <v>79.59646513440002</v>
      </c>
      <c r="E155" s="21">
        <f t="shared" si="6"/>
        <v>1.4490844512409318</v>
      </c>
      <c r="F155" s="15">
        <f t="shared" si="7"/>
        <v>48.534322406533335</v>
      </c>
      <c r="G155" s="15">
        <f t="shared" si="8"/>
        <v>18.48947759346666</v>
      </c>
    </row>
    <row r="156" spans="1:7">
      <c r="A156" s="20">
        <v>42522</v>
      </c>
      <c r="B156" s="15">
        <f>'Coconut Oil Balance Sheet'!X138</f>
        <v>70.378399999999999</v>
      </c>
      <c r="C156" s="13">
        <f>'Coconut Oil Balance Sheet'!X123</f>
        <v>113.029</v>
      </c>
      <c r="D156" s="13">
        <f>'Coconut Oil Balance Sheet'!X60+'Coconut Oil Balance Sheet'!X76</f>
        <v>120.40412816339995</v>
      </c>
      <c r="E156" s="21">
        <f t="shared" si="6"/>
        <v>0.93874688288601538</v>
      </c>
      <c r="F156" s="15">
        <f t="shared" si="7"/>
        <v>57.588501111350894</v>
      </c>
      <c r="G156" s="15">
        <f t="shared" si="8"/>
        <v>12.789898888649105</v>
      </c>
    </row>
    <row r="157" spans="1:7">
      <c r="A157" s="20">
        <v>42552</v>
      </c>
      <c r="B157" s="15">
        <f>'Coconut Oil Balance Sheet'!X139</f>
        <v>70.495999999999995</v>
      </c>
      <c r="C157" s="13">
        <f>'Coconut Oil Balance Sheet'!X124</f>
        <v>140.38900000000001</v>
      </c>
      <c r="D157" s="13">
        <f>'Coconut Oil Balance Sheet'!X61+'Coconut Oil Balance Sheet'!X77</f>
        <v>109.11352495720001</v>
      </c>
      <c r="E157" s="21">
        <f t="shared" si="6"/>
        <v>1.2866324321853579</v>
      </c>
      <c r="F157" s="15">
        <f t="shared" si="7"/>
        <v>50.86216194678574</v>
      </c>
      <c r="G157" s="15">
        <f t="shared" si="8"/>
        <v>19.633838053214255</v>
      </c>
    </row>
    <row r="158" spans="1:7">
      <c r="A158" s="20">
        <v>42583</v>
      </c>
      <c r="B158" s="15">
        <f>'Coconut Oil Balance Sheet'!X140</f>
        <v>71.260400000000004</v>
      </c>
      <c r="C158" s="13">
        <f>'Coconut Oil Balance Sheet'!X125</f>
        <v>136.596</v>
      </c>
      <c r="D158" s="13">
        <f>'Coconut Oil Balance Sheet'!X62+'Coconut Oil Balance Sheet'!X78</f>
        <v>85.406270581675258</v>
      </c>
      <c r="E158" s="21">
        <f t="shared" si="6"/>
        <v>1.5993673423472023</v>
      </c>
      <c r="F158" s="15">
        <f t="shared" si="7"/>
        <v>46.68359438264887</v>
      </c>
      <c r="G158" s="15">
        <f t="shared" si="8"/>
        <v>24.576805617351134</v>
      </c>
    </row>
    <row r="159" spans="1:7">
      <c r="A159" s="20">
        <v>42614</v>
      </c>
      <c r="B159" s="15">
        <f>'Coconut Oil Balance Sheet'!X141</f>
        <v>72.356200000000001</v>
      </c>
      <c r="C159" s="13">
        <f>'Coconut Oil Balance Sheet'!X126</f>
        <v>160.25987547312474</v>
      </c>
      <c r="D159" s="13">
        <f>'Coconut Oil Balance Sheet'!Y51+'Coconut Oil Balance Sheet'!Y67</f>
        <v>77.630698428494497</v>
      </c>
      <c r="E159" s="21">
        <f t="shared" si="6"/>
        <v>2.0643879124794919</v>
      </c>
      <c r="F159" s="15">
        <f t="shared" si="7"/>
        <v>42.217461113175631</v>
      </c>
      <c r="G159" s="15">
        <f t="shared" si="8"/>
        <v>30.13873888682437</v>
      </c>
    </row>
    <row r="160" spans="1:7">
      <c r="A160" s="20">
        <v>42644</v>
      </c>
      <c r="B160" s="15">
        <f>'Coconut Oil Balance Sheet'!Y130</f>
        <v>70.435199999999995</v>
      </c>
      <c r="C160" s="13">
        <f>'Coconut Oil Balance Sheet'!Y115</f>
        <v>157.29134662103024</v>
      </c>
      <c r="D160" s="13">
        <f>'Coconut Oil Balance Sheet'!Y52+'Coconut Oil Balance Sheet'!Y68</f>
        <v>98.827781982908348</v>
      </c>
      <c r="E160" s="21">
        <f t="shared" si="6"/>
        <v>1.591570138124043</v>
      </c>
      <c r="F160" s="15">
        <f t="shared" si="7"/>
        <v>46.773571105485416</v>
      </c>
      <c r="G160" s="15">
        <f t="shared" si="8"/>
        <v>23.661628894514578</v>
      </c>
    </row>
    <row r="161" spans="1:7">
      <c r="A161" s="20">
        <v>42675</v>
      </c>
      <c r="B161" s="15">
        <f>'Coconut Oil Balance Sheet'!Y131</f>
        <v>72.356700000000004</v>
      </c>
      <c r="C161" s="13">
        <f>'Coconut Oil Balance Sheet'!Y116</f>
        <v>160.54395664192188</v>
      </c>
      <c r="D161" s="13">
        <f>'Coconut Oil Balance Sheet'!Y53+'Coconut Oil Balance Sheet'!Y69</f>
        <v>91.648174731467151</v>
      </c>
      <c r="E161" s="21">
        <f t="shared" si="6"/>
        <v>1.751741997179127</v>
      </c>
      <c r="F161" s="15">
        <f t="shared" si="7"/>
        <v>45.039405686654128</v>
      </c>
      <c r="G161" s="15">
        <f t="shared" si="8"/>
        <v>27.317294313345876</v>
      </c>
    </row>
    <row r="162" spans="1:7">
      <c r="A162" s="20">
        <v>42705</v>
      </c>
      <c r="B162" s="15">
        <f>'Coconut Oil Balance Sheet'!Y132</f>
        <v>78.697100000000006</v>
      </c>
      <c r="C162" s="13">
        <f>'Coconut Oil Balance Sheet'!Y117</f>
        <v>158.19730295345474</v>
      </c>
      <c r="D162" s="13">
        <f>'Coconut Oil Balance Sheet'!Y54+'Coconut Oil Balance Sheet'!Y70</f>
        <v>98.728616832005784</v>
      </c>
      <c r="E162" s="21">
        <f t="shared" si="6"/>
        <v>1.6023449738249593</v>
      </c>
      <c r="F162" s="15">
        <f t="shared" si="7"/>
        <v>46.649394852198029</v>
      </c>
      <c r="G162" s="15">
        <f t="shared" si="8"/>
        <v>32.047705147801977</v>
      </c>
    </row>
    <row r="163" spans="1:7">
      <c r="A163" s="20">
        <v>42736</v>
      </c>
      <c r="B163" s="15">
        <f>'Coconut Oil Balance Sheet'!Y133</f>
        <v>85.19</v>
      </c>
      <c r="C163" s="13">
        <f>'Coconut Oil Balance Sheet'!Y118</f>
        <v>155.26458265204894</v>
      </c>
      <c r="D163" s="13">
        <f>'Coconut Oil Balance Sheet'!Y55+'Coconut Oil Balance Sheet'!Y71</f>
        <v>122.59792691664487</v>
      </c>
      <c r="E163" s="21">
        <f t="shared" si="6"/>
        <v>1.2664535735389257</v>
      </c>
      <c r="F163" s="15">
        <f t="shared" si="7"/>
        <v>51.179933034658916</v>
      </c>
      <c r="G163" s="15">
        <f t="shared" si="8"/>
        <v>34.010066965341082</v>
      </c>
    </row>
    <row r="164" spans="1:7">
      <c r="A164" s="20">
        <v>42767</v>
      </c>
      <c r="B164" s="15">
        <f>'Coconut Oil Balance Sheet'!Y134</f>
        <v>83.308899999999994</v>
      </c>
      <c r="C164" s="13">
        <f>'Coconut Oil Balance Sheet'!Y119</f>
        <v>126.13910114020408</v>
      </c>
      <c r="D164" s="13">
        <f>'Coconut Oil Balance Sheet'!Y56+'Coconut Oil Balance Sheet'!Y72</f>
        <v>110.93330194440738</v>
      </c>
      <c r="E164" s="21">
        <f t="shared" si="6"/>
        <v>1.1370715459584613</v>
      </c>
      <c r="F164" s="15">
        <f t="shared" si="7"/>
        <v>53.399783611363901</v>
      </c>
      <c r="G164" s="15">
        <f t="shared" si="8"/>
        <v>29.909116388636093</v>
      </c>
    </row>
    <row r="165" spans="1:7">
      <c r="A165" s="20">
        <v>42795</v>
      </c>
      <c r="B165" s="15">
        <f>'Coconut Oil Balance Sheet'!Y135</f>
        <v>74.369600000000005</v>
      </c>
      <c r="C165" s="13">
        <f>'Coconut Oil Balance Sheet'!Y120</f>
        <v>125.3692173003967</v>
      </c>
      <c r="D165" s="13">
        <f>'Coconut Oil Balance Sheet'!Y57+'Coconut Oil Balance Sheet'!Y73</f>
        <v>67.546238864287588</v>
      </c>
      <c r="E165" s="21">
        <f t="shared" si="6"/>
        <v>1.8560503058103022</v>
      </c>
      <c r="F165" s="15">
        <f t="shared" si="7"/>
        <v>44.024611119473299</v>
      </c>
      <c r="G165" s="15">
        <f t="shared" si="8"/>
        <v>30.344988880526707</v>
      </c>
    </row>
    <row r="166" spans="1:7">
      <c r="A166" s="20">
        <v>42826</v>
      </c>
      <c r="B166" s="15">
        <f>'Coconut Oil Balance Sheet'!Y136</f>
        <v>76.2226</v>
      </c>
      <c r="C166" s="13">
        <f>'Coconut Oil Balance Sheet'!Y121</f>
        <v>145.43752272470911</v>
      </c>
      <c r="D166" s="13">
        <f>'Coconut Oil Balance Sheet'!Y58+'Coconut Oil Balance Sheet'!Y74</f>
        <v>121.14411902708581</v>
      </c>
      <c r="E166" s="21">
        <f t="shared" si="6"/>
        <v>1.2005330831799743</v>
      </c>
      <c r="F166" s="15">
        <f t="shared" si="7"/>
        <v>52.269275328121076</v>
      </c>
      <c r="G166" s="15">
        <f t="shared" si="8"/>
        <v>23.953324671878924</v>
      </c>
    </row>
    <row r="167" spans="1:7">
      <c r="A167" s="20">
        <v>42856</v>
      </c>
      <c r="B167" s="15">
        <f>'Coconut Oil Balance Sheet'!Y137</f>
        <v>80.485200000000006</v>
      </c>
      <c r="C167" s="13">
        <f>'Coconut Oil Balance Sheet'!Y122</f>
        <v>143.2770734998233</v>
      </c>
      <c r="D167" s="13">
        <f>'Coconut Oil Balance Sheet'!Y59+'Coconut Oil Balance Sheet'!Y75</f>
        <v>44.77552756191907</v>
      </c>
      <c r="E167" s="21">
        <f t="shared" si="6"/>
        <v>3.1998969370419736</v>
      </c>
      <c r="F167" s="15">
        <f t="shared" si="7"/>
        <v>35.521909775244133</v>
      </c>
      <c r="G167" s="15">
        <f t="shared" si="8"/>
        <v>44.963290224755873</v>
      </c>
    </row>
    <row r="168" spans="1:7">
      <c r="A168" s="20">
        <v>42887</v>
      </c>
      <c r="B168" s="15">
        <f>'Coconut Oil Balance Sheet'!Y138</f>
        <v>83.306799999999996</v>
      </c>
      <c r="C168" s="13">
        <f>'Coconut Oil Balance Sheet'!Y123</f>
        <v>152.10626848130423</v>
      </c>
      <c r="D168" s="13">
        <f>'Coconut Oil Balance Sheet'!Y60+'Coconut Oil Balance Sheet'!Y76</f>
        <v>59.281443176925364</v>
      </c>
      <c r="E168" s="21">
        <f t="shared" si="6"/>
        <v>2.565832751867112</v>
      </c>
      <c r="F168" s="15">
        <f t="shared" si="7"/>
        <v>38.751089688879155</v>
      </c>
      <c r="G168" s="15">
        <f t="shared" si="8"/>
        <v>44.555710311120841</v>
      </c>
    </row>
    <row r="169" spans="1:7">
      <c r="A169" s="20">
        <v>42917</v>
      </c>
      <c r="B169" s="15">
        <f>'Coconut Oil Balance Sheet'!Y139</f>
        <v>82.924999999999997</v>
      </c>
      <c r="C169" s="13">
        <f>'Coconut Oil Balance Sheet'!Y124</f>
        <v>147.86056798797887</v>
      </c>
      <c r="D169" s="13">
        <f>'Coconut Oil Balance Sheet'!Y61+'Coconut Oil Balance Sheet'!Y77</f>
        <v>87.152944188383429</v>
      </c>
      <c r="E169" s="21">
        <f t="shared" si="6"/>
        <v>1.6965642338872027</v>
      </c>
      <c r="F169" s="15">
        <f t="shared" si="7"/>
        <v>45.610957160436278</v>
      </c>
      <c r="G169" s="15">
        <f t="shared" si="8"/>
        <v>37.314042839563719</v>
      </c>
    </row>
    <row r="170" spans="1:7">
      <c r="A170" s="20">
        <v>42948</v>
      </c>
      <c r="B170" s="15">
        <f>'Coconut Oil Balance Sheet'!Y140</f>
        <v>83.869600000000005</v>
      </c>
      <c r="C170" s="13">
        <f>'Coconut Oil Balance Sheet'!Y125</f>
        <v>146.43300043385543</v>
      </c>
      <c r="D170" s="13">
        <f>'Coconut Oil Balance Sheet'!Y62+'Coconut Oil Balance Sheet'!Y78</f>
        <v>69.647793554039993</v>
      </c>
      <c r="E170" s="21">
        <f t="shared" si="6"/>
        <v>2.1024786710613812</v>
      </c>
      <c r="F170" s="15">
        <f t="shared" si="7"/>
        <v>41.914437023483494</v>
      </c>
      <c r="G170" s="15">
        <f t="shared" si="8"/>
        <v>41.955162976516512</v>
      </c>
    </row>
    <row r="171" spans="1:7">
      <c r="A171" s="20">
        <v>42979</v>
      </c>
      <c r="B171" s="15">
        <f>'Coconut Oil Balance Sheet'!Y141</f>
        <v>83.075000000000003</v>
      </c>
      <c r="C171" s="13">
        <f>'Coconut Oil Balance Sheet'!Y126</f>
        <v>146.58100911003544</v>
      </c>
      <c r="D171" s="13">
        <f>'Coconut Oil Balance Sheet'!Z51+'Coconut Oil Balance Sheet'!Z67</f>
        <v>72.491759625559595</v>
      </c>
      <c r="E171" s="21">
        <f t="shared" si="6"/>
        <v>2.0220368475971302</v>
      </c>
      <c r="F171" s="15">
        <f t="shared" si="7"/>
        <v>42.563662940401393</v>
      </c>
      <c r="G171" s="15">
        <f t="shared" si="8"/>
        <v>40.51133705959861</v>
      </c>
    </row>
    <row r="172" spans="1:7">
      <c r="A172" s="20">
        <v>43009</v>
      </c>
      <c r="B172" s="15">
        <f>'Coconut Oil Balance Sheet'!Z130</f>
        <v>70.670500000000004</v>
      </c>
      <c r="C172" s="13">
        <f>'Coconut Oil Balance Sheet'!Z115</f>
        <v>139.00630702101583</v>
      </c>
      <c r="D172" s="13">
        <f>'Coconut Oil Balance Sheet'!Z52+'Coconut Oil Balance Sheet'!Z68</f>
        <v>94.792725915821393</v>
      </c>
      <c r="E172" s="21">
        <f t="shared" si="6"/>
        <v>1.4664237754324878</v>
      </c>
      <c r="F172" s="15">
        <f t="shared" si="7"/>
        <v>48.307398140430557</v>
      </c>
      <c r="G172" s="15">
        <f t="shared" si="8"/>
        <v>22.363101859569447</v>
      </c>
    </row>
    <row r="173" spans="1:7">
      <c r="A173" s="20">
        <v>43040</v>
      </c>
      <c r="B173" s="15">
        <f>'Coconut Oil Balance Sheet'!Z131</f>
        <v>73.6524</v>
      </c>
      <c r="C173" s="13">
        <f>'Coconut Oil Balance Sheet'!Z116</f>
        <v>140.21663603429442</v>
      </c>
      <c r="D173" s="13">
        <f>'Coconut Oil Balance Sheet'!Z53+'Coconut Oil Balance Sheet'!Z69</f>
        <v>47.071181790176858</v>
      </c>
      <c r="E173" s="21">
        <f t="shared" si="6"/>
        <v>2.9788212384239694</v>
      </c>
      <c r="F173" s="15">
        <f t="shared" si="7"/>
        <v>36.538135092361983</v>
      </c>
      <c r="G173" s="15">
        <f t="shared" si="8"/>
        <v>37.114264907638017</v>
      </c>
    </row>
    <row r="174" spans="1:7">
      <c r="A174" s="20">
        <v>43070</v>
      </c>
      <c r="B174" s="15">
        <f>'Coconut Oil Balance Sheet'!Z132</f>
        <v>69.644999999999996</v>
      </c>
      <c r="C174" s="13">
        <f>'Coconut Oil Balance Sheet'!Z117</f>
        <v>120.75468873497756</v>
      </c>
      <c r="D174" s="13">
        <f>'Coconut Oil Balance Sheet'!Z54+'Coconut Oil Balance Sheet'!Z70</f>
        <v>131.28789892580471</v>
      </c>
      <c r="E174" s="21">
        <f t="shared" si="6"/>
        <v>0.91977013664618223</v>
      </c>
      <c r="F174" s="15">
        <f t="shared" si="7"/>
        <v>58.053745022877038</v>
      </c>
      <c r="G174" s="15">
        <f t="shared" si="8"/>
        <v>11.591254977122958</v>
      </c>
    </row>
    <row r="175" spans="1:7">
      <c r="A175" s="20">
        <v>43101</v>
      </c>
      <c r="B175" s="15">
        <f>'Coconut Oil Balance Sheet'!Z133</f>
        <v>66.819000000000003</v>
      </c>
      <c r="C175" s="13">
        <f>'Coconut Oil Balance Sheet'!Z118</f>
        <v>143.29975224859282</v>
      </c>
      <c r="D175" s="13">
        <f>'Coconut Oil Balance Sheet'!Z55+'Coconut Oil Balance Sheet'!Z71</f>
        <v>59.203252458998897</v>
      </c>
      <c r="E175" s="21">
        <f t="shared" si="6"/>
        <v>2.4204709419948642</v>
      </c>
      <c r="F175" s="15">
        <f t="shared" si="7"/>
        <v>39.651839272576098</v>
      </c>
      <c r="G175" s="15">
        <f t="shared" si="8"/>
        <v>27.167160727423905</v>
      </c>
    </row>
    <row r="176" spans="1:7">
      <c r="A176" s="20">
        <v>43132</v>
      </c>
      <c r="B176" s="15">
        <f>'Coconut Oil Balance Sheet'!Z134</f>
        <v>60.539499999999997</v>
      </c>
      <c r="C176" s="13">
        <f>'Coconut Oil Balance Sheet'!Z119</f>
        <v>155.15357614491393</v>
      </c>
      <c r="D176" s="13">
        <f>'Coconut Oil Balance Sheet'!Z56+'Coconut Oil Balance Sheet'!Z72</f>
        <v>107.46323160383973</v>
      </c>
      <c r="E176" s="21">
        <f t="shared" si="6"/>
        <v>1.443782899781791</v>
      </c>
      <c r="F176" s="15">
        <f t="shared" si="7"/>
        <v>48.604462083035195</v>
      </c>
      <c r="G176" s="15">
        <f t="shared" si="8"/>
        <v>11.935037916964802</v>
      </c>
    </row>
    <row r="177" spans="1:7">
      <c r="A177" s="20">
        <v>43160</v>
      </c>
      <c r="B177" s="15">
        <f>'Coconut Oil Balance Sheet'!Z135</f>
        <v>54.5595</v>
      </c>
      <c r="C177" s="13">
        <f>'Coconut Oil Balance Sheet'!Z120</f>
        <v>154.79310340131417</v>
      </c>
      <c r="D177" s="13">
        <f>'Coconut Oil Balance Sheet'!Z57+'Coconut Oil Balance Sheet'!Z73</f>
        <v>77.289141866774855</v>
      </c>
      <c r="E177" s="21">
        <f t="shared" si="6"/>
        <v>2.0027794288120671</v>
      </c>
      <c r="F177" s="15">
        <f t="shared" si="7"/>
        <v>42.724445715202862</v>
      </c>
      <c r="G177" s="15">
        <f t="shared" si="8"/>
        <v>11.835054284797138</v>
      </c>
    </row>
    <row r="178" spans="1:7">
      <c r="A178" s="20">
        <v>43191</v>
      </c>
      <c r="B178" s="16">
        <f>MROUND(56.172*(E178^-0.394),0.1)-13</f>
        <v>34.800000000000004</v>
      </c>
      <c r="C178" s="13">
        <f>'Coconut Oil Balance Sheet'!Z121</f>
        <v>146.69559647223932</v>
      </c>
      <c r="D178" s="13">
        <f>'Coconut Oil Balance Sheet'!Z58+'Coconut Oil Balance Sheet'!Z74</f>
        <v>97.532448462475259</v>
      </c>
      <c r="E178" s="21">
        <f t="shared" si="6"/>
        <v>1.5040696587113687</v>
      </c>
      <c r="F178" s="15">
        <f t="shared" si="7"/>
        <v>47.827349603601377</v>
      </c>
      <c r="G178" s="15">
        <f t="shared" si="8"/>
        <v>-13.027349603601373</v>
      </c>
    </row>
    <row r="179" spans="1:7">
      <c r="A179" s="20">
        <v>43221</v>
      </c>
      <c r="B179" s="16">
        <f t="shared" ref="B179:B182" si="9">MROUND(56.172*(E179^-0.394),0.1)-13</f>
        <v>28.700000000000003</v>
      </c>
      <c r="C179" s="13">
        <f>'Coconut Oil Balance Sheet'!Z122</f>
        <v>157.03591229278408</v>
      </c>
      <c r="D179" s="13">
        <f>'Coconut Oil Balance Sheet'!Z59+'Coconut Oil Balance Sheet'!Z75</f>
        <v>73.700398694525433</v>
      </c>
      <c r="E179" s="21">
        <f t="shared" si="6"/>
        <v>2.1307335519807564</v>
      </c>
      <c r="F179" s="15">
        <f t="shared" si="7"/>
        <v>41.694560871392554</v>
      </c>
      <c r="G179" s="15">
        <f t="shared" si="8"/>
        <v>-12.994560871392551</v>
      </c>
    </row>
    <row r="180" spans="1:7">
      <c r="A180" s="20">
        <v>43252</v>
      </c>
      <c r="B180" s="16">
        <f t="shared" si="9"/>
        <v>30.900000000000006</v>
      </c>
      <c r="C180" s="13">
        <f>'Coconut Oil Balance Sheet'!Z123</f>
        <v>154.33475395249863</v>
      </c>
      <c r="D180" s="13">
        <f>'Coconut Oil Balance Sheet'!Z60+'Coconut Oil Balance Sheet'!Z76</f>
        <v>82.340920066926827</v>
      </c>
      <c r="E180" s="21">
        <f t="shared" si="6"/>
        <v>1.8743384677637207</v>
      </c>
      <c r="F180" s="15">
        <f t="shared" si="7"/>
        <v>43.854863935355404</v>
      </c>
      <c r="G180" s="15">
        <f t="shared" si="8"/>
        <v>-12.954863935355398</v>
      </c>
    </row>
    <row r="181" spans="1:7">
      <c r="A181" s="20">
        <v>43282</v>
      </c>
      <c r="B181" s="16">
        <f t="shared" si="9"/>
        <v>30.800000000000004</v>
      </c>
      <c r="C181" s="13">
        <f>'Coconut Oil Balance Sheet'!Z124</f>
        <v>154.9805014832518</v>
      </c>
      <c r="D181" s="13">
        <f>'Coconut Oil Balance Sheet'!Z61+'Coconut Oil Balance Sheet'!Z77</f>
        <v>82.473208717089818</v>
      </c>
      <c r="E181" s="21">
        <f t="shared" si="6"/>
        <v>1.8791617774310905</v>
      </c>
      <c r="F181" s="15">
        <f t="shared" si="7"/>
        <v>43.810479258939694</v>
      </c>
      <c r="G181" s="15">
        <f t="shared" si="8"/>
        <v>-13.010479258939689</v>
      </c>
    </row>
    <row r="182" spans="1:7">
      <c r="A182" s="20">
        <v>43313</v>
      </c>
      <c r="B182" s="16">
        <f t="shared" si="9"/>
        <v>24.1</v>
      </c>
      <c r="C182" s="13">
        <f>'Coconut Oil Balance Sheet'!Z125</f>
        <v>149.05657358098196</v>
      </c>
      <c r="D182" s="13">
        <f>'Coconut Oil Balance Sheet'!Z62+'Coconut Oil Balance Sheet'!Z78</f>
        <v>51.859403679361201</v>
      </c>
      <c r="E182" s="21">
        <f t="shared" si="6"/>
        <v>2.8742438787490898</v>
      </c>
      <c r="F182" s="15">
        <f t="shared" si="7"/>
        <v>37.056259823350914</v>
      </c>
      <c r="G182" s="15">
        <f t="shared" si="8"/>
        <v>-12.956259823350912</v>
      </c>
    </row>
    <row r="183" spans="1:7">
      <c r="A183" s="20">
        <v>43344</v>
      </c>
      <c r="B183" s="16">
        <f>MROUND(56.172*(E183^-0.394),0.1)-10</f>
        <v>40.1</v>
      </c>
      <c r="C183" s="13">
        <f>'Coconut Oil Balance Sheet'!Z126</f>
        <v>152.51926043258075</v>
      </c>
      <c r="D183" s="13">
        <f>'Coconut Oil Balance Sheet'!AA51+'Coconut Oil Balance Sheet'!AA67</f>
        <v>114.06242668623915</v>
      </c>
      <c r="E183" s="21">
        <f t="shared" si="6"/>
        <v>1.3371560194149468</v>
      </c>
      <c r="F183" s="15">
        <f t="shared" si="7"/>
        <v>50.096126414688179</v>
      </c>
      <c r="G183" s="15">
        <f t="shared" si="8"/>
        <v>-9.9961264146881774</v>
      </c>
    </row>
    <row r="184" spans="1:7">
      <c r="A184" s="20">
        <v>43374</v>
      </c>
      <c r="B184" s="16">
        <f t="shared" ref="B184:B194" si="10">MROUND(56.172*(E184^-0.394),0.1)-10</f>
        <v>28.5</v>
      </c>
      <c r="C184" s="13">
        <f>'Coconut Oil Balance Sheet'!AA115</f>
        <v>143.77958682782159</v>
      </c>
      <c r="D184" s="13">
        <f>'Coconut Oil Balance Sheet'!AA52+'Coconut Oil Balance Sheet'!AA68</f>
        <v>55.069051762709378</v>
      </c>
      <c r="E184" s="21">
        <f t="shared" si="6"/>
        <v>2.6108963605794924</v>
      </c>
      <c r="F184" s="15">
        <f t="shared" si="7"/>
        <v>38.486176907539942</v>
      </c>
      <c r="G184" s="15">
        <f t="shared" si="8"/>
        <v>-9.9861769075399422</v>
      </c>
    </row>
    <row r="185" spans="1:7">
      <c r="A185" s="20">
        <v>43405</v>
      </c>
      <c r="B185" s="16">
        <f t="shared" si="10"/>
        <v>33.200000000000003</v>
      </c>
      <c r="C185" s="13">
        <f>'Coconut Oil Balance Sheet'!AA116</f>
        <v>152.74724153863224</v>
      </c>
      <c r="D185" s="13">
        <f>'Coconut Oil Balance Sheet'!AA53+'Coconut Oil Balance Sheet'!AA69</f>
        <v>78.355049685770894</v>
      </c>
      <c r="E185" s="21">
        <f t="shared" si="6"/>
        <v>1.9494243466272831</v>
      </c>
      <c r="F185" s="15">
        <f t="shared" si="7"/>
        <v>43.181405225191703</v>
      </c>
      <c r="G185" s="15">
        <f t="shared" si="8"/>
        <v>-9.9814052251917005</v>
      </c>
    </row>
    <row r="186" spans="1:7">
      <c r="A186" s="20">
        <v>43435</v>
      </c>
      <c r="B186" s="16">
        <f t="shared" si="10"/>
        <v>28.700000000000003</v>
      </c>
      <c r="C186" s="13">
        <f>'Coconut Oil Balance Sheet'!AA117</f>
        <v>167.08259799768132</v>
      </c>
      <c r="D186" s="13">
        <f>'Coconut Oil Balance Sheet'!AA54+'Coconut Oil Balance Sheet'!AA70</f>
        <v>65.112157941948453</v>
      </c>
      <c r="E186" s="21">
        <f t="shared" si="6"/>
        <v>2.5660737299882745</v>
      </c>
      <c r="F186" s="15">
        <f t="shared" si="7"/>
        <v>38.749655847918582</v>
      </c>
      <c r="G186" s="15">
        <f t="shared" si="8"/>
        <v>-10.049655847918579</v>
      </c>
    </row>
    <row r="187" spans="1:7">
      <c r="A187" s="20">
        <v>43466</v>
      </c>
      <c r="B187" s="16">
        <f t="shared" si="10"/>
        <v>30.800000000000004</v>
      </c>
      <c r="C187" s="13">
        <f>'Coconut Oil Balance Sheet'!AA118</f>
        <v>171.58373281925287</v>
      </c>
      <c r="D187" s="13">
        <f>'Coconut Oil Balance Sheet'!AA55+'Coconut Oil Balance Sheet'!AA71</f>
        <v>76.050430660245667</v>
      </c>
      <c r="E187" s="21">
        <f t="shared" si="6"/>
        <v>2.2561835788386397</v>
      </c>
      <c r="F187" s="15">
        <f t="shared" si="7"/>
        <v>40.765273478833343</v>
      </c>
      <c r="G187" s="15">
        <f t="shared" si="8"/>
        <v>-9.965273478833339</v>
      </c>
    </row>
    <row r="188" spans="1:7">
      <c r="A188" s="20">
        <v>43497</v>
      </c>
      <c r="B188" s="16">
        <f t="shared" si="10"/>
        <v>27.4</v>
      </c>
      <c r="C188" s="13">
        <f>'Coconut Oil Balance Sheet'!AA119</f>
        <v>174.5844893669672</v>
      </c>
      <c r="D188" s="13">
        <f>'Coconut Oil Balance Sheet'!AA56+'Coconut Oil Balance Sheet'!AA72</f>
        <v>62.300759562784648</v>
      </c>
      <c r="E188" s="21">
        <f t="shared" si="6"/>
        <v>2.802285085963145</v>
      </c>
      <c r="F188" s="15">
        <f t="shared" si="7"/>
        <v>37.428294230858199</v>
      </c>
      <c r="G188" s="15">
        <f t="shared" si="8"/>
        <v>-10.028294230858201</v>
      </c>
    </row>
    <row r="189" spans="1:7">
      <c r="A189" s="20">
        <v>43525</v>
      </c>
      <c r="B189" s="16">
        <f t="shared" si="10"/>
        <v>36</v>
      </c>
      <c r="C189" s="13">
        <f>'Coconut Oil Balance Sheet'!AA120</f>
        <v>159.64277478292254</v>
      </c>
      <c r="D189" s="13">
        <f>'Coconut Oil Balance Sheet'!AA57+'Coconut Oil Balance Sheet'!AA73</f>
        <v>96.163666018059445</v>
      </c>
      <c r="E189" s="21">
        <f t="shared" si="6"/>
        <v>1.6601153158298041</v>
      </c>
      <c r="F189" s="15">
        <f t="shared" si="7"/>
        <v>46.002921602987598</v>
      </c>
      <c r="G189" s="15">
        <f t="shared" si="8"/>
        <v>-10.002921602987598</v>
      </c>
    </row>
    <row r="190" spans="1:7">
      <c r="A190" s="20">
        <v>43556</v>
      </c>
      <c r="B190" s="16">
        <f t="shared" si="10"/>
        <v>35.700000000000003</v>
      </c>
      <c r="C190" s="13">
        <f>'Coconut Oil Balance Sheet'!AA121</f>
        <v>166.25183962170314</v>
      </c>
      <c r="D190" s="13">
        <f>'Coconut Oil Balance Sheet'!AA58+'Coconut Oil Balance Sheet'!AA74</f>
        <v>98.604571941165304</v>
      </c>
      <c r="E190" s="21">
        <f t="shared" si="6"/>
        <v>1.686045954551693</v>
      </c>
      <c r="F190" s="15">
        <f t="shared" si="7"/>
        <v>45.722855009095206</v>
      </c>
      <c r="G190" s="15">
        <f t="shared" si="8"/>
        <v>-10.022855009095203</v>
      </c>
    </row>
    <row r="191" spans="1:7">
      <c r="A191" s="20">
        <v>43586</v>
      </c>
      <c r="B191" s="16">
        <f t="shared" si="10"/>
        <v>30.700000000000003</v>
      </c>
      <c r="C191" s="13">
        <f>'Coconut Oil Balance Sheet'!AA122</f>
        <v>167.49558994895784</v>
      </c>
      <c r="D191" s="13">
        <f>'Coconut Oil Balance Sheet'!AA59+'Coconut Oil Balance Sheet'!AA75</f>
        <v>74.04836058869806</v>
      </c>
      <c r="E191" s="21">
        <f t="shared" si="6"/>
        <v>2.2619756685676382</v>
      </c>
      <c r="F191" s="15">
        <f t="shared" si="7"/>
        <v>40.724113871521538</v>
      </c>
      <c r="G191" s="15">
        <f t="shared" si="8"/>
        <v>-10.024113871521536</v>
      </c>
    </row>
    <row r="192" spans="1:7">
      <c r="A192" s="20">
        <v>43617</v>
      </c>
      <c r="B192" s="16">
        <f t="shared" si="10"/>
        <v>34.1</v>
      </c>
      <c r="C192" s="13">
        <f>'Coconut Oil Balance Sheet'!AA123</f>
        <v>182.24513197763974</v>
      </c>
      <c r="D192" s="13">
        <f>'Coconut Oil Balance Sheet'!AA60+'Coconut Oil Balance Sheet'!AA76</f>
        <v>98.523714698881889</v>
      </c>
      <c r="E192" s="21">
        <f t="shared" si="6"/>
        <v>1.8497590405988618</v>
      </c>
      <c r="F192" s="15">
        <f t="shared" si="7"/>
        <v>44.083545348950807</v>
      </c>
      <c r="G192" s="15">
        <f t="shared" si="8"/>
        <v>-9.9835453489508055</v>
      </c>
    </row>
    <row r="193" spans="1:7">
      <c r="A193" s="20">
        <v>43647</v>
      </c>
      <c r="B193" s="16">
        <f t="shared" si="10"/>
        <v>30.400000000000006</v>
      </c>
      <c r="C193" s="13">
        <f>'Coconut Oil Balance Sheet'!AA124</f>
        <v>184.43505069255781</v>
      </c>
      <c r="D193" s="13">
        <f>'Coconut Oil Balance Sheet'!AA61+'Coconut Oil Balance Sheet'!AA77</f>
        <v>80.071636813641916</v>
      </c>
      <c r="E193" s="21">
        <f t="shared" si="6"/>
        <v>2.3033755525918678</v>
      </c>
      <c r="F193" s="15">
        <f t="shared" si="7"/>
        <v>40.434136649117526</v>
      </c>
      <c r="G193" s="15">
        <f t="shared" si="8"/>
        <v>-10.034136649117521</v>
      </c>
    </row>
    <row r="194" spans="1:7">
      <c r="A194" s="20">
        <v>43678</v>
      </c>
      <c r="B194" s="16">
        <f t="shared" si="10"/>
        <v>20.5</v>
      </c>
      <c r="C194" s="13">
        <f>'Coconut Oil Balance Sheet'!AA125</f>
        <v>187.17596940747586</v>
      </c>
      <c r="D194" s="13">
        <f>'Coconut Oil Balance Sheet'!AA62+'Coconut Oil Balance Sheet'!AA78</f>
        <v>39.885849751463994</v>
      </c>
      <c r="E194" s="21">
        <f t="shared" si="6"/>
        <v>4.692791317567595</v>
      </c>
      <c r="F194" s="15">
        <f t="shared" si="7"/>
        <v>30.547521404037898</v>
      </c>
      <c r="G194" s="15">
        <f t="shared" si="8"/>
        <v>-10.047521404037898</v>
      </c>
    </row>
    <row r="195" spans="1:7">
      <c r="A195" s="20">
        <v>43709</v>
      </c>
      <c r="B195" s="16">
        <f>MROUND(56.172*(E195^-0.394),0.1)-10</f>
        <v>35.300000000000004</v>
      </c>
      <c r="C195" s="13">
        <f>'Coconut Oil Balance Sheet'!AA126</f>
        <v>210.33216551951185</v>
      </c>
      <c r="D195" s="13">
        <f>'Coconut Oil Balance Sheet'!AB51+'Coconut Oil Balance Sheet'!AB67</f>
        <v>122.12620339067851</v>
      </c>
      <c r="E195" s="21">
        <f t="shared" si="6"/>
        <v>1.7222525525227765</v>
      </c>
      <c r="F195" s="15">
        <f t="shared" si="7"/>
        <v>45.341693133378094</v>
      </c>
      <c r="G195" s="15">
        <f t="shared" si="8"/>
        <v>-10.041693133378089</v>
      </c>
    </row>
    <row r="196" spans="1:7">
      <c r="A196" s="20">
        <v>43739</v>
      </c>
      <c r="B196" s="16">
        <f>MROUND(56.172*(E196^-0.394),0.1)-5</f>
        <v>12.3</v>
      </c>
      <c r="C196" s="13">
        <f>'Coconut Oil Balance Sheet'!AB115</f>
        <v>209.71387121095336</v>
      </c>
      <c r="D196" s="13">
        <f>'Coconut Oil Balance Sheet'!AB52+'Coconut Oil Balance Sheet'!AB68</f>
        <v>10.605703347647097</v>
      </c>
      <c r="E196" s="21">
        <f t="shared" ref="E196:E255" si="11">C196/D196</f>
        <v>19.773688206872102</v>
      </c>
      <c r="F196" s="15">
        <f t="shared" ref="F196:F255" si="12">56.172*(E196^-0.394)</f>
        <v>17.332505253783882</v>
      </c>
      <c r="G196" s="15">
        <f t="shared" ref="G196:G255" si="13">B196-F196</f>
        <v>-5.0325052537838815</v>
      </c>
    </row>
    <row r="197" spans="1:7">
      <c r="A197" s="20">
        <v>43770</v>
      </c>
      <c r="B197" s="16">
        <f t="shared" ref="B197:B207" si="14">MROUND(56.172*(E197^-0.394),0.1)-5</f>
        <v>35.700000000000003</v>
      </c>
      <c r="C197" s="13">
        <f>'Coconut Oil Balance Sheet'!AB116</f>
        <v>276.49085015362624</v>
      </c>
      <c r="D197" s="13">
        <f>'Coconut Oil Balance Sheet'!AB53+'Coconut Oil Balance Sheet'!AB69</f>
        <v>122.20045427866559</v>
      </c>
      <c r="E197" s="21">
        <f t="shared" si="11"/>
        <v>2.2626008371713353</v>
      </c>
      <c r="F197" s="15">
        <f t="shared" si="12"/>
        <v>40.719680098626526</v>
      </c>
      <c r="G197" s="15">
        <f t="shared" si="13"/>
        <v>-5.0196800986265231</v>
      </c>
    </row>
    <row r="198" spans="1:7">
      <c r="A198" s="20">
        <v>43800</v>
      </c>
      <c r="B198" s="16">
        <f t="shared" si="14"/>
        <v>38.1</v>
      </c>
      <c r="C198" s="13">
        <f>'Coconut Oil Balance Sheet'!AB117</f>
        <v>253.13608562744065</v>
      </c>
      <c r="D198" s="13">
        <f>'Coconut Oil Balance Sheet'!AB54+'Coconut Oil Balance Sheet'!AB70</f>
        <v>129.13814164622556</v>
      </c>
      <c r="E198" s="21">
        <f t="shared" si="11"/>
        <v>1.960196131061789</v>
      </c>
      <c r="F198" s="15">
        <f t="shared" si="12"/>
        <v>43.087755657503038</v>
      </c>
      <c r="G198" s="15">
        <f t="shared" si="13"/>
        <v>-4.9877556575030368</v>
      </c>
    </row>
    <row r="199" spans="1:7">
      <c r="A199" s="20">
        <v>43831</v>
      </c>
      <c r="B199" s="16">
        <f t="shared" si="14"/>
        <v>36.700000000000003</v>
      </c>
      <c r="C199" s="13">
        <f>'Coconut Oil Balance Sheet'!AB118</f>
        <v>237.19932110125507</v>
      </c>
      <c r="D199" s="13">
        <f>'Coconut Oil Balance Sheet'!AB55+'Coconut Oil Balance Sheet'!AB71</f>
        <v>111.59191069068986</v>
      </c>
      <c r="E199" s="21">
        <f t="shared" si="11"/>
        <v>2.1255960188612906</v>
      </c>
      <c r="F199" s="15">
        <f t="shared" si="12"/>
        <v>41.734237226930837</v>
      </c>
      <c r="G199" s="15">
        <f t="shared" si="13"/>
        <v>-5.0342372269308342</v>
      </c>
    </row>
    <row r="200" spans="1:7">
      <c r="A200" s="20">
        <v>43862</v>
      </c>
      <c r="B200" s="16">
        <f t="shared" si="14"/>
        <v>37.1</v>
      </c>
      <c r="C200" s="13">
        <f>'Coconut Oil Balance Sheet'!AB119</f>
        <v>219.8233915491852</v>
      </c>
      <c r="D200" s="13">
        <f>'Coconut Oil Balance Sheet'!AB56+'Coconut Oil Balance Sheet'!AB72</f>
        <v>105.44760731070983</v>
      </c>
      <c r="E200" s="21">
        <f t="shared" si="11"/>
        <v>2.0846693173554707</v>
      </c>
      <c r="F200" s="15">
        <f t="shared" si="12"/>
        <v>42.055155241667741</v>
      </c>
      <c r="G200" s="15">
        <f t="shared" si="13"/>
        <v>-4.9551552416677396</v>
      </c>
    </row>
    <row r="201" spans="1:7">
      <c r="A201" s="20">
        <v>43891</v>
      </c>
      <c r="B201" s="16">
        <f t="shared" si="14"/>
        <v>37</v>
      </c>
      <c r="C201" s="13">
        <f>'Coconut Oil Balance Sheet'!AB120</f>
        <v>210.98746199711536</v>
      </c>
      <c r="D201" s="13">
        <f>'Coconut Oil Balance Sheet'!AB57+'Coconut Oil Balance Sheet'!AB73</f>
        <v>100.58301432622807</v>
      </c>
      <c r="E201" s="21">
        <f t="shared" si="11"/>
        <v>2.0976450488231011</v>
      </c>
      <c r="F201" s="15">
        <f t="shared" si="12"/>
        <v>41.952464508580661</v>
      </c>
      <c r="G201" s="15">
        <f t="shared" si="13"/>
        <v>-4.9524645085806611</v>
      </c>
    </row>
    <row r="202" spans="1:7">
      <c r="A202" s="20">
        <v>43922</v>
      </c>
      <c r="B202" s="16">
        <f t="shared" si="14"/>
        <v>35.200000000000003</v>
      </c>
      <c r="C202" s="13">
        <f>'Coconut Oil Balance Sheet'!AB121</f>
        <v>191.70933192466723</v>
      </c>
      <c r="D202" s="13">
        <f>'Coconut Oil Balance Sheet'!AB58+'Coconut Oil Balance Sheet'!AB74</f>
        <v>81.946843568295122</v>
      </c>
      <c r="E202" s="21">
        <f t="shared" si="11"/>
        <v>2.339435218940376</v>
      </c>
      <c r="F202" s="15">
        <f t="shared" si="12"/>
        <v>40.187421675793836</v>
      </c>
      <c r="G202" s="15">
        <f t="shared" si="13"/>
        <v>-4.9874216757938328</v>
      </c>
    </row>
    <row r="203" spans="1:7">
      <c r="A203" s="20">
        <v>43952</v>
      </c>
      <c r="B203" s="16">
        <f t="shared" si="14"/>
        <v>44.400000000000006</v>
      </c>
      <c r="C203" s="13">
        <f>'Coconut Oil Balance Sheet'!AB122</f>
        <v>190.23401963629215</v>
      </c>
      <c r="D203" s="13">
        <f>'Coconut Oil Balance Sheet'!AB59+'Coconut Oil Balance Sheet'!AB75</f>
        <v>137.52094127863356</v>
      </c>
      <c r="E203" s="21">
        <f t="shared" si="11"/>
        <v>1.3833094644898896</v>
      </c>
      <c r="F203" s="15">
        <f t="shared" si="12"/>
        <v>49.430802808842529</v>
      </c>
      <c r="G203" s="15">
        <f t="shared" si="13"/>
        <v>-5.0308028088425232</v>
      </c>
    </row>
    <row r="204" spans="1:7">
      <c r="A204" s="20">
        <v>43983</v>
      </c>
      <c r="B204" s="16">
        <f t="shared" si="14"/>
        <v>43.7</v>
      </c>
      <c r="C204" s="13">
        <f>'Coconut Oil Balance Sheet'!AB123</f>
        <v>117.59365384243858</v>
      </c>
      <c r="D204" s="13">
        <f>'Coconut Oil Balance Sheet'!AB60+'Coconut Oil Balance Sheet'!AB76</f>
        <v>81.922487259898574</v>
      </c>
      <c r="E204" s="21">
        <f t="shared" si="11"/>
        <v>1.4354258247723053</v>
      </c>
      <c r="F204" s="15">
        <f t="shared" si="12"/>
        <v>48.71575857806603</v>
      </c>
      <c r="G204" s="15">
        <f t="shared" si="13"/>
        <v>-5.015758578066027</v>
      </c>
    </row>
    <row r="205" spans="1:7">
      <c r="A205" s="20">
        <v>44013</v>
      </c>
      <c r="B205" s="16">
        <f t="shared" si="14"/>
        <v>43.5</v>
      </c>
      <c r="C205" s="13">
        <f>'Coconut Oil Balance Sheet'!AB124</f>
        <v>138.32</v>
      </c>
      <c r="D205" s="13">
        <f>'Coconut Oil Balance Sheet'!AB61+'Coconut Oil Balance Sheet'!AB77</f>
        <v>95.251806276759979</v>
      </c>
      <c r="E205" s="21">
        <f t="shared" si="11"/>
        <v>1.452150939774336</v>
      </c>
      <c r="F205" s="15">
        <f t="shared" si="12"/>
        <v>48.493915753127752</v>
      </c>
      <c r="G205" s="15">
        <f t="shared" si="13"/>
        <v>-4.9939157531277516</v>
      </c>
    </row>
    <row r="206" spans="1:7">
      <c r="A206" s="20">
        <v>44044</v>
      </c>
      <c r="B206" s="16">
        <f t="shared" si="14"/>
        <v>37.6</v>
      </c>
      <c r="C206" s="13">
        <f>'Coconut Oil Balance Sheet'!AB125</f>
        <v>118.05900000000001</v>
      </c>
      <c r="D206" s="13">
        <f>'Coconut Oil Balance Sheet'!AB62+'Coconut Oil Balance Sheet'!AB78</f>
        <v>58.496005121839985</v>
      </c>
      <c r="E206" s="21">
        <f t="shared" si="11"/>
        <v>2.0182403867426095</v>
      </c>
      <c r="F206" s="15">
        <f t="shared" si="12"/>
        <v>42.595190757070093</v>
      </c>
      <c r="G206" s="15">
        <f t="shared" si="13"/>
        <v>-4.9951907570700911</v>
      </c>
    </row>
    <row r="207" spans="1:7">
      <c r="A207" s="20">
        <v>44075</v>
      </c>
      <c r="B207" s="16">
        <f t="shared" si="14"/>
        <v>44.400000000000006</v>
      </c>
      <c r="C207" s="13">
        <f>'Coconut Oil Balance Sheet'!AB126</f>
        <v>113.483</v>
      </c>
      <c r="D207" s="13">
        <f>'Coconut Oil Balance Sheet'!AC51+'Coconut Oil Balance Sheet'!AC67</f>
        <v>82.112513921659996</v>
      </c>
      <c r="E207" s="21">
        <f t="shared" si="11"/>
        <v>1.3820426945918285</v>
      </c>
      <c r="F207" s="15">
        <f t="shared" si="12"/>
        <v>49.448649166310545</v>
      </c>
      <c r="G207" s="15">
        <f t="shared" si="13"/>
        <v>-5.0486491663105397</v>
      </c>
    </row>
    <row r="208" spans="1:7">
      <c r="A208" s="20">
        <v>44105</v>
      </c>
      <c r="B208" s="16">
        <f>MROUND(56.172*(E208^-0.394),0.1)-2</f>
        <v>36.1</v>
      </c>
      <c r="C208" s="13">
        <f>'Coconut Oil Balance Sheet'!AC115</f>
        <v>129.09399999999999</v>
      </c>
      <c r="D208" s="13">
        <f>'Coconut Oil Balance Sheet'!AC52+'Coconut Oil Balance Sheet'!AC68</f>
        <v>48.290982398160018</v>
      </c>
      <c r="E208" s="21">
        <f t="shared" si="11"/>
        <v>2.6732527190194153</v>
      </c>
      <c r="F208" s="15">
        <f t="shared" si="12"/>
        <v>38.129939868769128</v>
      </c>
      <c r="G208" s="15">
        <f t="shared" si="13"/>
        <v>-2.0299398687691266</v>
      </c>
    </row>
    <row r="209" spans="1:7">
      <c r="A209" s="20">
        <v>44136</v>
      </c>
      <c r="B209" s="16">
        <f t="shared" ref="B209:B219" si="15">MROUND(56.172*(E209^-0.394),0.1)-2</f>
        <v>47.800000000000004</v>
      </c>
      <c r="C209" s="13">
        <f>'Coconut Oil Balance Sheet'!AC116</f>
        <v>117.925</v>
      </c>
      <c r="D209" s="13">
        <f>'Coconut Oil Balance Sheet'!AC53+'Coconut Oil Balance Sheet'!AC69</f>
        <v>87.083894548759972</v>
      </c>
      <c r="E209" s="21">
        <f t="shared" si="11"/>
        <v>1.3541539524736286</v>
      </c>
      <c r="F209" s="15">
        <f t="shared" si="12"/>
        <v>49.847419278348589</v>
      </c>
      <c r="G209" s="15">
        <f t="shared" si="13"/>
        <v>-2.0474192783485847</v>
      </c>
    </row>
    <row r="210" spans="1:7">
      <c r="A210" s="20">
        <v>44166</v>
      </c>
      <c r="B210" s="16">
        <f t="shared" si="15"/>
        <v>49.400000000000006</v>
      </c>
      <c r="C210" s="13">
        <f>'Coconut Oil Balance Sheet'!AC117</f>
        <v>122.423</v>
      </c>
      <c r="D210" s="13">
        <f>'Coconut Oil Balance Sheet'!AC54+'Coconut Oil Balance Sheet'!AC70</f>
        <v>97.619724637419992</v>
      </c>
      <c r="E210" s="21">
        <f t="shared" si="11"/>
        <v>1.2540805708549634</v>
      </c>
      <c r="F210" s="15">
        <f t="shared" si="12"/>
        <v>51.378292161329071</v>
      </c>
      <c r="G210" s="15">
        <f t="shared" si="13"/>
        <v>-1.9782921613290654</v>
      </c>
    </row>
    <row r="211" spans="1:7">
      <c r="A211" s="20">
        <v>44197</v>
      </c>
      <c r="B211" s="16">
        <f t="shared" si="15"/>
        <v>40.800000000000004</v>
      </c>
      <c r="C211" s="13">
        <f>'Coconut Oil Balance Sheet'!AC118</f>
        <v>119.64700000000001</v>
      </c>
      <c r="D211" s="13">
        <f>'Coconut Oil Balance Sheet'!AC55+'Coconut Oil Balance Sheet'!AC71</f>
        <v>59.93611358782001</v>
      </c>
      <c r="E211" s="21">
        <f t="shared" si="11"/>
        <v>1.9962422125466976</v>
      </c>
      <c r="F211" s="15">
        <f t="shared" si="12"/>
        <v>42.779516578862705</v>
      </c>
      <c r="G211" s="15">
        <f t="shared" si="13"/>
        <v>-1.9795165788627003</v>
      </c>
    </row>
    <row r="212" spans="1:7">
      <c r="A212" s="20">
        <v>44228</v>
      </c>
      <c r="B212" s="16">
        <f t="shared" si="15"/>
        <v>47.900000000000006</v>
      </c>
      <c r="C212" s="13">
        <f>'Coconut Oil Balance Sheet'!AC119</f>
        <v>102.715</v>
      </c>
      <c r="D212" s="13">
        <f>'Coconut Oil Balance Sheet'!AC56+'Coconut Oil Balance Sheet'!AC72</f>
        <v>76.102841315299997</v>
      </c>
      <c r="E212" s="21">
        <f t="shared" si="11"/>
        <v>1.3496867951939371</v>
      </c>
      <c r="F212" s="15">
        <f t="shared" si="12"/>
        <v>49.912357764507142</v>
      </c>
      <c r="G212" s="15">
        <f t="shared" si="13"/>
        <v>-2.0123577645071364</v>
      </c>
    </row>
    <row r="213" spans="1:7">
      <c r="A213" s="20">
        <v>44256</v>
      </c>
      <c r="B213" s="16">
        <f t="shared" si="15"/>
        <v>43.900000000000006</v>
      </c>
      <c r="C213" s="13">
        <f>'Coconut Oil Balance Sheet'!AC120</f>
        <v>97.498000000000005</v>
      </c>
      <c r="D213" s="13">
        <f>'Coconut Oil Balance Sheet'!AC57+'Coconut Oil Balance Sheet'!AC73</f>
        <v>58.501783255439982</v>
      </c>
      <c r="E213" s="21">
        <f t="shared" si="11"/>
        <v>1.6665816762249521</v>
      </c>
      <c r="F213" s="15">
        <f t="shared" si="12"/>
        <v>45.932512910851358</v>
      </c>
      <c r="G213" s="15">
        <f t="shared" si="13"/>
        <v>-2.0325129108513522</v>
      </c>
    </row>
    <row r="214" spans="1:7">
      <c r="A214" s="20">
        <v>44287</v>
      </c>
      <c r="B214" s="16">
        <f t="shared" si="15"/>
        <v>43.2</v>
      </c>
      <c r="C214" s="13">
        <f>'Coconut Oil Balance Sheet'!AC121</f>
        <v>128.59200000000001</v>
      </c>
      <c r="D214" s="13">
        <f>'Coconut Oil Balance Sheet'!AC58+'Coconut Oil Balance Sheet'!AC74</f>
        <v>74.271344150180013</v>
      </c>
      <c r="E214" s="21">
        <f t="shared" si="11"/>
        <v>1.7313810793565441</v>
      </c>
      <c r="F214" s="15">
        <f t="shared" si="12"/>
        <v>45.247352846218675</v>
      </c>
      <c r="G214" s="15">
        <f t="shared" si="13"/>
        <v>-2.0473528462186721</v>
      </c>
    </row>
    <row r="215" spans="1:7">
      <c r="A215" s="20">
        <v>44317</v>
      </c>
      <c r="B215" s="16">
        <f t="shared" si="15"/>
        <v>28.900000000000002</v>
      </c>
      <c r="C215" s="13">
        <f>'Coconut Oil Balance Sheet'!AC122</f>
        <v>129.506</v>
      </c>
      <c r="D215" s="13">
        <f>'Coconut Oil Balance Sheet'!AC59+'Coconut Oil Balance Sheet'!AC75</f>
        <v>28.420485141920025</v>
      </c>
      <c r="E215" s="21">
        <f t="shared" si="11"/>
        <v>4.556783578932631</v>
      </c>
      <c r="F215" s="15">
        <f t="shared" si="12"/>
        <v>30.903557494889807</v>
      </c>
      <c r="G215" s="15">
        <f t="shared" si="13"/>
        <v>-2.0035574948898045</v>
      </c>
    </row>
    <row r="216" spans="1:7">
      <c r="A216" s="20">
        <v>44348</v>
      </c>
      <c r="B216" s="16">
        <f t="shared" si="15"/>
        <v>48.7</v>
      </c>
      <c r="C216" s="13">
        <f>'Coconut Oil Balance Sheet'!AC123</f>
        <v>193.83699999999999</v>
      </c>
      <c r="D216" s="13">
        <f>'Coconut Oil Balance Sheet'!AC60+'Coconut Oil Balance Sheet'!AC76</f>
        <v>149.69094506965996</v>
      </c>
      <c r="E216" s="21">
        <f t="shared" si="11"/>
        <v>1.2949146650774119</v>
      </c>
      <c r="F216" s="15">
        <f t="shared" si="12"/>
        <v>50.733739466215873</v>
      </c>
      <c r="G216" s="15">
        <f t="shared" si="13"/>
        <v>-2.0337394662158701</v>
      </c>
    </row>
    <row r="217" spans="1:7">
      <c r="A217" s="20">
        <v>44378</v>
      </c>
      <c r="B217" s="16">
        <f t="shared" si="15"/>
        <v>42.6</v>
      </c>
      <c r="C217" s="13">
        <f>'Coconut Oil Balance Sheet'!AC124</f>
        <v>150.72200000000001</v>
      </c>
      <c r="D217" s="13">
        <f>'Coconut Oil Balance Sheet'!AC61+'Coconut Oil Balance Sheet'!AC77</f>
        <v>83.767278919939997</v>
      </c>
      <c r="E217" s="21">
        <f t="shared" si="11"/>
        <v>1.7992944493762477</v>
      </c>
      <c r="F217" s="15">
        <f t="shared" si="12"/>
        <v>44.566610430801184</v>
      </c>
      <c r="G217" s="15">
        <f t="shared" si="13"/>
        <v>-1.9666104308011825</v>
      </c>
    </row>
    <row r="218" spans="1:7">
      <c r="A218" s="20">
        <v>44409</v>
      </c>
      <c r="B218" s="16">
        <f t="shared" si="15"/>
        <v>52.5</v>
      </c>
      <c r="C218" s="13">
        <f>'Coconut Oil Balance Sheet'!AC125</f>
        <v>142.59300000000002</v>
      </c>
      <c r="D218" s="13">
        <f>'Coconut Oil Balance Sheet'!AC62+'Coconut Oil Balance Sheet'!AC78</f>
        <v>132.19763078954</v>
      </c>
      <c r="E218" s="21">
        <f t="shared" si="11"/>
        <v>1.0786350643984652</v>
      </c>
      <c r="F218" s="15">
        <f t="shared" si="12"/>
        <v>54.521440367920476</v>
      </c>
      <c r="G218" s="15">
        <f t="shared" si="13"/>
        <v>-2.0214403679204764</v>
      </c>
    </row>
    <row r="219" spans="1:7">
      <c r="A219" s="20">
        <v>44440</v>
      </c>
      <c r="B219" s="16">
        <f t="shared" si="15"/>
        <v>37.400000000000006</v>
      </c>
      <c r="C219" s="13">
        <f>'Coconut Oil Balance Sheet'!AC126</f>
        <v>114.749</v>
      </c>
      <c r="D219" s="13">
        <f>'Coconut Oil Balance Sheet'!AD51+'Coconut Oil Balance Sheet'!AD67</f>
        <v>46.607892991779977</v>
      </c>
      <c r="E219" s="21">
        <f t="shared" si="11"/>
        <v>2.462007883948707</v>
      </c>
      <c r="F219" s="15">
        <f t="shared" si="12"/>
        <v>39.386904323640721</v>
      </c>
      <c r="G219" s="15">
        <f t="shared" si="13"/>
        <v>-1.9869043236407151</v>
      </c>
    </row>
    <row r="220" spans="1:7">
      <c r="A220" s="20">
        <v>44470</v>
      </c>
      <c r="B220" s="16">
        <f>MROUND(56.172*(E220^-0.394),0.1)</f>
        <v>56.900000000000006</v>
      </c>
      <c r="C220" s="13">
        <f>'Coconut Oil Balance Sheet'!AD115</f>
        <v>126.65</v>
      </c>
      <c r="D220" s="13">
        <f>'Coconut Oil Balance Sheet'!AD52+'Coconut Oil Balance Sheet'!AD68</f>
        <v>130.94207567133995</v>
      </c>
      <c r="E220" s="21">
        <f t="shared" si="11"/>
        <v>0.96722156992445341</v>
      </c>
      <c r="F220" s="15">
        <f t="shared" si="12"/>
        <v>56.914464470242862</v>
      </c>
      <c r="G220" s="15">
        <f t="shared" si="13"/>
        <v>-1.4464470242856464E-2</v>
      </c>
    </row>
    <row r="221" spans="1:7">
      <c r="A221" s="20">
        <v>44501</v>
      </c>
      <c r="B221" s="16">
        <f t="shared" ref="B221:B255" si="16">MROUND(56.172*(E221^-0.394),0.1)</f>
        <v>42.6</v>
      </c>
      <c r="C221" s="13">
        <f>'Coconut Oil Balance Sheet'!AD116</f>
        <v>142.90699999999998</v>
      </c>
      <c r="D221" s="13">
        <f>'Coconut Oil Balance Sheet'!AD53+'Coconut Oil Balance Sheet'!AD69</f>
        <v>70.783674557019992</v>
      </c>
      <c r="E221" s="21">
        <f t="shared" si="11"/>
        <v>2.0189259867383806</v>
      </c>
      <c r="F221" s="15">
        <f t="shared" si="12"/>
        <v>42.589491058481983</v>
      </c>
      <c r="G221" s="15">
        <f t="shared" si="13"/>
        <v>1.0508941518018844E-2</v>
      </c>
    </row>
    <row r="222" spans="1:7">
      <c r="A222" s="20">
        <v>44531</v>
      </c>
      <c r="B222" s="16">
        <f t="shared" si="16"/>
        <v>54.6</v>
      </c>
      <c r="C222" s="13">
        <f>'Coconut Oil Balance Sheet'!AD117</f>
        <v>145.14699999999999</v>
      </c>
      <c r="D222" s="13">
        <f>'Coconut Oil Balance Sheet'!AD54+'Coconut Oil Balance Sheet'!AD70</f>
        <v>134.75912347283997</v>
      </c>
      <c r="E222" s="21">
        <f t="shared" si="11"/>
        <v>1.0770847736276175</v>
      </c>
      <c r="F222" s="15">
        <f t="shared" si="12"/>
        <v>54.55234599199806</v>
      </c>
      <c r="G222" s="15">
        <f t="shared" si="13"/>
        <v>4.7654008001941861E-2</v>
      </c>
    </row>
    <row r="223" spans="1:7">
      <c r="A223" s="20">
        <v>44562</v>
      </c>
      <c r="B223" s="16">
        <f t="shared" si="16"/>
        <v>49.1</v>
      </c>
      <c r="C223" s="13">
        <f>'Coconut Oil Balance Sheet'!AD118</f>
        <v>135.79500000000002</v>
      </c>
      <c r="D223" s="13">
        <f>'Coconut Oil Balance Sheet'!AD55+'Coconut Oil Balance Sheet'!AD71</f>
        <v>96.503704688640028</v>
      </c>
      <c r="E223" s="21">
        <f t="shared" si="11"/>
        <v>1.4071480513429986</v>
      </c>
      <c r="F223" s="15">
        <f t="shared" si="12"/>
        <v>49.099153931674046</v>
      </c>
      <c r="G223" s="15">
        <f t="shared" si="13"/>
        <v>8.4606832595568449E-4</v>
      </c>
    </row>
    <row r="224" spans="1:7">
      <c r="A224" s="20">
        <v>44593</v>
      </c>
      <c r="B224" s="16">
        <f t="shared" si="16"/>
        <v>42.1</v>
      </c>
      <c r="C224" s="13">
        <f>'Coconut Oil Balance Sheet'!AD119</f>
        <v>149.13400000000001</v>
      </c>
      <c r="D224" s="13">
        <f>'Coconut Oil Balance Sheet'!AD56+'Coconut Oil Balance Sheet'!AD72</f>
        <v>71.518211923060008</v>
      </c>
      <c r="E224" s="21">
        <f t="shared" si="11"/>
        <v>2.0852590688430497</v>
      </c>
      <c r="F224" s="15">
        <f t="shared" si="12"/>
        <v>42.050468600433341</v>
      </c>
      <c r="G224" s="15">
        <f t="shared" si="13"/>
        <v>4.9531399566660639E-2</v>
      </c>
    </row>
    <row r="225" spans="1:7">
      <c r="A225" s="20">
        <v>44621</v>
      </c>
      <c r="B225" s="16">
        <f t="shared" si="16"/>
        <v>44.2</v>
      </c>
      <c r="C225" s="13">
        <f>'Coconut Oil Balance Sheet'!AD120</f>
        <v>135.429</v>
      </c>
      <c r="D225" s="13">
        <f>'Coconut Oil Balance Sheet'!AD57+'Coconut Oil Balance Sheet'!AD73</f>
        <v>73.827279499099959</v>
      </c>
      <c r="E225" s="21">
        <f t="shared" si="11"/>
        <v>1.8344032303350828</v>
      </c>
      <c r="F225" s="15">
        <f t="shared" si="12"/>
        <v>44.228573609585659</v>
      </c>
      <c r="G225" s="15">
        <f t="shared" si="13"/>
        <v>-2.8573609585656357E-2</v>
      </c>
    </row>
    <row r="226" spans="1:7">
      <c r="A226" s="20">
        <v>44652</v>
      </c>
      <c r="B226" s="16">
        <f t="shared" si="16"/>
        <v>43.7</v>
      </c>
      <c r="C226" s="13">
        <f>'Coconut Oil Balance Sheet'!AD121</f>
        <v>172.64800000000002</v>
      </c>
      <c r="D226" s="13">
        <f>'Coconut Oil Balance Sheet'!AD58+'Coconut Oil Balance Sheet'!AD74</f>
        <v>91.299031667739996</v>
      </c>
      <c r="E226" s="21">
        <f t="shared" si="11"/>
        <v>1.891016770345487</v>
      </c>
      <c r="F226" s="15">
        <f t="shared" si="12"/>
        <v>43.702059834755964</v>
      </c>
      <c r="G226" s="15">
        <f t="shared" si="13"/>
        <v>-2.0598347559612762E-3</v>
      </c>
    </row>
    <row r="227" spans="1:7">
      <c r="A227" s="20">
        <v>44682</v>
      </c>
      <c r="B227" s="16">
        <f t="shared" si="16"/>
        <v>50.2</v>
      </c>
      <c r="C227" s="13">
        <f>'Coconut Oil Balance Sheet'!AD122</f>
        <v>154.42700000000002</v>
      </c>
      <c r="D227" s="13">
        <f>'Coconut Oil Balance Sheet'!AD59+'Coconut Oil Balance Sheet'!AD75</f>
        <v>116.07256903663999</v>
      </c>
      <c r="E227" s="21">
        <f t="shared" si="11"/>
        <v>1.3304349277498364</v>
      </c>
      <c r="F227" s="15">
        <f t="shared" si="12"/>
        <v>50.195685995975182</v>
      </c>
      <c r="G227" s="15">
        <f t="shared" si="13"/>
        <v>4.3140040248204059E-3</v>
      </c>
    </row>
    <row r="228" spans="1:7">
      <c r="A228" s="20">
        <v>44713</v>
      </c>
      <c r="B228" s="16">
        <f t="shared" si="16"/>
        <v>43.2</v>
      </c>
      <c r="C228" s="13">
        <f>'Coconut Oil Balance Sheet'!AD123</f>
        <v>121.46700000000001</v>
      </c>
      <c r="D228" s="13">
        <f>'Coconut Oil Balance Sheet'!AD60+'Coconut Oil Balance Sheet'!AD76</f>
        <v>62.19857508120004</v>
      </c>
      <c r="E228" s="21">
        <f t="shared" si="11"/>
        <v>1.9528903972707612</v>
      </c>
      <c r="F228" s="15">
        <f t="shared" si="12"/>
        <v>43.151192928660684</v>
      </c>
      <c r="G228" s="15">
        <f t="shared" si="13"/>
        <v>4.8807071339318497E-2</v>
      </c>
    </row>
    <row r="229" spans="1:7">
      <c r="A229" s="20">
        <v>44743</v>
      </c>
      <c r="B229" s="16">
        <f t="shared" si="16"/>
        <v>37.5</v>
      </c>
      <c r="C229" s="13">
        <f>'Coconut Oil Balance Sheet'!AD124</f>
        <v>176.27699999999999</v>
      </c>
      <c r="D229" s="13">
        <f>'Coconut Oil Balance Sheet'!AD61+'Coconut Oil Balance Sheet'!AD77</f>
        <v>63.276133469999984</v>
      </c>
      <c r="E229" s="21">
        <f t="shared" si="11"/>
        <v>2.7858370973879931</v>
      </c>
      <c r="F229" s="15">
        <f t="shared" si="12"/>
        <v>37.515205913090824</v>
      </c>
      <c r="G229" s="15">
        <f t="shared" si="13"/>
        <v>-1.5205913090824197E-2</v>
      </c>
    </row>
    <row r="230" spans="1:7">
      <c r="A230" s="20">
        <v>44774</v>
      </c>
      <c r="B230" s="16">
        <f t="shared" si="16"/>
        <v>58.800000000000004</v>
      </c>
      <c r="C230" s="13">
        <f>'Coconut Oil Balance Sheet'!AD125</f>
        <v>169.03899999999999</v>
      </c>
      <c r="D230" s="13">
        <f>'Coconut Oil Balance Sheet'!AD62+'Coconut Oil Balance Sheet'!AD78</f>
        <v>189.51328333846004</v>
      </c>
      <c r="E230" s="21">
        <f t="shared" si="11"/>
        <v>0.89196386143606543</v>
      </c>
      <c r="F230" s="15">
        <f t="shared" si="12"/>
        <v>58.760173186870212</v>
      </c>
      <c r="G230" s="15">
        <f t="shared" si="13"/>
        <v>3.9826813129792527E-2</v>
      </c>
    </row>
    <row r="231" spans="1:7">
      <c r="A231" s="20">
        <v>44805</v>
      </c>
      <c r="B231" s="16">
        <f t="shared" si="16"/>
        <v>52.300000000000004</v>
      </c>
      <c r="C231" s="13">
        <f>'Coconut Oil Balance Sheet'!AD126</f>
        <v>146.328</v>
      </c>
      <c r="D231" s="13">
        <f>'Coconut Oil Balance Sheet'!AE51+'Coconut Oil Balance Sheet'!AE67</f>
        <v>121.88515957048001</v>
      </c>
      <c r="E231" s="21">
        <f t="shared" si="11"/>
        <v>1.2005399222978079</v>
      </c>
      <c r="F231" s="15">
        <f t="shared" si="12"/>
        <v>52.26915800950524</v>
      </c>
      <c r="G231" s="15">
        <f t="shared" si="13"/>
        <v>3.0841990494764104E-2</v>
      </c>
    </row>
    <row r="232" spans="1:7">
      <c r="A232" s="20">
        <v>44835</v>
      </c>
      <c r="B232" s="16">
        <f t="shared" si="16"/>
        <v>49.5</v>
      </c>
      <c r="C232" s="13">
        <f>'Coconut Oil Balance Sheet'!AE115</f>
        <v>120.85</v>
      </c>
      <c r="D232" s="13">
        <f>'Coconut Oil Balance Sheet'!AE52+'Coconut Oil Balance Sheet'!AE68</f>
        <v>87.87944950619999</v>
      </c>
      <c r="E232" s="21">
        <f t="shared" si="11"/>
        <v>1.3751793016349505</v>
      </c>
      <c r="F232" s="15">
        <f t="shared" si="12"/>
        <v>49.545739207771881</v>
      </c>
      <c r="G232" s="15">
        <f t="shared" si="13"/>
        <v>-4.5739207771880785E-2</v>
      </c>
    </row>
    <row r="233" spans="1:7">
      <c r="A233" s="20">
        <v>44866</v>
      </c>
      <c r="B233" s="16">
        <f t="shared" si="16"/>
        <v>47.7</v>
      </c>
      <c r="C233" s="13">
        <f>'Coconut Oil Balance Sheet'!AE116</f>
        <v>135.00700000000001</v>
      </c>
      <c r="D233" s="13">
        <f>'Coconut Oil Balance Sheet'!AE53+'Coconut Oil Balance Sheet'!AE69</f>
        <v>89.065549768659977</v>
      </c>
      <c r="E233" s="21">
        <f t="shared" si="11"/>
        <v>1.5158161640574717</v>
      </c>
      <c r="F233" s="15">
        <f t="shared" si="12"/>
        <v>47.680977784931812</v>
      </c>
      <c r="G233" s="15">
        <f t="shared" si="13"/>
        <v>1.9022215068190462E-2</v>
      </c>
    </row>
    <row r="234" spans="1:7">
      <c r="A234" s="20">
        <v>44896</v>
      </c>
      <c r="B234" s="16">
        <f t="shared" si="16"/>
        <v>31.5</v>
      </c>
      <c r="C234" s="13">
        <f>'Coconut Oil Balance Sheet'!AE117</f>
        <v>126.947</v>
      </c>
      <c r="D234" s="13">
        <f>'Coconut Oil Balance Sheet'!AE54+'Coconut Oil Balance Sheet'!AE70</f>
        <v>29.245607456259982</v>
      </c>
      <c r="E234" s="21">
        <f t="shared" si="11"/>
        <v>4.3407202325977732</v>
      </c>
      <c r="F234" s="15">
        <f t="shared" si="12"/>
        <v>31.500724299531875</v>
      </c>
      <c r="G234" s="15">
        <f t="shared" si="13"/>
        <v>-7.2429953187480578E-4</v>
      </c>
    </row>
    <row r="235" spans="1:7">
      <c r="A235" s="20">
        <v>44927</v>
      </c>
      <c r="B235" s="16">
        <f t="shared" si="16"/>
        <v>53.7</v>
      </c>
      <c r="C235" s="13">
        <f>'Coconut Oil Balance Sheet'!AE118</f>
        <v>133.995</v>
      </c>
      <c r="D235" s="13">
        <f>'Coconut Oil Balance Sheet'!AE55+'Coconut Oil Balance Sheet'!AE71</f>
        <v>119.43109663366</v>
      </c>
      <c r="E235" s="21">
        <f t="shared" si="11"/>
        <v>1.1219439808964742</v>
      </c>
      <c r="F235" s="15">
        <f t="shared" si="12"/>
        <v>53.682316101934738</v>
      </c>
      <c r="G235" s="15">
        <f t="shared" si="13"/>
        <v>1.7683898065264714E-2</v>
      </c>
    </row>
    <row r="236" spans="1:7">
      <c r="A236" s="20">
        <v>44958</v>
      </c>
      <c r="B236" s="16">
        <f t="shared" si="16"/>
        <v>40.700000000000003</v>
      </c>
      <c r="C236" s="13">
        <f>'Coconut Oil Balance Sheet'!AE119</f>
        <v>147.53399999999999</v>
      </c>
      <c r="D236" s="13">
        <f>'Coconut Oil Balance Sheet'!AE56+'Coconut Oil Balance Sheet'!AE72</f>
        <v>64.955433775460008</v>
      </c>
      <c r="E236" s="21">
        <f t="shared" si="11"/>
        <v>2.2713111348005182</v>
      </c>
      <c r="F236" s="15">
        <f t="shared" si="12"/>
        <v>40.658082705792758</v>
      </c>
      <c r="G236" s="15">
        <f t="shared" si="13"/>
        <v>4.1917294207244993E-2</v>
      </c>
    </row>
    <row r="237" spans="1:7">
      <c r="A237" s="20">
        <v>44986</v>
      </c>
      <c r="B237" s="16">
        <f t="shared" si="16"/>
        <v>43.400000000000006</v>
      </c>
      <c r="C237" s="13">
        <f>'Coconut Oil Balance Sheet'!AE120</f>
        <v>126.82899999999999</v>
      </c>
      <c r="D237" s="13">
        <f>'Coconut Oil Balance Sheet'!AE57+'Coconut Oil Balance Sheet'!AE73</f>
        <v>66.059573987022361</v>
      </c>
      <c r="E237" s="21">
        <f t="shared" si="11"/>
        <v>1.9199185272511143</v>
      </c>
      <c r="F237" s="15">
        <f t="shared" si="12"/>
        <v>43.441665192342498</v>
      </c>
      <c r="G237" s="15">
        <f t="shared" si="13"/>
        <v>-4.1665192342492219E-2</v>
      </c>
    </row>
    <row r="238" spans="1:7">
      <c r="A238" s="20">
        <v>45017</v>
      </c>
      <c r="B238" s="16">
        <f t="shared" si="16"/>
        <v>52.900000000000006</v>
      </c>
      <c r="C238" s="13">
        <f>'Coconut Oil Balance Sheet'!AE121</f>
        <v>156.14800000000002</v>
      </c>
      <c r="D238" s="13">
        <f>'Coconut Oil Balance Sheet'!AE58+'Coconut Oil Balance Sheet'!AE74</f>
        <v>134.09474495881966</v>
      </c>
      <c r="E238" s="21">
        <f t="shared" si="11"/>
        <v>1.1644602482219037</v>
      </c>
      <c r="F238" s="15">
        <f t="shared" si="12"/>
        <v>52.901351607918137</v>
      </c>
      <c r="G238" s="15">
        <f t="shared" si="13"/>
        <v>-1.3516079181314922E-3</v>
      </c>
    </row>
    <row r="239" spans="1:7">
      <c r="A239" s="20">
        <v>45047</v>
      </c>
      <c r="B239" s="16">
        <f t="shared" si="16"/>
        <v>49</v>
      </c>
      <c r="C239" s="13">
        <f>'Coconut Oil Balance Sheet'!AE122</f>
        <v>128.92700000000002</v>
      </c>
      <c r="D239" s="13">
        <f>'Coconut Oil Balance Sheet'!AE59+'Coconut Oil Balance Sheet'!AE75</f>
        <v>90.967585721324397</v>
      </c>
      <c r="E239" s="21">
        <f t="shared" si="11"/>
        <v>1.4172850579431973</v>
      </c>
      <c r="F239" s="15">
        <f t="shared" si="12"/>
        <v>48.960489032513891</v>
      </c>
      <c r="G239" s="15">
        <f t="shared" si="13"/>
        <v>3.9510967486108939E-2</v>
      </c>
    </row>
    <row r="240" spans="1:7">
      <c r="A240" s="20">
        <v>45078</v>
      </c>
      <c r="B240" s="16">
        <f t="shared" si="16"/>
        <v>39.900000000000006</v>
      </c>
      <c r="C240" s="13">
        <f>'Coconut Oil Balance Sheet'!AE123</f>
        <v>120.167</v>
      </c>
      <c r="D240" s="13">
        <f>'Coconut Oil Balance Sheet'!AE60+'Coconut Oil Balance Sheet'!AE76</f>
        <v>50.564780213953277</v>
      </c>
      <c r="E240" s="21">
        <f t="shared" si="11"/>
        <v>2.3764960411484215</v>
      </c>
      <c r="F240" s="15">
        <f t="shared" si="12"/>
        <v>39.939320487811948</v>
      </c>
      <c r="G240" s="15">
        <f t="shared" si="13"/>
        <v>-3.9320487811941973E-2</v>
      </c>
    </row>
    <row r="241" spans="1:7">
      <c r="A241" s="20">
        <v>45108</v>
      </c>
      <c r="B241" s="16">
        <f t="shared" si="16"/>
        <v>46.300000000000004</v>
      </c>
      <c r="C241" s="13">
        <f>'Coconut Oil Balance Sheet'!AE124</f>
        <v>168.85399999999998</v>
      </c>
      <c r="D241" s="13">
        <f>'Coconut Oil Balance Sheet'!AE61+'Coconut Oil Balance Sheet'!AE77</f>
        <v>103.19129915078632</v>
      </c>
      <c r="E241" s="21">
        <f t="shared" si="11"/>
        <v>1.6363201295999317</v>
      </c>
      <c r="F241" s="15">
        <f t="shared" si="12"/>
        <v>46.26534314311251</v>
      </c>
      <c r="G241" s="15">
        <f t="shared" si="13"/>
        <v>3.4656856887494314E-2</v>
      </c>
    </row>
    <row r="242" spans="1:7">
      <c r="A242" s="20">
        <v>45139</v>
      </c>
      <c r="B242" s="16">
        <f t="shared" si="16"/>
        <v>58.7</v>
      </c>
      <c r="C242" s="13">
        <f>'Coconut Oil Balance Sheet'!AE125</f>
        <v>153.339</v>
      </c>
      <c r="D242" s="13">
        <f>'Coconut Oil Balance Sheet'!AE62+'Coconut Oil Balance Sheet'!AE78</f>
        <v>171.35971925737408</v>
      </c>
      <c r="E242" s="21">
        <f t="shared" si="11"/>
        <v>0.89483690020343798</v>
      </c>
      <c r="F242" s="15">
        <f t="shared" si="12"/>
        <v>58.685768565677954</v>
      </c>
      <c r="G242" s="15">
        <f t="shared" si="13"/>
        <v>1.4231434322049097E-2</v>
      </c>
    </row>
    <row r="243" spans="1:7">
      <c r="A243" s="20">
        <v>45170</v>
      </c>
      <c r="B243" s="16">
        <f t="shared" si="16"/>
        <v>52.900000000000006</v>
      </c>
      <c r="C243" s="13">
        <f>'Coconut Oil Balance Sheet'!AE126</f>
        <v>137.62799999999999</v>
      </c>
      <c r="D243" s="13">
        <f>'Coconut Oil Balance Sheet'!AF51+'Coconut Oil Balance Sheet'!AF67</f>
        <v>117.96733247830717</v>
      </c>
      <c r="E243" s="21">
        <f t="shared" si="11"/>
        <v>1.1666619657209607</v>
      </c>
      <c r="F243" s="15">
        <f t="shared" si="12"/>
        <v>52.861994057289515</v>
      </c>
      <c r="G243" s="15">
        <f t="shared" si="13"/>
        <v>3.800594271049107E-2</v>
      </c>
    </row>
    <row r="244" spans="1:7">
      <c r="A244" s="20">
        <v>45200</v>
      </c>
      <c r="B244" s="16">
        <f t="shared" si="16"/>
        <v>44.6</v>
      </c>
      <c r="C244" s="13">
        <f>'Coconut Oil Balance Sheet'!AF115</f>
        <v>105.85</v>
      </c>
      <c r="D244" s="13">
        <f>'Coconut Oil Balance Sheet'!AF52+'Coconut Oil Balance Sheet'!AF68</f>
        <v>59.084525559956752</v>
      </c>
      <c r="E244" s="21">
        <f t="shared" si="11"/>
        <v>1.791501226367425</v>
      </c>
      <c r="F244" s="15">
        <f t="shared" si="12"/>
        <v>44.642894585483091</v>
      </c>
      <c r="G244" s="15">
        <f t="shared" si="13"/>
        <v>-4.2894585483089998E-2</v>
      </c>
    </row>
    <row r="245" spans="1:7">
      <c r="A245" s="20">
        <v>45231</v>
      </c>
      <c r="B245" s="16">
        <f t="shared" si="16"/>
        <v>46.400000000000006</v>
      </c>
      <c r="C245" s="13">
        <f>'Coconut Oil Balance Sheet'!AF116</f>
        <v>127.907</v>
      </c>
      <c r="D245" s="13">
        <f>'Coconut Oil Balance Sheet'!AF53+'Coconut Oil Balance Sheet'!AF69</f>
        <v>78.591922222439948</v>
      </c>
      <c r="E245" s="21">
        <f t="shared" si="11"/>
        <v>1.6274827791841358</v>
      </c>
      <c r="F245" s="15">
        <f t="shared" si="12"/>
        <v>46.364163090458561</v>
      </c>
      <c r="G245" s="15">
        <f t="shared" si="13"/>
        <v>3.5836909541444584E-2</v>
      </c>
    </row>
    <row r="246" spans="1:7">
      <c r="A246" s="20">
        <v>45261</v>
      </c>
      <c r="B246" s="16">
        <f t="shared" si="16"/>
        <v>51.7</v>
      </c>
      <c r="C246" s="13">
        <f>'Coconut Oil Balance Sheet'!AF117</f>
        <v>123.14700000000001</v>
      </c>
      <c r="D246" s="13">
        <f>'Coconut Oil Balance Sheet'!AF54+'Coconut Oil Balance Sheet'!AF70</f>
        <v>99.996726819829277</v>
      </c>
      <c r="E246" s="21">
        <f t="shared" si="11"/>
        <v>1.2315103095512527</v>
      </c>
      <c r="F246" s="15">
        <f t="shared" si="12"/>
        <v>51.747252343957747</v>
      </c>
      <c r="G246" s="15">
        <f t="shared" si="13"/>
        <v>-4.7252343957744358E-2</v>
      </c>
    </row>
    <row r="247" spans="1:7">
      <c r="A247" s="20">
        <v>45292</v>
      </c>
      <c r="B247" s="16">
        <f t="shared" si="16"/>
        <v>43.300000000000004</v>
      </c>
      <c r="C247" s="13">
        <f>'Coconut Oil Balance Sheet'!AF118</f>
        <v>130.29500000000002</v>
      </c>
      <c r="D247" s="13">
        <f>'Coconut Oil Balance Sheet'!AF55+'Coconut Oil Balance Sheet'!AF71</f>
        <v>67.17490044816077</v>
      </c>
      <c r="E247" s="21">
        <f t="shared" si="11"/>
        <v>1.9396381554826325</v>
      </c>
      <c r="F247" s="15">
        <f t="shared" si="12"/>
        <v>43.267113612642419</v>
      </c>
      <c r="G247" s="15">
        <f t="shared" si="13"/>
        <v>3.2886387357585534E-2</v>
      </c>
    </row>
    <row r="248" spans="1:7">
      <c r="A248" s="20">
        <v>45323</v>
      </c>
      <c r="B248" s="16">
        <f t="shared" si="16"/>
        <v>46.1</v>
      </c>
      <c r="C248" s="13">
        <f>'Coconut Oil Balance Sheet'!AF119</f>
        <v>139.53399999999999</v>
      </c>
      <c r="D248" s="13">
        <f>'Coconut Oil Balance Sheet'!AF56+'Coconut Oil Balance Sheet'!AF72</f>
        <v>84.532168211885576</v>
      </c>
      <c r="E248" s="21">
        <f t="shared" si="11"/>
        <v>1.6506615523009964</v>
      </c>
      <c r="F248" s="15">
        <f t="shared" si="12"/>
        <v>46.106549415294246</v>
      </c>
      <c r="G248" s="15">
        <f t="shared" si="13"/>
        <v>-6.5494152942449091E-3</v>
      </c>
    </row>
    <row r="249" spans="1:7">
      <c r="A249" s="20">
        <v>45352</v>
      </c>
      <c r="B249" s="16">
        <f t="shared" si="16"/>
        <v>46.900000000000006</v>
      </c>
      <c r="C249" s="13">
        <f>'Coconut Oil Balance Sheet'!AF120</f>
        <v>128.06833480141023</v>
      </c>
      <c r="D249" s="13">
        <f>'Coconut Oil Balance Sheet'!AF57+'Coconut Oil Balance Sheet'!AF73</f>
        <v>81.205312099735096</v>
      </c>
      <c r="E249" s="21">
        <f t="shared" si="11"/>
        <v>1.5770930680510002</v>
      </c>
      <c r="F249" s="15">
        <f t="shared" si="12"/>
        <v>46.942271611395761</v>
      </c>
      <c r="G249" s="15">
        <f t="shared" si="13"/>
        <v>-4.227161139575486E-2</v>
      </c>
    </row>
    <row r="250" spans="1:7">
      <c r="A250" s="20">
        <v>45383</v>
      </c>
      <c r="B250" s="16">
        <f t="shared" si="16"/>
        <v>47.7</v>
      </c>
      <c r="C250" s="13">
        <f>'Coconut Oil Balance Sheet'!AF121</f>
        <v>134.19348834212269</v>
      </c>
      <c r="D250" s="13">
        <f>'Coconut Oil Balance Sheet'!AF58+'Coconut Oil Balance Sheet'!AF74</f>
        <v>88.716172913670817</v>
      </c>
      <c r="E250" s="21">
        <f t="shared" si="11"/>
        <v>1.512615839196598</v>
      </c>
      <c r="F250" s="15">
        <f t="shared" si="12"/>
        <v>47.720699556279428</v>
      </c>
      <c r="G250" s="15">
        <f t="shared" si="13"/>
        <v>-2.0699556279424769E-2</v>
      </c>
    </row>
    <row r="251" spans="1:7">
      <c r="A251" s="20">
        <v>45413</v>
      </c>
      <c r="B251" s="16">
        <f t="shared" si="16"/>
        <v>47.800000000000004</v>
      </c>
      <c r="C251" s="13">
        <f>'Coconut Oil Balance Sheet'!AF122</f>
        <v>129.44945730258513</v>
      </c>
      <c r="D251" s="13">
        <f>'Coconut Oil Balance Sheet'!AF59+'Coconut Oil Balance Sheet'!AF75</f>
        <v>85.948724946176725</v>
      </c>
      <c r="E251" s="21">
        <f t="shared" si="11"/>
        <v>1.5061242314374026</v>
      </c>
      <c r="F251" s="15">
        <f t="shared" si="12"/>
        <v>47.801633044266936</v>
      </c>
      <c r="G251" s="15">
        <f t="shared" si="13"/>
        <v>-1.6330442669314493E-3</v>
      </c>
    </row>
    <row r="252" spans="1:7">
      <c r="A252" s="20">
        <v>45444</v>
      </c>
      <c r="B252" s="16">
        <f t="shared" si="16"/>
        <v>51.1</v>
      </c>
      <c r="C252" s="13">
        <f>'Coconut Oil Balance Sheet'!AF123</f>
        <v>120.56314196384069</v>
      </c>
      <c r="D252" s="13">
        <f>'Coconut Oil Balance Sheet'!AF60+'Coconut Oil Balance Sheet'!AF76</f>
        <v>95.03608200132939</v>
      </c>
      <c r="E252" s="21">
        <f t="shared" si="11"/>
        <v>1.268603875759043</v>
      </c>
      <c r="F252" s="15">
        <f t="shared" si="12"/>
        <v>51.145735673194309</v>
      </c>
      <c r="G252" s="15">
        <f t="shared" si="13"/>
        <v>-4.5735673194307935E-2</v>
      </c>
    </row>
    <row r="253" spans="1:7">
      <c r="A253" s="20">
        <v>45474</v>
      </c>
      <c r="B253" s="16">
        <f t="shared" si="16"/>
        <v>47.6</v>
      </c>
      <c r="C253" s="13">
        <f>'Coconut Oil Balance Sheet'!AF124</f>
        <v>123.63596856230703</v>
      </c>
      <c r="D253" s="13">
        <f>'Coconut Oil Balance Sheet'!AF61+'Coconut Oil Balance Sheet'!AF77</f>
        <v>81.020457834560361</v>
      </c>
      <c r="E253" s="21">
        <f t="shared" si="11"/>
        <v>1.5259845706471489</v>
      </c>
      <c r="F253" s="15">
        <f t="shared" si="12"/>
        <v>47.555541481881164</v>
      </c>
      <c r="G253" s="15">
        <f t="shared" si="13"/>
        <v>4.4458518118837276E-2</v>
      </c>
    </row>
    <row r="254" spans="1:7">
      <c r="A254" s="20">
        <v>45505</v>
      </c>
      <c r="B254" s="16">
        <f t="shared" si="16"/>
        <v>52.300000000000004</v>
      </c>
      <c r="C254" s="13">
        <f>'Coconut Oil Balance Sheet'!AF125</f>
        <v>113.03783092633206</v>
      </c>
      <c r="D254" s="13">
        <f>'Coconut Oil Balance Sheet'!AF62+'Coconut Oil Balance Sheet'!AF78</f>
        <v>94.513095970283416</v>
      </c>
      <c r="E254" s="21">
        <f t="shared" si="11"/>
        <v>1.1960017790748612</v>
      </c>
      <c r="F254" s="15">
        <f t="shared" si="12"/>
        <v>52.347210993424646</v>
      </c>
      <c r="G254" s="15">
        <f t="shared" si="13"/>
        <v>-4.7210993424641856E-2</v>
      </c>
    </row>
    <row r="255" spans="1:7">
      <c r="A255" s="20">
        <v>45536</v>
      </c>
      <c r="B255" s="16">
        <f t="shared" si="16"/>
        <v>59.1</v>
      </c>
      <c r="C255" s="13">
        <f>'Coconut Oil Balance Sheet'!AF126</f>
        <v>103.84057849366457</v>
      </c>
      <c r="D255" s="13">
        <f>D243</f>
        <v>117.96733247830717</v>
      </c>
      <c r="E255" s="21">
        <f t="shared" si="11"/>
        <v>0.88024859350583051</v>
      </c>
      <c r="F255" s="15">
        <f t="shared" si="12"/>
        <v>59.067063867922897</v>
      </c>
      <c r="G255" s="15">
        <f t="shared" si="13"/>
        <v>3.2936132077104219E-2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17780-7432-4A83-878D-4DD1FA588FF5}">
  <dimension ref="A2:F224"/>
  <sheetViews>
    <sheetView topLeftCell="A133" workbookViewId="0">
      <selection activeCell="L142" sqref="L142"/>
    </sheetView>
  </sheetViews>
  <sheetFormatPr defaultRowHeight="15"/>
  <sheetData>
    <row r="2" spans="1:6">
      <c r="B2" s="19" t="s">
        <v>76</v>
      </c>
      <c r="C2" s="19" t="s">
        <v>77</v>
      </c>
      <c r="D2" s="19" t="s">
        <v>78</v>
      </c>
      <c r="E2" s="19" t="s">
        <v>42</v>
      </c>
      <c r="F2" s="19" t="s">
        <v>79</v>
      </c>
    </row>
    <row r="3" spans="1:6">
      <c r="A3" s="20">
        <v>38808</v>
      </c>
      <c r="B3" s="15">
        <f>'Palm Kernel Oil Balance Sheet'!N136</f>
        <v>29.982099999999999</v>
      </c>
      <c r="C3" s="13">
        <f>'Palm Kernel Oil Balance Sheet'!N121</f>
        <v>111.7</v>
      </c>
      <c r="D3" s="13">
        <f>'Palm Kernel Oil Balance Sheet'!N74+'Palm Kernel Oil Balance Sheet'!N58</f>
        <v>50.730138472800014</v>
      </c>
      <c r="E3" s="21">
        <f t="shared" ref="E3:E66" si="0">C3/D3</f>
        <v>2.2018469368044444</v>
      </c>
      <c r="F3" s="15">
        <f>'Coconut Oil Price Analysis'!B34-'Palm Kernel Oil Price Analysis'!B3</f>
        <v>-1.4689999999999976</v>
      </c>
    </row>
    <row r="4" spans="1:6">
      <c r="A4" s="20">
        <v>38838</v>
      </c>
      <c r="B4" s="15">
        <f>'Palm Kernel Oil Balance Sheet'!N137</f>
        <v>28.908999999999999</v>
      </c>
      <c r="C4" s="13">
        <f>'Palm Kernel Oil Balance Sheet'!N122</f>
        <v>102.4</v>
      </c>
      <c r="D4" s="13">
        <f>'Palm Kernel Oil Balance Sheet'!N75+'Palm Kernel Oil Balance Sheet'!N59</f>
        <v>32.777462856</v>
      </c>
      <c r="E4" s="21">
        <f t="shared" si="0"/>
        <v>3.1240978122641794</v>
      </c>
      <c r="F4" s="15">
        <f>'Coconut Oil Price Analysis'!B35-'Palm Kernel Oil Price Analysis'!B4</f>
        <v>-0.32949999999999946</v>
      </c>
    </row>
    <row r="5" spans="1:6">
      <c r="A5" s="20">
        <v>38869</v>
      </c>
      <c r="B5" s="15">
        <f>'Palm Kernel Oil Balance Sheet'!N138</f>
        <v>27.5227</v>
      </c>
      <c r="C5" s="13">
        <f>'Palm Kernel Oil Balance Sheet'!N123</f>
        <v>103.9</v>
      </c>
      <c r="D5" s="13">
        <f>'Palm Kernel Oil Balance Sheet'!N76+'Palm Kernel Oil Balance Sheet'!N60</f>
        <v>35.294855124400009</v>
      </c>
      <c r="E5" s="21">
        <f t="shared" si="0"/>
        <v>2.9437718226578569</v>
      </c>
      <c r="F5" s="15">
        <f>'Coconut Oil Price Analysis'!B36-'Palm Kernel Oil Price Analysis'!B5</f>
        <v>0.31820000000000093</v>
      </c>
    </row>
    <row r="6" spans="1:6">
      <c r="A6" s="20">
        <v>38899</v>
      </c>
      <c r="B6" s="15">
        <f>'Palm Kernel Oil Balance Sheet'!N139</f>
        <v>29.175000000000001</v>
      </c>
      <c r="C6" s="13">
        <f>'Palm Kernel Oil Balance Sheet'!N124</f>
        <v>104.1</v>
      </c>
      <c r="D6" s="13">
        <f>'Palm Kernel Oil Balance Sheet'!N77+'Palm Kernel Oil Balance Sheet'!N61</f>
        <v>43.422574347599998</v>
      </c>
      <c r="E6" s="21">
        <f t="shared" si="0"/>
        <v>2.3973705282112943</v>
      </c>
      <c r="F6" s="15">
        <f>'Coconut Oil Price Analysis'!B37-'Palm Kernel Oil Price Analysis'!B6</f>
        <v>-0.83750000000000213</v>
      </c>
    </row>
    <row r="7" spans="1:6">
      <c r="A7" s="20">
        <v>38930</v>
      </c>
      <c r="B7" s="15">
        <f>'Palm Kernel Oil Balance Sheet'!N140</f>
        <v>29.521699999999999</v>
      </c>
      <c r="C7" s="13">
        <f>'Palm Kernel Oil Balance Sheet'!N125</f>
        <v>87.3</v>
      </c>
      <c r="D7" s="13">
        <f>'Palm Kernel Oil Balance Sheet'!N78+'Palm Kernel Oil Balance Sheet'!N62</f>
        <v>72.35598554820001</v>
      </c>
      <c r="E7" s="21">
        <f t="shared" si="0"/>
        <v>1.2065345988804896</v>
      </c>
      <c r="F7" s="15">
        <f>'Coconut Oil Price Analysis'!B38-'Palm Kernel Oil Price Analysis'!B7</f>
        <v>0.30430000000000135</v>
      </c>
    </row>
    <row r="8" spans="1:6">
      <c r="A8" s="20">
        <v>38961</v>
      </c>
      <c r="B8" s="15">
        <f>'Palm Kernel Oil Balance Sheet'!N141</f>
        <v>28.2</v>
      </c>
      <c r="C8" s="13">
        <f>'Palm Kernel Oil Balance Sheet'!N126</f>
        <v>75.599999999999994</v>
      </c>
      <c r="D8" s="13">
        <f>'Palm Kernel Oil Balance Sheet'!O51+'Palm Kernel Oil Balance Sheet'!O67</f>
        <v>75.599999999998545</v>
      </c>
      <c r="E8" s="21">
        <f t="shared" si="0"/>
        <v>1.0000000000000191</v>
      </c>
      <c r="F8" s="15">
        <f>'Coconut Oil Price Analysis'!B39-'Palm Kernel Oil Price Analysis'!B8</f>
        <v>1.4250000000000007</v>
      </c>
    </row>
    <row r="9" spans="1:6">
      <c r="A9" s="20">
        <v>38991</v>
      </c>
      <c r="B9" s="15">
        <f>'Palm Kernel Oil Balance Sheet'!O130</f>
        <v>28.829499999999999</v>
      </c>
      <c r="C9" s="13" t="str">
        <f>'Palm Kernel Oil Balance Sheet'!O115</f>
        <v xml:space="preserve">06/07 </v>
      </c>
      <c r="D9" s="13">
        <f>'Palm Kernel Oil Balance Sheet'!O52+'Palm Kernel Oil Balance Sheet'!O68</f>
        <v>45808.461334528205</v>
      </c>
      <c r="E9" s="21">
        <f t="shared" si="0"/>
        <v>1.0001427392512499</v>
      </c>
      <c r="F9" s="15">
        <f>'Coconut Oil Price Analysis'!B40-'Palm Kernel Oil Price Analysis'!B9</f>
        <v>1.4205000000000005</v>
      </c>
    </row>
    <row r="10" spans="1:6">
      <c r="A10" s="20">
        <v>39022</v>
      </c>
      <c r="B10" s="15">
        <f>'Palm Kernel Oil Balance Sheet'!O131</f>
        <v>31.274999999999999</v>
      </c>
      <c r="C10" s="13">
        <f>'Palm Kernel Oil Balance Sheet'!O116</f>
        <v>70.7</v>
      </c>
      <c r="D10" s="13">
        <f>'Palm Kernel Oil Balance Sheet'!O53+'Palm Kernel Oil Balance Sheet'!O69</f>
        <v>25.039355973799996</v>
      </c>
      <c r="E10" s="21">
        <f t="shared" si="0"/>
        <v>2.8235550496577133</v>
      </c>
      <c r="F10" s="15">
        <f>'Coconut Oil Price Analysis'!B41-'Palm Kernel Oil Price Analysis'!B10</f>
        <v>0.52500000000000213</v>
      </c>
    </row>
    <row r="11" spans="1:6">
      <c r="A11" s="20">
        <v>39052</v>
      </c>
      <c r="B11" s="15">
        <f>'Palm Kernel Oil Balance Sheet'!O132</f>
        <v>34.15</v>
      </c>
      <c r="C11" s="13">
        <f>'Palm Kernel Oil Balance Sheet'!O117</f>
        <v>81.900000000000006</v>
      </c>
      <c r="D11" s="13">
        <f>'Palm Kernel Oil Balance Sheet'!O54+'Palm Kernel Oil Balance Sheet'!O70</f>
        <v>54.272458000199997</v>
      </c>
      <c r="E11" s="21">
        <f t="shared" si="0"/>
        <v>1.5090527132509495</v>
      </c>
      <c r="F11" s="15">
        <f>'Coconut Oil Price Analysis'!B42-'Palm Kernel Oil Price Analysis'!B11</f>
        <v>1.3374999999999986</v>
      </c>
    </row>
    <row r="12" spans="1:6">
      <c r="A12" s="20">
        <v>39083</v>
      </c>
      <c r="B12" s="15">
        <f>'Palm Kernel Oil Balance Sheet'!O133</f>
        <v>34.837499999999999</v>
      </c>
      <c r="C12" s="13">
        <f>'Palm Kernel Oil Balance Sheet'!O118</f>
        <v>103.2</v>
      </c>
      <c r="D12" s="13">
        <f>'Palm Kernel Oil Balance Sheet'!O55+'Palm Kernel Oil Balance Sheet'!O71</f>
        <v>87.6843458564</v>
      </c>
      <c r="E12" s="21">
        <f t="shared" si="0"/>
        <v>1.1769489638322657</v>
      </c>
      <c r="F12" s="15">
        <f>'Coconut Oil Price Analysis'!B43-'Palm Kernel Oil Price Analysis'!B12</f>
        <v>0.72500000000000142</v>
      </c>
    </row>
    <row r="13" spans="1:6">
      <c r="A13" s="20">
        <v>39114</v>
      </c>
      <c r="B13" s="15">
        <f>'Palm Kernel Oil Balance Sheet'!O134</f>
        <v>35.131500000000003</v>
      </c>
      <c r="C13" s="13">
        <f>'Palm Kernel Oil Balance Sheet'!O119</f>
        <v>87.4</v>
      </c>
      <c r="D13" s="13">
        <f>'Palm Kernel Oil Balance Sheet'!O56+'Palm Kernel Oil Balance Sheet'!O72</f>
        <v>51.334833209000017</v>
      </c>
      <c r="E13" s="21">
        <f t="shared" si="0"/>
        <v>1.7025476569519087</v>
      </c>
      <c r="F13" s="15">
        <f>'Coconut Oil Price Analysis'!B44-'Palm Kernel Oil Price Analysis'!B13</f>
        <v>1.2105999999999995</v>
      </c>
    </row>
    <row r="14" spans="1:6">
      <c r="A14" s="20">
        <v>39142</v>
      </c>
      <c r="B14" s="15">
        <f>'Palm Kernel Oil Balance Sheet'!O135</f>
        <v>35.886299999999999</v>
      </c>
      <c r="C14" s="13">
        <f>'Palm Kernel Oil Balance Sheet'!O120</f>
        <v>76.099999999999994</v>
      </c>
      <c r="D14" s="13">
        <f>'Palm Kernel Oil Balance Sheet'!O57+'Palm Kernel Oil Balance Sheet'!O73</f>
        <v>62.622572275400003</v>
      </c>
      <c r="E14" s="21">
        <f t="shared" si="0"/>
        <v>1.2152167698466503</v>
      </c>
      <c r="F14" s="15">
        <f>'Coconut Oil Price Analysis'!B45-'Palm Kernel Oil Price Analysis'!B14</f>
        <v>0.81820000000000448</v>
      </c>
    </row>
    <row r="15" spans="1:6">
      <c r="A15" s="20">
        <v>39173</v>
      </c>
      <c r="B15" s="15">
        <f>'Palm Kernel Oil Balance Sheet'!O136</f>
        <v>39.837499999999999</v>
      </c>
      <c r="C15" s="13">
        <f>'Palm Kernel Oil Balance Sheet'!O121</f>
        <v>69.3</v>
      </c>
      <c r="D15" s="13">
        <f>'Palm Kernel Oil Balance Sheet'!O58+'Palm Kernel Oil Balance Sheet'!O74</f>
        <v>51.336082119199986</v>
      </c>
      <c r="E15" s="21">
        <f t="shared" si="0"/>
        <v>1.3499277143722934</v>
      </c>
      <c r="F15" s="15">
        <f>'Coconut Oil Price Analysis'!B46-'Palm Kernel Oil Price Analysis'!B15</f>
        <v>-0.83749999999999858</v>
      </c>
    </row>
    <row r="16" spans="1:6">
      <c r="A16" s="20">
        <v>39203</v>
      </c>
      <c r="B16" s="15">
        <f>'Palm Kernel Oil Balance Sheet'!O137</f>
        <v>42.875</v>
      </c>
      <c r="C16" s="13">
        <f>'Palm Kernel Oil Balance Sheet'!O122</f>
        <v>56.2</v>
      </c>
      <c r="D16" s="13">
        <f>'Palm Kernel Oil Balance Sheet'!O59+'Palm Kernel Oil Balance Sheet'!O75</f>
        <v>46.568094430000016</v>
      </c>
      <c r="E16" s="21">
        <f t="shared" si="0"/>
        <v>1.2068348659719892</v>
      </c>
      <c r="F16" s="15">
        <f>'Coconut Oil Price Analysis'!B47-'Palm Kernel Oil Price Analysis'!B16</f>
        <v>-0.73870000000000147</v>
      </c>
    </row>
    <row r="17" spans="1:6">
      <c r="A17" s="20">
        <v>39234</v>
      </c>
      <c r="B17" s="15">
        <f>'Palm Kernel Oil Balance Sheet'!O138</f>
        <v>47.690399999999997</v>
      </c>
      <c r="C17" s="13">
        <f>'Palm Kernel Oil Balance Sheet'!O123</f>
        <v>69.3</v>
      </c>
      <c r="D17" s="13">
        <f>'Palm Kernel Oil Balance Sheet'!O60+'Palm Kernel Oil Balance Sheet'!O76</f>
        <v>59.448686613599982</v>
      </c>
      <c r="E17" s="21">
        <f t="shared" si="0"/>
        <v>1.1657112031831893</v>
      </c>
      <c r="F17" s="15">
        <f>'Coconut Oil Price Analysis'!B48-'Palm Kernel Oil Price Analysis'!B17</f>
        <v>0.48810000000000286</v>
      </c>
    </row>
    <row r="18" spans="1:6">
      <c r="A18" s="20">
        <v>39264</v>
      </c>
      <c r="B18" s="15">
        <f>'Palm Kernel Oil Balance Sheet'!O139</f>
        <v>47.452300000000001</v>
      </c>
      <c r="C18" s="13">
        <f>'Palm Kernel Oil Balance Sheet'!O124</f>
        <v>74.400000000000006</v>
      </c>
      <c r="D18" s="13">
        <f>'Palm Kernel Oil Balance Sheet'!O61+'Palm Kernel Oil Balance Sheet'!O77</f>
        <v>34.316679373400014</v>
      </c>
      <c r="E18" s="21">
        <f t="shared" si="0"/>
        <v>2.1680419364138679</v>
      </c>
      <c r="F18" s="15">
        <f>'Coconut Oil Price Analysis'!B49-'Palm Kernel Oil Price Analysis'!B18</f>
        <v>-2.1428000000000011</v>
      </c>
    </row>
    <row r="19" spans="1:6">
      <c r="A19" s="20">
        <v>39295</v>
      </c>
      <c r="B19" s="15">
        <f>'Palm Kernel Oil Balance Sheet'!O140</f>
        <v>46.869500000000002</v>
      </c>
      <c r="C19" s="13">
        <f>'Palm Kernel Oil Balance Sheet'!O125</f>
        <v>107.5</v>
      </c>
      <c r="D19" s="13">
        <f>'Palm Kernel Oil Balance Sheet'!O62+'Palm Kernel Oil Balance Sheet'!O78</f>
        <v>55.506088736799988</v>
      </c>
      <c r="E19" s="21">
        <f t="shared" si="0"/>
        <v>1.9367244647654045</v>
      </c>
      <c r="F19" s="15">
        <f>'Coconut Oil Price Analysis'!B50-'Palm Kernel Oil Price Analysis'!B19</f>
        <v>-2.5869</v>
      </c>
    </row>
    <row r="20" spans="1:6">
      <c r="A20" s="20">
        <v>39326</v>
      </c>
      <c r="B20" s="15">
        <f>'Palm Kernel Oil Balance Sheet'!O141</f>
        <v>47.631500000000003</v>
      </c>
      <c r="C20" s="13">
        <f>'Palm Kernel Oil Balance Sheet'!O126</f>
        <v>78.900000000000006</v>
      </c>
      <c r="D20" s="13">
        <f>'Palm Kernel Oil Balance Sheet'!P67+'Palm Kernel Oil Balance Sheet'!P51</f>
        <v>78.900000000001455</v>
      </c>
      <c r="E20" s="21">
        <f t="shared" si="0"/>
        <v>0.99999999999998168</v>
      </c>
      <c r="F20" s="15">
        <f>'Coconut Oil Price Analysis'!B51-'Palm Kernel Oil Price Analysis'!B20</f>
        <v>-3.3684000000000012</v>
      </c>
    </row>
    <row r="21" spans="1:6">
      <c r="A21" s="20">
        <v>39356</v>
      </c>
      <c r="B21" s="15">
        <f>'Palm Kernel Oil Balance Sheet'!P130</f>
        <v>50.891300000000001</v>
      </c>
      <c r="C21" s="13" t="str">
        <f>'Palm Kernel Oil Balance Sheet'!P115</f>
        <v xml:space="preserve">07/08 </v>
      </c>
      <c r="D21" s="13">
        <f>'Palm Kernel Oil Balance Sheet'!P68+'Palm Kernel Oil Balance Sheet'!P52</f>
        <v>45817.811610814999</v>
      </c>
      <c r="E21" s="21">
        <f t="shared" si="0"/>
        <v>1.000615227750824</v>
      </c>
      <c r="F21" s="15">
        <f>'Coconut Oil Price Analysis'!B52-'Palm Kernel Oil Price Analysis'!B21</f>
        <v>-3.3695999999999984</v>
      </c>
    </row>
    <row r="22" spans="1:6">
      <c r="A22" s="20">
        <v>39387</v>
      </c>
      <c r="B22" s="15">
        <f>'Palm Kernel Oil Balance Sheet'!P131</f>
        <v>55.424999999999997</v>
      </c>
      <c r="C22" s="13">
        <f>'Palm Kernel Oil Balance Sheet'!P116</f>
        <v>66.400000000000006</v>
      </c>
      <c r="D22" s="13">
        <f>'Palm Kernel Oil Balance Sheet'!P69+'Palm Kernel Oil Balance Sheet'!P53</f>
        <v>40.323484949000026</v>
      </c>
      <c r="E22" s="21">
        <f t="shared" si="0"/>
        <v>1.6466830702748236</v>
      </c>
      <c r="F22" s="15">
        <f>'Coconut Oil Price Analysis'!B53-'Palm Kernel Oil Price Analysis'!B22</f>
        <v>-3.0499999999999972</v>
      </c>
    </row>
    <row r="23" spans="1:6">
      <c r="A23" s="20">
        <v>39417</v>
      </c>
      <c r="B23" s="15">
        <f>'Palm Kernel Oil Balance Sheet'!P132</f>
        <v>57.6</v>
      </c>
      <c r="C23" s="13">
        <f>'Palm Kernel Oil Balance Sheet'!P117</f>
        <v>73.099999999999994</v>
      </c>
      <c r="D23" s="13">
        <f>'Palm Kernel Oil Balance Sheet'!P70+'Palm Kernel Oil Balance Sheet'!P54</f>
        <v>41.777082072399992</v>
      </c>
      <c r="E23" s="21">
        <f t="shared" si="0"/>
        <v>1.7497631805236458</v>
      </c>
      <c r="F23" s="15">
        <f>'Coconut Oil Price Analysis'!B54-'Palm Kernel Oil Price Analysis'!B23</f>
        <v>-3.5249999999999986</v>
      </c>
    </row>
    <row r="24" spans="1:6">
      <c r="A24" s="20">
        <v>39448</v>
      </c>
      <c r="B24" s="15">
        <f>'Palm Kernel Oil Balance Sheet'!P133</f>
        <v>64.8095</v>
      </c>
      <c r="C24" s="13">
        <f>'Palm Kernel Oil Balance Sheet'!P118</f>
        <v>79.900000000000006</v>
      </c>
      <c r="D24" s="13">
        <f>'Palm Kernel Oil Balance Sheet'!P71+'Palm Kernel Oil Balance Sheet'!P55</f>
        <v>52.465243833800002</v>
      </c>
      <c r="E24" s="21">
        <f t="shared" si="0"/>
        <v>1.52291296411598</v>
      </c>
      <c r="F24" s="15">
        <f>'Coconut Oil Price Analysis'!B55-'Palm Kernel Oil Price Analysis'!B24</f>
        <v>-4.4523999999999972</v>
      </c>
    </row>
    <row r="25" spans="1:6">
      <c r="A25" s="20">
        <v>39479</v>
      </c>
      <c r="B25" s="15">
        <f>'Palm Kernel Oil Balance Sheet'!P134</f>
        <v>69.224999999999994</v>
      </c>
      <c r="C25" s="13">
        <f>'Palm Kernel Oil Balance Sheet'!P119</f>
        <v>82.7</v>
      </c>
      <c r="D25" s="13">
        <f>'Palm Kernel Oil Balance Sheet'!P72+'Palm Kernel Oil Balance Sheet'!P56</f>
        <v>24.133204460600016</v>
      </c>
      <c r="E25" s="21">
        <f t="shared" si="0"/>
        <v>3.4268138794007408</v>
      </c>
      <c r="F25" s="15">
        <f>'Coconut Oil Price Analysis'!B56-'Palm Kernel Oil Price Analysis'!B25</f>
        <v>-4.8624999999999972</v>
      </c>
    </row>
    <row r="26" spans="1:6">
      <c r="A26" s="20">
        <v>39508</v>
      </c>
      <c r="B26" s="15">
        <f>'Palm Kernel Oil Balance Sheet'!P135</f>
        <v>70.825000000000003</v>
      </c>
      <c r="C26" s="13">
        <f>'Palm Kernel Oil Balance Sheet'!P120</f>
        <v>80.099999999999994</v>
      </c>
      <c r="D26" s="13">
        <f>'Palm Kernel Oil Balance Sheet'!P73+'Palm Kernel Oil Balance Sheet'!P57</f>
        <v>28.566180189400001</v>
      </c>
      <c r="E26" s="21">
        <f t="shared" si="0"/>
        <v>2.8040150789821929</v>
      </c>
      <c r="F26" s="15">
        <f>'Coconut Oil Price Analysis'!B57-'Palm Kernel Oil Price Analysis'!B26</f>
        <v>1.25</v>
      </c>
    </row>
    <row r="27" spans="1:6">
      <c r="A27" s="20">
        <v>39539</v>
      </c>
      <c r="B27" s="15">
        <f>'Palm Kernel Oil Balance Sheet'!P136</f>
        <v>69.181799999999996</v>
      </c>
      <c r="C27" s="13">
        <f>'Palm Kernel Oil Balance Sheet'!P121</f>
        <v>94.1</v>
      </c>
      <c r="D27" s="13">
        <f>'Palm Kernel Oil Balance Sheet'!P74+'Palm Kernel Oil Balance Sheet'!P58</f>
        <v>34.731175190400002</v>
      </c>
      <c r="E27" s="21">
        <f t="shared" si="0"/>
        <v>2.7093813982433295</v>
      </c>
      <c r="F27" s="15">
        <f>'Coconut Oil Price Analysis'!B58-'Palm Kernel Oil Price Analysis'!B27</f>
        <v>-0.58869999999998868</v>
      </c>
    </row>
    <row r="28" spans="1:6">
      <c r="A28" s="20">
        <v>39569</v>
      </c>
      <c r="B28" s="15">
        <f>'Palm Kernel Oil Balance Sheet'!P137</f>
        <v>71.345200000000006</v>
      </c>
      <c r="C28" s="13">
        <f>'Palm Kernel Oil Balance Sheet'!P122</f>
        <v>99.5</v>
      </c>
      <c r="D28" s="13">
        <f>'Palm Kernel Oil Balance Sheet'!P75+'Palm Kernel Oil Balance Sheet'!P59</f>
        <v>37.314982777999994</v>
      </c>
      <c r="E28" s="21">
        <f t="shared" si="0"/>
        <v>2.6664892381690386</v>
      </c>
      <c r="F28" s="15">
        <f>'Coconut Oil Price Analysis'!B59-'Palm Kernel Oil Price Analysis'!B28</f>
        <v>-0.96430000000000859</v>
      </c>
    </row>
    <row r="29" spans="1:6">
      <c r="A29" s="20">
        <v>39600</v>
      </c>
      <c r="B29" s="15">
        <f>'Palm Kernel Oil Balance Sheet'!P138</f>
        <v>72.5</v>
      </c>
      <c r="C29" s="13">
        <f>'Palm Kernel Oil Balance Sheet'!P123</f>
        <v>99</v>
      </c>
      <c r="D29" s="13">
        <f>'Palm Kernel Oil Balance Sheet'!P76+'Palm Kernel Oil Balance Sheet'!P60</f>
        <v>47.802107821800021</v>
      </c>
      <c r="E29" s="21">
        <f t="shared" si="0"/>
        <v>2.0710383811747173</v>
      </c>
      <c r="F29" s="15">
        <f>'Coconut Oil Price Analysis'!B60-'Palm Kernel Oil Price Analysis'!B29</f>
        <v>2.142799999999994</v>
      </c>
    </row>
    <row r="30" spans="1:6">
      <c r="A30" s="20">
        <v>39630</v>
      </c>
      <c r="B30" s="15">
        <f>'Palm Kernel Oil Balance Sheet'!P139</f>
        <v>67.2727</v>
      </c>
      <c r="C30" s="13">
        <f>'Palm Kernel Oil Balance Sheet'!P124</f>
        <v>96</v>
      </c>
      <c r="D30" s="13">
        <f>'Palm Kernel Oil Balance Sheet'!P77+'Palm Kernel Oil Balance Sheet'!P61</f>
        <v>59.846387645600011</v>
      </c>
      <c r="E30" s="21">
        <f t="shared" si="0"/>
        <v>1.604106843816463</v>
      </c>
      <c r="F30" s="15">
        <f>'Coconut Oil Price Analysis'!B61-'Palm Kernel Oil Price Analysis'!B30</f>
        <v>2.4659000000000049</v>
      </c>
    </row>
    <row r="31" spans="1:6">
      <c r="A31" s="20">
        <v>39661</v>
      </c>
      <c r="B31" s="15">
        <f>'Palm Kernel Oil Balance Sheet'!P140</f>
        <v>54.857100000000003</v>
      </c>
      <c r="C31" s="13">
        <f>'Palm Kernel Oil Balance Sheet'!P125</f>
        <v>79</v>
      </c>
      <c r="D31" s="13">
        <f>'Palm Kernel Oil Balance Sheet'!P78+'Palm Kernel Oil Balance Sheet'!P62</f>
        <v>36.713842499399995</v>
      </c>
      <c r="E31" s="21">
        <f t="shared" si="0"/>
        <v>2.1517769490156491</v>
      </c>
      <c r="F31" s="15">
        <f>'Coconut Oil Price Analysis'!B62-'Palm Kernel Oil Price Analysis'!B31</f>
        <v>2.9166999999999987</v>
      </c>
    </row>
    <row r="32" spans="1:6">
      <c r="A32" s="20">
        <v>39692</v>
      </c>
      <c r="B32" s="15">
        <f>'Palm Kernel Oil Balance Sheet'!P141</f>
        <v>50.785699999999999</v>
      </c>
      <c r="C32" s="13">
        <f>'Palm Kernel Oil Balance Sheet'!P126</f>
        <v>92.8</v>
      </c>
      <c r="D32" s="13">
        <f>'Palm Kernel Oil Balance Sheet'!Q51+'Palm Kernel Oil Balance Sheet'!Q67</f>
        <v>92.80000000000291</v>
      </c>
      <c r="E32" s="21">
        <f t="shared" si="0"/>
        <v>0.99999999999996858</v>
      </c>
      <c r="F32" s="15">
        <f>'Coconut Oil Price Analysis'!B63-'Palm Kernel Oil Price Analysis'!B32</f>
        <v>3.1189999999999998</v>
      </c>
    </row>
    <row r="33" spans="1:6">
      <c r="A33" s="20">
        <v>39722</v>
      </c>
      <c r="B33" s="15">
        <f>'Palm Kernel Oil Balance Sheet'!Q130</f>
        <v>40.956499999999998</v>
      </c>
      <c r="C33" s="13" t="str">
        <f>'Palm Kernel Oil Balance Sheet'!Q115</f>
        <v xml:space="preserve">08/09 </v>
      </c>
      <c r="D33" s="13">
        <f>'Palm Kernel Oil Balance Sheet'!Q52+'Palm Kernel Oil Balance Sheet'!Q68</f>
        <v>45882.213276022201</v>
      </c>
      <c r="E33" s="21">
        <f t="shared" si="0"/>
        <v>0.99990817190973647</v>
      </c>
      <c r="F33" s="15">
        <f>'Coconut Oil Price Analysis'!B64-'Palm Kernel Oil Price Analysis'!B33</f>
        <v>2.3043000000000049</v>
      </c>
    </row>
    <row r="34" spans="1:6">
      <c r="A34" s="20">
        <v>39753</v>
      </c>
      <c r="B34" s="15">
        <f>'Palm Kernel Oil Balance Sheet'!Q131</f>
        <v>29.368400000000001</v>
      </c>
      <c r="C34" s="13">
        <f>'Palm Kernel Oil Balance Sheet'!Q116</f>
        <v>70.7</v>
      </c>
      <c r="D34" s="13">
        <f>'Palm Kernel Oil Balance Sheet'!Q53+'Palm Kernel Oil Balance Sheet'!Q69</f>
        <v>61.234276128200023</v>
      </c>
      <c r="E34" s="21">
        <f t="shared" si="0"/>
        <v>1.154582114304455</v>
      </c>
      <c r="F34" s="15">
        <f>'Coconut Oil Price Analysis'!B65-'Palm Kernel Oil Price Analysis'!B34</f>
        <v>6.6051999999999964</v>
      </c>
    </row>
    <row r="35" spans="1:6">
      <c r="A35" s="20">
        <v>39783</v>
      </c>
      <c r="B35" s="15">
        <f>'Palm Kernel Oil Balance Sheet'!Q132</f>
        <v>29.4772</v>
      </c>
      <c r="C35" s="13">
        <f>'Palm Kernel Oil Balance Sheet'!Q117</f>
        <v>79.8</v>
      </c>
      <c r="D35" s="13">
        <f>'Palm Kernel Oil Balance Sheet'!Q54+'Palm Kernel Oil Balance Sheet'!Q70</f>
        <v>67.642934113400003</v>
      </c>
      <c r="E35" s="21">
        <f t="shared" si="0"/>
        <v>1.1797241063821875</v>
      </c>
      <c r="F35" s="15">
        <f>'Coconut Oil Price Analysis'!B66-'Palm Kernel Oil Price Analysis'!B35</f>
        <v>8.1590999999999987</v>
      </c>
    </row>
    <row r="36" spans="1:6">
      <c r="A36" s="20">
        <v>39814</v>
      </c>
      <c r="B36" s="15">
        <f>'Palm Kernel Oil Balance Sheet'!Q133</f>
        <v>31.975000000000001</v>
      </c>
      <c r="C36" s="13">
        <f>'Palm Kernel Oil Balance Sheet'!Q118</f>
        <v>56.8</v>
      </c>
      <c r="D36" s="13">
        <f>'Palm Kernel Oil Balance Sheet'!Q55+'Palm Kernel Oil Balance Sheet'!Q71</f>
        <v>52.303023493799955</v>
      </c>
      <c r="E36" s="21">
        <f t="shared" si="0"/>
        <v>1.0859792839076141</v>
      </c>
      <c r="F36" s="15">
        <f>'Coconut Oil Price Analysis'!B67-'Palm Kernel Oil Price Analysis'!B36</f>
        <v>4.3999999999999986</v>
      </c>
    </row>
    <row r="37" spans="1:6">
      <c r="A37" s="20">
        <v>39845</v>
      </c>
      <c r="B37" s="15">
        <f>'Palm Kernel Oil Balance Sheet'!Q134</f>
        <v>32.026299999999999</v>
      </c>
      <c r="C37" s="13">
        <f>'Palm Kernel Oil Balance Sheet'!Q119</f>
        <v>94</v>
      </c>
      <c r="D37" s="13">
        <f>'Palm Kernel Oil Balance Sheet'!Q56+'Palm Kernel Oil Balance Sheet'!Q72</f>
        <v>76.410948482999984</v>
      </c>
      <c r="E37" s="21">
        <f t="shared" si="0"/>
        <v>1.2301902000459168</v>
      </c>
      <c r="F37" s="15">
        <f>'Coconut Oil Price Analysis'!B68-'Palm Kernel Oil Price Analysis'!B37</f>
        <v>1.2368000000000023</v>
      </c>
    </row>
    <row r="38" spans="1:6">
      <c r="A38" s="20">
        <v>39873</v>
      </c>
      <c r="B38" s="15">
        <f>'Palm Kernel Oil Balance Sheet'!Q135</f>
        <v>31.908999999999999</v>
      </c>
      <c r="C38" s="13">
        <f>'Palm Kernel Oil Balance Sheet'!Q120</f>
        <v>90.4</v>
      </c>
      <c r="D38" s="13">
        <f>'Palm Kernel Oil Balance Sheet'!Q57+'Palm Kernel Oil Balance Sheet'!Q73</f>
        <v>41.014499560200015</v>
      </c>
      <c r="E38" s="21">
        <f t="shared" si="0"/>
        <v>2.2040985741472534</v>
      </c>
      <c r="F38" s="15">
        <f>'Coconut Oil Price Analysis'!B69-'Palm Kernel Oil Price Analysis'!B38</f>
        <v>-0.11359999999999815</v>
      </c>
    </row>
    <row r="39" spans="1:6">
      <c r="A39" s="20">
        <v>39904</v>
      </c>
      <c r="B39" s="15">
        <f>'Palm Kernel Oil Balance Sheet'!Q136</f>
        <v>38.3095</v>
      </c>
      <c r="C39" s="13">
        <f>'Palm Kernel Oil Balance Sheet'!Q121</f>
        <v>118.3</v>
      </c>
      <c r="D39" s="13">
        <f>'Palm Kernel Oil Balance Sheet'!Q58+'Palm Kernel Oil Balance Sheet'!Q74</f>
        <v>58.359949923999984</v>
      </c>
      <c r="E39" s="21">
        <f t="shared" si="0"/>
        <v>2.0270750772414599</v>
      </c>
      <c r="F39" s="15">
        <f>'Coconut Oil Price Analysis'!B70-'Palm Kernel Oil Price Analysis'!B39</f>
        <v>-2.9761999999999986</v>
      </c>
    </row>
    <row r="40" spans="1:6">
      <c r="A40" s="20">
        <v>39934</v>
      </c>
      <c r="B40" s="15">
        <f>'Palm Kernel Oil Balance Sheet'!Q137</f>
        <v>42.375</v>
      </c>
      <c r="C40" s="13">
        <f>'Palm Kernel Oil Balance Sheet'!Q122</f>
        <v>101.7</v>
      </c>
      <c r="D40" s="13">
        <f>'Palm Kernel Oil Balance Sheet'!Q59+'Palm Kernel Oil Balance Sheet'!Q75</f>
        <v>66.813155358599985</v>
      </c>
      <c r="E40" s="21">
        <f t="shared" si="0"/>
        <v>1.5221553218696995</v>
      </c>
      <c r="F40" s="15">
        <f>'Coconut Oil Price Analysis'!B71-'Palm Kernel Oil Price Analysis'!B40</f>
        <v>-2.0249999999999986</v>
      </c>
    </row>
    <row r="41" spans="1:6">
      <c r="A41" s="20">
        <v>39965</v>
      </c>
      <c r="B41" s="15">
        <f>'Palm Kernel Oil Balance Sheet'!Q138</f>
        <v>40.875</v>
      </c>
      <c r="C41" s="13">
        <f>'Palm Kernel Oil Balance Sheet'!Q123</f>
        <v>118.5</v>
      </c>
      <c r="D41" s="13">
        <f>'Palm Kernel Oil Balance Sheet'!Q60+'Palm Kernel Oil Balance Sheet'!Q76</f>
        <v>64.165453772799992</v>
      </c>
      <c r="E41" s="21">
        <f t="shared" si="0"/>
        <v>1.8467881551900229</v>
      </c>
      <c r="F41" s="15">
        <f>'Coconut Oil Price Analysis'!B72-'Palm Kernel Oil Price Analysis'!B41</f>
        <v>-4.0341000000000022</v>
      </c>
    </row>
    <row r="42" spans="1:6">
      <c r="A42" s="20">
        <v>39995</v>
      </c>
      <c r="B42" s="15">
        <f>'Palm Kernel Oil Balance Sheet'!Q139</f>
        <v>35.590899999999998</v>
      </c>
      <c r="C42" s="13">
        <f>'Palm Kernel Oil Balance Sheet'!Q124</f>
        <v>98.3</v>
      </c>
      <c r="D42" s="13">
        <f>'Palm Kernel Oil Balance Sheet'!Q61+'Palm Kernel Oil Balance Sheet'!Q77</f>
        <v>45.94209023219998</v>
      </c>
      <c r="E42" s="21">
        <f t="shared" si="0"/>
        <v>2.1396501444138321</v>
      </c>
      <c r="F42" s="15">
        <f>'Coconut Oil Price Analysis'!B73-'Palm Kernel Oil Price Analysis'!B42</f>
        <v>-1.6590999999999951</v>
      </c>
    </row>
    <row r="43" spans="1:6">
      <c r="A43" s="20">
        <v>40026</v>
      </c>
      <c r="B43" s="15">
        <f>'Palm Kernel Oil Balance Sheet'!Q140</f>
        <v>38.916600000000003</v>
      </c>
      <c r="C43" s="13">
        <f>'Palm Kernel Oil Balance Sheet'!Q125</f>
        <v>83.3</v>
      </c>
      <c r="D43" s="13">
        <f>'Palm Kernel Oil Balance Sheet'!Q62+'Palm Kernel Oil Balance Sheet'!Q78</f>
        <v>58.711148462200015</v>
      </c>
      <c r="E43" s="21">
        <f t="shared" si="0"/>
        <v>1.4188106038094455</v>
      </c>
      <c r="F43" s="15">
        <f>'Coconut Oil Price Analysis'!B74-'Palm Kernel Oil Price Analysis'!B43</f>
        <v>-2.8571000000000026</v>
      </c>
    </row>
    <row r="44" spans="1:6">
      <c r="A44" s="20">
        <v>40057</v>
      </c>
      <c r="B44" s="15">
        <f>'Palm Kernel Oil Balance Sheet'!Q141</f>
        <v>38.285699999999999</v>
      </c>
      <c r="C44" s="13">
        <f>'Palm Kernel Oil Balance Sheet'!Q126</f>
        <v>77.5</v>
      </c>
      <c r="D44" s="13">
        <f>'Palm Kernel Oil Balance Sheet'!R51+'Palm Kernel Oil Balance Sheet'!R67</f>
        <v>77.5</v>
      </c>
      <c r="E44" s="21">
        <f t="shared" si="0"/>
        <v>1</v>
      </c>
      <c r="F44" s="15">
        <f>'Coconut Oil Price Analysis'!B75-'Palm Kernel Oil Price Analysis'!B44</f>
        <v>-4.0715000000000003</v>
      </c>
    </row>
    <row r="45" spans="1:6">
      <c r="A45" s="20">
        <v>40087</v>
      </c>
      <c r="B45" s="15">
        <f>'Palm Kernel Oil Balance Sheet'!R130</f>
        <v>38.386299999999999</v>
      </c>
      <c r="C45" s="13" t="str">
        <f>'Palm Kernel Oil Balance Sheet'!R115</f>
        <v xml:space="preserve">09/10 </v>
      </c>
      <c r="D45" s="13">
        <f>'Palm Kernel Oil Balance Sheet'!R52+'Palm Kernel Oil Balance Sheet'!R68</f>
        <v>45886.975477006003</v>
      </c>
      <c r="E45" s="21">
        <f t="shared" si="0"/>
        <v>1.0005017659750866</v>
      </c>
      <c r="F45" s="15">
        <f>'Coconut Oil Price Analysis'!B76-'Palm Kernel Oil Price Analysis'!B45</f>
        <v>-3.4658999999999978</v>
      </c>
    </row>
    <row r="46" spans="1:6">
      <c r="A46" s="20">
        <v>40118</v>
      </c>
      <c r="B46" s="15">
        <f>'Palm Kernel Oil Balance Sheet'!R131</f>
        <v>40.487499999999997</v>
      </c>
      <c r="C46" s="13">
        <f>'Palm Kernel Oil Balance Sheet'!R116</f>
        <v>49.2</v>
      </c>
      <c r="D46" s="13">
        <f>'Palm Kernel Oil Balance Sheet'!R53+'Palm Kernel Oil Balance Sheet'!R69</f>
        <v>50.509673073799995</v>
      </c>
      <c r="E46" s="21">
        <f t="shared" si="0"/>
        <v>0.97407084635280805</v>
      </c>
      <c r="F46" s="15">
        <f>'Coconut Oil Price Analysis'!B77-'Palm Kernel Oil Price Analysis'!B46</f>
        <v>-4.8125</v>
      </c>
    </row>
    <row r="47" spans="1:6">
      <c r="A47" s="20">
        <v>40148</v>
      </c>
      <c r="B47" s="15">
        <f>'Palm Kernel Oil Balance Sheet'!R132</f>
        <v>44.193100000000001</v>
      </c>
      <c r="C47" s="13">
        <f>'Palm Kernel Oil Balance Sheet'!R117</f>
        <v>63.7</v>
      </c>
      <c r="D47" s="13">
        <f>'Palm Kernel Oil Balance Sheet'!R54+'Palm Kernel Oil Balance Sheet'!R70</f>
        <v>49.096398359800006</v>
      </c>
      <c r="E47" s="21">
        <f t="shared" si="0"/>
        <v>1.2974475140351107</v>
      </c>
      <c r="F47" s="15">
        <f>'Coconut Oil Price Analysis'!B78-'Palm Kernel Oil Price Analysis'!B47</f>
        <v>-6.875</v>
      </c>
    </row>
    <row r="48" spans="1:6">
      <c r="A48" s="20">
        <v>40179</v>
      </c>
      <c r="B48" s="15">
        <f>'Palm Kernel Oil Balance Sheet'!R133</f>
        <v>45.920999999999999</v>
      </c>
      <c r="C48" s="13">
        <f>'Palm Kernel Oil Balance Sheet'!R118</f>
        <v>50.1</v>
      </c>
      <c r="D48" s="13">
        <f>'Palm Kernel Oil Balance Sheet'!R55+'Palm Kernel Oil Balance Sheet'!R71</f>
        <v>27.467292997800008</v>
      </c>
      <c r="E48" s="21">
        <f t="shared" si="0"/>
        <v>1.8239875332459139</v>
      </c>
      <c r="F48" s="15">
        <f>'Coconut Oil Price Analysis'!B79-'Palm Kernel Oil Price Analysis'!B48</f>
        <v>-8.3025999999999982</v>
      </c>
    </row>
    <row r="49" spans="1:6">
      <c r="A49" s="20">
        <v>40210</v>
      </c>
      <c r="B49" s="15">
        <f>'Palm Kernel Oil Balance Sheet'!R134</f>
        <v>46.420999999999999</v>
      </c>
      <c r="C49" s="13">
        <f>'Palm Kernel Oil Balance Sheet'!R119</f>
        <v>96.332999999999998</v>
      </c>
      <c r="D49" s="13">
        <f>'Palm Kernel Oil Balance Sheet'!R56+'Palm Kernel Oil Balance Sheet'!R72</f>
        <v>82.130814877399985</v>
      </c>
      <c r="E49" s="21">
        <f t="shared" si="0"/>
        <v>1.172921517262433</v>
      </c>
      <c r="F49" s="15">
        <f>'Coconut Oil Price Analysis'!B80-'Palm Kernel Oil Price Analysis'!B49</f>
        <v>-7.9209999999999994</v>
      </c>
    </row>
    <row r="50" spans="1:6">
      <c r="A50" s="20">
        <v>40238</v>
      </c>
      <c r="B50" s="15">
        <f>'Palm Kernel Oil Balance Sheet'!R135</f>
        <v>52.489100000000001</v>
      </c>
      <c r="C50" s="13">
        <f>'Palm Kernel Oil Balance Sheet'!R120</f>
        <v>72.430000000000007</v>
      </c>
      <c r="D50" s="13">
        <f>'Palm Kernel Oil Balance Sheet'!R57+'Palm Kernel Oil Balance Sheet'!R73</f>
        <v>55.181303525800033</v>
      </c>
      <c r="E50" s="21">
        <f t="shared" si="0"/>
        <v>1.3125822583392823</v>
      </c>
      <c r="F50" s="15">
        <f>'Coconut Oil Price Analysis'!B81-'Palm Kernel Oil Price Analysis'!B50</f>
        <v>-8.3370000000000033</v>
      </c>
    </row>
    <row r="51" spans="1:6">
      <c r="A51" s="20">
        <v>40269</v>
      </c>
      <c r="B51" s="15">
        <f>'Palm Kernel Oil Balance Sheet'!R136</f>
        <v>53.357100000000003</v>
      </c>
      <c r="C51" s="13">
        <f>'Palm Kernel Oil Balance Sheet'!R121</f>
        <v>72.923999999999992</v>
      </c>
      <c r="D51" s="13">
        <f>'Palm Kernel Oil Balance Sheet'!R58+'Palm Kernel Oil Balance Sheet'!R74</f>
        <v>76.623125780000009</v>
      </c>
      <c r="E51" s="21">
        <f t="shared" si="0"/>
        <v>0.9517231156737076</v>
      </c>
      <c r="F51" s="15">
        <f>'Coconut Oil Price Analysis'!B82-'Palm Kernel Oil Price Analysis'!B51</f>
        <v>-8.0476000000000028</v>
      </c>
    </row>
    <row r="52" spans="1:6">
      <c r="A52" s="20">
        <v>40299</v>
      </c>
      <c r="B52" s="15">
        <f>'Palm Kernel Oil Balance Sheet'!R137</f>
        <v>53.6</v>
      </c>
      <c r="C52" s="13">
        <f>'Palm Kernel Oil Balance Sheet'!R122</f>
        <v>53.598999999999997</v>
      </c>
      <c r="D52" s="13">
        <f>'Palm Kernel Oil Balance Sheet'!R59+'Palm Kernel Oil Balance Sheet'!R75</f>
        <v>62.629112841799994</v>
      </c>
      <c r="E52" s="21">
        <f t="shared" si="0"/>
        <v>0.85581605052254373</v>
      </c>
      <c r="F52" s="15">
        <f>'Coconut Oil Price Analysis'!B83-'Palm Kernel Oil Price Analysis'!B52</f>
        <v>-7.9250000000000043</v>
      </c>
    </row>
    <row r="53" spans="1:6">
      <c r="A53" s="20">
        <v>40330</v>
      </c>
      <c r="B53" s="15">
        <f>'Palm Kernel Oil Balance Sheet'!R138</f>
        <v>54.386299999999999</v>
      </c>
      <c r="C53" s="13">
        <f>'Palm Kernel Oil Balance Sheet'!R123</f>
        <v>47.698999999999998</v>
      </c>
      <c r="D53" s="13">
        <f>'Palm Kernel Oil Balance Sheet'!R60+'Palm Kernel Oil Balance Sheet'!R76</f>
        <v>39.030866363800001</v>
      </c>
      <c r="E53" s="21">
        <f t="shared" si="0"/>
        <v>1.2220840694491844</v>
      </c>
      <c r="F53" s="15">
        <f>'Coconut Oil Price Analysis'!B84-'Palm Kernel Oil Price Analysis'!B53</f>
        <v>-6.3862999999999985</v>
      </c>
    </row>
    <row r="54" spans="1:6">
      <c r="A54" s="20">
        <v>40360</v>
      </c>
      <c r="B54" s="15">
        <f>'Palm Kernel Oil Balance Sheet'!R139</f>
        <v>56.321399999999997</v>
      </c>
      <c r="C54" s="13">
        <f>'Palm Kernel Oil Balance Sheet'!R124</f>
        <v>43.243000000000002</v>
      </c>
      <c r="D54" s="13">
        <f>'Palm Kernel Oil Balance Sheet'!R61+'Palm Kernel Oil Balance Sheet'!R77</f>
        <v>59.649930316599992</v>
      </c>
      <c r="E54" s="21">
        <f t="shared" si="0"/>
        <v>0.72494636239274701</v>
      </c>
      <c r="F54" s="15">
        <f>'Coconut Oil Price Analysis'!B85-'Palm Kernel Oil Price Analysis'!B54</f>
        <v>-5.9405000000000001</v>
      </c>
    </row>
    <row r="55" spans="1:6">
      <c r="A55" s="20">
        <v>40391</v>
      </c>
      <c r="B55" s="15">
        <f>'Palm Kernel Oil Balance Sheet'!R140</f>
        <v>59.602200000000003</v>
      </c>
      <c r="C55" s="13">
        <f>'Palm Kernel Oil Balance Sheet'!R125</f>
        <v>75.78</v>
      </c>
      <c r="D55" s="13">
        <f>'Palm Kernel Oil Balance Sheet'!R62+'Palm Kernel Oil Balance Sheet'!R78</f>
        <v>59.841203078800007</v>
      </c>
      <c r="E55" s="21">
        <f t="shared" si="0"/>
        <v>1.2663515454428864</v>
      </c>
      <c r="F55" s="15">
        <f>'Coconut Oil Price Analysis'!B86-'Palm Kernel Oil Price Analysis'!B55</f>
        <v>-3.5341000000000022</v>
      </c>
    </row>
    <row r="56" spans="1:6">
      <c r="A56" s="20">
        <v>40422</v>
      </c>
      <c r="B56" s="15">
        <f>'Palm Kernel Oil Balance Sheet'!R141</f>
        <v>64.25</v>
      </c>
      <c r="C56" s="13">
        <f>'Palm Kernel Oil Balance Sheet'!R126</f>
        <v>74.284999999999997</v>
      </c>
      <c r="D56" s="13">
        <f>'Palm Kernel Oil Balance Sheet'!S51+'Palm Kernel Oil Balance Sheet'!S67</f>
        <v>74.285000000003492</v>
      </c>
      <c r="E56" s="21">
        <f t="shared" si="0"/>
        <v>0.99999999999995293</v>
      </c>
      <c r="F56" s="15">
        <f>'Coconut Oil Price Analysis'!B87-'Palm Kernel Oil Price Analysis'!B56</f>
        <v>-2.9166999999999987</v>
      </c>
    </row>
    <row r="57" spans="1:6">
      <c r="A57" s="20">
        <v>40452</v>
      </c>
      <c r="B57" s="15">
        <f>'Palm Kernel Oil Balance Sheet'!S130</f>
        <v>72.142799999999994</v>
      </c>
      <c r="C57" s="13" t="str">
        <f>'Palm Kernel Oil Balance Sheet'!S115</f>
        <v xml:space="preserve">10/11 </v>
      </c>
      <c r="D57" s="13">
        <f>'Palm Kernel Oil Balance Sheet'!S52+'Palm Kernel Oil Balance Sheet'!S68</f>
        <v>45914.575671324397</v>
      </c>
      <c r="E57" s="21">
        <f t="shared" si="0"/>
        <v>1.0005755106801979</v>
      </c>
      <c r="F57" s="15">
        <f>'Coconut Oil Price Analysis'!B88-'Palm Kernel Oil Price Analysis'!B57</f>
        <v>-3.4761999999999915</v>
      </c>
    </row>
    <row r="58" spans="1:6">
      <c r="A58" s="20">
        <v>40483</v>
      </c>
      <c r="B58" s="15">
        <f>'Palm Kernel Oil Balance Sheet'!S131</f>
        <v>81.5</v>
      </c>
      <c r="C58" s="13">
        <f>'Palm Kernel Oil Balance Sheet'!S116</f>
        <v>77.571999999999989</v>
      </c>
      <c r="D58" s="13">
        <f>'Palm Kernel Oil Balance Sheet'!S53+'Palm Kernel Oil Balance Sheet'!S69</f>
        <v>41.06095681659999</v>
      </c>
      <c r="E58" s="21">
        <f t="shared" si="0"/>
        <v>1.8891912418523924</v>
      </c>
      <c r="F58" s="15">
        <f>'Coconut Oil Price Analysis'!B89-'Palm Kernel Oil Price Analysis'!B58</f>
        <v>-8.5477000000000061</v>
      </c>
    </row>
    <row r="59" spans="1:6">
      <c r="A59" s="20">
        <v>40513</v>
      </c>
      <c r="B59" s="15">
        <f>'Palm Kernel Oil Balance Sheet'!S132</f>
        <v>94.454499999999996</v>
      </c>
      <c r="C59" s="13">
        <f>'Palm Kernel Oil Balance Sheet'!S117</f>
        <v>86.259</v>
      </c>
      <c r="D59" s="13">
        <f>'Palm Kernel Oil Balance Sheet'!S54+'Palm Kernel Oil Balance Sheet'!S70</f>
        <v>49.788699471600012</v>
      </c>
      <c r="E59" s="21">
        <f t="shared" si="0"/>
        <v>1.7325015699436581</v>
      </c>
      <c r="F59" s="15">
        <f>'Coconut Oil Price Analysis'!B90-'Palm Kernel Oil Price Analysis'!B59</f>
        <v>-12.409099999999995</v>
      </c>
    </row>
    <row r="60" spans="1:6">
      <c r="A60" s="20">
        <v>40544</v>
      </c>
      <c r="B60" s="15">
        <f>'Palm Kernel Oil Balance Sheet'!S133</f>
        <v>108.2375</v>
      </c>
      <c r="C60" s="13">
        <f>'Palm Kernel Oil Balance Sheet'!S118</f>
        <v>86.334000000000003</v>
      </c>
      <c r="D60" s="13">
        <f>'Palm Kernel Oil Balance Sheet'!S55+'Palm Kernel Oil Balance Sheet'!S71</f>
        <v>40.733695696800005</v>
      </c>
      <c r="E60" s="21">
        <f t="shared" si="0"/>
        <v>2.1194737801996766</v>
      </c>
      <c r="F60" s="15">
        <f>'Coconut Oil Price Analysis'!B91-'Palm Kernel Oil Price Analysis'!B60</f>
        <v>-12.212499999999991</v>
      </c>
    </row>
    <row r="61" spans="1:6">
      <c r="A61" s="20">
        <v>40575</v>
      </c>
      <c r="B61" s="15">
        <f>'Palm Kernel Oil Balance Sheet'!S134</f>
        <v>113.7368</v>
      </c>
      <c r="C61" s="13">
        <f>'Palm Kernel Oil Balance Sheet'!S119</f>
        <v>100.461</v>
      </c>
      <c r="D61" s="13">
        <f>'Palm Kernel Oil Balance Sheet'!S56+'Palm Kernel Oil Balance Sheet'!S72</f>
        <v>49.090618279599965</v>
      </c>
      <c r="E61" s="21">
        <f t="shared" si="0"/>
        <v>2.046439900752838</v>
      </c>
      <c r="F61" s="15">
        <f>'Coconut Oil Price Analysis'!B92-'Palm Kernel Oil Price Analysis'!B61</f>
        <v>-7.4210999999999956</v>
      </c>
    </row>
    <row r="62" spans="1:6">
      <c r="A62" s="20">
        <v>40603</v>
      </c>
      <c r="B62" s="15">
        <f>'Palm Kernel Oil Balance Sheet'!S135</f>
        <v>103.43470000000001</v>
      </c>
      <c r="C62" s="13">
        <f>'Palm Kernel Oil Balance Sheet'!S120</f>
        <v>93.659000000000006</v>
      </c>
      <c r="D62" s="13">
        <f>'Palm Kernel Oil Balance Sheet'!S57+'Palm Kernel Oil Balance Sheet'!S73</f>
        <v>62.846949670000008</v>
      </c>
      <c r="E62" s="21">
        <f t="shared" si="0"/>
        <v>1.4902712143037888</v>
      </c>
      <c r="F62" s="15">
        <f>'Coconut Oil Price Analysis'!B93-'Palm Kernel Oil Price Analysis'!B62</f>
        <v>-9.4130000000000109</v>
      </c>
    </row>
    <row r="63" spans="1:6">
      <c r="A63" s="20">
        <v>40634</v>
      </c>
      <c r="B63" s="15">
        <f>'Palm Kernel Oil Balance Sheet'!S136</f>
        <v>94.375</v>
      </c>
      <c r="C63" s="13">
        <f>'Palm Kernel Oil Balance Sheet'!S121</f>
        <v>62.746000000000002</v>
      </c>
      <c r="D63" s="13">
        <f>'Palm Kernel Oil Balance Sheet'!S58+'Palm Kernel Oil Balance Sheet'!S74</f>
        <v>46.279827269400002</v>
      </c>
      <c r="E63" s="21">
        <f t="shared" si="0"/>
        <v>1.3557958986049923</v>
      </c>
      <c r="F63" s="15">
        <f>'Coconut Oil Price Analysis'!B94-'Palm Kernel Oil Price Analysis'!B63</f>
        <v>4.125</v>
      </c>
    </row>
    <row r="64" spans="1:6">
      <c r="A64" s="20">
        <v>40664</v>
      </c>
      <c r="B64" s="15">
        <f>'Palm Kernel Oil Balance Sheet'!S137</f>
        <v>96.297600000000003</v>
      </c>
      <c r="C64" s="13">
        <f>'Palm Kernel Oil Balance Sheet'!S122</f>
        <v>59.341000000000001</v>
      </c>
      <c r="D64" s="13">
        <f>'Palm Kernel Oil Balance Sheet'!S59+'Palm Kernel Oil Balance Sheet'!S75</f>
        <v>52.0242061756</v>
      </c>
      <c r="E64" s="21">
        <f t="shared" si="0"/>
        <v>1.1406421041717243</v>
      </c>
      <c r="F64" s="15">
        <f>'Coconut Oil Price Analysis'!B95-'Palm Kernel Oil Price Analysis'!B64</f>
        <v>3.8689999999999998</v>
      </c>
    </row>
    <row r="65" spans="1:6">
      <c r="A65" s="20">
        <v>40695</v>
      </c>
      <c r="B65" s="15">
        <f>'Palm Kernel Oil Balance Sheet'!S138</f>
        <v>89.704499999999996</v>
      </c>
      <c r="C65" s="13">
        <f>'Palm Kernel Oil Balance Sheet'!S123</f>
        <v>69.156000000000006</v>
      </c>
      <c r="D65" s="13">
        <f>'Palm Kernel Oil Balance Sheet'!S60+'Palm Kernel Oil Balance Sheet'!S76</f>
        <v>64.306333032800012</v>
      </c>
      <c r="E65" s="21">
        <f t="shared" si="0"/>
        <v>1.0754150755995739</v>
      </c>
      <c r="F65" s="15">
        <f>'Coconut Oil Price Analysis'!B96-'Palm Kernel Oil Price Analysis'!B65</f>
        <v>1.5455000000000041</v>
      </c>
    </row>
    <row r="66" spans="1:6">
      <c r="A66" s="20">
        <v>40725</v>
      </c>
      <c r="B66" s="15">
        <f>'Palm Kernel Oil Balance Sheet'!S139</f>
        <v>72.724999999999994</v>
      </c>
      <c r="C66" s="13">
        <f>'Palm Kernel Oil Balance Sheet'!S124</f>
        <v>64.974999999999994</v>
      </c>
      <c r="D66" s="13">
        <f>'Palm Kernel Oil Balance Sheet'!S61+'Palm Kernel Oil Balance Sheet'!S77</f>
        <v>50.085741425000002</v>
      </c>
      <c r="E66" s="21">
        <f t="shared" si="0"/>
        <v>1.2972753951799965</v>
      </c>
      <c r="F66" s="15">
        <f>'Coconut Oil Price Analysis'!B97-'Palm Kernel Oil Price Analysis'!B66</f>
        <v>6.5</v>
      </c>
    </row>
    <row r="67" spans="1:6" hidden="1">
      <c r="A67" s="20">
        <v>40756</v>
      </c>
      <c r="B67" s="15">
        <f>'Palm Kernel Oil Balance Sheet'!S140</f>
        <v>72.543400000000005</v>
      </c>
      <c r="C67" s="13">
        <f>'Palm Kernel Oil Balance Sheet'!S125</f>
        <v>88.936999999999998</v>
      </c>
      <c r="D67" s="13">
        <f>'Palm Kernel Oil Balance Sheet'!S62+'Palm Kernel Oil Balance Sheet'!S78</f>
        <v>41.934965118199983</v>
      </c>
      <c r="E67" s="21">
        <f t="shared" ref="E67:E130" si="1">C67/D67</f>
        <v>2.1208316198503501</v>
      </c>
      <c r="F67" s="15">
        <f>'Coconut Oil Price Analysis'!B98-'Palm Kernel Oil Price Analysis'!B67</f>
        <v>-2.3261000000000109</v>
      </c>
    </row>
    <row r="68" spans="1:6" hidden="1">
      <c r="A68" s="20">
        <v>40787</v>
      </c>
      <c r="B68" s="15">
        <f>'Palm Kernel Oil Balance Sheet'!S141</f>
        <v>65.904700000000005</v>
      </c>
      <c r="C68" s="13">
        <f>'Palm Kernel Oil Balance Sheet'!S126</f>
        <v>85.468500000000006</v>
      </c>
      <c r="D68" s="13">
        <f>'Palm Kernel Oil Balance Sheet'!T51+'Palm Kernel Oil Balance Sheet'!T67</f>
        <v>85.468500000002678</v>
      </c>
      <c r="E68" s="21">
        <f t="shared" si="1"/>
        <v>0.99999999999996869</v>
      </c>
      <c r="F68" s="15">
        <f>'Coconut Oil Price Analysis'!B99-'Palm Kernel Oil Price Analysis'!B68</f>
        <v>-2.2143000000000086</v>
      </c>
    </row>
    <row r="69" spans="1:6" hidden="1">
      <c r="A69" s="20">
        <v>40817</v>
      </c>
      <c r="B69" s="15">
        <f>'Palm Kernel Oil Balance Sheet'!T130</f>
        <v>55.523800000000001</v>
      </c>
      <c r="C69" s="13" t="str">
        <f>'Palm Kernel Oil Balance Sheet'!T115</f>
        <v xml:space="preserve">11/12 </v>
      </c>
      <c r="D69" s="13">
        <f>'Palm Kernel Oil Balance Sheet'!T52+'Palm Kernel Oil Balance Sheet'!T68</f>
        <v>46013.377464908997</v>
      </c>
      <c r="E69" s="21">
        <f t="shared" si="1"/>
        <v>0.99912248421799099</v>
      </c>
      <c r="F69" s="15">
        <f>'Coconut Oil Price Analysis'!B100-'Palm Kernel Oil Price Analysis'!B69</f>
        <v>2.7618999999999971</v>
      </c>
    </row>
    <row r="70" spans="1:6" hidden="1">
      <c r="A70" s="20">
        <v>40848</v>
      </c>
      <c r="B70" s="15">
        <f>'Palm Kernel Oil Balance Sheet'!T131</f>
        <v>65.642799999999994</v>
      </c>
      <c r="C70" s="13">
        <f>'Palm Kernel Oil Balance Sheet'!T116</f>
        <v>82</v>
      </c>
      <c r="D70" s="13">
        <f>'Palm Kernel Oil Balance Sheet'!T53+'Palm Kernel Oil Balance Sheet'!T69</f>
        <v>76.095173876399983</v>
      </c>
      <c r="E70" s="21">
        <f t="shared" si="1"/>
        <v>1.0775979056594458</v>
      </c>
      <c r="F70" s="15">
        <f>'Coconut Oil Price Analysis'!B101-'Palm Kernel Oil Price Analysis'!B70</f>
        <v>5.3094999999999999</v>
      </c>
    </row>
    <row r="71" spans="1:6" hidden="1">
      <c r="A71" s="20">
        <v>40878</v>
      </c>
      <c r="B71" s="15">
        <f>'Palm Kernel Oil Balance Sheet'!T132</f>
        <v>69.452299999999994</v>
      </c>
      <c r="C71" s="13">
        <f>'Palm Kernel Oil Balance Sheet'!T117</f>
        <v>82</v>
      </c>
      <c r="D71" s="13">
        <f>'Palm Kernel Oil Balance Sheet'!T54+'Palm Kernel Oil Balance Sheet'!T70</f>
        <v>30.628152059399998</v>
      </c>
      <c r="E71" s="21">
        <f t="shared" si="1"/>
        <v>2.6772754634680487</v>
      </c>
      <c r="F71" s="15">
        <f>'Coconut Oil Price Analysis'!B102-'Palm Kernel Oil Price Analysis'!B71</f>
        <v>9.5300000000008822E-2</v>
      </c>
    </row>
    <row r="72" spans="1:6" hidden="1">
      <c r="A72" s="20">
        <v>40909</v>
      </c>
      <c r="B72" s="15">
        <f>'Palm Kernel Oil Balance Sheet'!T133</f>
        <v>71.45</v>
      </c>
      <c r="C72" s="13">
        <f>'Palm Kernel Oil Balance Sheet'!T118</f>
        <v>82</v>
      </c>
      <c r="D72" s="13">
        <f>'Palm Kernel Oil Balance Sheet'!T55+'Palm Kernel Oil Balance Sheet'!T71</f>
        <v>53.000435653199986</v>
      </c>
      <c r="E72" s="21">
        <f t="shared" si="1"/>
        <v>1.5471570938879466</v>
      </c>
      <c r="F72" s="15">
        <f>'Coconut Oil Price Analysis'!B103-'Palm Kernel Oil Price Analysis'!B72</f>
        <v>-1.0499999999999972</v>
      </c>
    </row>
    <row r="73" spans="1:6" hidden="1">
      <c r="A73" s="20">
        <v>40940</v>
      </c>
      <c r="B73" s="15">
        <f>'Palm Kernel Oil Balance Sheet'!T134</f>
        <v>68.712500000000006</v>
      </c>
      <c r="C73" s="13">
        <f>'Palm Kernel Oil Balance Sheet'!T119</f>
        <v>82</v>
      </c>
      <c r="D73" s="13">
        <f>'Palm Kernel Oil Balance Sheet'!T56+'Palm Kernel Oil Balance Sheet'!T72</f>
        <v>60.101523115200003</v>
      </c>
      <c r="E73" s="21">
        <f t="shared" si="1"/>
        <v>1.364358101920744</v>
      </c>
      <c r="F73" s="15">
        <f>'Coconut Oil Price Analysis'!B104-'Palm Kernel Oil Price Analysis'!B73</f>
        <v>0.41249999999999432</v>
      </c>
    </row>
    <row r="74" spans="1:6" hidden="1">
      <c r="A74" s="20">
        <v>40969</v>
      </c>
      <c r="B74" s="15">
        <f>'Palm Kernel Oil Balance Sheet'!T135</f>
        <v>71.761300000000006</v>
      </c>
      <c r="C74" s="13">
        <f>'Palm Kernel Oil Balance Sheet'!T120</f>
        <v>82</v>
      </c>
      <c r="D74" s="13">
        <f>'Palm Kernel Oil Balance Sheet'!T57+'Palm Kernel Oil Balance Sheet'!T73</f>
        <v>61.182228819599999</v>
      </c>
      <c r="E74" s="21">
        <f t="shared" si="1"/>
        <v>1.3402584636428108</v>
      </c>
      <c r="F74" s="15">
        <f>'Coconut Oil Price Analysis'!B105-'Palm Kernel Oil Price Analysis'!B74</f>
        <v>-5.8409000000000049</v>
      </c>
    </row>
    <row r="75" spans="1:6" hidden="1">
      <c r="A75" s="20">
        <v>41000</v>
      </c>
      <c r="B75" s="15">
        <f>'Palm Kernel Oil Balance Sheet'!T136</f>
        <v>72.012500000000003</v>
      </c>
      <c r="C75" s="13">
        <f>'Palm Kernel Oil Balance Sheet'!T121</f>
        <v>82</v>
      </c>
      <c r="D75" s="13">
        <f>'Palm Kernel Oil Balance Sheet'!T58+'Palm Kernel Oil Balance Sheet'!T74</f>
        <v>37.216664906400005</v>
      </c>
      <c r="E75" s="21">
        <f t="shared" si="1"/>
        <v>2.2033140316637772</v>
      </c>
      <c r="F75" s="15">
        <f>'Coconut Oil Price Analysis'!B106-'Palm Kernel Oil Price Analysis'!B75</f>
        <v>-6.7374999999999972</v>
      </c>
    </row>
    <row r="76" spans="1:6" hidden="1">
      <c r="A76" s="20">
        <v>41030</v>
      </c>
      <c r="B76" s="15">
        <f>'Palm Kernel Oil Balance Sheet'!T137</f>
        <v>63.045499999999997</v>
      </c>
      <c r="C76" s="13">
        <f>'Palm Kernel Oil Balance Sheet'!T122</f>
        <v>82</v>
      </c>
      <c r="D76" s="13">
        <f>'Palm Kernel Oil Balance Sheet'!T59+'Palm Kernel Oil Balance Sheet'!T75</f>
        <v>41.439838809599991</v>
      </c>
      <c r="E76" s="21">
        <f t="shared" si="1"/>
        <v>1.9787721756534393</v>
      </c>
      <c r="F76" s="15">
        <f>'Coconut Oil Price Analysis'!B107-'Palm Kernel Oil Price Analysis'!B76</f>
        <v>-5.8522999999999996</v>
      </c>
    </row>
    <row r="77" spans="1:6" hidden="1">
      <c r="A77" s="20">
        <v>41061</v>
      </c>
      <c r="B77" s="15">
        <f>'Palm Kernel Oil Balance Sheet'!T138</f>
        <v>57.345199999999998</v>
      </c>
      <c r="C77" s="13">
        <f>'Palm Kernel Oil Balance Sheet'!T123</f>
        <v>82</v>
      </c>
      <c r="D77" s="13">
        <f>'Palm Kernel Oil Balance Sheet'!T60+'Palm Kernel Oil Balance Sheet'!T76</f>
        <v>42.101666334000008</v>
      </c>
      <c r="E77" s="21">
        <f t="shared" si="1"/>
        <v>1.9476663785580222</v>
      </c>
      <c r="F77" s="15">
        <f>'Coconut Oil Price Analysis'!B108-'Palm Kernel Oil Price Analysis'!B77</f>
        <v>-4.0833000000000013</v>
      </c>
    </row>
    <row r="78" spans="1:6" hidden="1">
      <c r="A78" s="20">
        <v>41091</v>
      </c>
      <c r="B78" s="15">
        <f>'Palm Kernel Oil Balance Sheet'!T139</f>
        <v>56.404800000000002</v>
      </c>
      <c r="C78" s="13">
        <f>'Palm Kernel Oil Balance Sheet'!T124</f>
        <v>82</v>
      </c>
      <c r="D78" s="13">
        <f>'Palm Kernel Oil Balance Sheet'!T61+'Palm Kernel Oil Balance Sheet'!T77</f>
        <v>44.321720688000006</v>
      </c>
      <c r="E78" s="21">
        <f t="shared" si="1"/>
        <v>1.850108676448595</v>
      </c>
      <c r="F78" s="15">
        <f>'Coconut Oil Price Analysis'!B109-'Palm Kernel Oil Price Analysis'!B78</f>
        <v>-3.4643000000000015</v>
      </c>
    </row>
    <row r="79" spans="1:6" hidden="1">
      <c r="A79" s="20">
        <v>41122</v>
      </c>
      <c r="B79" s="15">
        <f>'Palm Kernel Oil Balance Sheet'!T140</f>
        <v>52.760899999999999</v>
      </c>
      <c r="C79" s="13">
        <f>'Palm Kernel Oil Balance Sheet'!T125</f>
        <v>82</v>
      </c>
      <c r="D79" s="13">
        <f>'Palm Kernel Oil Balance Sheet'!T62+'Palm Kernel Oil Balance Sheet'!T78</f>
        <v>43.562669333400017</v>
      </c>
      <c r="E79" s="21">
        <f t="shared" si="1"/>
        <v>1.8823456242413874</v>
      </c>
      <c r="F79" s="15">
        <f>'Coconut Oil Price Analysis'!B110-'Palm Kernel Oil Price Analysis'!B79</f>
        <v>-3.4131</v>
      </c>
    </row>
    <row r="80" spans="1:6" hidden="1">
      <c r="A80" s="20">
        <v>41153</v>
      </c>
      <c r="B80" s="15">
        <f>'Palm Kernel Oil Balance Sheet'!T141</f>
        <v>49.486800000000002</v>
      </c>
      <c r="C80" s="13">
        <f>'Palm Kernel Oil Balance Sheet'!T126</f>
        <v>82</v>
      </c>
      <c r="D80" s="13">
        <f>'Palm Kernel Oil Balance Sheet'!U51+'Palm Kernel Oil Balance Sheet'!U67</f>
        <v>82</v>
      </c>
      <c r="E80" s="21">
        <f t="shared" si="1"/>
        <v>1</v>
      </c>
      <c r="F80" s="15">
        <f>'Coconut Oil Price Analysis'!B111-'Palm Kernel Oil Price Analysis'!B80</f>
        <v>-1.7105000000000032</v>
      </c>
    </row>
    <row r="81" spans="1:6" hidden="1">
      <c r="A81" s="20">
        <v>41183</v>
      </c>
      <c r="B81" s="15">
        <f>'Palm Kernel Oil Balance Sheet'!U130</f>
        <v>44.130400000000002</v>
      </c>
      <c r="C81" s="13" t="str">
        <f>'Palm Kernel Oil Balance Sheet'!U115</f>
        <v xml:space="preserve">12/13 </v>
      </c>
      <c r="D81" s="13">
        <f>'Palm Kernel Oil Balance Sheet'!U52+'Palm Kernel Oil Balance Sheet'!U68</f>
        <v>45958.700553248338</v>
      </c>
      <c r="E81" s="21">
        <f t="shared" si="1"/>
        <v>1.0009856555169392</v>
      </c>
      <c r="F81" s="15">
        <f>'Coconut Oil Price Analysis'!B112-'Palm Kernel Oil Price Analysis'!B81</f>
        <v>0.26089999999999947</v>
      </c>
    </row>
    <row r="82" spans="1:6" hidden="1">
      <c r="A82" s="20">
        <v>41214</v>
      </c>
      <c r="B82" s="15">
        <f>'Palm Kernel Oil Balance Sheet'!U131</f>
        <v>42.5227</v>
      </c>
      <c r="C82" s="13">
        <f>'Palm Kernel Oil Balance Sheet'!U116</f>
        <v>81.416666666666671</v>
      </c>
      <c r="D82" s="13">
        <f>'Palm Kernel Oil Balance Sheet'!U53+'Palm Kernel Oil Balance Sheet'!U69</f>
        <v>38.938905964933326</v>
      </c>
      <c r="E82" s="21">
        <f t="shared" si="1"/>
        <v>2.0908822333115098</v>
      </c>
      <c r="F82" s="15">
        <f>'Coconut Oil Price Analysis'!B113-'Palm Kernel Oil Price Analysis'!B82</f>
        <v>-0.81819999999999737</v>
      </c>
    </row>
    <row r="83" spans="1:6" hidden="1">
      <c r="A83" s="20">
        <v>41244</v>
      </c>
      <c r="B83" s="15">
        <f>'Palm Kernel Oil Balance Sheet'!U132</f>
        <v>38.524999999999999</v>
      </c>
      <c r="C83" s="13">
        <f>'Palm Kernel Oil Balance Sheet'!U117</f>
        <v>80.833333333333343</v>
      </c>
      <c r="D83" s="13">
        <f>'Palm Kernel Oil Balance Sheet'!U54+'Palm Kernel Oil Balance Sheet'!U70</f>
        <v>50.161534255933354</v>
      </c>
      <c r="E83" s="21">
        <f t="shared" si="1"/>
        <v>1.6114605450644082</v>
      </c>
      <c r="F83" s="15">
        <f>'Coconut Oil Price Analysis'!B114-'Palm Kernel Oil Price Analysis'!B83</f>
        <v>-1</v>
      </c>
    </row>
    <row r="84" spans="1:6" hidden="1">
      <c r="A84" s="20">
        <v>41275</v>
      </c>
      <c r="B84" s="15">
        <f>'Palm Kernel Oil Balance Sheet'!U133</f>
        <v>41.595199999999998</v>
      </c>
      <c r="C84" s="13">
        <f>'Palm Kernel Oil Balance Sheet'!U118</f>
        <v>80.250000000000014</v>
      </c>
      <c r="D84" s="13">
        <f>'Palm Kernel Oil Balance Sheet'!U55+'Palm Kernel Oil Balance Sheet'!U71</f>
        <v>49.758749816533346</v>
      </c>
      <c r="E84" s="21">
        <f t="shared" si="1"/>
        <v>1.612781677511828</v>
      </c>
      <c r="F84" s="15">
        <f>'Coconut Oil Price Analysis'!B115-'Palm Kernel Oil Price Analysis'!B84</f>
        <v>-0.52380000000000138</v>
      </c>
    </row>
    <row r="85" spans="1:6" hidden="1">
      <c r="A85" s="20">
        <v>41306</v>
      </c>
      <c r="B85" s="15">
        <f>'Palm Kernel Oil Balance Sheet'!U134</f>
        <v>43.039499999999997</v>
      </c>
      <c r="C85" s="13">
        <f>'Palm Kernel Oil Balance Sheet'!U119</f>
        <v>79.666666666666686</v>
      </c>
      <c r="D85" s="13">
        <f>'Palm Kernel Oil Balance Sheet'!U56+'Palm Kernel Oil Balance Sheet'!U72</f>
        <v>45.286012702933341</v>
      </c>
      <c r="E85" s="21">
        <f t="shared" si="1"/>
        <v>1.759189248770104</v>
      </c>
      <c r="F85" s="15">
        <f>'Coconut Oil Price Analysis'!B116-'Palm Kernel Oil Price Analysis'!B85</f>
        <v>-0.81579999999999586</v>
      </c>
    </row>
    <row r="86" spans="1:6" hidden="1">
      <c r="A86" s="20">
        <v>41334</v>
      </c>
      <c r="B86" s="15">
        <f>'Palm Kernel Oil Balance Sheet'!U135</f>
        <v>42.15</v>
      </c>
      <c r="C86" s="13">
        <f>'Palm Kernel Oil Balance Sheet'!U120</f>
        <v>79.083333333333357</v>
      </c>
      <c r="D86" s="13">
        <f>'Palm Kernel Oil Balance Sheet'!U57+'Palm Kernel Oil Balance Sheet'!U73</f>
        <v>51.632017129933317</v>
      </c>
      <c r="E86" s="21">
        <f t="shared" si="1"/>
        <v>1.5316723562110326</v>
      </c>
      <c r="F86" s="15">
        <f>'Coconut Oil Price Analysis'!B117-'Palm Kernel Oil Price Analysis'!B86</f>
        <v>-2.125</v>
      </c>
    </row>
    <row r="87" spans="1:6" hidden="1">
      <c r="A87" s="20">
        <v>41365</v>
      </c>
      <c r="B87" s="15">
        <f>'Palm Kernel Oil Balance Sheet'!U136</f>
        <v>41.045499999999997</v>
      </c>
      <c r="C87" s="13">
        <f>'Palm Kernel Oil Balance Sheet'!U121</f>
        <v>78.500000000000028</v>
      </c>
      <c r="D87" s="13">
        <f>'Palm Kernel Oil Balance Sheet'!U58+'Palm Kernel Oil Balance Sheet'!U74</f>
        <v>75.885945600733322</v>
      </c>
      <c r="E87" s="21">
        <f t="shared" si="1"/>
        <v>1.0344471480005046</v>
      </c>
      <c r="F87" s="15">
        <f>'Coconut Oil Price Analysis'!B118-'Palm Kernel Oil Price Analysis'!B87</f>
        <v>-1.545499999999997</v>
      </c>
    </row>
    <row r="88" spans="1:6" hidden="1">
      <c r="A88" s="20">
        <v>41395</v>
      </c>
      <c r="B88" s="15">
        <f>'Palm Kernel Oil Balance Sheet'!U137</f>
        <v>41.920499999999997</v>
      </c>
      <c r="C88" s="13">
        <f>'Palm Kernel Oil Balance Sheet'!U122</f>
        <v>77.9166666666667</v>
      </c>
      <c r="D88" s="13">
        <f>'Palm Kernel Oil Balance Sheet'!U59+'Palm Kernel Oil Balance Sheet'!U75</f>
        <v>53.672835715333314</v>
      </c>
      <c r="E88" s="21">
        <f t="shared" si="1"/>
        <v>1.4516964797596372</v>
      </c>
      <c r="F88" s="15">
        <f>'Coconut Oil Price Analysis'!B119-'Palm Kernel Oil Price Analysis'!B88</f>
        <v>-1.875</v>
      </c>
    </row>
    <row r="89" spans="1:6" hidden="1">
      <c r="A89" s="20">
        <v>41426</v>
      </c>
      <c r="B89" s="15">
        <f>'Palm Kernel Oil Balance Sheet'!U138</f>
        <v>42.774999999999999</v>
      </c>
      <c r="C89" s="13">
        <f>'Palm Kernel Oil Balance Sheet'!U123</f>
        <v>77.333333333333371</v>
      </c>
      <c r="D89" s="13">
        <f>'Palm Kernel Oil Balance Sheet'!U60+'Palm Kernel Oil Balance Sheet'!U76</f>
        <v>73.849315797133343</v>
      </c>
      <c r="E89" s="21">
        <f t="shared" si="1"/>
        <v>1.0471773840907443</v>
      </c>
      <c r="F89" s="15">
        <f>'Coconut Oil Price Analysis'!B120-'Palm Kernel Oil Price Analysis'!B89</f>
        <v>-0.17499999999999716</v>
      </c>
    </row>
    <row r="90" spans="1:6" hidden="1">
      <c r="A90" s="20">
        <v>41456</v>
      </c>
      <c r="B90" s="15">
        <f>'Palm Kernel Oil Balance Sheet'!U139</f>
        <v>42.315199999999997</v>
      </c>
      <c r="C90" s="13">
        <f>'Palm Kernel Oil Balance Sheet'!U124</f>
        <v>76.750000000000043</v>
      </c>
      <c r="D90" s="13">
        <f>'Palm Kernel Oil Balance Sheet'!U61+'Palm Kernel Oil Balance Sheet'!U77</f>
        <v>37.561899063733335</v>
      </c>
      <c r="E90" s="21">
        <f t="shared" si="1"/>
        <v>2.043293920517014</v>
      </c>
      <c r="F90" s="15">
        <f>'Coconut Oil Price Analysis'!B121-'Palm Kernel Oil Price Analysis'!B90</f>
        <v>-1.1194999999999951</v>
      </c>
    </row>
    <row r="91" spans="1:6" hidden="1">
      <c r="A91" s="20">
        <v>41487</v>
      </c>
      <c r="B91" s="15">
        <f>'Palm Kernel Oil Balance Sheet'!U140</f>
        <v>42.5</v>
      </c>
      <c r="C91" s="13">
        <f>'Palm Kernel Oil Balance Sheet'!U125</f>
        <v>76.166666666666714</v>
      </c>
      <c r="D91" s="13">
        <f>'Palm Kernel Oil Balance Sheet'!U62+'Palm Kernel Oil Balance Sheet'!U78</f>
        <v>40.020052593733332</v>
      </c>
      <c r="E91" s="21">
        <f t="shared" si="1"/>
        <v>1.9032125579613435</v>
      </c>
      <c r="F91" s="15">
        <f>'Coconut Oil Price Analysis'!B122-'Palm Kernel Oil Price Analysis'!B91</f>
        <v>-0.63640000000000185</v>
      </c>
    </row>
    <row r="92" spans="1:6" hidden="1">
      <c r="A92" s="20">
        <v>41518</v>
      </c>
      <c r="B92" s="15">
        <f>'Palm Kernel Oil Balance Sheet'!U141</f>
        <v>45.5</v>
      </c>
      <c r="C92" s="13">
        <f>'Palm Kernel Oil Balance Sheet'!U126</f>
        <v>75.583333333333385</v>
      </c>
      <c r="D92" s="13" t="e">
        <f>'Palm Kernel Oil Balance Sheet'!V51+'Palm Kernel Oil Balance Sheet'!V67</f>
        <v>#VALUE!</v>
      </c>
      <c r="E92" s="21" t="e">
        <f t="shared" si="1"/>
        <v>#VALUE!</v>
      </c>
      <c r="F92" s="15">
        <f>'Coconut Oil Price Analysis'!B123-'Palm Kernel Oil Price Analysis'!B92</f>
        <v>1.125</v>
      </c>
    </row>
    <row r="93" spans="1:6" hidden="1">
      <c r="A93" s="20">
        <v>41548</v>
      </c>
      <c r="B93" s="15">
        <f>'Palm Kernel Oil Balance Sheet'!V130</f>
        <v>46.543500000000002</v>
      </c>
      <c r="C93" s="13" t="str">
        <f>'Palm Kernel Oil Balance Sheet'!V115</f>
        <v xml:space="preserve">13/14 </v>
      </c>
      <c r="D93" s="13" t="e">
        <f>'Palm Kernel Oil Balance Sheet'!V52+'Palm Kernel Oil Balance Sheet'!V68</f>
        <v>#VALUE!</v>
      </c>
      <c r="E93" s="21" t="e">
        <f t="shared" si="1"/>
        <v>#VALUE!</v>
      </c>
      <c r="F93" s="15">
        <f>'Coconut Oil Price Analysis'!B124-'Palm Kernel Oil Price Analysis'!B93</f>
        <v>-0.39130000000000109</v>
      </c>
    </row>
    <row r="94" spans="1:6" hidden="1">
      <c r="A94" s="20">
        <v>41579</v>
      </c>
      <c r="B94" s="15">
        <f>'Palm Kernel Oil Balance Sheet'!V131</f>
        <v>54.674999999999997</v>
      </c>
      <c r="C94" s="13">
        <f>'Palm Kernel Oil Balance Sheet'!V116</f>
        <v>75</v>
      </c>
      <c r="D94" s="13">
        <f>'Palm Kernel Oil Balance Sheet'!V53+'Palm Kernel Oil Balance Sheet'!V69</f>
        <v>81.673969847399988</v>
      </c>
      <c r="E94" s="21">
        <f t="shared" si="1"/>
        <v>0.91828522771857835</v>
      </c>
      <c r="F94" s="15">
        <f>'Coconut Oil Price Analysis'!B125-'Palm Kernel Oil Price Analysis'!B94</f>
        <v>5.3225000000000051</v>
      </c>
    </row>
    <row r="95" spans="1:6" hidden="1">
      <c r="A95" s="20">
        <v>41609</v>
      </c>
      <c r="B95" s="15">
        <f>'Palm Kernel Oil Balance Sheet'!V132</f>
        <v>57.047600000000003</v>
      </c>
      <c r="C95" s="13">
        <f>'Palm Kernel Oil Balance Sheet'!V117</f>
        <v>75</v>
      </c>
      <c r="D95" s="13">
        <f>'Palm Kernel Oil Balance Sheet'!V54+'Palm Kernel Oil Balance Sheet'!V70</f>
        <v>38.479251925800007</v>
      </c>
      <c r="E95" s="21">
        <f t="shared" si="1"/>
        <v>1.9491023407789574</v>
      </c>
      <c r="F95" s="15">
        <f>'Coconut Oil Price Analysis'!B126-'Palm Kernel Oil Price Analysis'!B95</f>
        <v>2.9166999999999987</v>
      </c>
    </row>
    <row r="96" spans="1:6" hidden="1">
      <c r="A96" s="20">
        <v>41640</v>
      </c>
      <c r="B96" s="15">
        <f>'Palm Kernel Oil Balance Sheet'!V133</f>
        <v>59</v>
      </c>
      <c r="C96" s="13">
        <f>'Palm Kernel Oil Balance Sheet'!V118</f>
        <v>75</v>
      </c>
      <c r="D96" s="13">
        <f>'Palm Kernel Oil Balance Sheet'!V55+'Palm Kernel Oil Balance Sheet'!V71</f>
        <v>63.487381582800012</v>
      </c>
      <c r="E96" s="21">
        <f t="shared" si="1"/>
        <v>1.1813371118823868</v>
      </c>
      <c r="F96" s="15">
        <f>'Coconut Oil Price Analysis'!B127-'Palm Kernel Oil Price Analysis'!B96</f>
        <v>-0.28549999999999898</v>
      </c>
    </row>
    <row r="97" spans="1:6" hidden="1">
      <c r="A97" s="20">
        <v>41671</v>
      </c>
      <c r="B97" s="15">
        <f>'Palm Kernel Oil Balance Sheet'!V134</f>
        <v>62.657899999999998</v>
      </c>
      <c r="C97" s="13">
        <f>'Palm Kernel Oil Balance Sheet'!V119</f>
        <v>75</v>
      </c>
      <c r="D97" s="13">
        <f>'Palm Kernel Oil Balance Sheet'!V56+'Palm Kernel Oil Balance Sheet'!V72</f>
        <v>31.669395030000011</v>
      </c>
      <c r="E97" s="21">
        <f t="shared" si="1"/>
        <v>2.3682170097961599</v>
      </c>
      <c r="F97" s="15">
        <f>'Coconut Oil Price Analysis'!B128-'Palm Kernel Oil Price Analysis'!B97</f>
        <v>6.9099999999998829E-2</v>
      </c>
    </row>
    <row r="98" spans="1:6" hidden="1">
      <c r="A98" s="20">
        <v>41699</v>
      </c>
      <c r="B98" s="15">
        <f>'Palm Kernel Oil Balance Sheet'!V135</f>
        <v>70</v>
      </c>
      <c r="C98" s="13">
        <f>'Palm Kernel Oil Balance Sheet'!V120</f>
        <v>75</v>
      </c>
      <c r="D98" s="13">
        <f>'Palm Kernel Oil Balance Sheet'!V57+'Palm Kernel Oil Balance Sheet'!V73</f>
        <v>69.410980434599992</v>
      </c>
      <c r="E98" s="21">
        <f t="shared" si="1"/>
        <v>1.0805206831888228</v>
      </c>
      <c r="F98" s="15">
        <f>'Coconut Oil Price Analysis'!B129-'Palm Kernel Oil Price Analysis'!B98</f>
        <v>-5.7667000000000002</v>
      </c>
    </row>
    <row r="99" spans="1:6" hidden="1">
      <c r="A99" s="20">
        <v>41730</v>
      </c>
      <c r="B99" s="15">
        <f>'Palm Kernel Oil Balance Sheet'!V136</f>
        <v>67.428600000000003</v>
      </c>
      <c r="C99" s="13">
        <f>'Palm Kernel Oil Balance Sheet'!V121</f>
        <v>75</v>
      </c>
      <c r="D99" s="13">
        <f>'Palm Kernel Oil Balance Sheet'!V58+'Palm Kernel Oil Balance Sheet'!V74</f>
        <v>45.458423791200005</v>
      </c>
      <c r="E99" s="21">
        <f t="shared" si="1"/>
        <v>1.6498592283905531</v>
      </c>
      <c r="F99" s="15">
        <f>'Coconut Oil Price Analysis'!B130-'Palm Kernel Oil Price Analysis'!B99</f>
        <v>-4.9107000000000056</v>
      </c>
    </row>
    <row r="100" spans="1:6" hidden="1">
      <c r="A100" s="20">
        <v>41760</v>
      </c>
      <c r="B100" s="15">
        <f>'Palm Kernel Oil Balance Sheet'!V137</f>
        <v>66.428600000000003</v>
      </c>
      <c r="C100" s="13">
        <f>'Palm Kernel Oil Balance Sheet'!V122</f>
        <v>75</v>
      </c>
      <c r="D100" s="13">
        <f>'Palm Kernel Oil Balance Sheet'!V59+'Palm Kernel Oil Balance Sheet'!V75</f>
        <v>53.654987925000007</v>
      </c>
      <c r="E100" s="21">
        <f t="shared" si="1"/>
        <v>1.3978197163111186</v>
      </c>
      <c r="F100" s="15">
        <f>'Coconut Oil Price Analysis'!B131-'Palm Kernel Oil Price Analysis'!B100</f>
        <v>-1.1475999999999971</v>
      </c>
    </row>
    <row r="101" spans="1:6" hidden="1">
      <c r="A101" s="20">
        <v>41791</v>
      </c>
      <c r="B101" s="15">
        <f>'Palm Kernel Oil Balance Sheet'!V138</f>
        <v>63.619</v>
      </c>
      <c r="C101" s="13">
        <f>'Palm Kernel Oil Balance Sheet'!V123</f>
        <v>75</v>
      </c>
      <c r="D101" s="13">
        <f>'Palm Kernel Oil Balance Sheet'!V60+'Palm Kernel Oil Balance Sheet'!V76</f>
        <v>49.549099912200006</v>
      </c>
      <c r="E101" s="21">
        <f t="shared" si="1"/>
        <v>1.5136500992530333</v>
      </c>
      <c r="F101" s="15">
        <f>'Coconut Oil Price Analysis'!B132-'Palm Kernel Oil Price Analysis'!B101</f>
        <v>0.29529999999999745</v>
      </c>
    </row>
    <row r="102" spans="1:6" hidden="1">
      <c r="A102" s="20">
        <v>41821</v>
      </c>
      <c r="B102" s="15">
        <f>'Palm Kernel Oil Balance Sheet'!V139</f>
        <v>59.7727</v>
      </c>
      <c r="C102" s="13">
        <f>'Palm Kernel Oil Balance Sheet'!V124</f>
        <v>75</v>
      </c>
      <c r="D102" s="13">
        <f>'Palm Kernel Oil Balance Sheet'!V61+'Palm Kernel Oil Balance Sheet'!V77</f>
        <v>45.218340455400011</v>
      </c>
      <c r="E102" s="21">
        <f t="shared" si="1"/>
        <v>1.6586190303462018</v>
      </c>
      <c r="F102" s="15">
        <f>'Coconut Oil Price Analysis'!B133-'Palm Kernel Oil Price Analysis'!B102</f>
        <v>-2.397199999999998</v>
      </c>
    </row>
    <row r="103" spans="1:6" hidden="1">
      <c r="A103" s="20">
        <v>41852</v>
      </c>
      <c r="B103" s="15">
        <f>'Palm Kernel Oil Balance Sheet'!V140</f>
        <v>50.107100000000003</v>
      </c>
      <c r="C103" s="13">
        <f>'Palm Kernel Oil Balance Sheet'!V125</f>
        <v>75</v>
      </c>
      <c r="D103" s="13">
        <f>'Palm Kernel Oil Balance Sheet'!V62+'Palm Kernel Oil Balance Sheet'!V78</f>
        <v>33.367615356599998</v>
      </c>
      <c r="E103" s="21">
        <f t="shared" si="1"/>
        <v>2.2476883408800523</v>
      </c>
      <c r="F103" s="15">
        <f>'Coconut Oil Price Analysis'!B134-'Palm Kernel Oil Price Analysis'!B103</f>
        <v>6.935299999999998</v>
      </c>
    </row>
    <row r="104" spans="1:6" hidden="1">
      <c r="A104" s="20">
        <v>41883</v>
      </c>
      <c r="B104" s="15">
        <f>'Palm Kernel Oil Balance Sheet'!V141</f>
        <v>47.023800000000001</v>
      </c>
      <c r="C104" s="13">
        <f>'Palm Kernel Oil Balance Sheet'!V126</f>
        <v>75</v>
      </c>
      <c r="D104" s="13" t="e">
        <f>'Palm Kernel Oil Balance Sheet'!W51+'Palm Kernel Oil Balance Sheet'!W67</f>
        <v>#VALUE!</v>
      </c>
      <c r="E104" s="21" t="e">
        <f t="shared" si="1"/>
        <v>#VALUE!</v>
      </c>
      <c r="F104" s="15">
        <f>'Coconut Oil Price Analysis'!B135-'Palm Kernel Oil Price Analysis'!B104</f>
        <v>8.5510000000000019</v>
      </c>
    </row>
    <row r="105" spans="1:6" hidden="1">
      <c r="A105" s="20">
        <v>41913</v>
      </c>
      <c r="B105" s="15">
        <f>'Palm Kernel Oil Balance Sheet'!W130</f>
        <v>46.188600000000001</v>
      </c>
      <c r="C105" s="13" t="str">
        <f>'Palm Kernel Oil Balance Sheet'!W115</f>
        <v xml:space="preserve">14/15 </v>
      </c>
      <c r="D105" s="13" t="e">
        <f>'Palm Kernel Oil Balance Sheet'!W52+'Palm Kernel Oil Balance Sheet'!W68</f>
        <v>#VALUE!</v>
      </c>
      <c r="E105" s="21" t="e">
        <f t="shared" si="1"/>
        <v>#VALUE!</v>
      </c>
      <c r="F105" s="15">
        <f>'Coconut Oil Price Analysis'!B136-'Palm Kernel Oil Price Analysis'!B105</f>
        <v>7.2715999999999994</v>
      </c>
    </row>
    <row r="106" spans="1:6" hidden="1">
      <c r="A106" s="20">
        <v>41944</v>
      </c>
      <c r="B106" s="15">
        <f>'Palm Kernel Oil Balance Sheet'!W131</f>
        <v>48.020400000000002</v>
      </c>
      <c r="C106" s="13">
        <f>'Palm Kernel Oil Balance Sheet'!W116</f>
        <v>76.888625000000005</v>
      </c>
      <c r="D106" s="13">
        <f>'Palm Kernel Oil Balance Sheet'!W53+'Palm Kernel Oil Balance Sheet'!W69</f>
        <v>26.336489079399993</v>
      </c>
      <c r="E106" s="21">
        <f t="shared" si="1"/>
        <v>2.9194713375877095</v>
      </c>
      <c r="F106" s="15">
        <f>'Coconut Oil Price Analysis'!B137-'Palm Kernel Oil Price Analysis'!B106</f>
        <v>6.9440999999999988</v>
      </c>
    </row>
    <row r="107" spans="1:6" hidden="1">
      <c r="A107" s="20">
        <v>41974</v>
      </c>
      <c r="B107" s="15">
        <f>'Palm Kernel Oil Balance Sheet'!W132</f>
        <v>49.785699999999999</v>
      </c>
      <c r="C107" s="13">
        <f>'Palm Kernel Oil Balance Sheet'!W117</f>
        <v>78.777250000000009</v>
      </c>
      <c r="D107" s="13">
        <f>'Palm Kernel Oil Balance Sheet'!W54+'Palm Kernel Oil Balance Sheet'!W70</f>
        <v>58.148743614999994</v>
      </c>
      <c r="E107" s="21">
        <f t="shared" si="1"/>
        <v>1.354754120253747</v>
      </c>
      <c r="F107" s="15">
        <f>'Coconut Oil Price Analysis'!B138-'Palm Kernel Oil Price Analysis'!B107</f>
        <v>5.9361999999999995</v>
      </c>
    </row>
    <row r="108" spans="1:6" hidden="1">
      <c r="A108" s="20">
        <v>42005</v>
      </c>
      <c r="B108" s="15">
        <f>'Palm Kernel Oil Balance Sheet'!W133</f>
        <v>50.5</v>
      </c>
      <c r="C108" s="13">
        <f>'Palm Kernel Oil Balance Sheet'!W118</f>
        <v>80.665875000000014</v>
      </c>
      <c r="D108" s="13">
        <f>'Palm Kernel Oil Balance Sheet'!W55+'Palm Kernel Oil Balance Sheet'!W71</f>
        <v>70.106613342999992</v>
      </c>
      <c r="E108" s="21">
        <f t="shared" si="1"/>
        <v>1.1506171979145294</v>
      </c>
      <c r="F108" s="15">
        <f>'Coconut Oil Price Analysis'!B139-'Palm Kernel Oil Price Analysis'!B108</f>
        <v>4.0114999999999981</v>
      </c>
    </row>
    <row r="109" spans="1:6" hidden="1">
      <c r="A109" s="20">
        <v>42036</v>
      </c>
      <c r="B109" s="15">
        <f>'Palm Kernel Oil Balance Sheet'!W134</f>
        <v>56.552599999999998</v>
      </c>
      <c r="C109" s="13">
        <f>'Palm Kernel Oil Balance Sheet'!W119</f>
        <v>82.554500000000019</v>
      </c>
      <c r="D109" s="13">
        <f>'Palm Kernel Oil Balance Sheet'!W56+'Palm Kernel Oil Balance Sheet'!W72</f>
        <v>48.249108986199992</v>
      </c>
      <c r="E109" s="21">
        <f t="shared" si="1"/>
        <v>1.7110056897343309</v>
      </c>
      <c r="F109" s="15">
        <f>'Coconut Oil Price Analysis'!B140-'Palm Kernel Oil Price Analysis'!B109</f>
        <v>-1.8157999999999959</v>
      </c>
    </row>
    <row r="110" spans="1:6" hidden="1">
      <c r="A110" s="20">
        <v>42064</v>
      </c>
      <c r="B110" s="15">
        <f>'Palm Kernel Oil Balance Sheet'!W135</f>
        <v>56.840899999999998</v>
      </c>
      <c r="C110" s="13">
        <f>'Palm Kernel Oil Balance Sheet'!W120</f>
        <v>84.443125000000023</v>
      </c>
      <c r="D110" s="13">
        <f>'Palm Kernel Oil Balance Sheet'!W57+'Palm Kernel Oil Balance Sheet'!W73</f>
        <v>58.33327047640001</v>
      </c>
      <c r="E110" s="21">
        <f t="shared" si="1"/>
        <v>1.4475979884269188</v>
      </c>
      <c r="F110" s="15">
        <f>'Coconut Oil Price Analysis'!B141-'Palm Kernel Oil Price Analysis'!B110</f>
        <v>-4.0351999999999961</v>
      </c>
    </row>
    <row r="111" spans="1:6" hidden="1">
      <c r="A111" s="20">
        <v>42095</v>
      </c>
      <c r="B111" s="15">
        <f>'Palm Kernel Oil Balance Sheet'!W136</f>
        <v>50.833300000000001</v>
      </c>
      <c r="C111" s="13">
        <f>'Palm Kernel Oil Balance Sheet'!W121</f>
        <v>86.331750000000028</v>
      </c>
      <c r="D111" s="13">
        <f>'Palm Kernel Oil Balance Sheet'!W58+'Palm Kernel Oil Balance Sheet'!W74</f>
        <v>61.356689087199982</v>
      </c>
      <c r="E111" s="21">
        <f t="shared" si="1"/>
        <v>1.4070470764370213</v>
      </c>
      <c r="F111" s="15">
        <f>'Coconut Oil Price Analysis'!B142-'Palm Kernel Oil Price Analysis'!B111</f>
        <v>-1.0178000000000011</v>
      </c>
    </row>
    <row r="112" spans="1:6">
      <c r="A112" s="20">
        <v>42125</v>
      </c>
      <c r="B112" s="15">
        <f>'Palm Kernel Oil Balance Sheet'!W137</f>
        <v>50.8095</v>
      </c>
      <c r="C112" s="13">
        <f>'Palm Kernel Oil Balance Sheet'!W122</f>
        <v>88.220375000000033</v>
      </c>
      <c r="D112" s="13">
        <f>'Palm Kernel Oil Balance Sheet'!W59+'Palm Kernel Oil Balance Sheet'!W75</f>
        <v>39.161436640000041</v>
      </c>
      <c r="E112" s="21">
        <f t="shared" si="1"/>
        <v>2.2527359200579098</v>
      </c>
      <c r="F112" s="15">
        <f>'Coconut Oil Price Analysis'!B143-'Palm Kernel Oil Price Analysis'!B112</f>
        <v>1.9328000000000003</v>
      </c>
    </row>
    <row r="113" spans="1:6">
      <c r="A113" s="20">
        <v>42156</v>
      </c>
      <c r="B113" s="15">
        <f>'Palm Kernel Oil Balance Sheet'!W138</f>
        <v>48.090899999999998</v>
      </c>
      <c r="C113" s="13">
        <f>'Palm Kernel Oil Balance Sheet'!W123</f>
        <v>90.108999999999995</v>
      </c>
      <c r="D113" s="13">
        <f>'Palm Kernel Oil Balance Sheet'!W60+'Palm Kernel Oil Balance Sheet'!W76</f>
        <v>66.194444914000016</v>
      </c>
      <c r="E113" s="21">
        <f t="shared" si="1"/>
        <v>1.3612773717956217</v>
      </c>
      <c r="F113" s="15">
        <f>'Coconut Oil Price Analysis'!B144-'Palm Kernel Oil Price Analysis'!B113</f>
        <v>5.0466000000000051</v>
      </c>
    </row>
    <row r="114" spans="1:6">
      <c r="A114" s="20">
        <v>42186</v>
      </c>
      <c r="B114" s="15">
        <f>'Palm Kernel Oil Balance Sheet'!W139</f>
        <v>46.159100000000002</v>
      </c>
      <c r="C114" s="13">
        <f>'Palm Kernel Oil Balance Sheet'!W124</f>
        <v>84.513000000000005</v>
      </c>
      <c r="D114" s="13">
        <f>'Palm Kernel Oil Balance Sheet'!W61+'Palm Kernel Oil Balance Sheet'!W77</f>
        <v>25.601700886800007</v>
      </c>
      <c r="E114" s="21">
        <f t="shared" si="1"/>
        <v>3.3010697364866921</v>
      </c>
      <c r="F114" s="15">
        <f>'Coconut Oil Price Analysis'!B145-'Palm Kernel Oil Price Analysis'!B114</f>
        <v>5.8444999999999965</v>
      </c>
    </row>
    <row r="115" spans="1:6">
      <c r="A115" s="20">
        <v>42217</v>
      </c>
      <c r="B115" s="15">
        <f>'Palm Kernel Oil Balance Sheet'!W140</f>
        <v>41.333300000000001</v>
      </c>
      <c r="C115" s="13">
        <f>'Palm Kernel Oil Balance Sheet'!W125</f>
        <v>97.557000000000002</v>
      </c>
      <c r="D115" s="13">
        <f>'Palm Kernel Oil Balance Sheet'!W62+'Palm Kernel Oil Balance Sheet'!W78</f>
        <v>86.139030789399996</v>
      </c>
      <c r="E115" s="21">
        <f t="shared" si="1"/>
        <v>1.1325527940814151</v>
      </c>
      <c r="F115" s="15">
        <f>'Coconut Oil Price Analysis'!B146-'Palm Kernel Oil Price Analysis'!B115</f>
        <v>8.9538000000000011</v>
      </c>
    </row>
    <row r="116" spans="1:6">
      <c r="A116" s="20">
        <v>42248</v>
      </c>
      <c r="B116" s="15">
        <f>'Palm Kernel Oil Balance Sheet'!W141</f>
        <v>41.369</v>
      </c>
      <c r="C116" s="13">
        <f>'Palm Kernel Oil Balance Sheet'!W126</f>
        <v>81.100999999999999</v>
      </c>
      <c r="D116" s="13" t="e">
        <f>'Palm Kernel Oil Balance Sheet'!X51+'Palm Kernel Oil Balance Sheet'!X67</f>
        <v>#VALUE!</v>
      </c>
      <c r="E116" s="21" t="e">
        <f t="shared" si="1"/>
        <v>#VALUE!</v>
      </c>
      <c r="F116" s="15">
        <f>'Coconut Oil Price Analysis'!B147-'Palm Kernel Oil Price Analysis'!B116</f>
        <v>7.6846000000000032</v>
      </c>
    </row>
    <row r="117" spans="1:6">
      <c r="A117" s="20">
        <v>42278</v>
      </c>
      <c r="B117" s="15">
        <f>'Palm Kernel Oil Balance Sheet'!X130</f>
        <v>47.7273</v>
      </c>
      <c r="C117" s="13" t="str">
        <f>'Palm Kernel Oil Balance Sheet'!X115</f>
        <v xml:space="preserve">15/16 </v>
      </c>
      <c r="D117" s="13" t="e">
        <f>'Palm Kernel Oil Balance Sheet'!X52+'Palm Kernel Oil Balance Sheet'!X68</f>
        <v>#VALUE!</v>
      </c>
      <c r="E117" s="21" t="e">
        <f t="shared" si="1"/>
        <v>#VALUE!</v>
      </c>
      <c r="F117" s="15">
        <f>'Coconut Oil Price Analysis'!B148-'Palm Kernel Oil Price Analysis'!B117</f>
        <v>3.8449999999999989</v>
      </c>
    </row>
    <row r="118" spans="1:6">
      <c r="A118" s="20">
        <v>42309</v>
      </c>
      <c r="B118" s="15">
        <f>'Palm Kernel Oil Balance Sheet'!X131</f>
        <v>44.4375</v>
      </c>
      <c r="C118" s="13">
        <f>'Palm Kernel Oil Balance Sheet'!X116</f>
        <v>90.367999999999995</v>
      </c>
      <c r="D118" s="13">
        <f>'Palm Kernel Oil Balance Sheet'!X53+'Palm Kernel Oil Balance Sheet'!X69</f>
        <v>18.807074599200011</v>
      </c>
      <c r="E118" s="21">
        <f t="shared" si="1"/>
        <v>4.805000348318071</v>
      </c>
      <c r="F118" s="15">
        <f>'Coconut Oil Price Analysis'!B149-'Palm Kernel Oil Price Analysis'!B118</f>
        <v>6.1599999999999966</v>
      </c>
    </row>
    <row r="119" spans="1:6">
      <c r="A119" s="20">
        <v>42339</v>
      </c>
      <c r="B119" s="15">
        <f>'Palm Kernel Oil Balance Sheet'!X132</f>
        <v>45.3386</v>
      </c>
      <c r="C119" s="13">
        <f>'Palm Kernel Oil Balance Sheet'!X117</f>
        <v>122.672</v>
      </c>
      <c r="D119" s="13">
        <f>'Palm Kernel Oil Balance Sheet'!X54+'Palm Kernel Oil Balance Sheet'!X70</f>
        <v>67.388902000400009</v>
      </c>
      <c r="E119" s="21">
        <f t="shared" si="1"/>
        <v>1.8203590852284823</v>
      </c>
      <c r="F119" s="15">
        <f>'Coconut Oil Price Analysis'!B150-'Palm Kernel Oil Price Analysis'!B119</f>
        <v>7.7366000000000028</v>
      </c>
    </row>
    <row r="120" spans="1:6">
      <c r="A120" s="20">
        <v>42370</v>
      </c>
      <c r="B120" s="15">
        <f>'Palm Kernel Oil Balance Sheet'!X133</f>
        <v>49.210500000000003</v>
      </c>
      <c r="C120" s="13">
        <f>'Palm Kernel Oil Balance Sheet'!X118</f>
        <v>124.857</v>
      </c>
      <c r="D120" s="13">
        <f>'Palm Kernel Oil Balance Sheet'!X55+'Palm Kernel Oil Balance Sheet'!X71</f>
        <v>65.957311740000023</v>
      </c>
      <c r="E120" s="21">
        <f t="shared" si="1"/>
        <v>1.8929971023103429</v>
      </c>
      <c r="F120" s="15">
        <f>'Coconut Oil Price Analysis'!B151-'Palm Kernel Oil Price Analysis'!B120</f>
        <v>4.843199999999996</v>
      </c>
    </row>
    <row r="121" spans="1:6">
      <c r="A121" s="20">
        <v>42401</v>
      </c>
      <c r="B121" s="15">
        <f>'Palm Kernel Oil Balance Sheet'!X134</f>
        <v>53.375</v>
      </c>
      <c r="C121" s="13">
        <f>'Palm Kernel Oil Balance Sheet'!X119</f>
        <v>132.02699999999999</v>
      </c>
      <c r="D121" s="13">
        <f>'Palm Kernel Oil Balance Sheet'!X56+'Palm Kernel Oil Balance Sheet'!X72</f>
        <v>109.99105288619997</v>
      </c>
      <c r="E121" s="21">
        <f t="shared" si="1"/>
        <v>1.2003430873291037</v>
      </c>
      <c r="F121" s="15">
        <f>'Coconut Oil Price Analysis'!B152-'Palm Kernel Oil Price Analysis'!B121</f>
        <v>3.7464999999999975</v>
      </c>
    </row>
    <row r="122" spans="1:6">
      <c r="A122" s="20">
        <v>42430</v>
      </c>
      <c r="B122" s="15">
        <f>'Palm Kernel Oil Balance Sheet'!X135</f>
        <v>56.5227</v>
      </c>
      <c r="C122" s="13">
        <f>'Palm Kernel Oil Balance Sheet'!X120</f>
        <v>127.179</v>
      </c>
      <c r="D122" s="13">
        <f>'Palm Kernel Oil Balance Sheet'!X57+'Palm Kernel Oil Balance Sheet'!X73</f>
        <v>88.36216287000002</v>
      </c>
      <c r="E122" s="21">
        <f t="shared" si="1"/>
        <v>1.4392925192099246</v>
      </c>
      <c r="F122" s="15">
        <f>'Coconut Oil Price Analysis'!B153-'Palm Kernel Oil Price Analysis'!B122</f>
        <v>9.0431999999999988</v>
      </c>
    </row>
    <row r="123" spans="1:6">
      <c r="A123" s="20">
        <v>42461</v>
      </c>
      <c r="B123" s="15">
        <f>'Palm Kernel Oil Balance Sheet'!X136</f>
        <v>69.023799999999994</v>
      </c>
      <c r="C123" s="13">
        <f>'Palm Kernel Oil Balance Sheet'!X121</f>
        <v>116.166</v>
      </c>
      <c r="D123" s="13">
        <f>'Palm Kernel Oil Balance Sheet'!X58+'Palm Kernel Oil Balance Sheet'!X74</f>
        <v>57.740579282599988</v>
      </c>
      <c r="E123" s="21">
        <f t="shared" si="1"/>
        <v>2.0118606609651106</v>
      </c>
      <c r="F123" s="15">
        <f>'Coconut Oil Price Analysis'!B154-'Palm Kernel Oil Price Analysis'!B123</f>
        <v>5.3448000000000064</v>
      </c>
    </row>
    <row r="124" spans="1:6">
      <c r="A124" s="20">
        <v>42491</v>
      </c>
      <c r="B124" s="15">
        <f>'Palm Kernel Oil Balance Sheet'!X137</f>
        <v>63.464300000000001</v>
      </c>
      <c r="C124" s="13">
        <f>'Palm Kernel Oil Balance Sheet'!X122</f>
        <v>111.04600000000001</v>
      </c>
      <c r="D124" s="13">
        <f>'Palm Kernel Oil Balance Sheet'!X59+'Palm Kernel Oil Balance Sheet'!X75</f>
        <v>29.461237958200023</v>
      </c>
      <c r="E124" s="21">
        <f t="shared" si="1"/>
        <v>3.7692238241160632</v>
      </c>
      <c r="F124" s="15">
        <f>'Coconut Oil Price Analysis'!B155-'Palm Kernel Oil Price Analysis'!B124</f>
        <v>3.5594999999999928</v>
      </c>
    </row>
    <row r="125" spans="1:6">
      <c r="A125" s="20">
        <v>42522</v>
      </c>
      <c r="B125" s="15">
        <f>'Palm Kernel Oil Balance Sheet'!X138</f>
        <v>66.954499999999996</v>
      </c>
      <c r="C125" s="13">
        <f>'Palm Kernel Oil Balance Sheet'!X123</f>
        <v>116.127</v>
      </c>
      <c r="D125" s="13">
        <f>'Palm Kernel Oil Balance Sheet'!X60+'Palm Kernel Oil Balance Sheet'!X76</f>
        <v>71.04968305079997</v>
      </c>
      <c r="E125" s="21">
        <f t="shared" si="1"/>
        <v>1.6344478259948056</v>
      </c>
      <c r="F125" s="15">
        <f>'Coconut Oil Price Analysis'!B156-'Palm Kernel Oil Price Analysis'!B125</f>
        <v>3.4239000000000033</v>
      </c>
    </row>
    <row r="126" spans="1:6">
      <c r="A126" s="20">
        <v>42552</v>
      </c>
      <c r="B126" s="15">
        <f>'Palm Kernel Oil Balance Sheet'!X139</f>
        <v>65.599999999999994</v>
      </c>
      <c r="C126" s="13">
        <f>'Palm Kernel Oil Balance Sheet'!X124</f>
        <v>105.465</v>
      </c>
      <c r="D126" s="13">
        <f>'Palm Kernel Oil Balance Sheet'!X61+'Palm Kernel Oil Balance Sheet'!X77</f>
        <v>87.694707405999992</v>
      </c>
      <c r="E126" s="21">
        <f t="shared" si="1"/>
        <v>1.2026381422510362</v>
      </c>
      <c r="F126" s="15">
        <f>'Coconut Oil Price Analysis'!B157-'Palm Kernel Oil Price Analysis'!B126</f>
        <v>4.8960000000000008</v>
      </c>
    </row>
    <row r="127" spans="1:6">
      <c r="A127" s="20">
        <v>42583</v>
      </c>
      <c r="B127" s="15">
        <f>'Palm Kernel Oil Balance Sheet'!X140</f>
        <v>71.021699999999996</v>
      </c>
      <c r="C127" s="13">
        <f>'Palm Kernel Oil Balance Sheet'!X125</f>
        <v>95.093000000000004</v>
      </c>
      <c r="D127" s="13">
        <f>'Palm Kernel Oil Balance Sheet'!X62+'Palm Kernel Oil Balance Sheet'!X78</f>
        <v>77.524583565400008</v>
      </c>
      <c r="E127" s="21">
        <f t="shared" si="1"/>
        <v>1.2266173596376588</v>
      </c>
      <c r="F127" s="15">
        <f>'Coconut Oil Price Analysis'!B158-'Palm Kernel Oil Price Analysis'!B127</f>
        <v>0.23870000000000857</v>
      </c>
    </row>
    <row r="128" spans="1:6">
      <c r="A128" s="20">
        <v>42614</v>
      </c>
      <c r="B128" s="15">
        <f>'Palm Kernel Oil Balance Sheet'!X141</f>
        <v>73.714299999999994</v>
      </c>
      <c r="C128" s="13">
        <f>'Palm Kernel Oil Balance Sheet'!X126</f>
        <v>84.843999999999994</v>
      </c>
      <c r="D128" s="13" t="e">
        <f>'Palm Kernel Oil Balance Sheet'!Y51+'Palm Kernel Oil Balance Sheet'!Y67</f>
        <v>#VALUE!</v>
      </c>
      <c r="E128" s="21" t="e">
        <f t="shared" si="1"/>
        <v>#VALUE!</v>
      </c>
      <c r="F128" s="15">
        <f>'Coconut Oil Price Analysis'!B159-'Palm Kernel Oil Price Analysis'!B128</f>
        <v>-1.3580999999999932</v>
      </c>
    </row>
    <row r="129" spans="1:6">
      <c r="A129" s="20">
        <v>42644</v>
      </c>
      <c r="B129" s="15">
        <f>'Palm Kernel Oil Balance Sheet'!Y130</f>
        <v>69.8095</v>
      </c>
      <c r="C129" s="13" t="str">
        <f>'Palm Kernel Oil Balance Sheet'!Y115</f>
        <v xml:space="preserve">16/17 </v>
      </c>
      <c r="D129" s="13" t="e">
        <f>'Palm Kernel Oil Balance Sheet'!Y52+'Palm Kernel Oil Balance Sheet'!Y68</f>
        <v>#VALUE!</v>
      </c>
      <c r="E129" s="21" t="e">
        <f t="shared" si="1"/>
        <v>#VALUE!</v>
      </c>
      <c r="F129" s="15">
        <f>'Coconut Oil Price Analysis'!B160-'Palm Kernel Oil Price Analysis'!B129</f>
        <v>0.62569999999999482</v>
      </c>
    </row>
    <row r="130" spans="1:6">
      <c r="A130" s="20">
        <v>42675</v>
      </c>
      <c r="B130" s="15">
        <f>'Palm Kernel Oil Balance Sheet'!Y131</f>
        <v>75.535700000000006</v>
      </c>
      <c r="C130" s="13">
        <f>'Palm Kernel Oil Balance Sheet'!Y116</f>
        <v>92.566000000000003</v>
      </c>
      <c r="D130" s="13">
        <f>'Palm Kernel Oil Balance Sheet'!Y53+'Palm Kernel Oil Balance Sheet'!Y69</f>
        <v>78.469924013200014</v>
      </c>
      <c r="E130" s="21">
        <f t="shared" si="1"/>
        <v>1.1796366718085363</v>
      </c>
      <c r="F130" s="15">
        <f>'Coconut Oil Price Analysis'!B161-'Palm Kernel Oil Price Analysis'!B130</f>
        <v>-3.179000000000002</v>
      </c>
    </row>
    <row r="131" spans="1:6">
      <c r="A131" s="20">
        <v>42705</v>
      </c>
      <c r="B131" s="15">
        <f>'Palm Kernel Oil Balance Sheet'!Y132</f>
        <v>83.047600000000003</v>
      </c>
      <c r="C131" s="13">
        <f>'Palm Kernel Oil Balance Sheet'!Y117</f>
        <v>81.162000000000006</v>
      </c>
      <c r="D131" s="13">
        <f>'Palm Kernel Oil Balance Sheet'!Y54+'Palm Kernel Oil Balance Sheet'!Y70</f>
        <v>48.388194661199996</v>
      </c>
      <c r="E131" s="21">
        <f t="shared" ref="E131:E194" si="2">C131/D131</f>
        <v>1.6773099423996416</v>
      </c>
      <c r="F131" s="15">
        <f>'Coconut Oil Price Analysis'!B162-'Palm Kernel Oil Price Analysis'!B131</f>
        <v>-4.3504999999999967</v>
      </c>
    </row>
    <row r="132" spans="1:6">
      <c r="A132" s="20">
        <v>42736</v>
      </c>
      <c r="B132" s="15">
        <f>'Palm Kernel Oil Balance Sheet'!Y133</f>
        <v>90.2</v>
      </c>
      <c r="C132" s="13">
        <f>'Palm Kernel Oil Balance Sheet'!Y118</f>
        <v>76.215000000000003</v>
      </c>
      <c r="D132" s="13">
        <f>'Palm Kernel Oil Balance Sheet'!Y55+'Palm Kernel Oil Balance Sheet'!Y71</f>
        <v>80.90616370459999</v>
      </c>
      <c r="E132" s="21">
        <f t="shared" si="2"/>
        <v>0.94201722724453851</v>
      </c>
      <c r="F132" s="15">
        <f>'Coconut Oil Price Analysis'!B163-'Palm Kernel Oil Price Analysis'!B132</f>
        <v>-5.0100000000000051</v>
      </c>
    </row>
    <row r="133" spans="1:6">
      <c r="A133" s="20">
        <v>42767</v>
      </c>
      <c r="B133" s="15">
        <f>'Palm Kernel Oil Balance Sheet'!Y134</f>
        <v>84.881600000000006</v>
      </c>
      <c r="C133" s="13">
        <f>'Palm Kernel Oil Balance Sheet'!Y119</f>
        <v>71.962000000000003</v>
      </c>
      <c r="D133" s="13">
        <f>'Palm Kernel Oil Balance Sheet'!Y56+'Palm Kernel Oil Balance Sheet'!Y72</f>
        <v>84.857000000000014</v>
      </c>
      <c r="E133" s="21">
        <f t="shared" si="2"/>
        <v>0.84803846471121991</v>
      </c>
      <c r="F133" s="15">
        <f>'Coconut Oil Price Analysis'!B164-'Palm Kernel Oil Price Analysis'!B133</f>
        <v>-1.5727000000000118</v>
      </c>
    </row>
    <row r="134" spans="1:6">
      <c r="A134" s="20">
        <v>42795</v>
      </c>
      <c r="B134" s="15">
        <f>'Palm Kernel Oil Balance Sheet'!Y135</f>
        <v>64.760900000000007</v>
      </c>
      <c r="C134" s="13">
        <f>'Palm Kernel Oil Balance Sheet'!Y120</f>
        <v>62.104999999999997</v>
      </c>
      <c r="D134" s="13">
        <f>'Palm Kernel Oil Balance Sheet'!Y57+'Palm Kernel Oil Balance Sheet'!Y73</f>
        <v>73.798247506400017</v>
      </c>
      <c r="E134" s="21">
        <f t="shared" si="2"/>
        <v>0.84155114922768393</v>
      </c>
      <c r="F134" s="15">
        <f>'Coconut Oil Price Analysis'!B165-'Palm Kernel Oil Price Analysis'!B134</f>
        <v>9.6086999999999989</v>
      </c>
    </row>
    <row r="135" spans="1:6">
      <c r="A135" s="20">
        <v>42826</v>
      </c>
      <c r="B135" s="15">
        <f>'Palm Kernel Oil Balance Sheet'!Y136</f>
        <v>53.276299999999999</v>
      </c>
      <c r="C135" s="13">
        <f>'Palm Kernel Oil Balance Sheet'!Y121</f>
        <v>65.867999999999995</v>
      </c>
      <c r="D135" s="13">
        <f>'Palm Kernel Oil Balance Sheet'!Y58+'Palm Kernel Oil Balance Sheet'!Y74</f>
        <v>41.213057195799983</v>
      </c>
      <c r="E135" s="21">
        <f t="shared" si="2"/>
        <v>1.5982313490374258</v>
      </c>
      <c r="F135" s="15">
        <f>'Coconut Oil Price Analysis'!B166-'Palm Kernel Oil Price Analysis'!B135</f>
        <v>22.946300000000001</v>
      </c>
    </row>
    <row r="136" spans="1:6">
      <c r="A136" s="20">
        <v>42856</v>
      </c>
      <c r="B136" s="15">
        <f>'Palm Kernel Oil Balance Sheet'!Y137</f>
        <v>54.665500000000002</v>
      </c>
      <c r="C136" s="13">
        <f>'Palm Kernel Oil Balance Sheet'!Y122</f>
        <v>72.581000000000003</v>
      </c>
      <c r="D136" s="13">
        <f>'Palm Kernel Oil Balance Sheet'!Y59+'Palm Kernel Oil Balance Sheet'!Y75</f>
        <v>103.225985806</v>
      </c>
      <c r="E136" s="21">
        <f t="shared" si="2"/>
        <v>0.70312721581953874</v>
      </c>
      <c r="F136" s="15">
        <f>'Coconut Oil Price Analysis'!B167-'Palm Kernel Oil Price Analysis'!B136</f>
        <v>25.819700000000005</v>
      </c>
    </row>
    <row r="137" spans="1:6">
      <c r="A137" s="20">
        <v>42887</v>
      </c>
      <c r="B137" s="15">
        <f>'Palm Kernel Oil Balance Sheet'!Y138</f>
        <v>54.170499999999997</v>
      </c>
      <c r="C137" s="13">
        <f>'Palm Kernel Oil Balance Sheet'!Y123</f>
        <v>62.551000000000002</v>
      </c>
      <c r="D137" s="13">
        <f>'Palm Kernel Oil Balance Sheet'!Y60+'Palm Kernel Oil Balance Sheet'!Y76</f>
        <v>24.680068456199997</v>
      </c>
      <c r="E137" s="21">
        <f t="shared" si="2"/>
        <v>2.534474331422945</v>
      </c>
      <c r="F137" s="15">
        <f>'Coconut Oil Price Analysis'!B168-'Palm Kernel Oil Price Analysis'!B137</f>
        <v>29.136299999999999</v>
      </c>
    </row>
    <row r="138" spans="1:6">
      <c r="A138" s="20">
        <v>42917</v>
      </c>
      <c r="B138" s="15">
        <f>'Palm Kernel Oil Balance Sheet'!Y139</f>
        <v>52.7</v>
      </c>
      <c r="C138" s="13">
        <f>'Palm Kernel Oil Balance Sheet'!Y124</f>
        <v>94.369</v>
      </c>
      <c r="D138" s="13">
        <f>'Palm Kernel Oil Balance Sheet'!Y61+'Palm Kernel Oil Balance Sheet'!Y77</f>
        <v>85.547712074600028</v>
      </c>
      <c r="E138" s="21">
        <f t="shared" si="2"/>
        <v>1.1031154160815846</v>
      </c>
      <c r="F138" s="15">
        <f>'Coconut Oil Price Analysis'!B169-'Palm Kernel Oil Price Analysis'!B138</f>
        <v>30.224999999999994</v>
      </c>
    </row>
    <row r="139" spans="1:6">
      <c r="A139" s="20">
        <v>42948</v>
      </c>
      <c r="B139" s="15">
        <f>'Palm Kernel Oil Balance Sheet'!Y140</f>
        <v>57.912999999999997</v>
      </c>
      <c r="C139" s="13">
        <f>'Palm Kernel Oil Balance Sheet'!Y125</f>
        <v>86.212999999999994</v>
      </c>
      <c r="D139" s="13">
        <f>'Palm Kernel Oil Balance Sheet'!Y62+'Palm Kernel Oil Balance Sheet'!Y78</f>
        <v>78.984074798059993</v>
      </c>
      <c r="E139" s="21">
        <f t="shared" si="2"/>
        <v>1.0915238321196055</v>
      </c>
      <c r="F139" s="15">
        <f>'Coconut Oil Price Analysis'!B170-'Palm Kernel Oil Price Analysis'!B139</f>
        <v>25.956600000000009</v>
      </c>
    </row>
    <row r="140" spans="1:6">
      <c r="A140" s="20">
        <v>42979</v>
      </c>
      <c r="B140" s="15">
        <f>'Palm Kernel Oil Balance Sheet'!Y141</f>
        <v>68.5</v>
      </c>
      <c r="C140" s="13">
        <f>'Palm Kernel Oil Balance Sheet'!Y126</f>
        <v>105.18</v>
      </c>
      <c r="D140" s="13" t="e">
        <f>'Palm Kernel Oil Balance Sheet'!Z51+'Palm Kernel Oil Balance Sheet'!Z67</f>
        <v>#VALUE!</v>
      </c>
      <c r="E140" s="21" t="e">
        <f t="shared" si="2"/>
        <v>#VALUE!</v>
      </c>
      <c r="F140" s="15">
        <f>'Coconut Oil Price Analysis'!B171-'Palm Kernel Oil Price Analysis'!B140</f>
        <v>14.575000000000003</v>
      </c>
    </row>
    <row r="141" spans="1:6">
      <c r="A141" s="20">
        <v>43009</v>
      </c>
      <c r="B141" s="15">
        <f>'Palm Kernel Oil Balance Sheet'!Z130</f>
        <v>70.409099999999995</v>
      </c>
      <c r="C141" s="13" t="str">
        <f>'Palm Kernel Oil Balance Sheet'!Z115</f>
        <v xml:space="preserve">17/18 </v>
      </c>
      <c r="D141" s="13" t="e">
        <f>'Palm Kernel Oil Balance Sheet'!Z52+'Palm Kernel Oil Balance Sheet'!Z68</f>
        <v>#VALUE!</v>
      </c>
      <c r="E141" s="21" t="e">
        <f t="shared" si="2"/>
        <v>#VALUE!</v>
      </c>
      <c r="F141" s="15">
        <f>'Coconut Oil Price Analysis'!B172-'Palm Kernel Oil Price Analysis'!B141</f>
        <v>0.26140000000000896</v>
      </c>
    </row>
    <row r="142" spans="1:6">
      <c r="A142" s="20">
        <v>43040</v>
      </c>
      <c r="B142" s="15">
        <f>'Palm Kernel Oil Balance Sheet'!Z131</f>
        <v>72.369</v>
      </c>
      <c r="C142" s="13">
        <f>'Palm Kernel Oil Balance Sheet'!Z116</f>
        <v>109.712</v>
      </c>
      <c r="D142" s="13">
        <f>'Palm Kernel Oil Balance Sheet'!Z53+'Palm Kernel Oil Balance Sheet'!Z69</f>
        <v>97.742523722839991</v>
      </c>
      <c r="E142" s="21">
        <f t="shared" si="2"/>
        <v>1.1224592513193217</v>
      </c>
      <c r="F142" s="15">
        <f>'Coconut Oil Price Analysis'!B173-'Palm Kernel Oil Price Analysis'!B142</f>
        <v>1.2834000000000003</v>
      </c>
    </row>
    <row r="143" spans="1:6">
      <c r="A143" s="20">
        <v>43070</v>
      </c>
      <c r="B143" s="15">
        <f>'Palm Kernel Oil Balance Sheet'!Z132</f>
        <v>68.150000000000006</v>
      </c>
      <c r="C143" s="13">
        <f>'Palm Kernel Oil Balance Sheet'!Z117</f>
        <v>117.28700000000001</v>
      </c>
      <c r="D143" s="13">
        <f>'Palm Kernel Oil Balance Sheet'!Z54+'Palm Kernel Oil Balance Sheet'!Z70</f>
        <v>43.007056460120019</v>
      </c>
      <c r="E143" s="21">
        <f t="shared" si="2"/>
        <v>2.7271571145251241</v>
      </c>
      <c r="F143" s="15">
        <f>'Coconut Oil Price Analysis'!B174-'Palm Kernel Oil Price Analysis'!B143</f>
        <v>1.4949999999999903</v>
      </c>
    </row>
    <row r="144" spans="1:6">
      <c r="A144" s="20">
        <v>43101</v>
      </c>
      <c r="B144" s="15">
        <f>'Palm Kernel Oil Balance Sheet'!Z133</f>
        <v>67.369</v>
      </c>
      <c r="C144" s="13">
        <f>'Palm Kernel Oil Balance Sheet'!Z118</f>
        <v>109.878</v>
      </c>
      <c r="D144" s="13">
        <f>'Palm Kernel Oil Balance Sheet'!Z55+'Palm Kernel Oil Balance Sheet'!Z71</f>
        <v>103.22490262699999</v>
      </c>
      <c r="E144" s="21">
        <f t="shared" si="2"/>
        <v>1.0644524451337172</v>
      </c>
      <c r="F144" s="15">
        <f>'Coconut Oil Price Analysis'!B175-'Palm Kernel Oil Price Analysis'!B144</f>
        <v>-0.54999999999999716</v>
      </c>
    </row>
    <row r="145" spans="1:6">
      <c r="A145" s="20">
        <v>43132</v>
      </c>
      <c r="B145" s="15">
        <f>'Palm Kernel Oil Balance Sheet'!Z134</f>
        <v>62.447400000000002</v>
      </c>
      <c r="C145" s="13">
        <f>'Palm Kernel Oil Balance Sheet'!Z119</f>
        <v>90.177000000000007</v>
      </c>
      <c r="D145" s="13">
        <f>'Palm Kernel Oil Balance Sheet'!Z56+'Palm Kernel Oil Balance Sheet'!Z72</f>
        <v>68.400728640120008</v>
      </c>
      <c r="E145" s="21">
        <f t="shared" si="2"/>
        <v>1.3183631489432301</v>
      </c>
      <c r="F145" s="15">
        <f>'Coconut Oil Price Analysis'!B176-'Palm Kernel Oil Price Analysis'!B145</f>
        <v>-1.907900000000005</v>
      </c>
    </row>
    <row r="146" spans="1:6">
      <c r="A146" s="20">
        <v>43160</v>
      </c>
      <c r="B146" s="15">
        <f>'Palm Kernel Oil Balance Sheet'!Z135</f>
        <v>53.678600000000003</v>
      </c>
      <c r="C146" s="13">
        <f>'Palm Kernel Oil Balance Sheet'!Z120</f>
        <v>94.057000000000002</v>
      </c>
      <c r="D146" s="13">
        <f>'Palm Kernel Oil Balance Sheet'!Z57+'Palm Kernel Oil Balance Sheet'!Z73</f>
        <v>69.883272493779984</v>
      </c>
      <c r="E146" s="21">
        <f t="shared" si="2"/>
        <v>1.3459157913415063</v>
      </c>
      <c r="F146" s="15">
        <f>'Coconut Oil Price Analysis'!B177-'Palm Kernel Oil Price Analysis'!B146</f>
        <v>0.88089999999999691</v>
      </c>
    </row>
    <row r="147" spans="1:6">
      <c r="A147" s="20">
        <v>43191</v>
      </c>
      <c r="B147" s="16">
        <f>'Coconut Oil Price Analysis'!B178+1</f>
        <v>35.800000000000004</v>
      </c>
      <c r="C147" s="13">
        <f>'Palm Kernel Oil Balance Sheet'!Z121</f>
        <v>95.451999999999998</v>
      </c>
      <c r="D147" s="13">
        <f>'Palm Kernel Oil Balance Sheet'!Z58+'Palm Kernel Oil Balance Sheet'!Z74</f>
        <v>80.868208424519992</v>
      </c>
      <c r="E147" s="21">
        <f t="shared" si="2"/>
        <v>1.1803402333203918</v>
      </c>
    </row>
    <row r="148" spans="1:6">
      <c r="A148" s="20">
        <v>43221</v>
      </c>
      <c r="B148" s="16">
        <f>'Coconut Oil Price Analysis'!B179+1</f>
        <v>29.700000000000003</v>
      </c>
      <c r="C148" s="13">
        <f>'Palm Kernel Oil Balance Sheet'!Z122</f>
        <v>83.483999999999995</v>
      </c>
      <c r="D148" s="13">
        <f>'Palm Kernel Oil Balance Sheet'!Z59+'Palm Kernel Oil Balance Sheet'!Z75</f>
        <v>64.401016077659989</v>
      </c>
      <c r="E148" s="21">
        <f t="shared" si="2"/>
        <v>1.2963149509835092</v>
      </c>
    </row>
    <row r="149" spans="1:6">
      <c r="A149" s="20">
        <v>43252</v>
      </c>
      <c r="B149" s="16">
        <f>'Coconut Oil Price Analysis'!B180+1</f>
        <v>31.900000000000006</v>
      </c>
      <c r="C149" s="13">
        <f>'Palm Kernel Oil Balance Sheet'!Z123</f>
        <v>73.45</v>
      </c>
      <c r="D149" s="13">
        <f>'Palm Kernel Oil Balance Sheet'!Z60+'Palm Kernel Oil Balance Sheet'!Z76</f>
        <v>47.259515989459999</v>
      </c>
      <c r="E149" s="21">
        <f t="shared" si="2"/>
        <v>1.5541843470504673</v>
      </c>
    </row>
    <row r="150" spans="1:6">
      <c r="A150" s="20">
        <v>43282</v>
      </c>
      <c r="B150" s="16">
        <f>'Coconut Oil Price Analysis'!B181+1</f>
        <v>31.800000000000004</v>
      </c>
      <c r="C150" s="13">
        <f>'Palm Kernel Oil Balance Sheet'!Z124</f>
        <v>65.546000000000006</v>
      </c>
      <c r="D150" s="13">
        <f>'Palm Kernel Oil Balance Sheet'!Z61+'Palm Kernel Oil Balance Sheet'!Z77</f>
        <v>67.325245128720013</v>
      </c>
      <c r="E150" s="21">
        <f t="shared" si="2"/>
        <v>0.97357239286216868</v>
      </c>
    </row>
    <row r="151" spans="1:6">
      <c r="A151" s="20">
        <v>43313</v>
      </c>
      <c r="B151" s="16">
        <f>'Coconut Oil Price Analysis'!B182+1</f>
        <v>25.1</v>
      </c>
      <c r="C151" s="13">
        <f>'Palm Kernel Oil Balance Sheet'!Z125</f>
        <v>63.32</v>
      </c>
      <c r="D151" s="13">
        <f>'Palm Kernel Oil Balance Sheet'!Z62+'Palm Kernel Oil Balance Sheet'!Z78</f>
        <v>67.600263943519991</v>
      </c>
      <c r="E151" s="21">
        <f t="shared" si="2"/>
        <v>0.93668273326423468</v>
      </c>
    </row>
    <row r="152" spans="1:6">
      <c r="A152" s="20">
        <v>43344</v>
      </c>
      <c r="B152" s="16">
        <f>'Coconut Oil Price Analysis'!B183+1</f>
        <v>41.1</v>
      </c>
      <c r="C152" s="13">
        <f>'Palm Kernel Oil Balance Sheet'!Z126</f>
        <v>61.12</v>
      </c>
      <c r="D152" s="13" t="e">
        <f>'Palm Kernel Oil Balance Sheet'!AA51+'Palm Kernel Oil Balance Sheet'!AA67</f>
        <v>#VALUE!</v>
      </c>
      <c r="E152" s="21" t="e">
        <f t="shared" si="2"/>
        <v>#VALUE!</v>
      </c>
    </row>
    <row r="153" spans="1:6">
      <c r="A153" s="20">
        <v>43374</v>
      </c>
      <c r="B153" s="16">
        <f>'Coconut Oil Price Analysis'!B184+1</f>
        <v>29.5</v>
      </c>
      <c r="C153" s="13" t="str">
        <f>'Palm Kernel Oil Balance Sheet'!AA115</f>
        <v>18/19</v>
      </c>
      <c r="D153" s="13" t="e">
        <f>'Palm Kernel Oil Balance Sheet'!AA52+'Palm Kernel Oil Balance Sheet'!AA68</f>
        <v>#VALUE!</v>
      </c>
      <c r="E153" s="21" t="e">
        <f t="shared" si="2"/>
        <v>#VALUE!</v>
      </c>
    </row>
    <row r="154" spans="1:6">
      <c r="A154" s="20">
        <v>43405</v>
      </c>
      <c r="B154" s="16">
        <f>'Coconut Oil Price Analysis'!B185+1</f>
        <v>34.200000000000003</v>
      </c>
      <c r="C154" s="13">
        <f>'Palm Kernel Oil Balance Sheet'!AA116</f>
        <v>65.625</v>
      </c>
      <c r="D154" s="13">
        <f>'Palm Kernel Oil Balance Sheet'!AA53+'Palm Kernel Oil Balance Sheet'!AA69</f>
        <v>40.020961480299995</v>
      </c>
      <c r="E154" s="21">
        <f t="shared" si="2"/>
        <v>1.6397657020884766</v>
      </c>
    </row>
    <row r="155" spans="1:6">
      <c r="A155" s="20">
        <v>43435</v>
      </c>
      <c r="B155" s="16">
        <f>'Coconut Oil Price Analysis'!B186+1</f>
        <v>29.700000000000003</v>
      </c>
      <c r="C155" s="13">
        <f>'Palm Kernel Oil Balance Sheet'!AA117</f>
        <v>58.539000000000001</v>
      </c>
      <c r="D155" s="13">
        <f>'Palm Kernel Oil Balance Sheet'!AA54+'Palm Kernel Oil Balance Sheet'!AA70</f>
        <v>75.847209445480004</v>
      </c>
      <c r="E155" s="21">
        <f t="shared" si="2"/>
        <v>0.77180163156930148</v>
      </c>
    </row>
    <row r="156" spans="1:6">
      <c r="A156" s="20">
        <v>43466</v>
      </c>
      <c r="B156" s="16">
        <f>'Coconut Oil Price Analysis'!B187+1</f>
        <v>31.800000000000004</v>
      </c>
      <c r="C156" s="13">
        <f>'Palm Kernel Oil Balance Sheet'!AA118</f>
        <v>61.585999999999999</v>
      </c>
      <c r="D156" s="13">
        <f>'Palm Kernel Oil Balance Sheet'!AA55+'Palm Kernel Oil Balance Sheet'!AA71</f>
        <v>58.959237487360006</v>
      </c>
      <c r="E156" s="21">
        <f t="shared" si="2"/>
        <v>1.0445521791763865</v>
      </c>
    </row>
    <row r="157" spans="1:6">
      <c r="A157" s="20">
        <v>43497</v>
      </c>
      <c r="B157" s="16">
        <f>'Coconut Oil Price Analysis'!B188+1</f>
        <v>28.4</v>
      </c>
      <c r="C157" s="13">
        <f>'Palm Kernel Oil Balance Sheet'!AA119</f>
        <v>64.754999999999995</v>
      </c>
      <c r="D157" s="13">
        <f>'Palm Kernel Oil Balance Sheet'!AA56+'Palm Kernel Oil Balance Sheet'!AA72</f>
        <v>75.401304222019988</v>
      </c>
      <c r="E157" s="21">
        <f t="shared" si="2"/>
        <v>0.85880477357962104</v>
      </c>
    </row>
    <row r="158" spans="1:6">
      <c r="A158" s="20">
        <v>43525</v>
      </c>
      <c r="B158" s="16">
        <f>'Coconut Oil Price Analysis'!B189+1</f>
        <v>37</v>
      </c>
      <c r="C158" s="13">
        <f>'Palm Kernel Oil Balance Sheet'!AA120</f>
        <v>65.707999999999998</v>
      </c>
      <c r="D158" s="13">
        <f>'Palm Kernel Oil Balance Sheet'!AA57+'Palm Kernel Oil Balance Sheet'!AA73</f>
        <v>58.981505843140006</v>
      </c>
      <c r="E158" s="21">
        <f t="shared" si="2"/>
        <v>1.1140441238436494</v>
      </c>
    </row>
    <row r="159" spans="1:6">
      <c r="A159" s="20">
        <v>43556</v>
      </c>
      <c r="B159" s="16">
        <f>'Coconut Oil Price Analysis'!B190+1</f>
        <v>36.700000000000003</v>
      </c>
      <c r="C159" s="13">
        <f>'Palm Kernel Oil Balance Sheet'!AA121</f>
        <v>62.244</v>
      </c>
      <c r="D159" s="13">
        <f>'Palm Kernel Oil Balance Sheet'!AA58+'Palm Kernel Oil Balance Sheet'!AA74</f>
        <v>60.885872154239998</v>
      </c>
      <c r="E159" s="21">
        <f t="shared" si="2"/>
        <v>1.0223061245196505</v>
      </c>
    </row>
    <row r="160" spans="1:6">
      <c r="A160" s="20">
        <v>43586</v>
      </c>
      <c r="B160" s="16">
        <f>'Coconut Oil Price Analysis'!B191+1</f>
        <v>31.700000000000003</v>
      </c>
      <c r="C160" s="13">
        <f>'Palm Kernel Oil Balance Sheet'!AA122</f>
        <v>65.501000000000005</v>
      </c>
      <c r="D160" s="13">
        <f>'Palm Kernel Oil Balance Sheet'!AA59+'Palm Kernel Oil Balance Sheet'!AA75</f>
        <v>63.001878151159993</v>
      </c>
      <c r="E160" s="21">
        <f t="shared" si="2"/>
        <v>1.039667418213214</v>
      </c>
    </row>
    <row r="161" spans="1:5">
      <c r="A161" s="20">
        <v>43617</v>
      </c>
      <c r="B161" s="16">
        <f>'Coconut Oil Price Analysis'!B192+1</f>
        <v>35.1</v>
      </c>
      <c r="C161" s="13">
        <f>'Palm Kernel Oil Balance Sheet'!AA123</f>
        <v>67.759</v>
      </c>
      <c r="D161" s="13">
        <f>'Palm Kernel Oil Balance Sheet'!AA60+'Palm Kernel Oil Balance Sheet'!AA76</f>
        <v>14.655886891920002</v>
      </c>
      <c r="E161" s="21">
        <f t="shared" si="2"/>
        <v>4.6233298946484434</v>
      </c>
    </row>
    <row r="162" spans="1:5">
      <c r="A162" s="20">
        <v>43647</v>
      </c>
      <c r="B162" s="16">
        <f>'Coconut Oil Price Analysis'!B193+1</f>
        <v>31.400000000000006</v>
      </c>
      <c r="C162" s="13">
        <f>'Palm Kernel Oil Balance Sheet'!AA124</f>
        <v>71.366</v>
      </c>
      <c r="D162" s="13">
        <f>'Palm Kernel Oil Balance Sheet'!AA61+'Palm Kernel Oil Balance Sheet'!AA77</f>
        <v>91.292647831700009</v>
      </c>
      <c r="E162" s="21">
        <f t="shared" si="2"/>
        <v>0.78172779183231467</v>
      </c>
    </row>
    <row r="163" spans="1:5">
      <c r="A163" s="20">
        <v>43678</v>
      </c>
      <c r="B163" s="16">
        <f>'Coconut Oil Price Analysis'!B194+1</f>
        <v>21.5</v>
      </c>
      <c r="C163" s="13">
        <f>'Palm Kernel Oil Balance Sheet'!AA125</f>
        <v>75.927000000000007</v>
      </c>
      <c r="D163" s="13">
        <f>'Palm Kernel Oil Balance Sheet'!AA62+'Palm Kernel Oil Balance Sheet'!AA78</f>
        <v>58.86971080878002</v>
      </c>
      <c r="E163" s="21">
        <f t="shared" si="2"/>
        <v>1.2897464410284822</v>
      </c>
    </row>
    <row r="164" spans="1:5">
      <c r="A164" s="20">
        <v>43709</v>
      </c>
      <c r="B164" s="16">
        <f>'Coconut Oil Price Analysis'!B195+1</f>
        <v>36.300000000000004</v>
      </c>
      <c r="C164" s="13">
        <f>'Palm Kernel Oil Balance Sheet'!AA126</f>
        <v>75.588999999999999</v>
      </c>
      <c r="D164" s="13" t="e">
        <f>'Palm Kernel Oil Balance Sheet'!AB51+'Palm Kernel Oil Balance Sheet'!AB67</f>
        <v>#VALUE!</v>
      </c>
      <c r="E164" s="21" t="e">
        <f t="shared" si="2"/>
        <v>#VALUE!</v>
      </c>
    </row>
    <row r="165" spans="1:5">
      <c r="A165" s="20">
        <v>43739</v>
      </c>
      <c r="B165" s="16">
        <f>'Coconut Oil Price Analysis'!B196+1</f>
        <v>13.3</v>
      </c>
      <c r="C165" s="13" t="str">
        <f>'Palm Kernel Oil Balance Sheet'!AB115</f>
        <v>19/20</v>
      </c>
      <c r="D165" s="13" t="e">
        <f>'Palm Kernel Oil Balance Sheet'!AB52+'Palm Kernel Oil Balance Sheet'!AB68</f>
        <v>#VALUE!</v>
      </c>
      <c r="E165" s="21" t="e">
        <f t="shared" si="2"/>
        <v>#VALUE!</v>
      </c>
    </row>
    <row r="166" spans="1:5">
      <c r="A166" s="20">
        <v>43770</v>
      </c>
      <c r="B166" s="16">
        <f>'Coconut Oil Price Analysis'!B197+1</f>
        <v>36.700000000000003</v>
      </c>
      <c r="C166" s="13">
        <f>'Palm Kernel Oil Balance Sheet'!AB116</f>
        <v>73.522000000000006</v>
      </c>
      <c r="D166" s="13">
        <f>'Palm Kernel Oil Balance Sheet'!AB53+'Palm Kernel Oil Balance Sheet'!AB69</f>
        <v>64.054307832640006</v>
      </c>
      <c r="E166" s="21">
        <f t="shared" si="2"/>
        <v>1.147807266797684</v>
      </c>
    </row>
    <row r="167" spans="1:5">
      <c r="A167" s="20">
        <v>43800</v>
      </c>
      <c r="B167" s="16">
        <f>'Coconut Oil Price Analysis'!B198+1</f>
        <v>39.1</v>
      </c>
      <c r="C167" s="13">
        <f>'Palm Kernel Oil Balance Sheet'!AB117</f>
        <v>69.665000000000006</v>
      </c>
      <c r="D167" s="13">
        <f>'Palm Kernel Oil Balance Sheet'!AB54+'Palm Kernel Oil Balance Sheet'!AB70</f>
        <v>51.241182905020004</v>
      </c>
      <c r="E167" s="21">
        <f t="shared" si="2"/>
        <v>1.3595509715130925</v>
      </c>
    </row>
    <row r="168" spans="1:5">
      <c r="A168" s="20">
        <v>43831</v>
      </c>
      <c r="B168" s="16">
        <f>'Coconut Oil Price Analysis'!B199+1</f>
        <v>37.700000000000003</v>
      </c>
      <c r="C168" s="13">
        <f>'Palm Kernel Oil Balance Sheet'!AB118</f>
        <v>78.385999999999996</v>
      </c>
      <c r="D168" s="13">
        <f>'Palm Kernel Oil Balance Sheet'!AB55+'Palm Kernel Oil Balance Sheet'!AB71</f>
        <v>64.902663782599987</v>
      </c>
      <c r="E168" s="21">
        <f t="shared" si="2"/>
        <v>1.2077470388975746</v>
      </c>
    </row>
    <row r="169" spans="1:5">
      <c r="A169" s="20">
        <v>43862</v>
      </c>
      <c r="B169" s="16">
        <f>'Coconut Oil Price Analysis'!B200+1</f>
        <v>38.1</v>
      </c>
      <c r="C169" s="13">
        <f>'Palm Kernel Oil Balance Sheet'!AB119</f>
        <v>53.07</v>
      </c>
      <c r="D169" s="13">
        <f>'Palm Kernel Oil Balance Sheet'!AB56+'Palm Kernel Oil Balance Sheet'!AB72</f>
        <v>92.504338319520016</v>
      </c>
      <c r="E169" s="21">
        <f t="shared" si="2"/>
        <v>0.57370282263617156</v>
      </c>
    </row>
    <row r="170" spans="1:5">
      <c r="A170" s="20">
        <v>43891</v>
      </c>
      <c r="B170" s="16">
        <f>'Coconut Oil Price Analysis'!B201+1</f>
        <v>38</v>
      </c>
      <c r="C170" s="13">
        <f>'Palm Kernel Oil Balance Sheet'!AB120</f>
        <v>55.32</v>
      </c>
      <c r="D170" s="13">
        <f>'Palm Kernel Oil Balance Sheet'!AB57+'Palm Kernel Oil Balance Sheet'!AB73</f>
        <v>90.273519177979992</v>
      </c>
      <c r="E170" s="21">
        <f t="shared" si="2"/>
        <v>0.61280429193120411</v>
      </c>
    </row>
    <row r="171" spans="1:5">
      <c r="A171" s="20">
        <v>43922</v>
      </c>
      <c r="B171" s="16">
        <f>'Coconut Oil Price Analysis'!B202+1</f>
        <v>36.200000000000003</v>
      </c>
      <c r="C171" s="13">
        <f>'Palm Kernel Oil Balance Sheet'!AB121</f>
        <v>54.192999999999998</v>
      </c>
      <c r="D171" s="13">
        <f>'Palm Kernel Oil Balance Sheet'!AB58+'Palm Kernel Oil Balance Sheet'!AB74</f>
        <v>56.380694395539997</v>
      </c>
      <c r="E171" s="21">
        <f t="shared" si="2"/>
        <v>0.96119781036763785</v>
      </c>
    </row>
    <row r="172" spans="1:5">
      <c r="A172" s="20">
        <v>43952</v>
      </c>
      <c r="B172" s="16">
        <f>'Coconut Oil Price Analysis'!B203+1</f>
        <v>45.400000000000006</v>
      </c>
      <c r="C172" s="13">
        <f>'Palm Kernel Oil Balance Sheet'!AB122</f>
        <v>56.93</v>
      </c>
      <c r="D172" s="13">
        <f>'Palm Kernel Oil Balance Sheet'!AB59+'Palm Kernel Oil Balance Sheet'!AB75</f>
        <v>60.466293844740001</v>
      </c>
      <c r="E172" s="21">
        <f t="shared" si="2"/>
        <v>0.941516279237815</v>
      </c>
    </row>
    <row r="173" spans="1:5">
      <c r="A173" s="20">
        <v>43983</v>
      </c>
      <c r="B173" s="16">
        <f>'Coconut Oil Price Analysis'!B204+1</f>
        <v>44.7</v>
      </c>
      <c r="C173" s="13">
        <f>'Palm Kernel Oil Balance Sheet'!AB123</f>
        <v>43.722000000000001</v>
      </c>
      <c r="D173" s="13">
        <f>'Palm Kernel Oil Balance Sheet'!AB60+'Palm Kernel Oil Balance Sheet'!AB76</f>
        <v>50.883081501179994</v>
      </c>
      <c r="E173" s="21">
        <f t="shared" si="2"/>
        <v>0.85926399718904745</v>
      </c>
    </row>
    <row r="174" spans="1:5">
      <c r="A174" s="20">
        <v>44013</v>
      </c>
      <c r="B174" s="16">
        <f>'Coconut Oil Price Analysis'!B205+1</f>
        <v>44.5</v>
      </c>
      <c r="C174" s="13">
        <f>'Palm Kernel Oil Balance Sheet'!AB124</f>
        <v>67.751000000000005</v>
      </c>
      <c r="D174" s="13">
        <f>'Palm Kernel Oil Balance Sheet'!AB61+'Palm Kernel Oil Balance Sheet'!AB77</f>
        <v>67.101165653399988</v>
      </c>
      <c r="E174" s="21">
        <f t="shared" si="2"/>
        <v>1.0096843972868761</v>
      </c>
    </row>
    <row r="175" spans="1:5">
      <c r="A175" s="20">
        <v>44044</v>
      </c>
      <c r="B175" s="16">
        <f>'Coconut Oil Price Analysis'!B206+1</f>
        <v>38.6</v>
      </c>
      <c r="C175" s="13">
        <f>'Palm Kernel Oil Balance Sheet'!AB125</f>
        <v>72.567999999999998</v>
      </c>
      <c r="D175" s="13">
        <f>'Palm Kernel Oil Balance Sheet'!AB62+'Palm Kernel Oil Balance Sheet'!AB78</f>
        <v>87.328872746099989</v>
      </c>
      <c r="E175" s="21">
        <f t="shared" si="2"/>
        <v>0.83097374004797064</v>
      </c>
    </row>
    <row r="176" spans="1:5">
      <c r="A176" s="20">
        <v>44075</v>
      </c>
      <c r="B176" s="16">
        <f>'Coconut Oil Price Analysis'!B207+1</f>
        <v>45.400000000000006</v>
      </c>
      <c r="C176" s="13">
        <f>'Palm Kernel Oil Balance Sheet'!AB126</f>
        <v>81.265000000000001</v>
      </c>
      <c r="D176" s="13" t="e">
        <f>'Palm Kernel Oil Balance Sheet'!AC51+'Palm Kernel Oil Balance Sheet'!AC67</f>
        <v>#VALUE!</v>
      </c>
      <c r="E176" s="21" t="e">
        <f t="shared" si="2"/>
        <v>#VALUE!</v>
      </c>
    </row>
    <row r="177" spans="1:5">
      <c r="A177" s="20">
        <v>44105</v>
      </c>
      <c r="B177" s="16">
        <f>'Coconut Oil Price Analysis'!B208+1</f>
        <v>37.1</v>
      </c>
      <c r="C177" s="13" t="str">
        <f>'Palm Kernel Oil Balance Sheet'!AC115</f>
        <v>20/21</v>
      </c>
      <c r="D177" s="13" t="e">
        <f>'Palm Kernel Oil Balance Sheet'!AC52+'Palm Kernel Oil Balance Sheet'!AC68</f>
        <v>#VALUE!</v>
      </c>
      <c r="E177" s="21" t="e">
        <f t="shared" si="2"/>
        <v>#VALUE!</v>
      </c>
    </row>
    <row r="178" spans="1:5">
      <c r="A178" s="20">
        <v>44136</v>
      </c>
      <c r="B178" s="16">
        <f>'Coconut Oil Price Analysis'!B209+1</f>
        <v>48.800000000000004</v>
      </c>
      <c r="C178" s="13">
        <f>'Palm Kernel Oil Balance Sheet'!AC116</f>
        <v>96.637</v>
      </c>
      <c r="D178" s="13">
        <f>'Palm Kernel Oil Balance Sheet'!AC53+'Palm Kernel Oil Balance Sheet'!AC69</f>
        <v>69.566538874520006</v>
      </c>
      <c r="E178" s="21">
        <f t="shared" si="2"/>
        <v>1.3891304866310523</v>
      </c>
    </row>
    <row r="179" spans="1:5">
      <c r="A179" s="20">
        <v>44166</v>
      </c>
      <c r="B179" s="16">
        <f>'Coconut Oil Price Analysis'!B210+1</f>
        <v>50.400000000000006</v>
      </c>
      <c r="C179" s="13">
        <f>'Palm Kernel Oil Balance Sheet'!AC117</f>
        <v>93.980999999999995</v>
      </c>
      <c r="D179" s="13">
        <f>'Palm Kernel Oil Balance Sheet'!AC54+'Palm Kernel Oil Balance Sheet'!AC70</f>
        <v>90.337753373139989</v>
      </c>
      <c r="E179" s="21">
        <f t="shared" si="2"/>
        <v>1.0403291701511723</v>
      </c>
    </row>
    <row r="180" spans="1:5">
      <c r="A180" s="20">
        <v>44197</v>
      </c>
      <c r="B180" s="16">
        <f>'Coconut Oil Price Analysis'!B211+1</f>
        <v>41.800000000000004</v>
      </c>
      <c r="C180" s="13">
        <f>'Palm Kernel Oil Balance Sheet'!AC118</f>
        <v>74.882999999999996</v>
      </c>
      <c r="D180" s="13">
        <f>'Palm Kernel Oil Balance Sheet'!AC55+'Palm Kernel Oil Balance Sheet'!AC71</f>
        <v>95.673129000000003</v>
      </c>
      <c r="E180" s="21">
        <f t="shared" si="2"/>
        <v>0.78269625737859994</v>
      </c>
    </row>
    <row r="181" spans="1:5">
      <c r="A181" s="20">
        <v>44228</v>
      </c>
      <c r="B181" s="16">
        <f>'Coconut Oil Price Analysis'!B212+1</f>
        <v>48.900000000000006</v>
      </c>
      <c r="C181" s="13">
        <f>'Palm Kernel Oil Balance Sheet'!AC119</f>
        <v>68.643000000000001</v>
      </c>
      <c r="D181" s="13">
        <f>'Palm Kernel Oil Balance Sheet'!AC56+'Palm Kernel Oil Balance Sheet'!AC72</f>
        <v>63.807009999999991</v>
      </c>
      <c r="E181" s="21">
        <f t="shared" si="2"/>
        <v>1.0757908888067316</v>
      </c>
    </row>
    <row r="182" spans="1:5">
      <c r="A182" s="20">
        <v>44256</v>
      </c>
      <c r="B182" s="16">
        <f>'Coconut Oil Price Analysis'!B213+1</f>
        <v>44.900000000000006</v>
      </c>
      <c r="C182" s="13">
        <f>'Palm Kernel Oil Balance Sheet'!AC120</f>
        <v>73.793000000000006</v>
      </c>
      <c r="D182" s="13">
        <f>'Palm Kernel Oil Balance Sheet'!AC57+'Palm Kernel Oil Balance Sheet'!AC73</f>
        <v>73.574176000000008</v>
      </c>
      <c r="E182" s="21">
        <f t="shared" si="2"/>
        <v>1.0029741957286753</v>
      </c>
    </row>
    <row r="183" spans="1:5">
      <c r="A183" s="20">
        <v>44287</v>
      </c>
      <c r="B183" s="16">
        <f>'Coconut Oil Price Analysis'!B214+1</f>
        <v>44.2</v>
      </c>
      <c r="C183" s="13">
        <f>'Palm Kernel Oil Balance Sheet'!AC121</f>
        <v>52.938000000000002</v>
      </c>
      <c r="D183" s="13">
        <f>'Palm Kernel Oil Balance Sheet'!AC58+'Palm Kernel Oil Balance Sheet'!AC74</f>
        <v>73.96841400000001</v>
      </c>
      <c r="E183" s="21">
        <f t="shared" si="2"/>
        <v>0.71568385932946998</v>
      </c>
    </row>
    <row r="184" spans="1:5">
      <c r="A184" s="20">
        <v>44317</v>
      </c>
      <c r="B184" s="16">
        <f>'Coconut Oil Price Analysis'!B215+1</f>
        <v>29.900000000000002</v>
      </c>
      <c r="C184" s="13">
        <f>'Palm Kernel Oil Balance Sheet'!AC122</f>
        <v>64.594999999999999</v>
      </c>
      <c r="D184" s="13">
        <f>'Palm Kernel Oil Balance Sheet'!AC59+'Palm Kernel Oil Balance Sheet'!AC75</f>
        <v>72.304129000000003</v>
      </c>
      <c r="E184" s="21">
        <f t="shared" si="2"/>
        <v>0.89337913191651885</v>
      </c>
    </row>
    <row r="185" spans="1:5">
      <c r="A185" s="20">
        <v>44348</v>
      </c>
      <c r="B185" s="16">
        <f>'Coconut Oil Price Analysis'!B216+1</f>
        <v>49.7</v>
      </c>
      <c r="C185" s="13">
        <f>'Palm Kernel Oil Balance Sheet'!AC123</f>
        <v>50.005000000000003</v>
      </c>
      <c r="D185" s="13">
        <f>'Palm Kernel Oil Balance Sheet'!AC60+'Palm Kernel Oil Balance Sheet'!AC76</f>
        <v>71.456180000000003</v>
      </c>
      <c r="E185" s="21">
        <f t="shared" si="2"/>
        <v>0.69979951349204506</v>
      </c>
    </row>
    <row r="186" spans="1:5">
      <c r="A186" s="20">
        <v>44378</v>
      </c>
      <c r="B186" s="16">
        <f>'Coconut Oil Price Analysis'!B217+1</f>
        <v>43.6</v>
      </c>
      <c r="C186" s="13">
        <f>'Palm Kernel Oil Balance Sheet'!AC124</f>
        <v>37.694000000000003</v>
      </c>
      <c r="D186" s="13">
        <f>'Palm Kernel Oil Balance Sheet'!AC61+'Palm Kernel Oil Balance Sheet'!AC77</f>
        <v>89.822016000000019</v>
      </c>
      <c r="E186" s="21">
        <f t="shared" si="2"/>
        <v>0.41965212626712806</v>
      </c>
    </row>
    <row r="187" spans="1:5">
      <c r="A187" s="20">
        <v>44409</v>
      </c>
      <c r="B187" s="16">
        <f>'Coconut Oil Price Analysis'!B218+1</f>
        <v>53.5</v>
      </c>
      <c r="C187" s="13">
        <f>'Palm Kernel Oil Balance Sheet'!AC125</f>
        <v>34.884999999999998</v>
      </c>
      <c r="D187" s="13">
        <f>'Palm Kernel Oil Balance Sheet'!AC62+'Palm Kernel Oil Balance Sheet'!AC78</f>
        <v>30.846515999999994</v>
      </c>
      <c r="E187" s="21">
        <f t="shared" si="2"/>
        <v>1.1309218843385751</v>
      </c>
    </row>
    <row r="188" spans="1:5">
      <c r="A188" s="20">
        <v>44440</v>
      </c>
      <c r="B188" s="16">
        <f>'Coconut Oil Price Analysis'!B219+1</f>
        <v>38.400000000000006</v>
      </c>
      <c r="C188" s="13">
        <f>'Palm Kernel Oil Balance Sheet'!AC126</f>
        <v>39.51</v>
      </c>
      <c r="D188" s="13" t="e">
        <f>'Palm Kernel Oil Balance Sheet'!AD51+'Palm Kernel Oil Balance Sheet'!AD67</f>
        <v>#VALUE!</v>
      </c>
      <c r="E188" s="21" t="e">
        <f t="shared" si="2"/>
        <v>#VALUE!</v>
      </c>
    </row>
    <row r="189" spans="1:5">
      <c r="A189" s="20">
        <v>44470</v>
      </c>
      <c r="B189" s="16">
        <f>'Coconut Oil Price Analysis'!B220+1</f>
        <v>57.900000000000006</v>
      </c>
      <c r="C189" s="13" t="str">
        <f>'Palm Kernel Oil Balance Sheet'!AD115</f>
        <v>21/22</v>
      </c>
      <c r="D189" s="13" t="e">
        <f>'Palm Kernel Oil Balance Sheet'!AD52+'Palm Kernel Oil Balance Sheet'!AD68</f>
        <v>#VALUE!</v>
      </c>
      <c r="E189" s="21" t="e">
        <f t="shared" si="2"/>
        <v>#VALUE!</v>
      </c>
    </row>
    <row r="190" spans="1:5">
      <c r="A190" s="20">
        <v>44501</v>
      </c>
      <c r="B190" s="16">
        <f>'Coconut Oil Price Analysis'!B221+1</f>
        <v>43.6</v>
      </c>
      <c r="C190" s="13">
        <f>'Palm Kernel Oil Balance Sheet'!AD116</f>
        <v>53.622999999999998</v>
      </c>
      <c r="D190" s="13">
        <f>'Palm Kernel Oil Balance Sheet'!AD53+'Palm Kernel Oil Balance Sheet'!AD69</f>
        <v>78.552355525420012</v>
      </c>
      <c r="E190" s="21">
        <f t="shared" si="2"/>
        <v>0.68264025491440894</v>
      </c>
    </row>
    <row r="191" spans="1:5">
      <c r="A191" s="20">
        <v>44531</v>
      </c>
      <c r="B191" s="16">
        <f>'Coconut Oil Price Analysis'!B222+1</f>
        <v>55.6</v>
      </c>
      <c r="C191" s="13">
        <f>'Palm Kernel Oil Balance Sheet'!AD117</f>
        <v>70.558999999999997</v>
      </c>
      <c r="D191" s="13">
        <f>'Palm Kernel Oil Balance Sheet'!AD54+'Palm Kernel Oil Balance Sheet'!AD70</f>
        <v>62.403416117440024</v>
      </c>
      <c r="E191" s="21">
        <f t="shared" si="2"/>
        <v>1.1306913048992635</v>
      </c>
    </row>
    <row r="192" spans="1:5">
      <c r="A192" s="20">
        <v>44562</v>
      </c>
      <c r="B192" s="16">
        <f>'Coconut Oil Price Analysis'!B223+1</f>
        <v>50.1</v>
      </c>
      <c r="C192" s="13">
        <f>'Palm Kernel Oil Balance Sheet'!AD118</f>
        <v>66.930999999999997</v>
      </c>
      <c r="D192" s="13">
        <f>'Palm Kernel Oil Balance Sheet'!AD55+'Palm Kernel Oil Balance Sheet'!AD71</f>
        <v>69.201982215140006</v>
      </c>
      <c r="E192" s="21">
        <f t="shared" si="2"/>
        <v>0.96718327795756165</v>
      </c>
    </row>
    <row r="193" spans="1:5">
      <c r="A193" s="20">
        <v>44593</v>
      </c>
      <c r="B193" s="16">
        <f>'Coconut Oil Price Analysis'!B224+1</f>
        <v>43.1</v>
      </c>
      <c r="C193" s="13">
        <f>'Palm Kernel Oil Balance Sheet'!AD119</f>
        <v>60.478999999999999</v>
      </c>
      <c r="D193" s="13">
        <f>'Palm Kernel Oil Balance Sheet'!AD56+'Palm Kernel Oil Balance Sheet'!AD72</f>
        <v>63.595600362340008</v>
      </c>
      <c r="E193" s="21">
        <f t="shared" si="2"/>
        <v>0.95099345953834891</v>
      </c>
    </row>
    <row r="194" spans="1:5">
      <c r="A194" s="20">
        <v>44621</v>
      </c>
      <c r="B194" s="16">
        <f>'Coconut Oil Price Analysis'!B225+1</f>
        <v>45.2</v>
      </c>
      <c r="C194" s="13">
        <f>'Palm Kernel Oil Balance Sheet'!AD120</f>
        <v>56.191000000000003</v>
      </c>
      <c r="D194" s="13">
        <f>'Palm Kernel Oil Balance Sheet'!AD57+'Palm Kernel Oil Balance Sheet'!AD73</f>
        <v>44.962275353460008</v>
      </c>
      <c r="E194" s="21">
        <f t="shared" si="2"/>
        <v>1.2497365749012501</v>
      </c>
    </row>
    <row r="195" spans="1:5">
      <c r="A195" s="20">
        <v>44652</v>
      </c>
      <c r="B195" s="16">
        <f>'Coconut Oil Price Analysis'!B226+1</f>
        <v>44.7</v>
      </c>
      <c r="C195" s="13">
        <f>'Palm Kernel Oil Balance Sheet'!AD121</f>
        <v>58.658000000000001</v>
      </c>
      <c r="D195" s="13">
        <f>'Palm Kernel Oil Balance Sheet'!AD58+'Palm Kernel Oil Balance Sheet'!AD74</f>
        <v>61.948693747760004</v>
      </c>
      <c r="E195" s="21">
        <f t="shared" ref="E195:E254" si="3">C195/D195</f>
        <v>0.94688033679678696</v>
      </c>
    </row>
    <row r="196" spans="1:5">
      <c r="A196" s="20">
        <v>44682</v>
      </c>
      <c r="B196" s="16">
        <f>'Coconut Oil Price Analysis'!B227+1</f>
        <v>51.2</v>
      </c>
      <c r="C196" s="13">
        <f>'Palm Kernel Oil Balance Sheet'!AD122</f>
        <v>63.768000000000001</v>
      </c>
      <c r="D196" s="13">
        <f>'Palm Kernel Oil Balance Sheet'!AD59+'Palm Kernel Oil Balance Sheet'!AD75</f>
        <v>61.334403743860008</v>
      </c>
      <c r="E196" s="21">
        <f t="shared" si="3"/>
        <v>1.0396775073628006</v>
      </c>
    </row>
    <row r="197" spans="1:5">
      <c r="A197" s="20">
        <v>44713</v>
      </c>
      <c r="B197" s="16">
        <f>'Coconut Oil Price Analysis'!B228+1</f>
        <v>44.2</v>
      </c>
      <c r="C197" s="13">
        <f>'Palm Kernel Oil Balance Sheet'!AD123</f>
        <v>60.22</v>
      </c>
      <c r="D197" s="13">
        <f>'Palm Kernel Oil Balance Sheet'!AD60+'Palm Kernel Oil Balance Sheet'!AD76</f>
        <v>33.608399984239995</v>
      </c>
      <c r="E197" s="21">
        <f t="shared" si="3"/>
        <v>1.7918139521143226</v>
      </c>
    </row>
    <row r="198" spans="1:5">
      <c r="A198" s="20">
        <v>44743</v>
      </c>
      <c r="B198" s="16">
        <f>'Coconut Oil Price Analysis'!B229+1</f>
        <v>38.5</v>
      </c>
      <c r="C198" s="13">
        <f>'Palm Kernel Oil Balance Sheet'!AD124</f>
        <v>60.323</v>
      </c>
      <c r="D198" s="13">
        <f>'Palm Kernel Oil Balance Sheet'!AD61+'Palm Kernel Oil Balance Sheet'!AD77</f>
        <v>93.823289897140015</v>
      </c>
      <c r="E198" s="21">
        <f t="shared" si="3"/>
        <v>0.64294270714801283</v>
      </c>
    </row>
    <row r="199" spans="1:5">
      <c r="A199" s="20">
        <v>44774</v>
      </c>
      <c r="B199" s="16">
        <f>'Coconut Oil Price Analysis'!B230+1</f>
        <v>59.800000000000004</v>
      </c>
      <c r="C199" s="13">
        <f>'Palm Kernel Oil Balance Sheet'!AD125</f>
        <v>54.01</v>
      </c>
      <c r="D199" s="13">
        <f>'Palm Kernel Oil Balance Sheet'!AD62+'Palm Kernel Oil Balance Sheet'!AD78</f>
        <v>54.122616313519998</v>
      </c>
      <c r="E199" s="21">
        <f t="shared" si="3"/>
        <v>0.99791923744285316</v>
      </c>
    </row>
    <row r="200" spans="1:5">
      <c r="A200" s="20">
        <v>44805</v>
      </c>
      <c r="B200" s="16">
        <f>'Coconut Oil Price Analysis'!B231+1</f>
        <v>53.300000000000004</v>
      </c>
      <c r="C200" s="13">
        <f>'Palm Kernel Oil Balance Sheet'!AD126</f>
        <v>53.192</v>
      </c>
      <c r="D200" s="13" t="e">
        <f>'Palm Kernel Oil Balance Sheet'!AE51+'Palm Kernel Oil Balance Sheet'!AE67</f>
        <v>#VALUE!</v>
      </c>
      <c r="E200" s="21" t="e">
        <f t="shared" si="3"/>
        <v>#VALUE!</v>
      </c>
    </row>
    <row r="201" spans="1:5">
      <c r="A201" s="20">
        <v>44835</v>
      </c>
      <c r="B201" s="16">
        <f>'Coconut Oil Price Analysis'!B232+1</f>
        <v>50.5</v>
      </c>
      <c r="C201" s="13" t="str">
        <f>'Palm Kernel Oil Balance Sheet'!AE115</f>
        <v>22/23</v>
      </c>
      <c r="D201" s="13" t="e">
        <f>'Palm Kernel Oil Balance Sheet'!AE52+'Palm Kernel Oil Balance Sheet'!AE68</f>
        <v>#VALUE!</v>
      </c>
      <c r="E201" s="21" t="e">
        <f t="shared" si="3"/>
        <v>#VALUE!</v>
      </c>
    </row>
    <row r="202" spans="1:5">
      <c r="A202" s="20">
        <v>44866</v>
      </c>
      <c r="B202" s="16">
        <f>'Coconut Oil Price Analysis'!B233+1</f>
        <v>48.7</v>
      </c>
      <c r="C202" s="13">
        <f>'Palm Kernel Oil Balance Sheet'!AE116</f>
        <v>50.988999999999997</v>
      </c>
      <c r="D202" s="13">
        <f>'Palm Kernel Oil Balance Sheet'!AE53+'Palm Kernel Oil Balance Sheet'!AE69</f>
        <v>50.208722390419993</v>
      </c>
      <c r="E202" s="21">
        <f t="shared" si="3"/>
        <v>1.015540678440543</v>
      </c>
    </row>
    <row r="203" spans="1:5">
      <c r="A203" s="20">
        <v>44896</v>
      </c>
      <c r="B203" s="16">
        <f>'Coconut Oil Price Analysis'!B234+1</f>
        <v>32.5</v>
      </c>
      <c r="C203" s="13">
        <f>'Palm Kernel Oil Balance Sheet'!AE117</f>
        <v>62.253</v>
      </c>
      <c r="D203" s="13">
        <f>'Palm Kernel Oil Balance Sheet'!AE54+'Palm Kernel Oil Balance Sheet'!AE70</f>
        <v>76.307521824560013</v>
      </c>
      <c r="E203" s="21">
        <f t="shared" si="3"/>
        <v>0.81581734685509755</v>
      </c>
    </row>
    <row r="204" spans="1:5">
      <c r="A204" s="20">
        <v>44927</v>
      </c>
      <c r="B204" s="16">
        <f>'Coconut Oil Price Analysis'!B235+1</f>
        <v>54.7</v>
      </c>
      <c r="C204" s="13">
        <f>'Palm Kernel Oil Balance Sheet'!AE118</f>
        <v>62.652999999999999</v>
      </c>
      <c r="D204" s="13">
        <f>'Palm Kernel Oil Balance Sheet'!AE55+'Palm Kernel Oil Balance Sheet'!AE71</f>
        <v>55.504684153699998</v>
      </c>
      <c r="E204" s="21">
        <f t="shared" si="3"/>
        <v>1.128787614149922</v>
      </c>
    </row>
    <row r="205" spans="1:5">
      <c r="A205" s="20">
        <v>44958</v>
      </c>
      <c r="B205" s="16">
        <f>'Coconut Oil Price Analysis'!B236+1</f>
        <v>41.7</v>
      </c>
      <c r="C205" s="13">
        <f>'Palm Kernel Oil Balance Sheet'!AE119</f>
        <v>52.523000000000003</v>
      </c>
      <c r="D205" s="13">
        <f>'Palm Kernel Oil Balance Sheet'!AE56+'Palm Kernel Oil Balance Sheet'!AE72</f>
        <v>86.786270686639995</v>
      </c>
      <c r="E205" s="21">
        <f t="shared" si="3"/>
        <v>0.60519941212412842</v>
      </c>
    </row>
    <row r="206" spans="1:5">
      <c r="A206" s="20">
        <v>44986</v>
      </c>
      <c r="B206" s="16">
        <f>'Coconut Oil Price Analysis'!B237+1</f>
        <v>44.400000000000006</v>
      </c>
      <c r="C206" s="13">
        <f>'Palm Kernel Oil Balance Sheet'!AE120</f>
        <v>55.149000000000001</v>
      </c>
      <c r="D206" s="13">
        <f>'Palm Kernel Oil Balance Sheet'!AE57+'Palm Kernel Oil Balance Sheet'!AE73</f>
        <v>59.855962893659999</v>
      </c>
      <c r="E206" s="21">
        <f t="shared" si="3"/>
        <v>0.9213618382178167</v>
      </c>
    </row>
    <row r="207" spans="1:5">
      <c r="A207" s="20">
        <v>45017</v>
      </c>
      <c r="B207" s="16">
        <f>'Coconut Oil Price Analysis'!B238+1</f>
        <v>53.900000000000006</v>
      </c>
      <c r="C207" s="13">
        <f>'Palm Kernel Oil Balance Sheet'!AE121</f>
        <v>57.765999999999998</v>
      </c>
      <c r="D207" s="13">
        <f>'Palm Kernel Oil Balance Sheet'!AE58+'Palm Kernel Oil Balance Sheet'!AE74</f>
        <v>71.240330655574269</v>
      </c>
      <c r="E207" s="21">
        <f t="shared" si="3"/>
        <v>0.81086091920714631</v>
      </c>
    </row>
    <row r="208" spans="1:5">
      <c r="A208" s="20">
        <v>45047</v>
      </c>
      <c r="B208" s="16">
        <f>'Coconut Oil Price Analysis'!B239+1</f>
        <v>50</v>
      </c>
      <c r="C208" s="13">
        <f>'Palm Kernel Oil Balance Sheet'!AE122</f>
        <v>51.052999999999997</v>
      </c>
      <c r="D208" s="13">
        <f>'Palm Kernel Oil Balance Sheet'!AE59+'Palm Kernel Oil Balance Sheet'!AE75</f>
        <v>60.178893412280352</v>
      </c>
      <c r="E208" s="21">
        <f t="shared" si="3"/>
        <v>0.84835391788015013</v>
      </c>
    </row>
    <row r="209" spans="1:5">
      <c r="A209" s="20">
        <v>45078</v>
      </c>
      <c r="B209" s="16">
        <f>'Coconut Oil Price Analysis'!B240+1</f>
        <v>40.900000000000006</v>
      </c>
      <c r="C209" s="13">
        <f>'Palm Kernel Oil Balance Sheet'!AE123</f>
        <v>53.832999999999998</v>
      </c>
      <c r="D209" s="13">
        <f>'Palm Kernel Oil Balance Sheet'!AE60+'Palm Kernel Oil Balance Sheet'!AE76</f>
        <v>40.792062090743954</v>
      </c>
      <c r="E209" s="21">
        <f t="shared" si="3"/>
        <v>1.3196930294978919</v>
      </c>
    </row>
    <row r="210" spans="1:5">
      <c r="A210" s="20">
        <v>45108</v>
      </c>
      <c r="B210" s="16">
        <f>'Coconut Oil Price Analysis'!B241+1</f>
        <v>47.300000000000004</v>
      </c>
      <c r="C210" s="13">
        <f>'Palm Kernel Oil Balance Sheet'!AE124</f>
        <v>62.207000000000001</v>
      </c>
      <c r="D210" s="13">
        <f>'Palm Kernel Oil Balance Sheet'!AE61+'Palm Kernel Oil Balance Sheet'!AE77</f>
        <v>80.269888595774106</v>
      </c>
      <c r="E210" s="21">
        <f t="shared" si="3"/>
        <v>0.77497304516347565</v>
      </c>
    </row>
    <row r="211" spans="1:5">
      <c r="A211" s="20">
        <v>45139</v>
      </c>
      <c r="B211" s="16">
        <f>'Coconut Oil Price Analysis'!B242+1</f>
        <v>59.7</v>
      </c>
      <c r="C211" s="13">
        <f>'Palm Kernel Oil Balance Sheet'!AE125</f>
        <v>60.642000000000003</v>
      </c>
      <c r="D211" s="13">
        <f>'Palm Kernel Oil Balance Sheet'!AE62+'Palm Kernel Oil Balance Sheet'!AE78</f>
        <v>82.533716765469592</v>
      </c>
      <c r="E211" s="21">
        <f t="shared" si="3"/>
        <v>0.73475426015675771</v>
      </c>
    </row>
    <row r="212" spans="1:5">
      <c r="A212" s="20">
        <v>45170</v>
      </c>
      <c r="B212" s="16">
        <f>'Coconut Oil Price Analysis'!B243+1</f>
        <v>53.900000000000006</v>
      </c>
      <c r="C212" s="13">
        <f>'Palm Kernel Oil Balance Sheet'!AE126</f>
        <v>48.116999999999997</v>
      </c>
      <c r="D212" s="13" t="e">
        <f>'Palm Kernel Oil Balance Sheet'!AF51+'Palm Kernel Oil Balance Sheet'!AF67</f>
        <v>#VALUE!</v>
      </c>
      <c r="E212" s="21" t="e">
        <f t="shared" si="3"/>
        <v>#VALUE!</v>
      </c>
    </row>
    <row r="213" spans="1:5">
      <c r="A213" s="20">
        <v>45200</v>
      </c>
      <c r="B213" s="16">
        <f>'Coconut Oil Price Analysis'!B244+1</f>
        <v>45.6</v>
      </c>
      <c r="C213" s="13" t="str">
        <f>'Palm Kernel Oil Balance Sheet'!AF115</f>
        <v>23/24</v>
      </c>
      <c r="D213" s="13" t="e">
        <f>'Palm Kernel Oil Balance Sheet'!AF52+'Palm Kernel Oil Balance Sheet'!AF68</f>
        <v>#VALUE!</v>
      </c>
      <c r="E213" s="21" t="e">
        <f t="shared" si="3"/>
        <v>#VALUE!</v>
      </c>
    </row>
    <row r="214" spans="1:5">
      <c r="A214" s="20">
        <v>45231</v>
      </c>
      <c r="B214" s="16">
        <f>'Coconut Oil Price Analysis'!B245+1</f>
        <v>47.400000000000006</v>
      </c>
      <c r="C214" s="13">
        <f>'Palm Kernel Oil Balance Sheet'!AF116</f>
        <v>60.917000000000002</v>
      </c>
      <c r="D214" s="13">
        <f>'Palm Kernel Oil Balance Sheet'!AF53+'Palm Kernel Oil Balance Sheet'!AF69</f>
        <v>52.504247643250636</v>
      </c>
      <c r="E214" s="21">
        <f t="shared" si="3"/>
        <v>1.1602299382311179</v>
      </c>
    </row>
    <row r="215" spans="1:5">
      <c r="A215" s="20">
        <v>45261</v>
      </c>
      <c r="B215" s="16">
        <f>'Coconut Oil Price Analysis'!B246+1</f>
        <v>52.7</v>
      </c>
      <c r="C215" s="13">
        <f>'Palm Kernel Oil Balance Sheet'!AF117</f>
        <v>85.835999999999999</v>
      </c>
      <c r="D215" s="13">
        <f>'Palm Kernel Oil Balance Sheet'!AF54+'Palm Kernel Oil Balance Sheet'!AF70</f>
        <v>58.906624367392205</v>
      </c>
      <c r="E215" s="21">
        <f t="shared" si="3"/>
        <v>1.457153604060778</v>
      </c>
    </row>
    <row r="216" spans="1:5">
      <c r="A216" s="20">
        <v>45292</v>
      </c>
      <c r="B216" s="16">
        <f>'Coconut Oil Price Analysis'!B247+1</f>
        <v>44.300000000000004</v>
      </c>
      <c r="C216" s="13">
        <f>'Palm Kernel Oil Balance Sheet'!AF118</f>
        <v>92.256</v>
      </c>
      <c r="D216" s="13">
        <f>'Palm Kernel Oil Balance Sheet'!AF55+'Palm Kernel Oil Balance Sheet'!AF71</f>
        <v>74.074828375987039</v>
      </c>
      <c r="E216" s="21">
        <f t="shared" si="3"/>
        <v>1.2454433175562616</v>
      </c>
    </row>
    <row r="217" spans="1:5">
      <c r="A217" s="20">
        <v>45323</v>
      </c>
      <c r="B217" s="16">
        <f>'Coconut Oil Price Analysis'!B248+1</f>
        <v>47.1</v>
      </c>
      <c r="C217" s="13">
        <f>'Palm Kernel Oil Balance Sheet'!AF119</f>
        <v>90.578000000000003</v>
      </c>
      <c r="D217" s="13">
        <f>'Palm Kernel Oil Balance Sheet'!AF56+'Palm Kernel Oil Balance Sheet'!AF72</f>
        <v>71.957618170100744</v>
      </c>
      <c r="E217" s="21">
        <f t="shared" si="3"/>
        <v>1.2587687350334817</v>
      </c>
    </row>
    <row r="218" spans="1:5">
      <c r="A218" s="20">
        <v>45352</v>
      </c>
      <c r="B218" s="16">
        <f>'Coconut Oil Price Analysis'!B249+1</f>
        <v>47.900000000000006</v>
      </c>
      <c r="C218" s="13">
        <f>'Palm Kernel Oil Balance Sheet'!AF120</f>
        <v>98.361999999999995</v>
      </c>
      <c r="D218" s="13">
        <f>'Palm Kernel Oil Balance Sheet'!AF57+'Palm Kernel Oil Balance Sheet'!AF73</f>
        <v>71.127976171606036</v>
      </c>
      <c r="E218" s="21">
        <f t="shared" si="3"/>
        <v>1.3828876525698992</v>
      </c>
    </row>
    <row r="219" spans="1:5">
      <c r="A219" s="20">
        <v>45383</v>
      </c>
      <c r="B219" s="16">
        <f>'Coconut Oil Price Analysis'!B250+1</f>
        <v>48.7</v>
      </c>
      <c r="C219" s="13">
        <f>'Palm Kernel Oil Balance Sheet'!AF121</f>
        <v>95.054063583242879</v>
      </c>
      <c r="D219" s="13">
        <f>'Palm Kernel Oil Balance Sheet'!AF58+'Palm Kernel Oil Balance Sheet'!AF74</f>
        <v>70.427335049622258</v>
      </c>
      <c r="E219" s="21">
        <f t="shared" si="3"/>
        <v>1.3496757120835103</v>
      </c>
    </row>
    <row r="220" spans="1:5">
      <c r="A220" s="20">
        <v>45413</v>
      </c>
      <c r="B220" s="16">
        <f>'Coconut Oil Price Analysis'!B251+1</f>
        <v>48.800000000000004</v>
      </c>
      <c r="C220" s="13">
        <f>'Palm Kernel Oil Balance Sheet'!AF122</f>
        <v>98.616219650319834</v>
      </c>
      <c r="D220" s="13">
        <f>'Palm Kernel Oil Balance Sheet'!AF59+'Palm Kernel Oil Balance Sheet'!AF75</f>
        <v>67.752499650236189</v>
      </c>
      <c r="E220" s="21">
        <f t="shared" si="3"/>
        <v>1.4555362556276705</v>
      </c>
    </row>
    <row r="221" spans="1:5">
      <c r="A221" s="20">
        <v>45444</v>
      </c>
      <c r="B221" s="16">
        <f>'Coconut Oil Price Analysis'!B252+1</f>
        <v>52.1</v>
      </c>
      <c r="C221" s="13">
        <f>'Palm Kernel Oil Balance Sheet'!AF123</f>
        <v>91.452050663360808</v>
      </c>
      <c r="D221" s="13">
        <f>'Palm Kernel Oil Balance Sheet'!AF60+'Palm Kernel Oil Balance Sheet'!AF76</f>
        <v>45.81699261798007</v>
      </c>
      <c r="E221" s="21">
        <f t="shared" si="3"/>
        <v>1.996029102693049</v>
      </c>
    </row>
    <row r="222" spans="1:5">
      <c r="A222" s="20">
        <v>45474</v>
      </c>
      <c r="B222" s="16">
        <f>'Coconut Oil Price Analysis'!B253+1</f>
        <v>48.6</v>
      </c>
      <c r="C222" s="13">
        <f>'Palm Kernel Oil Balance Sheet'!AF124</f>
        <v>93.993827545310083</v>
      </c>
      <c r="D222" s="13">
        <f>'Palm Kernel Oil Balance Sheet'!AF61+'Palm Kernel Oil Balance Sheet'!AF77</f>
        <v>86.28943152043631</v>
      </c>
      <c r="E222" s="21">
        <f t="shared" si="3"/>
        <v>1.0892855114365785</v>
      </c>
    </row>
    <row r="223" spans="1:5">
      <c r="A223" s="20">
        <v>45505</v>
      </c>
      <c r="B223" s="16">
        <f>'Coconut Oil Price Analysis'!B254+1</f>
        <v>53.300000000000004</v>
      </c>
      <c r="C223" s="13">
        <f>'Palm Kernel Oil Balance Sheet'!AF125</f>
        <v>95.114426517545297</v>
      </c>
      <c r="D223" s="13">
        <f>'Palm Kernel Oil Balance Sheet'!AF62+'Palm Kernel Oil Balance Sheet'!AF78</f>
        <v>62.953656284761578</v>
      </c>
      <c r="E223" s="21">
        <f t="shared" si="3"/>
        <v>1.5108642155319656</v>
      </c>
    </row>
    <row r="224" spans="1:5">
      <c r="A224" s="20">
        <v>45536</v>
      </c>
      <c r="B224" s="16">
        <f>'Coconut Oil Price Analysis'!B255+1</f>
        <v>60.1</v>
      </c>
      <c r="C224" s="13">
        <f>'Palm Kernel Oil Balance Sheet'!AF126</f>
        <v>98.40235072660947</v>
      </c>
      <c r="D224" s="13" t="e">
        <f>D212</f>
        <v>#VALUE!</v>
      </c>
      <c r="E224" s="21" t="e">
        <f t="shared" si="3"/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Coconut Oil Balance Sheet</vt:lpstr>
      <vt:lpstr>Palm Kernel Oil Balance Sheet</vt:lpstr>
      <vt:lpstr>Coconut Oil Price Analysis</vt:lpstr>
      <vt:lpstr>Palm Kernel Oil Price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2025-07-17T07:55:41Z</dcterms:created>
  <dcterms:modified xsi:type="dcterms:W3CDTF">2025-07-17T07:56:09Z</dcterms:modified>
</cp:coreProperties>
</file>