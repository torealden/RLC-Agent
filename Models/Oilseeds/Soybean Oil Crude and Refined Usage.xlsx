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9718D868-28ED-461C-90A7-889CDAEE524F}" xr6:coauthVersionLast="47" xr6:coauthVersionMax="47" xr10:uidLastSave="{00000000-0000-0000-0000-000000000000}"/>
  <bookViews>
    <workbookView xWindow="705" yWindow="1245" windowWidth="27240" windowHeight="14550" xr2:uid="{787E257C-6772-47CF-9716-A1444C2C83F2}"/>
  </bookViews>
  <sheets>
    <sheet name="BD Plant" sheetId="1" r:id="rId1"/>
    <sheet name="BD List (region)" sheetId="2" r:id="rId2"/>
    <sheet name="RD Capacity (Region)" sheetId="3" r:id="rId3"/>
    <sheet name="RD Capacity bob (region)" sheetId="4" r:id="rId4"/>
    <sheet name="Stocks" sheetId="5" r:id="rId5"/>
    <sheet name="RBD vs Crude" sheetId="6" r:id="rId6"/>
    <sheet name="SB RBD v Crude" sheetId="7" r:id="rId7"/>
    <sheet name="Soybean Ussage" sheetId="8" r:id="rId8"/>
    <sheet name="Production Loss" sheetId="9" r:id="rId9"/>
    <sheet name="Production Loss 2" sheetId="10" r:id="rId10"/>
    <sheet name="SB Crude-Refined" sheetId="11" r:id="rId11"/>
    <sheet name="2021-22 Demand" sheetId="12" r:id="rId12"/>
    <sheet name="2019-20 Demand" sheetId="13" r:id="rId13"/>
    <sheet name="Pie Chart Crude Refined" sheetId="14" r:id="rId14"/>
    <sheet name="2019-20 Breakout Crude" sheetId="15" r:id="rId15"/>
    <sheet name="2021-22 Breakout Crude" sheetId="16" r:id="rId16"/>
    <sheet name="2019-20 Breakout Refined" sheetId="17" r:id="rId17"/>
    <sheet name="2021-22 Breakout Refined" sheetId="18" r:id="rId18"/>
    <sheet name="Sheet1" sheetId="19" r:id="rId19"/>
  </sheets>
  <externalReferences>
    <externalReference r:id="rId20"/>
    <externalReference r:id="rId21"/>
    <externalReference r:id="rId22"/>
  </externalReferences>
  <definedNames>
    <definedName name="_xlnm._FilterDatabase" localSheetId="0" hidden="1">'BD Plant'!$B$1:$B$107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9" l="1"/>
  <c r="M33" i="19"/>
  <c r="L33" i="19"/>
  <c r="K33" i="19"/>
  <c r="J33" i="19"/>
  <c r="I33" i="19"/>
  <c r="H33" i="19"/>
  <c r="G33" i="19"/>
  <c r="F33" i="19"/>
  <c r="H28" i="19"/>
  <c r="H27" i="19" s="1"/>
  <c r="H23" i="19" s="1"/>
  <c r="E28" i="19"/>
  <c r="E27" i="19" s="1"/>
  <c r="D28" i="19"/>
  <c r="D27" i="19" s="1"/>
  <c r="B28" i="19"/>
  <c r="B27" i="19" s="1"/>
  <c r="O26" i="19"/>
  <c r="M25" i="19"/>
  <c r="L25" i="19"/>
  <c r="K25" i="19"/>
  <c r="J25" i="19"/>
  <c r="I25" i="19"/>
  <c r="H25" i="19"/>
  <c r="G25" i="19"/>
  <c r="F25" i="19"/>
  <c r="E25" i="19"/>
  <c r="E33" i="19" s="1"/>
  <c r="D25" i="19"/>
  <c r="D33" i="19" s="1"/>
  <c r="C25" i="19"/>
  <c r="C33" i="19" s="1"/>
  <c r="B25" i="19"/>
  <c r="B33" i="19" s="1"/>
  <c r="M24" i="19"/>
  <c r="L24" i="19"/>
  <c r="K24" i="19"/>
  <c r="J24" i="19"/>
  <c r="I24" i="19"/>
  <c r="H24" i="19"/>
  <c r="G24" i="19"/>
  <c r="F24" i="19"/>
  <c r="E24" i="19"/>
  <c r="D24" i="19"/>
  <c r="D23" i="19" s="1"/>
  <c r="C24" i="19"/>
  <c r="C23" i="19" s="1"/>
  <c r="B24" i="19"/>
  <c r="O24" i="19" s="1"/>
  <c r="L22" i="19"/>
  <c r="L28" i="19" s="1"/>
  <c r="L27" i="19" s="1"/>
  <c r="L23" i="19" s="1"/>
  <c r="I22" i="19"/>
  <c r="I28" i="19" s="1"/>
  <c r="I27" i="19" s="1"/>
  <c r="I23" i="19" s="1"/>
  <c r="H22" i="19"/>
  <c r="G22" i="19"/>
  <c r="G28" i="19" s="1"/>
  <c r="G27" i="19" s="1"/>
  <c r="G23" i="19" s="1"/>
  <c r="F22" i="19"/>
  <c r="F28" i="19" s="1"/>
  <c r="F27" i="19" s="1"/>
  <c r="E22" i="19"/>
  <c r="D22" i="19"/>
  <c r="C22" i="19"/>
  <c r="C28" i="19" s="1"/>
  <c r="C27" i="19" s="1"/>
  <c r="B22" i="19"/>
  <c r="O21" i="19"/>
  <c r="O20" i="19"/>
  <c r="O19" i="19"/>
  <c r="O22" i="19" s="1"/>
  <c r="M19" i="19"/>
  <c r="M22" i="19" s="1"/>
  <c r="M28" i="19" s="1"/>
  <c r="M27" i="19" s="1"/>
  <c r="M23" i="19" s="1"/>
  <c r="L19" i="19"/>
  <c r="K19" i="19"/>
  <c r="K22" i="19" s="1"/>
  <c r="K28" i="19" s="1"/>
  <c r="K27" i="19" s="1"/>
  <c r="K23" i="19" s="1"/>
  <c r="J19" i="19"/>
  <c r="J22" i="19" s="1"/>
  <c r="J28" i="19" s="1"/>
  <c r="J27" i="19" s="1"/>
  <c r="J23" i="19" s="1"/>
  <c r="I19" i="19"/>
  <c r="H19" i="19"/>
  <c r="G19" i="19"/>
  <c r="F19" i="19"/>
  <c r="E19" i="19"/>
  <c r="D19" i="19"/>
  <c r="C19" i="19"/>
  <c r="B19" i="19"/>
  <c r="H15" i="19"/>
  <c r="E15" i="19"/>
  <c r="O13" i="19"/>
  <c r="M12" i="19"/>
  <c r="L12" i="19"/>
  <c r="L34" i="19" s="1"/>
  <c r="K12" i="19"/>
  <c r="K34" i="19" s="1"/>
  <c r="J12" i="19"/>
  <c r="J34" i="19" s="1"/>
  <c r="I12" i="19"/>
  <c r="I34" i="19" s="1"/>
  <c r="H12" i="19"/>
  <c r="H34" i="19" s="1"/>
  <c r="G12" i="19"/>
  <c r="G34" i="19" s="1"/>
  <c r="F12" i="19"/>
  <c r="F34" i="19" s="1"/>
  <c r="E12" i="19"/>
  <c r="E34" i="19" s="1"/>
  <c r="D12" i="19"/>
  <c r="D34" i="19" s="1"/>
  <c r="C12" i="19"/>
  <c r="C34" i="19" s="1"/>
  <c r="B12" i="19"/>
  <c r="O12" i="19" s="1"/>
  <c r="M11" i="19"/>
  <c r="M8" i="19" s="1"/>
  <c r="L11" i="19"/>
  <c r="L8" i="19" s="1"/>
  <c r="K11" i="19"/>
  <c r="K8" i="19" s="1"/>
  <c r="J11" i="19"/>
  <c r="J8" i="19" s="1"/>
  <c r="I11" i="19"/>
  <c r="H11" i="19"/>
  <c r="G11" i="19"/>
  <c r="F11" i="19"/>
  <c r="E11" i="19"/>
  <c r="D11" i="19"/>
  <c r="C11" i="19"/>
  <c r="B11" i="19"/>
  <c r="B8" i="19" s="1"/>
  <c r="O10" i="19"/>
  <c r="O9" i="19"/>
  <c r="I8" i="19"/>
  <c r="H8" i="19"/>
  <c r="G8" i="19"/>
  <c r="F8" i="19"/>
  <c r="E8" i="19"/>
  <c r="D8" i="19"/>
  <c r="C8" i="19"/>
  <c r="H6" i="19"/>
  <c r="E6" i="19"/>
  <c r="D6" i="19"/>
  <c r="D15" i="19" s="1"/>
  <c r="C6" i="19"/>
  <c r="C15" i="19" s="1"/>
  <c r="B6" i="19"/>
  <c r="B15" i="19" s="1"/>
  <c r="O5" i="19"/>
  <c r="O6" i="19" s="1"/>
  <c r="O4" i="19"/>
  <c r="O3" i="19"/>
  <c r="M3" i="19"/>
  <c r="M6" i="19" s="1"/>
  <c r="M15" i="19" s="1"/>
  <c r="L3" i="19"/>
  <c r="L6" i="19" s="1"/>
  <c r="L15" i="19" s="1"/>
  <c r="K3" i="19"/>
  <c r="K6" i="19" s="1"/>
  <c r="K15" i="19" s="1"/>
  <c r="J3" i="19"/>
  <c r="J6" i="19" s="1"/>
  <c r="J15" i="19" s="1"/>
  <c r="I3" i="19"/>
  <c r="I6" i="19" s="1"/>
  <c r="I15" i="19" s="1"/>
  <c r="H3" i="19"/>
  <c r="G3" i="19"/>
  <c r="G6" i="19" s="1"/>
  <c r="G15" i="19" s="1"/>
  <c r="F3" i="19"/>
  <c r="F6" i="19" s="1"/>
  <c r="F15" i="19" s="1"/>
  <c r="E3" i="19"/>
  <c r="D3" i="19"/>
  <c r="C3" i="19"/>
  <c r="B3" i="19"/>
  <c r="B129" i="14"/>
  <c r="C128" i="14"/>
  <c r="B128" i="14"/>
  <c r="B126" i="14"/>
  <c r="B110" i="14"/>
  <c r="B111" i="14" s="1"/>
  <c r="B109" i="14"/>
  <c r="B101" i="14"/>
  <c r="C91" i="14"/>
  <c r="C90" i="14"/>
  <c r="G90" i="14" s="1"/>
  <c r="F89" i="14"/>
  <c r="E89" i="14"/>
  <c r="D89" i="14"/>
  <c r="C89" i="14"/>
  <c r="B89" i="14"/>
  <c r="C87" i="14"/>
  <c r="C85" i="14"/>
  <c r="D80" i="14"/>
  <c r="D84" i="14" s="1"/>
  <c r="D93" i="14" s="1"/>
  <c r="C79" i="14"/>
  <c r="C78" i="14"/>
  <c r="C77" i="14" s="1"/>
  <c r="E77" i="14"/>
  <c r="D77" i="14"/>
  <c r="B108" i="14" s="1"/>
  <c r="D76" i="14"/>
  <c r="B107" i="14" s="1"/>
  <c r="D75" i="14"/>
  <c r="B106" i="14" s="1"/>
  <c r="B105" i="14" s="1"/>
  <c r="F73" i="14"/>
  <c r="E33" i="14" s="1"/>
  <c r="B73" i="14"/>
  <c r="B33" i="14" s="1"/>
  <c r="F72" i="14"/>
  <c r="B72" i="14"/>
  <c r="B32" i="14" s="1"/>
  <c r="F71" i="14"/>
  <c r="E31" i="14" s="1"/>
  <c r="B71" i="14"/>
  <c r="B31" i="14" s="1"/>
  <c r="F70" i="14"/>
  <c r="E30" i="14" s="1"/>
  <c r="B70" i="14"/>
  <c r="B30" i="14" s="1"/>
  <c r="F69" i="14"/>
  <c r="B69" i="14"/>
  <c r="F68" i="14"/>
  <c r="B68" i="14"/>
  <c r="F64" i="14"/>
  <c r="E64" i="14"/>
  <c r="D64" i="14"/>
  <c r="C64" i="14"/>
  <c r="G65" i="14" s="1"/>
  <c r="B64" i="14"/>
  <c r="D59" i="14"/>
  <c r="B59" i="14"/>
  <c r="B93" i="14" s="1"/>
  <c r="G57" i="14"/>
  <c r="I55" i="14" s="1"/>
  <c r="G55" i="14"/>
  <c r="F55" i="14"/>
  <c r="G56" i="14" s="1"/>
  <c r="H55" i="14" s="1"/>
  <c r="E55" i="14"/>
  <c r="B122" i="14" s="1"/>
  <c r="D55" i="14"/>
  <c r="B102" i="14" s="1"/>
  <c r="C55" i="14"/>
  <c r="B55" i="14"/>
  <c r="C53" i="14"/>
  <c r="C52" i="14"/>
  <c r="E45" i="14" s="1"/>
  <c r="C51" i="14"/>
  <c r="C45" i="14" s="1"/>
  <c r="C48" i="14"/>
  <c r="C46" i="14"/>
  <c r="F45" i="14"/>
  <c r="D45" i="14"/>
  <c r="B45" i="14"/>
  <c r="C43" i="14"/>
  <c r="C61" i="14" s="1"/>
  <c r="C42" i="14"/>
  <c r="C60" i="14" s="1"/>
  <c r="F41" i="14"/>
  <c r="F59" i="14" s="1"/>
  <c r="E41" i="14"/>
  <c r="B120" i="14" s="1"/>
  <c r="D41" i="14"/>
  <c r="B100" i="14" s="1"/>
  <c r="C41" i="14"/>
  <c r="B41" i="14"/>
  <c r="E34" i="14"/>
  <c r="B34" i="14"/>
  <c r="E32" i="14"/>
  <c r="T13" i="14"/>
  <c r="V6" i="14"/>
  <c r="V5" i="14"/>
  <c r="C82" i="14" s="1"/>
  <c r="V3" i="14"/>
  <c r="C29" i="11"/>
  <c r="B28" i="11"/>
  <c r="B29" i="11" s="1"/>
  <c r="B27" i="11"/>
  <c r="C25" i="11"/>
  <c r="B24" i="11"/>
  <c r="B25" i="11" s="1"/>
  <c r="B23" i="11"/>
  <c r="B19" i="11"/>
  <c r="B17" i="11"/>
  <c r="B16" i="11"/>
  <c r="B15" i="11"/>
  <c r="B14" i="11" s="1"/>
  <c r="C14" i="11"/>
  <c r="B12" i="11"/>
  <c r="B20" i="11" s="1"/>
  <c r="B11" i="11"/>
  <c r="B21" i="11" s="1"/>
  <c r="C8" i="11"/>
  <c r="B7" i="11"/>
  <c r="C6" i="11"/>
  <c r="G5" i="11"/>
  <c r="G4" i="11"/>
  <c r="B4" i="11"/>
  <c r="G3" i="11"/>
  <c r="C3" i="11"/>
  <c r="C11" i="11" s="1"/>
  <c r="C21" i="11" s="1"/>
  <c r="B3" i="11"/>
  <c r="B2" i="11"/>
  <c r="F15" i="9"/>
  <c r="E15" i="9"/>
  <c r="F14" i="9"/>
  <c r="E14" i="9"/>
  <c r="F13" i="9"/>
  <c r="E13" i="9"/>
  <c r="F12" i="9"/>
  <c r="E12" i="9"/>
  <c r="F11" i="9"/>
  <c r="E11" i="9"/>
  <c r="F10" i="9"/>
  <c r="E10" i="9"/>
  <c r="F9" i="9"/>
  <c r="E9" i="9"/>
  <c r="F8" i="9"/>
  <c r="E8" i="9"/>
  <c r="F7" i="9"/>
  <c r="E7" i="9"/>
  <c r="F6" i="9"/>
  <c r="E6" i="9"/>
  <c r="F5" i="9"/>
  <c r="E5" i="9"/>
  <c r="F4" i="9"/>
  <c r="E4" i="9"/>
  <c r="F3" i="9"/>
  <c r="E3" i="9"/>
  <c r="F2" i="9"/>
  <c r="E2" i="9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C7" i="4"/>
  <c r="M5" i="4"/>
  <c r="M7" i="4" s="1"/>
  <c r="M16" i="4" s="1"/>
  <c r="M17" i="4" s="1"/>
  <c r="M20" i="4" s="1"/>
  <c r="D5" i="4"/>
  <c r="E5" i="4" s="1"/>
  <c r="N4" i="4"/>
  <c r="O4" i="4" s="1"/>
  <c r="I4" i="4"/>
  <c r="J4" i="4" s="1"/>
  <c r="D4" i="4"/>
  <c r="E4" i="4" s="1"/>
  <c r="O3" i="4"/>
  <c r="N3" i="4"/>
  <c r="I3" i="4"/>
  <c r="J3" i="4" s="1"/>
  <c r="E3" i="4"/>
  <c r="D3" i="4"/>
  <c r="N2" i="4"/>
  <c r="H2" i="4"/>
  <c r="H7" i="4" s="1"/>
  <c r="D2" i="4"/>
  <c r="D7" i="4" s="1"/>
  <c r="G14" i="3"/>
  <c r="F14" i="3"/>
  <c r="E14" i="3"/>
  <c r="G13" i="3"/>
  <c r="F13" i="3"/>
  <c r="G11" i="3"/>
  <c r="F11" i="3"/>
  <c r="E11" i="3"/>
  <c r="G10" i="3"/>
  <c r="F10" i="3"/>
  <c r="E10" i="3"/>
  <c r="E13" i="3" s="1"/>
  <c r="U6" i="3"/>
  <c r="U2" i="3"/>
  <c r="H89" i="14" l="1"/>
  <c r="C47" i="14"/>
  <c r="C49" i="14" s="1"/>
  <c r="G91" i="14"/>
  <c r="I89" i="14" s="1"/>
  <c r="C86" i="14"/>
  <c r="C84" i="14" s="1"/>
  <c r="C80" i="14"/>
  <c r="C68" i="14" s="1"/>
  <c r="G68" i="14" s="1"/>
  <c r="C122" i="14"/>
  <c r="F23" i="19"/>
  <c r="O27" i="19"/>
  <c r="O23" i="19" s="1"/>
  <c r="O28" i="19" s="1"/>
  <c r="O29" i="19" s="1"/>
  <c r="B103" i="14"/>
  <c r="B121" i="14"/>
  <c r="E59" i="14"/>
  <c r="B123" i="14"/>
  <c r="H64" i="14"/>
  <c r="C110" i="14" s="1"/>
  <c r="G66" i="14"/>
  <c r="I64" i="14" s="1"/>
  <c r="C129" i="14" s="1"/>
  <c r="O34" i="19"/>
  <c r="C102" i="14"/>
  <c r="N7" i="4"/>
  <c r="C59" i="14"/>
  <c r="O11" i="19"/>
  <c r="O8" i="19" s="1"/>
  <c r="O15" i="19" s="1"/>
  <c r="O16" i="19" s="1"/>
  <c r="I2" i="4"/>
  <c r="G42" i="14"/>
  <c r="G52" i="14"/>
  <c r="O2" i="4"/>
  <c r="O7" i="4" s="1"/>
  <c r="O9" i="4" s="1"/>
  <c r="C12" i="11"/>
  <c r="C20" i="11" s="1"/>
  <c r="V7" i="14"/>
  <c r="E80" i="14"/>
  <c r="O25" i="19"/>
  <c r="O33" i="19" s="1"/>
  <c r="G51" i="14"/>
  <c r="N5" i="4"/>
  <c r="O5" i="4" s="1"/>
  <c r="B34" i="19"/>
  <c r="E2" i="4"/>
  <c r="E7" i="4" s="1"/>
  <c r="E9" i="4" s="1"/>
  <c r="B23" i="19"/>
  <c r="E23" i="19"/>
  <c r="B113" i="14" l="1"/>
  <c r="B115" i="14" s="1"/>
  <c r="C93" i="14"/>
  <c r="C95" i="14"/>
  <c r="E84" i="14"/>
  <c r="B127" i="14"/>
  <c r="B125" i="14" s="1"/>
  <c r="B130" i="14" s="1"/>
  <c r="G60" i="14"/>
  <c r="H41" i="14"/>
  <c r="C100" i="14" s="1"/>
  <c r="G64" i="14"/>
  <c r="G89" i="14"/>
  <c r="J2" i="4"/>
  <c r="J7" i="4" s="1"/>
  <c r="J9" i="4" s="1"/>
  <c r="I7" i="4"/>
  <c r="G43" i="14"/>
  <c r="G41" i="14" s="1"/>
  <c r="B132" i="14"/>
  <c r="B134" i="14" s="1"/>
  <c r="G53" i="14"/>
  <c r="G87" i="14" s="1"/>
  <c r="E93" i="14"/>
  <c r="E96" i="14"/>
  <c r="G81" i="14" l="1"/>
  <c r="G78" i="14"/>
  <c r="G45" i="14"/>
  <c r="G61" i="14"/>
  <c r="I41" i="14"/>
  <c r="C120" i="14" s="1"/>
  <c r="G85" i="14" l="1"/>
  <c r="H77" i="14"/>
  <c r="C108" i="14" s="1"/>
  <c r="H45" i="14"/>
  <c r="G46" i="14"/>
  <c r="G79" i="14"/>
  <c r="I77" i="14" s="1"/>
  <c r="C126" i="14" s="1"/>
  <c r="G82" i="14"/>
  <c r="G59" i="14"/>
  <c r="C101" i="14" l="1"/>
  <c r="C103" i="14" s="1"/>
  <c r="H59" i="14"/>
  <c r="H75" i="14"/>
  <c r="C106" i="14" s="1"/>
  <c r="G75" i="14"/>
  <c r="G48" i="14"/>
  <c r="I45" i="14" s="1"/>
  <c r="G47" i="14"/>
  <c r="G77" i="14"/>
  <c r="G86" i="14"/>
  <c r="I80" i="14"/>
  <c r="C127" i="14" s="1"/>
  <c r="C125" i="14" s="1"/>
  <c r="C130" i="14" s="1"/>
  <c r="G80" i="14"/>
  <c r="G84" i="14"/>
  <c r="G93" i="14" s="1"/>
  <c r="G49" i="14" l="1"/>
  <c r="C121" i="14"/>
  <c r="C123" i="14" s="1"/>
  <c r="I59" i="14"/>
  <c r="H84" i="14"/>
  <c r="I94" i="14" l="1"/>
  <c r="H93" i="14"/>
  <c r="I84" i="14"/>
  <c r="I93" i="14" s="1"/>
  <c r="C134" i="14"/>
  <c r="C132" i="14"/>
  <c r="H76" i="14"/>
  <c r="C107" i="14" s="1"/>
  <c r="G76" i="14"/>
  <c r="C105" i="14" l="1"/>
  <c r="C111" i="14" s="1"/>
  <c r="H80" i="14"/>
  <c r="C109" i="14" s="1"/>
  <c r="I95" i="14"/>
  <c r="C113" i="14" l="1"/>
  <c r="C115" i="14"/>
</calcChain>
</file>

<file path=xl/sharedStrings.xml><?xml version="1.0" encoding="utf-8"?>
<sst xmlns="http://schemas.openxmlformats.org/spreadsheetml/2006/main" count="1169" uniqueCount="462">
  <si>
    <t>Name</t>
  </si>
  <si>
    <t>State</t>
  </si>
  <si>
    <t>City</t>
  </si>
  <si>
    <t>Capacity</t>
  </si>
  <si>
    <t>Adkins Energy Biodiesel </t>
  </si>
  <si>
    <t>IL </t>
  </si>
  <si>
    <t>Lena </t>
  </si>
  <si>
    <t>2.50 </t>
  </si>
  <si>
    <t>Ag Processing Inc. - Algona </t>
  </si>
  <si>
    <t>IA </t>
  </si>
  <si>
    <t>Algona </t>
  </si>
  <si>
    <t>60.00 </t>
  </si>
  <si>
    <t>Ag Processing Inc. - Sergeant Bluff </t>
  </si>
  <si>
    <t>Sergeant Bluff </t>
  </si>
  <si>
    <t>Ag Processing Inc. - St. Joseph </t>
  </si>
  <si>
    <t>MO </t>
  </si>
  <si>
    <t>St. Joseph </t>
  </si>
  <si>
    <t>30.00 </t>
  </si>
  <si>
    <t>Agron Bioenergy </t>
  </si>
  <si>
    <t>CA </t>
  </si>
  <si>
    <t>Watsonville </t>
  </si>
  <si>
    <t>15.00 </t>
  </si>
  <si>
    <t>Alaska Green Waste Solutions Inc. </t>
  </si>
  <si>
    <t>AK </t>
  </si>
  <si>
    <t>Anchorage </t>
  </si>
  <si>
    <t>0.30 </t>
  </si>
  <si>
    <t>American GreenFuels - Texas </t>
  </si>
  <si>
    <t>TX </t>
  </si>
  <si>
    <t>Port Arthur </t>
  </si>
  <si>
    <t>25.00 </t>
  </si>
  <si>
    <t>American GreenFuels LLC  </t>
  </si>
  <si>
    <t>CT </t>
  </si>
  <si>
    <t>New Haven </t>
  </si>
  <si>
    <t>40.00 </t>
  </si>
  <si>
    <t>Archer Daniels Midland Co. - Velva </t>
  </si>
  <si>
    <t>ND </t>
  </si>
  <si>
    <t>Velva </t>
  </si>
  <si>
    <t>75.00 </t>
  </si>
  <si>
    <t>Bioenergy Development Group </t>
  </si>
  <si>
    <t>TN </t>
  </si>
  <si>
    <t>Memphis </t>
  </si>
  <si>
    <t>BioVantage Fuels LLC </t>
  </si>
  <si>
    <t>Belvidere </t>
  </si>
  <si>
    <t>5.00 </t>
  </si>
  <si>
    <t>Blue Ridge Biofuels, LLC </t>
  </si>
  <si>
    <t>NC </t>
  </si>
  <si>
    <t>Newton </t>
  </si>
  <si>
    <t>4.00 </t>
  </si>
  <si>
    <t>Buster Biofuels </t>
  </si>
  <si>
    <t>Escondido </t>
  </si>
  <si>
    <t>Calgren Renewable Fuels LLC </t>
  </si>
  <si>
    <t>Pixley </t>
  </si>
  <si>
    <t>58.00 </t>
  </si>
  <si>
    <t>Cape Cod Biofuels </t>
  </si>
  <si>
    <t>MA </t>
  </si>
  <si>
    <t>Sandwich </t>
  </si>
  <si>
    <t>1.20 </t>
  </si>
  <si>
    <t>Cargill Inc. - Iowa Falls </t>
  </si>
  <si>
    <t>Iowa Falls </t>
  </si>
  <si>
    <t>56.00 </t>
  </si>
  <si>
    <t>Cargill Inc. - Wichita </t>
  </si>
  <si>
    <t>KS </t>
  </si>
  <si>
    <t>Wichita </t>
  </si>
  <si>
    <t>CHS Patriot Fuels Biodiesel LLC </t>
  </si>
  <si>
    <t>Annawan </t>
  </si>
  <si>
    <t>Cielo Waste Solutions-High River </t>
  </si>
  <si>
    <t>AB </t>
  </si>
  <si>
    <t>High River </t>
  </si>
  <si>
    <t>2.00 </t>
  </si>
  <si>
    <t>Cincinnati Renewable Fuels LLC </t>
  </si>
  <si>
    <t>OH </t>
  </si>
  <si>
    <t>Cincinnati </t>
  </si>
  <si>
    <t>70.00 </t>
  </si>
  <si>
    <t>Community Fuels </t>
  </si>
  <si>
    <t>Stockton </t>
  </si>
  <si>
    <t>22.50 </t>
  </si>
  <si>
    <t>Deerfield Energy LLC </t>
  </si>
  <si>
    <t>Deerfield </t>
  </si>
  <si>
    <t>50.00 </t>
  </si>
  <si>
    <t>Delek Renewables - Cleburne </t>
  </si>
  <si>
    <t>Cleburne </t>
  </si>
  <si>
    <t>12.00 </t>
  </si>
  <si>
    <t>Delek Renewables - Crossett </t>
  </si>
  <si>
    <t>AR </t>
  </si>
  <si>
    <t>Crossett </t>
  </si>
  <si>
    <t>Delek Renewables - New Albany </t>
  </si>
  <si>
    <t>MS </t>
  </si>
  <si>
    <t>New Albany </t>
  </si>
  <si>
    <t>7.50 </t>
  </si>
  <si>
    <t>Down to Earth Energy </t>
  </si>
  <si>
    <t>GA </t>
  </si>
  <si>
    <t>Monroe </t>
  </si>
  <si>
    <t>Duonix LLC (Marathon) </t>
  </si>
  <si>
    <t>NE </t>
  </si>
  <si>
    <t>Beatrice </t>
  </si>
  <si>
    <t>East Kansas Agri-Energy LLC - Renewable Diesel Facility </t>
  </si>
  <si>
    <t>Garnett </t>
  </si>
  <si>
    <t>Eberle Biodiesel </t>
  </si>
  <si>
    <t>Liverpool </t>
  </si>
  <si>
    <t>Enviro-Brite Solutions Inc. </t>
  </si>
  <si>
    <t>MI </t>
  </si>
  <si>
    <t>Oscoda </t>
  </si>
  <si>
    <t>0.15 </t>
  </si>
  <si>
    <t>Ever Cat Fuels LLC </t>
  </si>
  <si>
    <t>MN </t>
  </si>
  <si>
    <t>Isanti </t>
  </si>
  <si>
    <t>3.00 </t>
  </si>
  <si>
    <t>Express Grain Oil Mill </t>
  </si>
  <si>
    <t>Greenwood </t>
  </si>
  <si>
    <t>20.00 </t>
  </si>
  <si>
    <t>Fuel: Bio One LLC </t>
  </si>
  <si>
    <t>NJ </t>
  </si>
  <si>
    <t>Elizabeth </t>
  </si>
  <si>
    <t>FutureFuel Chemical Company </t>
  </si>
  <si>
    <t>Batesville </t>
  </si>
  <si>
    <t>59.00 </t>
  </si>
  <si>
    <t>GC Lipids </t>
  </si>
  <si>
    <t>Chattanooga </t>
  </si>
  <si>
    <t>GEB3 </t>
  </si>
  <si>
    <t>SC </t>
  </si>
  <si>
    <t>Warrenville </t>
  </si>
  <si>
    <t>General Biodiesel Northwest </t>
  </si>
  <si>
    <t>WA </t>
  </si>
  <si>
    <t>Seattle </t>
  </si>
  <si>
    <t>10.00 </t>
  </si>
  <si>
    <t>Genuine Bio-Fuel Inc. </t>
  </si>
  <si>
    <t>FL </t>
  </si>
  <si>
    <t>Indiantown </t>
  </si>
  <si>
    <t>9.20 </t>
  </si>
  <si>
    <t>GeoGreen Biofuels Inc. </t>
  </si>
  <si>
    <t>Vernon </t>
  </si>
  <si>
    <t>Green Biofuels Miami LLC </t>
  </si>
  <si>
    <t>Miami </t>
  </si>
  <si>
    <t>7.00 </t>
  </si>
  <si>
    <t>Green Energy Biofuel </t>
  </si>
  <si>
    <t>Winnsboro </t>
  </si>
  <si>
    <t>Griffin Industries Inc. </t>
  </si>
  <si>
    <t>KY </t>
  </si>
  <si>
    <t>Butler </t>
  </si>
  <si>
    <t>GTBE Production </t>
  </si>
  <si>
    <t>Houston </t>
  </si>
  <si>
    <t>Hero BX - Clinton </t>
  </si>
  <si>
    <t>Clinton </t>
  </si>
  <si>
    <t>Hero BX - Erie </t>
  </si>
  <si>
    <t>PA </t>
  </si>
  <si>
    <t>Erie </t>
  </si>
  <si>
    <t>Hero BX - Moundville </t>
  </si>
  <si>
    <t>AL </t>
  </si>
  <si>
    <t>Moundville </t>
  </si>
  <si>
    <t>Imperial Western Products Inc. </t>
  </si>
  <si>
    <t>Coachella </t>
  </si>
  <si>
    <t>10.50 </t>
  </si>
  <si>
    <t>Incobrasa Industries Ltd. </t>
  </si>
  <si>
    <t>Gilman </t>
  </si>
  <si>
    <t>44.00 </t>
  </si>
  <si>
    <t>Integrity Biofuels LLC </t>
  </si>
  <si>
    <t>IN </t>
  </si>
  <si>
    <t>Morristown </t>
  </si>
  <si>
    <t>6.42 </t>
  </si>
  <si>
    <t>Iowa Renewable Energy LLC </t>
  </si>
  <si>
    <t>Washington </t>
  </si>
  <si>
    <t>Kelley Green Biofuel </t>
  </si>
  <si>
    <t>Goshen </t>
  </si>
  <si>
    <t>0.10 </t>
  </si>
  <si>
    <t>Lakeview Biodiesel LLC </t>
  </si>
  <si>
    <t>Moberly </t>
  </si>
  <si>
    <t>Louis Dreyfus Agricultural Industries LLC </t>
  </si>
  <si>
    <t>Claypool </t>
  </si>
  <si>
    <t>88.00 </t>
  </si>
  <si>
    <t>Loyola University Chicago </t>
  </si>
  <si>
    <t>Chicago </t>
  </si>
  <si>
    <t>Maine Standard Biofuels </t>
  </si>
  <si>
    <t>ME </t>
  </si>
  <si>
    <t>Portland </t>
  </si>
  <si>
    <t>1.50 </t>
  </si>
  <si>
    <t>Marathon Petroleum Dickinson Refinery  </t>
  </si>
  <si>
    <t>Dickinson  </t>
  </si>
  <si>
    <t>184.00 </t>
  </si>
  <si>
    <t>Mason Biodiesel LLC </t>
  </si>
  <si>
    <t>RI </t>
  </si>
  <si>
    <t>Westerly </t>
  </si>
  <si>
    <t>Mid-America Agri Products - Wheatland LLC </t>
  </si>
  <si>
    <t>Madrid  </t>
  </si>
  <si>
    <t>1.00 </t>
  </si>
  <si>
    <t>Mid-America Biofuels </t>
  </si>
  <si>
    <t>Mexico </t>
  </si>
  <si>
    <t>Minnesota Soybean Processors </t>
  </si>
  <si>
    <t>Brewster </t>
  </si>
  <si>
    <t>Natural Biodiesel Plant LLC </t>
  </si>
  <si>
    <t>Hayti </t>
  </si>
  <si>
    <t>New Leaf Biofuel LLC </t>
  </si>
  <si>
    <t>San Diego </t>
  </si>
  <si>
    <t>Newport Biodiesel Inc. </t>
  </si>
  <si>
    <t>Newport </t>
  </si>
  <si>
    <t>8.00 </t>
  </si>
  <si>
    <t>Northeast Biodiesel LLC </t>
  </si>
  <si>
    <t>Greenfield </t>
  </si>
  <si>
    <t>1.75 </t>
  </si>
  <si>
    <t>Omaha Biofuels Coop </t>
  </si>
  <si>
    <t>Omaha </t>
  </si>
  <si>
    <t>0.25 </t>
  </si>
  <si>
    <t>Owensboro Grain Biodiesel LLC </t>
  </si>
  <si>
    <t>Owensboro </t>
  </si>
  <si>
    <t>45.00 </t>
  </si>
  <si>
    <t>Pacific Biodiesel </t>
  </si>
  <si>
    <t>HI </t>
  </si>
  <si>
    <t>Kea`au </t>
  </si>
  <si>
    <t>5.50 </t>
  </si>
  <si>
    <t>Paseo-Cargill Energy LLC </t>
  </si>
  <si>
    <t>Kansas City </t>
  </si>
  <si>
    <t>RBF Port Neches, LLC </t>
  </si>
  <si>
    <t>Port Neches </t>
  </si>
  <si>
    <t>180.00 </t>
  </si>
  <si>
    <t>Reco Biodiesel LLC </t>
  </si>
  <si>
    <t>VA </t>
  </si>
  <si>
    <t>Richmond </t>
  </si>
  <si>
    <t>3.60 </t>
  </si>
  <si>
    <t>REG Albert Lea LLC </t>
  </si>
  <si>
    <t>Albert Lea </t>
  </si>
  <si>
    <t>REG Danville LLC </t>
  </si>
  <si>
    <t>Danville </t>
  </si>
  <si>
    <t>REG Grays Harbor LLC </t>
  </si>
  <si>
    <t>Hoquiam </t>
  </si>
  <si>
    <t>100.00 </t>
  </si>
  <si>
    <t>REG Houston LLC </t>
  </si>
  <si>
    <t>Seabrook </t>
  </si>
  <si>
    <t>35.00 </t>
  </si>
  <si>
    <t>REG Madison LLC </t>
  </si>
  <si>
    <t>WI </t>
  </si>
  <si>
    <t>DeForest </t>
  </si>
  <si>
    <t>REG Mason City LLC </t>
  </si>
  <si>
    <t>Mason City </t>
  </si>
  <si>
    <t>REG New Boston LLC </t>
  </si>
  <si>
    <t>New Boston </t>
  </si>
  <si>
    <t>REG Newton LLC </t>
  </si>
  <si>
    <t>REG Ralston LLC </t>
  </si>
  <si>
    <t>Ralston </t>
  </si>
  <si>
    <t>REG Seneca LLC </t>
  </si>
  <si>
    <t>Seneca </t>
  </si>
  <si>
    <t>Rio Valley Biofuels LLC </t>
  </si>
  <si>
    <t>El Paso </t>
  </si>
  <si>
    <t>17.00 </t>
  </si>
  <si>
    <t>Scott Petroleum Corp.  </t>
  </si>
  <si>
    <t>Greenville </t>
  </si>
  <si>
    <t>Seaboard Energy Missouri LLC </t>
  </si>
  <si>
    <t>Seaboard Energy Oklahoma LLC </t>
  </si>
  <si>
    <t>OK </t>
  </si>
  <si>
    <t>Guymon </t>
  </si>
  <si>
    <t>SeQuential </t>
  </si>
  <si>
    <t>OR </t>
  </si>
  <si>
    <t>Salem </t>
  </si>
  <si>
    <t>Simple Fuels Biodiesel </t>
  </si>
  <si>
    <t>Chilcoot </t>
  </si>
  <si>
    <t>SJV Biodiesel LLC </t>
  </si>
  <si>
    <t>SME Dublin LLC </t>
  </si>
  <si>
    <t>East Dublin </t>
  </si>
  <si>
    <t>Solfuels USA, LLC </t>
  </si>
  <si>
    <t>Helena </t>
  </si>
  <si>
    <t>Southeast Biodiesel LLC </t>
  </si>
  <si>
    <t>North Charleston </t>
  </si>
  <si>
    <t>Stepan Co. - Joliet </t>
  </si>
  <si>
    <t>Joliet </t>
  </si>
  <si>
    <t>21.00 </t>
  </si>
  <si>
    <t>Sullens Biodiesel LLC </t>
  </si>
  <si>
    <t>Morrison </t>
  </si>
  <si>
    <t>Thumb BioEnergy LLC </t>
  </si>
  <si>
    <t>Sandusky </t>
  </si>
  <si>
    <t>0.75 </t>
  </si>
  <si>
    <t>Triangle Biofuels Industries Inc. </t>
  </si>
  <si>
    <t>Wilson </t>
  </si>
  <si>
    <t>Virginia Biodiesel Refinery LLC </t>
  </si>
  <si>
    <t>West Point </t>
  </si>
  <si>
    <t>W2Fuel - Adrian </t>
  </si>
  <si>
    <t>Adrian </t>
  </si>
  <si>
    <t>W2Fuel - Crawfordsville </t>
  </si>
  <si>
    <t>Crawfordsville </t>
  </si>
  <si>
    <t>Walsh BioFuels LLC </t>
  </si>
  <si>
    <t>Mauston </t>
  </si>
  <si>
    <t>Western Dubuque Biodiesel LLC </t>
  </si>
  <si>
    <t>Farley </t>
  </si>
  <si>
    <t>33.00 </t>
  </si>
  <si>
    <t>Western Iowa Energy LLC </t>
  </si>
  <si>
    <t>Wall Lake </t>
  </si>
  <si>
    <t>White Mountain Biodiesel LLC </t>
  </si>
  <si>
    <t>NH </t>
  </si>
  <si>
    <t>North Haverhill </t>
  </si>
  <si>
    <t>6.50 </t>
  </si>
  <si>
    <t>World Energy Harrisburg </t>
  </si>
  <si>
    <t>Camp Hill </t>
  </si>
  <si>
    <t>World Energy Houston </t>
  </si>
  <si>
    <t>Galena Park </t>
  </si>
  <si>
    <t>90.00 </t>
  </si>
  <si>
    <t>World Energy Natchez </t>
  </si>
  <si>
    <t>Natchez </t>
  </si>
  <si>
    <t>72.00 </t>
  </si>
  <si>
    <t>World Energy Rome at U.S. Biofuels Inc. </t>
  </si>
  <si>
    <t>Rome </t>
  </si>
  <si>
    <t>18.00 </t>
  </si>
  <si>
    <t>Total Plants: 105</t>
  </si>
  <si>
    <t>Total Capacity(MMgy):</t>
  </si>
  <si>
    <t>West</t>
  </si>
  <si>
    <t xml:space="preserve">Midwest </t>
  </si>
  <si>
    <t>South</t>
  </si>
  <si>
    <t>Northeast</t>
  </si>
  <si>
    <t>Soybeans (bushels/day)</t>
  </si>
  <si>
    <t>Refinery</t>
  </si>
  <si>
    <t>Renewable Diesel</t>
  </si>
  <si>
    <t>X</t>
  </si>
  <si>
    <t>Million Gal</t>
  </si>
  <si>
    <t xml:space="preserve">Diamond Green Diesel - Norco, LA            </t>
  </si>
  <si>
    <t>Diamond Green Stage 2 - Port Arthur, TX</t>
  </si>
  <si>
    <t>East Kansas Agri-Energy LLC</t>
  </si>
  <si>
    <t>Seaboard - Houghton KS</t>
  </si>
  <si>
    <t xml:space="preserve">REG Geismar - Geismar, LA                                </t>
  </si>
  <si>
    <t>BP/Neste - Next Renewables - Port Westward, OR</t>
  </si>
  <si>
    <t xml:space="preserve">World Energy - Paramount - Long Beach, CA                           </t>
  </si>
  <si>
    <t>Sinclair - Sinclair, WY</t>
  </si>
  <si>
    <t>Holly Frontier - Artesia, NM</t>
  </si>
  <si>
    <t>Holly Frontier - Cheyenne, WY</t>
  </si>
  <si>
    <t>Marathon - Martinez - Pacheco, CA</t>
  </si>
  <si>
    <t xml:space="preserve">Marathon - Dickinson, ND </t>
  </si>
  <si>
    <t>P66 - Rodeo CA</t>
  </si>
  <si>
    <t>Global Clean Energy Holdings - Bakersfield, CA</t>
  </si>
  <si>
    <t>CVR Energy - Wynnewood OK</t>
  </si>
  <si>
    <t>Chevron - Readifuels - IA</t>
  </si>
  <si>
    <t>Fulcrum Bioenergy - Sierra - Reno NV</t>
  </si>
  <si>
    <t>Fulcrum Bioenergy - Gary IN</t>
  </si>
  <si>
    <t>Shell - Jaxon Energy - Jackson, MS</t>
  </si>
  <si>
    <t xml:space="preserve">TOTAL </t>
  </si>
  <si>
    <t>Million LBS</t>
  </si>
  <si>
    <t>Feedstock Demand</t>
  </si>
  <si>
    <t xml:space="preserve">West </t>
  </si>
  <si>
    <t>Midwest</t>
  </si>
  <si>
    <t>Production (mil gal)</t>
  </si>
  <si>
    <t>FS Demand (mill LBS)</t>
  </si>
  <si>
    <t>Production (MT)</t>
  </si>
  <si>
    <t>FS Demand (MT)</t>
  </si>
  <si>
    <t>*2021 Data</t>
  </si>
  <si>
    <t>Gal</t>
  </si>
  <si>
    <t>Pounds</t>
  </si>
  <si>
    <t>MT</t>
  </si>
  <si>
    <t>Mid West</t>
  </si>
  <si>
    <t>Paramount-Alt Air - World Energy</t>
  </si>
  <si>
    <t xml:space="preserve"> (Marathon) Dickinson ND</t>
  </si>
  <si>
    <t>Diamond Green Diesel</t>
  </si>
  <si>
    <t>Sinclair</t>
  </si>
  <si>
    <t>ReadiFuels IA (Chevron)</t>
  </si>
  <si>
    <t>REG</t>
  </si>
  <si>
    <t>Fulcrum Seirra Nevada</t>
  </si>
  <si>
    <t>East Kansas Agri</t>
  </si>
  <si>
    <t>Shell -Jaxon</t>
  </si>
  <si>
    <t>P66 - Rodeo Jr.</t>
  </si>
  <si>
    <t>CVR Wynnewood</t>
  </si>
  <si>
    <t xml:space="preserve">Total </t>
  </si>
  <si>
    <t xml:space="preserve">FS Demand </t>
  </si>
  <si>
    <t>Dates</t>
  </si>
  <si>
    <t>Crusher</t>
  </si>
  <si>
    <t>Refiner</t>
  </si>
  <si>
    <t>Offsite</t>
  </si>
  <si>
    <t>Crude Stocks</t>
  </si>
  <si>
    <t>Refinded Stocks</t>
  </si>
  <si>
    <t xml:space="preserve">Dates </t>
  </si>
  <si>
    <t>Soybean Oil (crude/de-gummed) - Central Illinois</t>
  </si>
  <si>
    <t>Soybean Oil (RBD) - Central Illinois</t>
  </si>
  <si>
    <t>Soybean oil RBD - Crude - Central Illinois</t>
  </si>
  <si>
    <t>19/20</t>
  </si>
  <si>
    <t>Biodiesel Production</t>
  </si>
  <si>
    <t>Co-Processing</t>
  </si>
  <si>
    <t>Non-Biofuel Usage</t>
  </si>
  <si>
    <t>Production</t>
  </si>
  <si>
    <t xml:space="preserve">Processed </t>
  </si>
  <si>
    <t>Refined Production</t>
  </si>
  <si>
    <t>Refined Loss (%)</t>
  </si>
  <si>
    <t xml:space="preserve">Refined Loss </t>
  </si>
  <si>
    <t>Filler 1</t>
  </si>
  <si>
    <t>Filler 2</t>
  </si>
  <si>
    <t>2019/20</t>
  </si>
  <si>
    <t>2021/22</t>
  </si>
  <si>
    <t>21/22</t>
  </si>
  <si>
    <t>SBO Production</t>
  </si>
  <si>
    <t>Refined Exports</t>
  </si>
  <si>
    <t>Biodiesel</t>
  </si>
  <si>
    <t>Exports</t>
  </si>
  <si>
    <t>Refined</t>
  </si>
  <si>
    <t>Crude</t>
  </si>
  <si>
    <t>Refined Non-Biofuel</t>
  </si>
  <si>
    <t>Imports</t>
  </si>
  <si>
    <t>Crude Exports</t>
  </si>
  <si>
    <t>Domestic Crude</t>
  </si>
  <si>
    <t xml:space="preserve">Crude Non-Biofuel </t>
  </si>
  <si>
    <t>Crude Non-Biofuel</t>
  </si>
  <si>
    <t>Domestic Refined Use</t>
  </si>
  <si>
    <t>Biofuel</t>
  </si>
  <si>
    <t>Non-Biofuel</t>
  </si>
  <si>
    <t>Crude Stocks Beg</t>
  </si>
  <si>
    <t>Crude Stocks End</t>
  </si>
  <si>
    <t>Crude Stocks change</t>
  </si>
  <si>
    <t>Refined Stocks Beg</t>
  </si>
  <si>
    <t>Refined Stocks End</t>
  </si>
  <si>
    <t>Refined Stocks Change</t>
  </si>
  <si>
    <t>Total</t>
  </si>
  <si>
    <t xml:space="preserve">Crude </t>
  </si>
  <si>
    <t>Crude oil removed for inedible use in processing</t>
  </si>
  <si>
    <t>Removed for edible use in processing</t>
  </si>
  <si>
    <t>Removed for inedible use in processing</t>
  </si>
  <si>
    <t xml:space="preserve">Other Biofuel </t>
  </si>
  <si>
    <t>Edible Use + Inedible Use</t>
  </si>
  <si>
    <t>Other Biofuel</t>
  </si>
  <si>
    <t>Balance Sheets</t>
  </si>
  <si>
    <t>Table</t>
  </si>
  <si>
    <t>Beginning Stocks</t>
  </si>
  <si>
    <t xml:space="preserve">  Crude</t>
  </si>
  <si>
    <t xml:space="preserve">  Refined</t>
  </si>
  <si>
    <t>Crude Production</t>
  </si>
  <si>
    <t xml:space="preserve">  Crude Supply Unrefined</t>
  </si>
  <si>
    <t xml:space="preserve">  Refined Supply</t>
  </si>
  <si>
    <t xml:space="preserve">    Refining Loss</t>
  </si>
  <si>
    <t xml:space="preserve">  Crude </t>
  </si>
  <si>
    <t>Total Supply</t>
  </si>
  <si>
    <t xml:space="preserve">Exports </t>
  </si>
  <si>
    <t>Edible Use</t>
  </si>
  <si>
    <t>Inedible Use</t>
  </si>
  <si>
    <t>Domestic Use</t>
  </si>
  <si>
    <t xml:space="preserve">  Biodiesel</t>
  </si>
  <si>
    <t xml:space="preserve">  Renewable Diesel</t>
  </si>
  <si>
    <t xml:space="preserve">  Co-Processing</t>
  </si>
  <si>
    <t>Refining</t>
  </si>
  <si>
    <t xml:space="preserve">  Refining Loss</t>
  </si>
  <si>
    <t xml:space="preserve">  Inedible Use</t>
  </si>
  <si>
    <t xml:space="preserve">    Crude</t>
  </si>
  <si>
    <t xml:space="preserve">    Refined</t>
  </si>
  <si>
    <t xml:space="preserve">  Edible</t>
  </si>
  <si>
    <t xml:space="preserve">   Residual</t>
  </si>
  <si>
    <t>Total Demand</t>
  </si>
  <si>
    <t>Ending Stocks</t>
  </si>
  <si>
    <t>Check</t>
  </si>
  <si>
    <t>U.S. Crude Soybean Oil Supply and Demand</t>
  </si>
  <si>
    <t>(million pounds)</t>
  </si>
  <si>
    <t xml:space="preserve">  Total Supply</t>
  </si>
  <si>
    <t xml:space="preserve">  Refining</t>
  </si>
  <si>
    <t xml:space="preserve">  Total Demand</t>
  </si>
  <si>
    <t>Source: USDA and The Jacobsen</t>
  </si>
  <si>
    <t>U.S. Refined Soybean Oil Supply and Demand</t>
  </si>
  <si>
    <t xml:space="preserve">  Edible Use</t>
  </si>
  <si>
    <t xml:space="preserve">  Residual Use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</si>
  <si>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</si>
  <si>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</si>
  <si>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</si>
  <si>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</si>
  <si>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</si>
  <si>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</si>
  <si>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</si>
  <si>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</si>
  <si>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</si>
  <si>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</si>
  <si>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</si>
  <si>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</si>
  <si>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CRUDE</t>
  </si>
  <si>
    <t>REFINED</t>
  </si>
  <si>
    <t>Residual Use</t>
  </si>
  <si>
    <t>COMBINED</t>
  </si>
  <si>
    <t xml:space="preserve">  Inedible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</si>
</sst>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#,##0.0_);[Red]\(#,##0.0\)"/>
    <numFmt numFmtId="166" formatCode="_(* #,##0_);_(* \(#,##0\);_(* &quot;-&quot;??_);_(@_)"/>
    <numFmt numFmtId="167" formatCode="0.0%"/>
    <numFmt numFmtId="168" formatCode="0.000"/>
  </numFmts>
  <fonts count="34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000000"/>
      <name val="Trebuchet MS"/>
      <family val="2"/>
    </font>
    <font>
      <b/>
      <sz val="16"/>
      <color theme="1"/>
      <name val="Trebuchet MS"/>
      <family val="2"/>
    </font>
    <font>
      <sz val="16"/>
      <color rgb="FF000000"/>
      <name val="Trebuchet MS"/>
      <family val="2"/>
    </font>
    <font>
      <b/>
      <sz val="16"/>
      <color rgb="FF000000"/>
      <name val="Trebuchet MS"/>
      <family val="2"/>
    </font>
    <font>
      <b/>
      <sz val="14"/>
      <color theme="1"/>
      <name val="Cooper Black"/>
      <family val="5"/>
    </font>
    <font>
      <sz val="10"/>
      <color theme="1"/>
      <name val="Arial Narrow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Trebuchet MS"/>
      <family val="2"/>
    </font>
    <font>
      <sz val="9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Arial"/>
      <family val="2"/>
    </font>
    <font>
      <sz val="10"/>
      <name val="Helvetica-Normal"/>
    </font>
    <font>
      <sz val="10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  <font>
      <sz val="1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b/>
      <sz val="14"/>
      <color theme="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1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3BC43"/>
        <bgColor indexed="64"/>
      </patternFill>
    </fill>
    <fill>
      <patternFill patternType="solid">
        <fgColor rgb="FF4AAFC8"/>
        <bgColor indexed="64"/>
      </patternFill>
    </fill>
    <fill>
      <patternFill patternType="solid">
        <fgColor rgb="FFC4B798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A9D08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382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8C8C8C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rgb="FF6F0791"/>
      </top>
      <bottom/>
      <diagonal/>
    </border>
    <border>
      <left/>
      <right/>
      <top style="thin">
        <color rgb="FF6F0791"/>
      </top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/>
    <xf numFmtId="0" fontId="16" fillId="0" borderId="0"/>
    <xf numFmtId="9" fontId="16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84">
    <xf numFmtId="0" fontId="0" fillId="0" borderId="0" xfId="0"/>
    <xf numFmtId="0" fontId="2" fillId="2" borderId="1" xfId="2" applyFont="1" applyFill="1" applyBorder="1"/>
    <xf numFmtId="0" fontId="2" fillId="2" borderId="2" xfId="2" applyFont="1" applyFill="1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3" fillId="0" borderId="0" xfId="2" applyFont="1"/>
    <xf numFmtId="0" fontId="4" fillId="0" borderId="0" xfId="0" applyFont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4" fontId="7" fillId="2" borderId="3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2" fillId="3" borderId="1" xfId="2" applyFont="1" applyFill="1" applyBorder="1"/>
    <xf numFmtId="0" fontId="2" fillId="3" borderId="2" xfId="2" applyFont="1" applyFill="1" applyBorder="1" applyAlignment="1">
      <alignment horizontal="center"/>
    </xf>
    <xf numFmtId="0" fontId="2" fillId="3" borderId="3" xfId="2" applyFont="1" applyFill="1" applyBorder="1" applyAlignment="1">
      <alignment horizontal="center"/>
    </xf>
    <xf numFmtId="0" fontId="10" fillId="2" borderId="2" xfId="3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3" fillId="4" borderId="4" xfId="2" applyFont="1" applyFill="1" applyBorder="1"/>
    <xf numFmtId="0" fontId="4" fillId="4" borderId="0" xfId="0" applyFont="1" applyFill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0" fontId="3" fillId="4" borderId="0" xfId="2" applyFont="1" applyFill="1"/>
    <xf numFmtId="0" fontId="11" fillId="4" borderId="0" xfId="3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3" fontId="12" fillId="4" borderId="0" xfId="3" applyNumberFormat="1" applyFont="1" applyFill="1" applyAlignment="1">
      <alignment horizontal="center"/>
    </xf>
    <xf numFmtId="0" fontId="12" fillId="4" borderId="0" xfId="3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3" fontId="3" fillId="4" borderId="0" xfId="3" applyNumberFormat="1" applyFont="1" applyFill="1" applyAlignment="1">
      <alignment horizontal="center"/>
    </xf>
    <xf numFmtId="0" fontId="3" fillId="4" borderId="6" xfId="2" applyFont="1" applyFill="1" applyBorder="1"/>
    <xf numFmtId="0" fontId="4" fillId="4" borderId="7" xfId="0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164" fontId="0" fillId="0" borderId="0" xfId="0" applyNumberFormat="1"/>
    <xf numFmtId="3" fontId="12" fillId="0" borderId="0" xfId="3" applyNumberFormat="1" applyFont="1" applyAlignment="1">
      <alignment horizontal="center"/>
    </xf>
    <xf numFmtId="0" fontId="12" fillId="0" borderId="0" xfId="3" applyFont="1" applyAlignment="1">
      <alignment horizontal="center"/>
    </xf>
    <xf numFmtId="0" fontId="13" fillId="0" borderId="0" xfId="0" applyFont="1" applyAlignment="1">
      <alignment horizontal="center"/>
    </xf>
    <xf numFmtId="2" fontId="0" fillId="0" borderId="0" xfId="0" applyNumberFormat="1"/>
    <xf numFmtId="0" fontId="14" fillId="0" borderId="0" xfId="0" applyFont="1"/>
    <xf numFmtId="0" fontId="9" fillId="5" borderId="0" xfId="3" applyFill="1" applyAlignment="1">
      <alignment horizontal="center" vertical="center" wrapText="1"/>
    </xf>
    <xf numFmtId="0" fontId="9" fillId="0" borderId="0" xfId="3" applyAlignment="1">
      <alignment horizontal="center" vertical="center" wrapText="1"/>
    </xf>
    <xf numFmtId="0" fontId="9" fillId="6" borderId="0" xfId="3" applyFill="1" applyAlignment="1">
      <alignment horizontal="center" vertical="center" wrapText="1"/>
    </xf>
    <xf numFmtId="0" fontId="9" fillId="7" borderId="0" xfId="3" applyFill="1" applyAlignment="1">
      <alignment horizontal="center" vertical="center" wrapText="1"/>
    </xf>
    <xf numFmtId="14" fontId="9" fillId="0" borderId="0" xfId="3" applyNumberFormat="1"/>
    <xf numFmtId="38" fontId="9" fillId="0" borderId="0" xfId="3" applyNumberFormat="1" applyAlignment="1">
      <alignment horizontal="right"/>
    </xf>
    <xf numFmtId="38" fontId="9" fillId="0" borderId="0" xfId="3" applyNumberFormat="1"/>
    <xf numFmtId="165" fontId="9" fillId="0" borderId="0" xfId="3" applyNumberFormat="1" applyAlignment="1">
      <alignment horizontal="right"/>
    </xf>
    <xf numFmtId="14" fontId="0" fillId="0" borderId="0" xfId="0" applyNumberFormat="1"/>
    <xf numFmtId="166" fontId="0" fillId="0" borderId="0" xfId="1" applyNumberFormat="1" applyFont="1"/>
    <xf numFmtId="0" fontId="0" fillId="7" borderId="0" xfId="0" applyFill="1"/>
    <xf numFmtId="0" fontId="0" fillId="5" borderId="0" xfId="0" applyFill="1"/>
    <xf numFmtId="0" fontId="0" fillId="6" borderId="0" xfId="0" applyFill="1"/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9" fillId="0" borderId="0" xfId="3"/>
    <xf numFmtId="0" fontId="15" fillId="8" borderId="9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43" fontId="0" fillId="0" borderId="0" xfId="0" applyNumberFormat="1"/>
    <xf numFmtId="166" fontId="0" fillId="0" borderId="0" xfId="1" applyNumberFormat="1" applyFont="1" applyFill="1"/>
    <xf numFmtId="3" fontId="0" fillId="0" borderId="0" xfId="0" applyNumberFormat="1" applyAlignment="1">
      <alignment horizontal="center"/>
    </xf>
    <xf numFmtId="0" fontId="11" fillId="8" borderId="1" xfId="0" applyFont="1" applyFill="1" applyBorder="1"/>
    <xf numFmtId="166" fontId="0" fillId="10" borderId="2" xfId="0" applyNumberFormat="1" applyFill="1" applyBorder="1"/>
    <xf numFmtId="166" fontId="0" fillId="10" borderId="3" xfId="0" applyNumberFormat="1" applyFill="1" applyBorder="1" applyAlignment="1">
      <alignment horizontal="center"/>
    </xf>
    <xf numFmtId="166" fontId="0" fillId="10" borderId="2" xfId="0" applyNumberFormat="1" applyFill="1" applyBorder="1" applyAlignment="1">
      <alignment horizontal="center"/>
    </xf>
    <xf numFmtId="0" fontId="15" fillId="8" borderId="1" xfId="0" applyFont="1" applyFill="1" applyBorder="1"/>
    <xf numFmtId="166" fontId="0" fillId="10" borderId="3" xfId="0" applyNumberFormat="1" applyFill="1" applyBorder="1"/>
    <xf numFmtId="0" fontId="17" fillId="11" borderId="0" xfId="4" applyFont="1" applyFill="1" applyAlignment="1">
      <alignment horizontal="center"/>
    </xf>
    <xf numFmtId="17" fontId="17" fillId="0" borderId="0" xfId="4" applyNumberFormat="1" applyFont="1" applyAlignment="1">
      <alignment horizontal="left"/>
    </xf>
    <xf numFmtId="3" fontId="18" fillId="0" borderId="0" xfId="4" applyNumberFormat="1" applyFont="1"/>
    <xf numFmtId="3" fontId="0" fillId="0" borderId="0" xfId="0" applyNumberFormat="1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" fontId="22" fillId="0" borderId="0" xfId="0" applyNumberFormat="1" applyFont="1" applyAlignment="1">
      <alignment horizontal="left"/>
    </xf>
    <xf numFmtId="2" fontId="0" fillId="0" borderId="0" xfId="0" applyNumberFormat="1" applyAlignment="1">
      <alignment horizontal="center"/>
    </xf>
    <xf numFmtId="0" fontId="22" fillId="0" borderId="0" xfId="0" applyFont="1"/>
    <xf numFmtId="167" fontId="18" fillId="0" borderId="0" xfId="5" applyNumberFormat="1" applyFont="1"/>
    <xf numFmtId="167" fontId="0" fillId="0" borderId="0" xfId="0" applyNumberFormat="1"/>
    <xf numFmtId="0" fontId="23" fillId="0" borderId="0" xfId="3" applyFont="1" applyAlignment="1">
      <alignment horizontal="center"/>
    </xf>
    <xf numFmtId="0" fontId="9" fillId="0" borderId="0" xfId="3" applyAlignment="1">
      <alignment horizontal="center"/>
    </xf>
    <xf numFmtId="0" fontId="24" fillId="4" borderId="10" xfId="3" applyFont="1" applyFill="1" applyBorder="1" applyAlignment="1">
      <alignment horizontal="right"/>
    </xf>
    <xf numFmtId="0" fontId="9" fillId="0" borderId="11" xfId="3" applyBorder="1"/>
    <xf numFmtId="0" fontId="9" fillId="4" borderId="11" xfId="3" applyFill="1" applyBorder="1"/>
    <xf numFmtId="3" fontId="23" fillId="0" borderId="0" xfId="3" applyNumberFormat="1" applyFont="1" applyAlignment="1">
      <alignment horizontal="center"/>
    </xf>
    <xf numFmtId="0" fontId="9" fillId="0" borderId="0" xfId="3" applyAlignment="1">
      <alignment horizontal="left"/>
    </xf>
    <xf numFmtId="43" fontId="23" fillId="0" borderId="0" xfId="3" applyNumberFormat="1" applyFont="1" applyAlignment="1">
      <alignment horizontal="center"/>
    </xf>
    <xf numFmtId="0" fontId="25" fillId="8" borderId="4" xfId="3" applyFont="1" applyFill="1" applyBorder="1"/>
    <xf numFmtId="0" fontId="25" fillId="8" borderId="5" xfId="3" applyFont="1" applyFill="1" applyBorder="1" applyAlignment="1">
      <alignment horizontal="center"/>
    </xf>
    <xf numFmtId="166" fontId="23" fillId="0" borderId="0" xfId="6" applyNumberFormat="1" applyFont="1" applyAlignment="1">
      <alignment horizontal="center"/>
    </xf>
    <xf numFmtId="0" fontId="9" fillId="0" borderId="0" xfId="3" applyAlignment="1">
      <alignment horizontal="right"/>
    </xf>
    <xf numFmtId="0" fontId="9" fillId="12" borderId="4" xfId="3" applyFill="1" applyBorder="1" applyAlignment="1">
      <alignment horizontal="right"/>
    </xf>
    <xf numFmtId="3" fontId="9" fillId="12" borderId="5" xfId="3" applyNumberFormat="1" applyFill="1" applyBorder="1" applyAlignment="1">
      <alignment horizontal="center"/>
    </xf>
    <xf numFmtId="0" fontId="9" fillId="13" borderId="4" xfId="3" applyFill="1" applyBorder="1" applyAlignment="1">
      <alignment horizontal="right"/>
    </xf>
    <xf numFmtId="3" fontId="9" fillId="13" borderId="5" xfId="3" applyNumberFormat="1" applyFill="1" applyBorder="1" applyAlignment="1">
      <alignment horizontal="center"/>
    </xf>
    <xf numFmtId="43" fontId="23" fillId="0" borderId="0" xfId="6" applyFont="1" applyAlignment="1">
      <alignment horizontal="center"/>
    </xf>
    <xf numFmtId="0" fontId="9" fillId="14" borderId="4" xfId="3" applyFill="1" applyBorder="1" applyAlignment="1">
      <alignment horizontal="right"/>
    </xf>
    <xf numFmtId="3" fontId="9" fillId="14" borderId="5" xfId="3" applyNumberFormat="1" applyFill="1" applyBorder="1" applyAlignment="1">
      <alignment horizontal="center"/>
    </xf>
    <xf numFmtId="0" fontId="9" fillId="15" borderId="4" xfId="3" applyFill="1" applyBorder="1" applyAlignment="1">
      <alignment horizontal="right"/>
    </xf>
    <xf numFmtId="3" fontId="9" fillId="15" borderId="5" xfId="3" applyNumberFormat="1" applyFill="1" applyBorder="1" applyAlignment="1">
      <alignment horizontal="center"/>
    </xf>
    <xf numFmtId="0" fontId="23" fillId="12" borderId="0" xfId="3" applyFont="1" applyFill="1" applyAlignment="1">
      <alignment horizontal="center"/>
    </xf>
    <xf numFmtId="1" fontId="23" fillId="0" borderId="0" xfId="3" applyNumberFormat="1" applyFont="1" applyAlignment="1">
      <alignment horizontal="center"/>
    </xf>
    <xf numFmtId="0" fontId="9" fillId="10" borderId="4" xfId="3" applyFill="1" applyBorder="1" applyAlignment="1">
      <alignment horizontal="right"/>
    </xf>
    <xf numFmtId="0" fontId="9" fillId="10" borderId="5" xfId="3" applyFill="1" applyBorder="1" applyAlignment="1">
      <alignment horizontal="center"/>
    </xf>
    <xf numFmtId="0" fontId="9" fillId="9" borderId="4" xfId="3" applyFill="1" applyBorder="1" applyAlignment="1">
      <alignment horizontal="right"/>
    </xf>
    <xf numFmtId="0" fontId="9" fillId="9" borderId="5" xfId="3" applyFill="1" applyBorder="1" applyAlignment="1">
      <alignment horizontal="center"/>
    </xf>
    <xf numFmtId="0" fontId="23" fillId="16" borderId="0" xfId="3" applyFont="1" applyFill="1" applyAlignment="1">
      <alignment horizontal="center"/>
    </xf>
    <xf numFmtId="166" fontId="23" fillId="0" borderId="0" xfId="3" applyNumberFormat="1" applyFont="1" applyAlignment="1">
      <alignment horizontal="center"/>
    </xf>
    <xf numFmtId="43" fontId="9" fillId="0" borderId="0" xfId="3" applyNumberFormat="1"/>
    <xf numFmtId="166" fontId="23" fillId="0" borderId="0" xfId="6" applyNumberFormat="1" applyFont="1" applyFill="1"/>
    <xf numFmtId="166" fontId="23" fillId="0" borderId="0" xfId="6" applyNumberFormat="1" applyFont="1" applyFill="1" applyAlignment="1">
      <alignment horizontal="center"/>
    </xf>
    <xf numFmtId="0" fontId="9" fillId="2" borderId="4" xfId="3" applyFill="1" applyBorder="1" applyAlignment="1">
      <alignment horizontal="right"/>
    </xf>
    <xf numFmtId="3" fontId="9" fillId="2" borderId="5" xfId="3" applyNumberFormat="1" applyFill="1" applyBorder="1" applyAlignment="1">
      <alignment horizontal="center"/>
    </xf>
    <xf numFmtId="168" fontId="23" fillId="0" borderId="0" xfId="3" applyNumberFormat="1" applyFont="1" applyAlignment="1">
      <alignment horizontal="center"/>
    </xf>
    <xf numFmtId="166" fontId="23" fillId="0" borderId="0" xfId="1" applyNumberFormat="1" applyFont="1" applyAlignment="1">
      <alignment horizontal="center"/>
    </xf>
    <xf numFmtId="0" fontId="9" fillId="17" borderId="4" xfId="3" applyFill="1" applyBorder="1"/>
    <xf numFmtId="3" fontId="9" fillId="17" borderId="5" xfId="3" applyNumberFormat="1" applyFill="1" applyBorder="1" applyAlignment="1">
      <alignment horizontal="center"/>
    </xf>
    <xf numFmtId="1" fontId="9" fillId="0" borderId="0" xfId="3" applyNumberFormat="1"/>
    <xf numFmtId="0" fontId="9" fillId="18" borderId="4" xfId="3" applyFill="1" applyBorder="1"/>
    <xf numFmtId="3" fontId="9" fillId="18" borderId="5" xfId="3" applyNumberFormat="1" applyFill="1" applyBorder="1" applyAlignment="1">
      <alignment horizontal="center"/>
    </xf>
    <xf numFmtId="2" fontId="23" fillId="0" borderId="0" xfId="3" applyNumberFormat="1" applyFont="1" applyAlignment="1">
      <alignment horizontal="center"/>
    </xf>
    <xf numFmtId="166" fontId="23" fillId="0" borderId="0" xfId="6" applyNumberFormat="1" applyFont="1" applyFill="1" applyAlignment="1">
      <alignment horizontal="right"/>
    </xf>
    <xf numFmtId="0" fontId="9" fillId="19" borderId="6" xfId="3" applyFill="1" applyBorder="1"/>
    <xf numFmtId="3" fontId="9" fillId="19" borderId="8" xfId="3" applyNumberFormat="1" applyFill="1" applyBorder="1" applyAlignment="1">
      <alignment horizontal="center"/>
    </xf>
    <xf numFmtId="3" fontId="23" fillId="18" borderId="0" xfId="3" applyNumberFormat="1" applyFont="1" applyFill="1" applyAlignment="1">
      <alignment horizontal="center"/>
    </xf>
    <xf numFmtId="0" fontId="23" fillId="0" borderId="0" xfId="3" applyFont="1"/>
    <xf numFmtId="3" fontId="23" fillId="10" borderId="0" xfId="3" applyNumberFormat="1" applyFont="1" applyFill="1" applyAlignment="1">
      <alignment horizontal="center"/>
    </xf>
    <xf numFmtId="3" fontId="23" fillId="2" borderId="0" xfId="3" applyNumberFormat="1" applyFont="1" applyFill="1" applyAlignment="1">
      <alignment horizontal="center"/>
    </xf>
    <xf numFmtId="1" fontId="23" fillId="20" borderId="0" xfId="3" applyNumberFormat="1" applyFont="1" applyFill="1" applyAlignment="1">
      <alignment horizontal="center"/>
    </xf>
    <xf numFmtId="3" fontId="23" fillId="14" borderId="0" xfId="3" applyNumberFormat="1" applyFont="1" applyFill="1" applyAlignment="1">
      <alignment horizontal="center"/>
    </xf>
    <xf numFmtId="3" fontId="23" fillId="19" borderId="0" xfId="3" applyNumberFormat="1" applyFont="1" applyFill="1" applyAlignment="1">
      <alignment horizontal="center"/>
    </xf>
    <xf numFmtId="3" fontId="26" fillId="0" borderId="0" xfId="4" applyNumberFormat="1" applyFont="1" applyAlignment="1">
      <alignment horizontal="center"/>
    </xf>
    <xf numFmtId="3" fontId="23" fillId="21" borderId="0" xfId="3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0" borderId="12" xfId="0" applyBorder="1" applyAlignment="1">
      <alignment horizontal="center"/>
    </xf>
    <xf numFmtId="0" fontId="10" fillId="0" borderId="0" xfId="0" applyFont="1"/>
    <xf numFmtId="166" fontId="27" fillId="0" borderId="0" xfId="1" applyNumberFormat="1" applyFont="1" applyAlignment="1">
      <alignment horizontal="center"/>
    </xf>
    <xf numFmtId="166" fontId="0" fillId="3" borderId="13" xfId="0" applyNumberFormat="1" applyFill="1" applyBorder="1"/>
    <xf numFmtId="0" fontId="10" fillId="0" borderId="14" xfId="0" applyFont="1" applyBorder="1"/>
    <xf numFmtId="0" fontId="0" fillId="0" borderId="14" xfId="0" applyBorder="1"/>
    <xf numFmtId="166" fontId="0" fillId="0" borderId="14" xfId="1" applyNumberFormat="1" applyFont="1" applyBorder="1" applyAlignment="1">
      <alignment horizontal="center"/>
    </xf>
    <xf numFmtId="166" fontId="0" fillId="0" borderId="0" xfId="1" applyNumberFormat="1" applyFont="1" applyBorder="1" applyAlignment="1">
      <alignment horizontal="center"/>
    </xf>
    <xf numFmtId="166" fontId="0" fillId="3" borderId="15" xfId="0" applyNumberFormat="1" applyFill="1" applyBorder="1"/>
    <xf numFmtId="0" fontId="23" fillId="0" borderId="0" xfId="0" applyFont="1"/>
    <xf numFmtId="0" fontId="0" fillId="3" borderId="0" xfId="0" applyFill="1"/>
    <xf numFmtId="3" fontId="0" fillId="3" borderId="0" xfId="0" applyNumberFormat="1" applyFill="1"/>
    <xf numFmtId="43" fontId="0" fillId="0" borderId="0" xfId="1" applyFont="1"/>
    <xf numFmtId="0" fontId="9" fillId="10" borderId="0" xfId="3" applyFill="1" applyAlignment="1">
      <alignment horizontal="left"/>
    </xf>
    <xf numFmtId="3" fontId="23" fillId="10" borderId="0" xfId="3" applyNumberFormat="1" applyFont="1" applyFill="1" applyAlignment="1">
      <alignment horizontal="right"/>
    </xf>
    <xf numFmtId="38" fontId="23" fillId="10" borderId="0" xfId="3" applyNumberFormat="1" applyFont="1" applyFill="1" applyAlignment="1">
      <alignment horizontal="right"/>
    </xf>
    <xf numFmtId="1" fontId="23" fillId="10" borderId="0" xfId="3" applyNumberFormat="1" applyFont="1" applyFill="1" applyAlignment="1">
      <alignment horizontal="right"/>
    </xf>
    <xf numFmtId="166" fontId="23" fillId="10" borderId="0" xfId="6" applyNumberFormat="1" applyFont="1" applyFill="1" applyAlignment="1">
      <alignment horizontal="center"/>
    </xf>
    <xf numFmtId="0" fontId="9" fillId="18" borderId="0" xfId="3" applyFill="1" applyAlignment="1">
      <alignment horizontal="left"/>
    </xf>
    <xf numFmtId="166" fontId="23" fillId="18" borderId="0" xfId="1" applyNumberFormat="1" applyFont="1" applyFill="1" applyAlignment="1">
      <alignment horizontal="center"/>
    </xf>
    <xf numFmtId="166" fontId="23" fillId="22" borderId="0" xfId="3" applyNumberFormat="1" applyFont="1" applyFill="1" applyAlignment="1">
      <alignment horizontal="center"/>
    </xf>
    <xf numFmtId="166" fontId="23" fillId="18" borderId="0" xfId="6" applyNumberFormat="1" applyFont="1" applyFill="1" applyAlignment="1">
      <alignment horizontal="right"/>
    </xf>
    <xf numFmtId="166" fontId="23" fillId="22" borderId="0" xfId="6" applyNumberFormat="1" applyFont="1" applyFill="1" applyAlignment="1">
      <alignment horizontal="center"/>
    </xf>
    <xf numFmtId="0" fontId="0" fillId="22" borderId="0" xfId="0" applyFill="1"/>
    <xf numFmtId="3" fontId="0" fillId="22" borderId="0" xfId="0" applyNumberFormat="1" applyFill="1"/>
    <xf numFmtId="0" fontId="0" fillId="0" borderId="0" xfId="0" applyAlignment="1">
      <alignment horizontal="center"/>
    </xf>
    <xf numFmtId="38" fontId="28" fillId="0" borderId="0" xfId="0" applyNumberFormat="1" applyFont="1"/>
    <xf numFmtId="38" fontId="27" fillId="0" borderId="0" xfId="0" applyNumberFormat="1" applyFont="1"/>
    <xf numFmtId="38" fontId="0" fillId="0" borderId="0" xfId="0" applyNumberFormat="1"/>
    <xf numFmtId="0" fontId="0" fillId="10" borderId="0" xfId="0" applyFill="1"/>
    <xf numFmtId="0" fontId="23" fillId="18" borderId="0" xfId="0" applyFont="1" applyFill="1"/>
    <xf numFmtId="38" fontId="0" fillId="4" borderId="0" xfId="0" applyNumberFormat="1" applyFill="1"/>
    <xf numFmtId="0" fontId="29" fillId="23" borderId="0" xfId="0" applyFont="1" applyFill="1" applyAlignment="1">
      <alignment horizontal="left"/>
    </xf>
    <xf numFmtId="0" fontId="30" fillId="4" borderId="16" xfId="0" applyFont="1" applyFill="1" applyBorder="1"/>
    <xf numFmtId="0" fontId="31" fillId="4" borderId="16" xfId="0" applyFont="1" applyFill="1" applyBorder="1" applyAlignment="1">
      <alignment horizontal="center"/>
    </xf>
    <xf numFmtId="0" fontId="32" fillId="4" borderId="0" xfId="0" applyFont="1" applyFill="1"/>
    <xf numFmtId="38" fontId="32" fillId="4" borderId="0" xfId="0" applyNumberFormat="1" applyFont="1" applyFill="1"/>
    <xf numFmtId="0" fontId="31" fillId="4" borderId="17" xfId="0" applyFont="1" applyFill="1" applyBorder="1"/>
    <xf numFmtId="38" fontId="31" fillId="4" borderId="17" xfId="0" applyNumberFormat="1" applyFont="1" applyFill="1" applyBorder="1"/>
    <xf numFmtId="0" fontId="31" fillId="4" borderId="0" xfId="0" applyFont="1" applyFill="1"/>
    <xf numFmtId="38" fontId="31" fillId="4" borderId="0" xfId="0" applyNumberFormat="1" applyFont="1" applyFill="1"/>
    <xf numFmtId="0" fontId="33" fillId="4" borderId="16" xfId="0" applyFont="1" applyFill="1" applyBorder="1"/>
    <xf numFmtId="0" fontId="32" fillId="4" borderId="16" xfId="0" applyFont="1" applyFill="1" applyBorder="1"/>
    <xf numFmtId="38" fontId="32" fillId="4" borderId="0" xfId="0" applyNumberFormat="1" applyFont="1" applyFill="1" applyAlignment="1">
      <alignment horizontal="right"/>
    </xf>
    <xf numFmtId="38" fontId="31" fillId="4" borderId="17" xfId="0" applyNumberFormat="1" applyFont="1" applyFill="1" applyBorder="1" applyAlignment="1">
      <alignment horizontal="right"/>
    </xf>
    <xf numFmtId="38" fontId="31" fillId="4" borderId="0" xfId="0" applyNumberFormat="1" applyFont="1" applyFill="1" applyAlignment="1">
      <alignment horizontal="right"/>
    </xf>
    <xf numFmtId="0" fontId="0" fillId="0" borderId="0" xfId="0" applyAlignment="1">
      <alignment horizontal="right"/>
    </xf>
  </cellXfs>
  <cellStyles count="7">
    <cellStyle name="Comma" xfId="1" builtinId="3"/>
    <cellStyle name="Comma 2" xfId="6" xr:uid="{AE86DEB3-EEAA-4939-A4A2-A247CF23141F}"/>
    <cellStyle name="Hyperlink" xfId="2" builtinId="8"/>
    <cellStyle name="Normal" xfId="0" builtinId="0"/>
    <cellStyle name="Normal 2" xfId="3" xr:uid="{E5F771E1-2AC6-4CF8-B36C-12D2CA8CF73D}"/>
    <cellStyle name="Normal 9" xfId="4" xr:uid="{E55BA36D-5FAB-4FE8-A4D1-6D8F00707128}"/>
    <cellStyle name="Percent 2" xfId="5" xr:uid="{354F07F3-E2E6-4F0B-9462-51182AE1F8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hartsheet" Target="chartsheets/sheet3.xml"/><Relationship Id="rId18" Type="http://schemas.openxmlformats.org/officeDocument/2006/relationships/chartsheet" Target="chartsheets/sheet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6.xml"/><Relationship Id="rId12" Type="http://schemas.openxmlformats.org/officeDocument/2006/relationships/chartsheet" Target="chartsheets/sheet2.xml"/><Relationship Id="rId17" Type="http://schemas.openxmlformats.org/officeDocument/2006/relationships/chartsheet" Target="chartsheets/sheet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5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4.xml"/><Relationship Id="rId23" Type="http://schemas.openxmlformats.org/officeDocument/2006/relationships/theme" Target="theme/theme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1.xml"/><Relationship Id="rId22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Soybean Oil Stocks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Stocks!$B$1</c:f>
              <c:strCache>
                <c:ptCount val="1"/>
                <c:pt idx="0">
                  <c:v>Crusher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Stocks!$A$2:$A$15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Stocks!$B$2:$B$15</c:f>
              <c:numCache>
                <c:formatCode>#,##0</c:formatCode>
                <c:ptCount val="14"/>
                <c:pt idx="0">
                  <c:v>862.56700000000001</c:v>
                </c:pt>
                <c:pt idx="1">
                  <c:v>947.48500000000001</c:v>
                </c:pt>
                <c:pt idx="2">
                  <c:v>856.12400000000002</c:v>
                </c:pt>
                <c:pt idx="3">
                  <c:v>939.327</c:v>
                </c:pt>
                <c:pt idx="4">
                  <c:v>875.58399999999995</c:v>
                </c:pt>
                <c:pt idx="5">
                  <c:v>773.16099999999994</c:v>
                </c:pt>
                <c:pt idx="6">
                  <c:v>729.22799999999995</c:v>
                </c:pt>
                <c:pt idx="7">
                  <c:v>653.15700000000004</c:v>
                </c:pt>
                <c:pt idx="8">
                  <c:v>600.80600000000004</c:v>
                </c:pt>
                <c:pt idx="9">
                  <c:v>689.02499999999998</c:v>
                </c:pt>
                <c:pt idx="10">
                  <c:v>760.16499999999996</c:v>
                </c:pt>
                <c:pt idx="11">
                  <c:v>781.38099999999997</c:v>
                </c:pt>
                <c:pt idx="12">
                  <c:v>915.44399999999996</c:v>
                </c:pt>
                <c:pt idx="13">
                  <c:v>953.46400000000006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D-4B3D-B0D6-7B1C984E573B}"/>
            </c:ext>
          </c:extLst>
        </c:ser>
        <c:ser>
          <c:idx val="1"/>
          <c:order val="1"/>
          <c:tx>
            <c:strRef>
              <c:f>Stocks!$C$1</c:f>
              <c:strCache>
                <c:ptCount val="1"/>
                <c:pt idx="0">
                  <c:v>Refiner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Stocks!$A$2:$A$15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Stocks!$C$2:$C$15</c:f>
              <c:numCache>
                <c:formatCode>#,##0</c:formatCode>
                <c:ptCount val="14"/>
                <c:pt idx="0">
                  <c:v>467.76400000000001</c:v>
                </c:pt>
                <c:pt idx="1">
                  <c:v>463.06799999999998</c:v>
                </c:pt>
                <c:pt idx="2">
                  <c:v>407.46499999999997</c:v>
                </c:pt>
                <c:pt idx="3">
                  <c:v>443.76100000000002</c:v>
                </c:pt>
                <c:pt idx="4">
                  <c:v>431.34500000000003</c:v>
                </c:pt>
                <c:pt idx="5">
                  <c:v>450.97699999999998</c:v>
                </c:pt>
                <c:pt idx="6">
                  <c:v>380.94</c:v>
                </c:pt>
                <c:pt idx="7">
                  <c:v>322.52800000000002</c:v>
                </c:pt>
                <c:pt idx="8">
                  <c:v>328.13600000000002</c:v>
                </c:pt>
                <c:pt idx="9">
                  <c:v>288.339</c:v>
                </c:pt>
                <c:pt idx="10">
                  <c:v>267.25299999999999</c:v>
                </c:pt>
                <c:pt idx="11">
                  <c:v>277.49</c:v>
                </c:pt>
                <c:pt idx="12">
                  <c:v>287.88900000000001</c:v>
                </c:pt>
                <c:pt idx="13">
                  <c:v>293.65600000000001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4D-4B3D-B0D6-7B1C984E573B}"/>
            </c:ext>
          </c:extLst>
        </c:ser>
        <c:ser>
          <c:idx val="2"/>
          <c:order val="2"/>
          <c:tx>
            <c:strRef>
              <c:f>Stocks!$D$1</c:f>
              <c:strCache>
                <c:ptCount val="1"/>
                <c:pt idx="0">
                  <c:v>Offsite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Stocks!$A$2:$A$15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Stocks!$D$2:$D$15</c:f>
              <c:numCache>
                <c:formatCode>#,##0</c:formatCode>
                <c:ptCount val="14"/>
                <c:pt idx="0">
                  <c:v>658.83299999999997</c:v>
                </c:pt>
                <c:pt idx="1">
                  <c:v>586.19399999999996</c:v>
                </c:pt>
                <c:pt idx="2">
                  <c:v>670.05899999999997</c:v>
                </c:pt>
                <c:pt idx="3">
                  <c:v>840.91899999999998</c:v>
                </c:pt>
                <c:pt idx="4">
                  <c:v>742.06299999999999</c:v>
                </c:pt>
                <c:pt idx="5">
                  <c:v>701.44500000000005</c:v>
                </c:pt>
                <c:pt idx="6">
                  <c:v>666.14599999999996</c:v>
                </c:pt>
                <c:pt idx="7">
                  <c:v>596.798</c:v>
                </c:pt>
                <c:pt idx="8">
                  <c:v>574.40200000000004</c:v>
                </c:pt>
                <c:pt idx="9">
                  <c:v>586.95500000000004</c:v>
                </c:pt>
                <c:pt idx="10">
                  <c:v>657.71299999999997</c:v>
                </c:pt>
                <c:pt idx="11">
                  <c:v>658.43399999999997</c:v>
                </c:pt>
                <c:pt idx="12">
                  <c:v>678.73599999999999</c:v>
                </c:pt>
                <c:pt idx="13">
                  <c:v>623.70500000000004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4D-4B3D-B0D6-7B1C984E573B}"/>
            </c:ext>
          </c:extLst>
        </c:ser>
        <c:ser>
          <c:idx val="3"/>
          <c:order val="3"/>
          <c:tx>
            <c:strRef>
              <c:f>[1]Stocks!$E$1</c:f>
              <c:strCache>
                <c:ptCount val="1"/>
                <c:pt idx="0">
                  <c:v>Crude Stocks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[1]Stocks!$A$2:$A$15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[1]Stocks!$E$2:$E$15</c:f>
            </c:numRef>
          </c:val>
          <c:extLst>
            <c:ext xmlns:c16="http://schemas.microsoft.com/office/drawing/2014/chart" uri="{C3380CC4-5D6E-409C-BE32-E72D297353CC}">
              <c16:uniqueId val="{00000003-0E4D-4B3D-B0D6-7B1C984E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100"/>
        <c:axId val="922667647"/>
        <c:axId val="921649823"/>
      </c:barChart>
      <c:lineChart>
        <c:grouping val="standard"/>
        <c:varyColors val="0"/>
        <c:ser>
          <c:idx val="4"/>
          <c:order val="4"/>
          <c:tx>
            <c:strRef>
              <c:f>Stocks!$F$1</c:f>
              <c:strCache>
                <c:ptCount val="1"/>
                <c:pt idx="0">
                  <c:v>Refinded Stocks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Stocks!$A$2:$A$15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Stocks!$F$2:$F$15</c:f>
              <c:numCache>
                <c:formatCode>#,##0</c:formatCode>
                <c:ptCount val="14"/>
                <c:pt idx="0">
                  <c:v>362.303</c:v>
                </c:pt>
                <c:pt idx="1">
                  <c:v>380.702</c:v>
                </c:pt>
                <c:pt idx="2">
                  <c:v>393.94299999999998</c:v>
                </c:pt>
                <c:pt idx="3">
                  <c:v>377.964</c:v>
                </c:pt>
                <c:pt idx="4">
                  <c:v>398.25599999999997</c:v>
                </c:pt>
                <c:pt idx="5">
                  <c:v>345.08300000000003</c:v>
                </c:pt>
                <c:pt idx="6">
                  <c:v>346.76400000000001</c:v>
                </c:pt>
                <c:pt idx="7">
                  <c:v>369.47899999999998</c:v>
                </c:pt>
                <c:pt idx="8">
                  <c:v>345.18599999999998</c:v>
                </c:pt>
                <c:pt idx="9">
                  <c:v>399.54700000000003</c:v>
                </c:pt>
                <c:pt idx="10">
                  <c:v>432.56200000000001</c:v>
                </c:pt>
                <c:pt idx="11">
                  <c:v>393.48099999999999</c:v>
                </c:pt>
                <c:pt idx="12">
                  <c:v>423.92200000000003</c:v>
                </c:pt>
                <c:pt idx="13">
                  <c:v>435.16300000000001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4D-4B3D-B0D6-7B1C984E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631615"/>
        <c:axId val="657713519"/>
      </c:lineChart>
      <c:dateAx>
        <c:axId val="9226676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49823"/>
        <c:crosses val="autoZero"/>
        <c:auto val="1"/>
        <c:lblOffset val="100"/>
        <c:baseTimeUnit val="months"/>
      </c:dateAx>
      <c:valAx>
        <c:axId val="92164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</a:t>
                </a:r>
                <a:r>
                  <a:rPr lang="en-US" baseline="0"/>
                  <a:t> Pounds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667647"/>
        <c:crosses val="autoZero"/>
        <c:crossBetween val="between"/>
      </c:valAx>
      <c:valAx>
        <c:axId val="6577135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Refinded Stocks (million</a:t>
                </a:r>
                <a:r>
                  <a:rPr lang="en-US" baseline="0"/>
                  <a:t> lbs)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631615"/>
        <c:crosses val="max"/>
        <c:crossBetween val="between"/>
      </c:valAx>
      <c:dateAx>
        <c:axId val="85863161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57713519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Central Illinois Soybean</a:t>
            </a:r>
            <a:r>
              <a:rPr lang="en-US" sz="2200" b="1" baseline="0">
                <a:solidFill>
                  <a:sysClr val="windowText" lastClr="000000"/>
                </a:solidFill>
              </a:rPr>
              <a:t> Oil Spread: </a:t>
            </a:r>
          </a:p>
          <a:p>
            <a:pPr>
              <a:defRPr b="1">
                <a:solidFill>
                  <a:sysClr val="windowText" lastClr="000000"/>
                </a:solidFill>
              </a:defRPr>
            </a:pPr>
            <a:r>
              <a:rPr lang="en-US" sz="2200" b="1" baseline="0">
                <a:solidFill>
                  <a:sysClr val="windowText" lastClr="000000"/>
                </a:solidFill>
              </a:rPr>
              <a:t>Crude Degummed - RBD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22517157772547E-2"/>
          <c:y val="0.17103262111820186"/>
          <c:w val="0.81365040001895439"/>
          <c:h val="0.64139015923055587"/>
        </c:manualLayout>
      </c:layout>
      <c:areaChart>
        <c:grouping val="standard"/>
        <c:varyColors val="0"/>
        <c:ser>
          <c:idx val="0"/>
          <c:order val="0"/>
          <c:tx>
            <c:v>RBD - Crude</c:v>
          </c:tx>
          <c:spPr>
            <a:solidFill>
              <a:srgbClr val="ECECEC"/>
            </a:solidFill>
            <a:ln w="15875">
              <a:solidFill>
                <a:srgbClr val="6F0791"/>
              </a:solidFill>
            </a:ln>
            <a:effectLst/>
          </c:spPr>
          <c:cat>
            <c:numRef>
              <c:f>'SB RBD v Crude'!$A$2:$A$213</c:f>
              <c:numCache>
                <c:formatCode>mmm\-yy</c:formatCode>
                <c:ptCount val="212"/>
                <c:pt idx="0">
                  <c:v>37987</c:v>
                </c:pt>
                <c:pt idx="1">
                  <c:v>38018</c:v>
                </c:pt>
                <c:pt idx="2">
                  <c:v>38047</c:v>
                </c:pt>
                <c:pt idx="3">
                  <c:v>38078</c:v>
                </c:pt>
                <c:pt idx="4">
                  <c:v>38108</c:v>
                </c:pt>
                <c:pt idx="5">
                  <c:v>38139</c:v>
                </c:pt>
                <c:pt idx="6">
                  <c:v>38169</c:v>
                </c:pt>
                <c:pt idx="7">
                  <c:v>38200</c:v>
                </c:pt>
                <c:pt idx="8">
                  <c:v>38231</c:v>
                </c:pt>
                <c:pt idx="9">
                  <c:v>38261</c:v>
                </c:pt>
                <c:pt idx="10">
                  <c:v>38292</c:v>
                </c:pt>
                <c:pt idx="11">
                  <c:v>38322</c:v>
                </c:pt>
                <c:pt idx="12">
                  <c:v>38353</c:v>
                </c:pt>
                <c:pt idx="13">
                  <c:v>38384</c:v>
                </c:pt>
                <c:pt idx="14">
                  <c:v>38412</c:v>
                </c:pt>
                <c:pt idx="15">
                  <c:v>38443</c:v>
                </c:pt>
                <c:pt idx="16">
                  <c:v>38473</c:v>
                </c:pt>
                <c:pt idx="17">
                  <c:v>38504</c:v>
                </c:pt>
                <c:pt idx="18">
                  <c:v>38534</c:v>
                </c:pt>
                <c:pt idx="19">
                  <c:v>38565</c:v>
                </c:pt>
                <c:pt idx="20">
                  <c:v>38596</c:v>
                </c:pt>
                <c:pt idx="21">
                  <c:v>38626</c:v>
                </c:pt>
                <c:pt idx="22">
                  <c:v>38657</c:v>
                </c:pt>
                <c:pt idx="23">
                  <c:v>38687</c:v>
                </c:pt>
                <c:pt idx="24">
                  <c:v>38718</c:v>
                </c:pt>
                <c:pt idx="25">
                  <c:v>38749</c:v>
                </c:pt>
                <c:pt idx="26">
                  <c:v>38777</c:v>
                </c:pt>
                <c:pt idx="27">
                  <c:v>38808</c:v>
                </c:pt>
                <c:pt idx="28">
                  <c:v>38838</c:v>
                </c:pt>
                <c:pt idx="29">
                  <c:v>38869</c:v>
                </c:pt>
                <c:pt idx="30">
                  <c:v>38899</c:v>
                </c:pt>
                <c:pt idx="31">
                  <c:v>38930</c:v>
                </c:pt>
                <c:pt idx="32">
                  <c:v>38961</c:v>
                </c:pt>
                <c:pt idx="33">
                  <c:v>38991</c:v>
                </c:pt>
                <c:pt idx="34">
                  <c:v>39022</c:v>
                </c:pt>
                <c:pt idx="35">
                  <c:v>39052</c:v>
                </c:pt>
                <c:pt idx="36">
                  <c:v>39083</c:v>
                </c:pt>
                <c:pt idx="37">
                  <c:v>39114</c:v>
                </c:pt>
                <c:pt idx="38">
                  <c:v>39142</c:v>
                </c:pt>
                <c:pt idx="39">
                  <c:v>39173</c:v>
                </c:pt>
                <c:pt idx="40">
                  <c:v>39203</c:v>
                </c:pt>
                <c:pt idx="41">
                  <c:v>39234</c:v>
                </c:pt>
                <c:pt idx="42">
                  <c:v>39264</c:v>
                </c:pt>
                <c:pt idx="43">
                  <c:v>39295</c:v>
                </c:pt>
                <c:pt idx="44">
                  <c:v>39326</c:v>
                </c:pt>
                <c:pt idx="45">
                  <c:v>39356</c:v>
                </c:pt>
                <c:pt idx="46">
                  <c:v>39387</c:v>
                </c:pt>
                <c:pt idx="47">
                  <c:v>39417</c:v>
                </c:pt>
                <c:pt idx="48">
                  <c:v>39448</c:v>
                </c:pt>
                <c:pt idx="49">
                  <c:v>39479</c:v>
                </c:pt>
                <c:pt idx="50">
                  <c:v>39508</c:v>
                </c:pt>
                <c:pt idx="51">
                  <c:v>39539</c:v>
                </c:pt>
                <c:pt idx="52">
                  <c:v>39569</c:v>
                </c:pt>
                <c:pt idx="53">
                  <c:v>39600</c:v>
                </c:pt>
                <c:pt idx="54">
                  <c:v>39630</c:v>
                </c:pt>
                <c:pt idx="55">
                  <c:v>39661</c:v>
                </c:pt>
                <c:pt idx="56">
                  <c:v>39692</c:v>
                </c:pt>
                <c:pt idx="57">
                  <c:v>39722</c:v>
                </c:pt>
                <c:pt idx="58">
                  <c:v>39753</c:v>
                </c:pt>
                <c:pt idx="59">
                  <c:v>39783</c:v>
                </c:pt>
                <c:pt idx="60">
                  <c:v>39814</c:v>
                </c:pt>
                <c:pt idx="61">
                  <c:v>39845</c:v>
                </c:pt>
                <c:pt idx="62">
                  <c:v>39873</c:v>
                </c:pt>
                <c:pt idx="63">
                  <c:v>39904</c:v>
                </c:pt>
                <c:pt idx="64">
                  <c:v>39934</c:v>
                </c:pt>
                <c:pt idx="65">
                  <c:v>39965</c:v>
                </c:pt>
                <c:pt idx="66">
                  <c:v>39995</c:v>
                </c:pt>
                <c:pt idx="67">
                  <c:v>40026</c:v>
                </c:pt>
                <c:pt idx="68">
                  <c:v>40057</c:v>
                </c:pt>
                <c:pt idx="69">
                  <c:v>40087</c:v>
                </c:pt>
                <c:pt idx="70">
                  <c:v>40118</c:v>
                </c:pt>
                <c:pt idx="71">
                  <c:v>40148</c:v>
                </c:pt>
                <c:pt idx="72">
                  <c:v>40179</c:v>
                </c:pt>
                <c:pt idx="73">
                  <c:v>40210</c:v>
                </c:pt>
                <c:pt idx="74">
                  <c:v>40238</c:v>
                </c:pt>
                <c:pt idx="75">
                  <c:v>40269</c:v>
                </c:pt>
                <c:pt idx="76">
                  <c:v>40299</c:v>
                </c:pt>
                <c:pt idx="77">
                  <c:v>40330</c:v>
                </c:pt>
                <c:pt idx="78">
                  <c:v>40360</c:v>
                </c:pt>
                <c:pt idx="79">
                  <c:v>40391</c:v>
                </c:pt>
                <c:pt idx="80">
                  <c:v>40422</c:v>
                </c:pt>
                <c:pt idx="81">
                  <c:v>40452</c:v>
                </c:pt>
                <c:pt idx="82">
                  <c:v>40483</c:v>
                </c:pt>
                <c:pt idx="83">
                  <c:v>40513</c:v>
                </c:pt>
                <c:pt idx="84">
                  <c:v>40544</c:v>
                </c:pt>
                <c:pt idx="85">
                  <c:v>40575</c:v>
                </c:pt>
                <c:pt idx="86">
                  <c:v>40603</c:v>
                </c:pt>
                <c:pt idx="87">
                  <c:v>40634</c:v>
                </c:pt>
                <c:pt idx="88">
                  <c:v>40664</c:v>
                </c:pt>
                <c:pt idx="89">
                  <c:v>40695</c:v>
                </c:pt>
                <c:pt idx="90">
                  <c:v>40725</c:v>
                </c:pt>
                <c:pt idx="91">
                  <c:v>40756</c:v>
                </c:pt>
                <c:pt idx="92">
                  <c:v>40787</c:v>
                </c:pt>
                <c:pt idx="93">
                  <c:v>40817</c:v>
                </c:pt>
                <c:pt idx="94">
                  <c:v>40848</c:v>
                </c:pt>
                <c:pt idx="95">
                  <c:v>40878</c:v>
                </c:pt>
                <c:pt idx="96">
                  <c:v>40909</c:v>
                </c:pt>
                <c:pt idx="97">
                  <c:v>40940</c:v>
                </c:pt>
                <c:pt idx="98">
                  <c:v>40969</c:v>
                </c:pt>
                <c:pt idx="99">
                  <c:v>41000</c:v>
                </c:pt>
                <c:pt idx="100">
                  <c:v>41030</c:v>
                </c:pt>
                <c:pt idx="101">
                  <c:v>41061</c:v>
                </c:pt>
                <c:pt idx="102">
                  <c:v>41091</c:v>
                </c:pt>
                <c:pt idx="103">
                  <c:v>41122</c:v>
                </c:pt>
                <c:pt idx="104">
                  <c:v>41153</c:v>
                </c:pt>
                <c:pt idx="105">
                  <c:v>41183</c:v>
                </c:pt>
                <c:pt idx="106">
                  <c:v>41214</c:v>
                </c:pt>
                <c:pt idx="107">
                  <c:v>41244</c:v>
                </c:pt>
                <c:pt idx="108">
                  <c:v>41275</c:v>
                </c:pt>
                <c:pt idx="109">
                  <c:v>41306</c:v>
                </c:pt>
                <c:pt idx="110">
                  <c:v>41334</c:v>
                </c:pt>
                <c:pt idx="111">
                  <c:v>41365</c:v>
                </c:pt>
                <c:pt idx="112">
                  <c:v>41395</c:v>
                </c:pt>
                <c:pt idx="113">
                  <c:v>41426</c:v>
                </c:pt>
                <c:pt idx="114">
                  <c:v>41456</c:v>
                </c:pt>
                <c:pt idx="115">
                  <c:v>41487</c:v>
                </c:pt>
                <c:pt idx="116">
                  <c:v>41518</c:v>
                </c:pt>
                <c:pt idx="117">
                  <c:v>41548</c:v>
                </c:pt>
                <c:pt idx="118">
                  <c:v>41579</c:v>
                </c:pt>
                <c:pt idx="119">
                  <c:v>41609</c:v>
                </c:pt>
                <c:pt idx="120">
                  <c:v>41640</c:v>
                </c:pt>
                <c:pt idx="121">
                  <c:v>41671</c:v>
                </c:pt>
                <c:pt idx="122">
                  <c:v>41699</c:v>
                </c:pt>
                <c:pt idx="123">
                  <c:v>41730</c:v>
                </c:pt>
                <c:pt idx="124">
                  <c:v>41760</c:v>
                </c:pt>
                <c:pt idx="125">
                  <c:v>41791</c:v>
                </c:pt>
                <c:pt idx="126">
                  <c:v>41821</c:v>
                </c:pt>
                <c:pt idx="127">
                  <c:v>41852</c:v>
                </c:pt>
                <c:pt idx="128">
                  <c:v>41883</c:v>
                </c:pt>
                <c:pt idx="129">
                  <c:v>41913</c:v>
                </c:pt>
                <c:pt idx="130">
                  <c:v>41944</c:v>
                </c:pt>
                <c:pt idx="131">
                  <c:v>41974</c:v>
                </c:pt>
                <c:pt idx="132">
                  <c:v>42005</c:v>
                </c:pt>
                <c:pt idx="133">
                  <c:v>42036</c:v>
                </c:pt>
                <c:pt idx="134">
                  <c:v>42064</c:v>
                </c:pt>
                <c:pt idx="135">
                  <c:v>42095</c:v>
                </c:pt>
                <c:pt idx="136">
                  <c:v>42125</c:v>
                </c:pt>
                <c:pt idx="137">
                  <c:v>42156</c:v>
                </c:pt>
                <c:pt idx="138">
                  <c:v>42186</c:v>
                </c:pt>
                <c:pt idx="139">
                  <c:v>42217</c:v>
                </c:pt>
                <c:pt idx="140">
                  <c:v>42248</c:v>
                </c:pt>
                <c:pt idx="141">
                  <c:v>42278</c:v>
                </c:pt>
                <c:pt idx="142">
                  <c:v>42309</c:v>
                </c:pt>
                <c:pt idx="143">
                  <c:v>42339</c:v>
                </c:pt>
                <c:pt idx="144">
                  <c:v>42370</c:v>
                </c:pt>
                <c:pt idx="145">
                  <c:v>42401</c:v>
                </c:pt>
                <c:pt idx="146">
                  <c:v>42430</c:v>
                </c:pt>
                <c:pt idx="147">
                  <c:v>42461</c:v>
                </c:pt>
                <c:pt idx="148">
                  <c:v>42491</c:v>
                </c:pt>
                <c:pt idx="149">
                  <c:v>42522</c:v>
                </c:pt>
                <c:pt idx="150">
                  <c:v>42552</c:v>
                </c:pt>
                <c:pt idx="151">
                  <c:v>42583</c:v>
                </c:pt>
                <c:pt idx="152">
                  <c:v>42614</c:v>
                </c:pt>
                <c:pt idx="153">
                  <c:v>42644</c:v>
                </c:pt>
                <c:pt idx="154">
                  <c:v>42675</c:v>
                </c:pt>
                <c:pt idx="155">
                  <c:v>42705</c:v>
                </c:pt>
                <c:pt idx="156">
                  <c:v>42736</c:v>
                </c:pt>
                <c:pt idx="157">
                  <c:v>42767</c:v>
                </c:pt>
                <c:pt idx="158">
                  <c:v>42795</c:v>
                </c:pt>
                <c:pt idx="159">
                  <c:v>42826</c:v>
                </c:pt>
                <c:pt idx="160">
                  <c:v>42856</c:v>
                </c:pt>
                <c:pt idx="161">
                  <c:v>42887</c:v>
                </c:pt>
                <c:pt idx="162">
                  <c:v>42917</c:v>
                </c:pt>
                <c:pt idx="163">
                  <c:v>42948</c:v>
                </c:pt>
                <c:pt idx="164">
                  <c:v>42979</c:v>
                </c:pt>
                <c:pt idx="165">
                  <c:v>43009</c:v>
                </c:pt>
                <c:pt idx="166">
                  <c:v>43040</c:v>
                </c:pt>
                <c:pt idx="167">
                  <c:v>43070</c:v>
                </c:pt>
                <c:pt idx="168">
                  <c:v>43101</c:v>
                </c:pt>
                <c:pt idx="169">
                  <c:v>43132</c:v>
                </c:pt>
                <c:pt idx="170">
                  <c:v>43160</c:v>
                </c:pt>
                <c:pt idx="171">
                  <c:v>43191</c:v>
                </c:pt>
                <c:pt idx="172">
                  <c:v>43221</c:v>
                </c:pt>
                <c:pt idx="173">
                  <c:v>43252</c:v>
                </c:pt>
                <c:pt idx="174">
                  <c:v>43282</c:v>
                </c:pt>
                <c:pt idx="175">
                  <c:v>43313</c:v>
                </c:pt>
                <c:pt idx="176">
                  <c:v>43344</c:v>
                </c:pt>
                <c:pt idx="177">
                  <c:v>43374</c:v>
                </c:pt>
                <c:pt idx="178">
                  <c:v>43405</c:v>
                </c:pt>
                <c:pt idx="179">
                  <c:v>43435</c:v>
                </c:pt>
                <c:pt idx="180">
                  <c:v>43466</c:v>
                </c:pt>
                <c:pt idx="181">
                  <c:v>43497</c:v>
                </c:pt>
                <c:pt idx="182">
                  <c:v>43525</c:v>
                </c:pt>
                <c:pt idx="183">
                  <c:v>43556</c:v>
                </c:pt>
                <c:pt idx="184">
                  <c:v>43586</c:v>
                </c:pt>
                <c:pt idx="185">
                  <c:v>43617</c:v>
                </c:pt>
                <c:pt idx="186">
                  <c:v>43647</c:v>
                </c:pt>
                <c:pt idx="187">
                  <c:v>43678</c:v>
                </c:pt>
                <c:pt idx="188">
                  <c:v>43709</c:v>
                </c:pt>
                <c:pt idx="189">
                  <c:v>43739</c:v>
                </c:pt>
                <c:pt idx="190">
                  <c:v>43770</c:v>
                </c:pt>
                <c:pt idx="191">
                  <c:v>43800</c:v>
                </c:pt>
                <c:pt idx="192">
                  <c:v>43831</c:v>
                </c:pt>
                <c:pt idx="193">
                  <c:v>43862</c:v>
                </c:pt>
                <c:pt idx="194">
                  <c:v>43891</c:v>
                </c:pt>
                <c:pt idx="195">
                  <c:v>43922</c:v>
                </c:pt>
                <c:pt idx="196">
                  <c:v>43952</c:v>
                </c:pt>
                <c:pt idx="197">
                  <c:v>43983</c:v>
                </c:pt>
                <c:pt idx="198">
                  <c:v>44013</c:v>
                </c:pt>
                <c:pt idx="199">
                  <c:v>44044</c:v>
                </c:pt>
                <c:pt idx="200">
                  <c:v>44075</c:v>
                </c:pt>
                <c:pt idx="201">
                  <c:v>44105</c:v>
                </c:pt>
                <c:pt idx="202">
                  <c:v>44136</c:v>
                </c:pt>
                <c:pt idx="203">
                  <c:v>44166</c:v>
                </c:pt>
                <c:pt idx="204">
                  <c:v>44197</c:v>
                </c:pt>
                <c:pt idx="205">
                  <c:v>44228</c:v>
                </c:pt>
                <c:pt idx="206">
                  <c:v>44256</c:v>
                </c:pt>
                <c:pt idx="207">
                  <c:v>44287</c:v>
                </c:pt>
                <c:pt idx="208">
                  <c:v>44317</c:v>
                </c:pt>
                <c:pt idx="209">
                  <c:v>44348</c:v>
                </c:pt>
                <c:pt idx="210">
                  <c:v>44378</c:v>
                </c:pt>
                <c:pt idx="211">
                  <c:v>44409</c:v>
                </c:pt>
              </c:numCache>
            </c:numRef>
          </c:cat>
          <c:val>
            <c:numRef>
              <c:f>'SB RBD v Crude'!$D$2:$D$213</c:f>
              <c:numCache>
                <c:formatCode>0.00</c:formatCode>
                <c:ptCount val="212"/>
                <c:pt idx="0">
                  <c:v>4.9124999999999979</c:v>
                </c:pt>
                <c:pt idx="1">
                  <c:v>4.7226999999999961</c:v>
                </c:pt>
                <c:pt idx="2">
                  <c:v>4.8924000000000021</c:v>
                </c:pt>
                <c:pt idx="3">
                  <c:v>5.2757000000000005</c:v>
                </c:pt>
                <c:pt idx="4">
                  <c:v>5.25</c:v>
                </c:pt>
                <c:pt idx="5">
                  <c:v>5.4118999999999993</c:v>
                </c:pt>
                <c:pt idx="6">
                  <c:v>5.0191000000000017</c:v>
                </c:pt>
                <c:pt idx="7">
                  <c:v>5.0409000000000006</c:v>
                </c:pt>
                <c:pt idx="8">
                  <c:v>6.0475999999999992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4.4737000000000009</c:v>
                </c:pt>
                <c:pt idx="26">
                  <c:v>3.7387000000000015</c:v>
                </c:pt>
                <c:pt idx="27">
                  <c:v>3.6446999999999967</c:v>
                </c:pt>
                <c:pt idx="28">
                  <c:v>3.4000000000000021</c:v>
                </c:pt>
                <c:pt idx="29">
                  <c:v>3</c:v>
                </c:pt>
                <c:pt idx="30">
                  <c:v>3.25</c:v>
                </c:pt>
                <c:pt idx="31">
                  <c:v>3.2073999999999998</c:v>
                </c:pt>
                <c:pt idx="32">
                  <c:v>2.9138000000000019</c:v>
                </c:pt>
                <c:pt idx="33">
                  <c:v>3.5341000000000022</c:v>
                </c:pt>
                <c:pt idx="34">
                  <c:v>3.6200000000000045</c:v>
                </c:pt>
                <c:pt idx="35">
                  <c:v>3.1137999999999977</c:v>
                </c:pt>
                <c:pt idx="36">
                  <c:v>2.7662999999999975</c:v>
                </c:pt>
                <c:pt idx="37">
                  <c:v>3.0670999999999999</c:v>
                </c:pt>
                <c:pt idx="38">
                  <c:v>2.8249999999999993</c:v>
                </c:pt>
                <c:pt idx="39">
                  <c:v>2.9355000000000011</c:v>
                </c:pt>
                <c:pt idx="40">
                  <c:v>3.6022999999999996</c:v>
                </c:pt>
                <c:pt idx="41">
                  <c:v>3.5572000000000017</c:v>
                </c:pt>
                <c:pt idx="42">
                  <c:v>3.1761000000000053</c:v>
                </c:pt>
                <c:pt idx="43">
                  <c:v>2.9239999999999995</c:v>
                </c:pt>
                <c:pt idx="44">
                  <c:v>2.5</c:v>
                </c:pt>
                <c:pt idx="45">
                  <c:v>2.8477999999999994</c:v>
                </c:pt>
                <c:pt idx="46">
                  <c:v>3.375</c:v>
                </c:pt>
                <c:pt idx="47">
                  <c:v>2.6735000000000042</c:v>
                </c:pt>
                <c:pt idx="48">
                  <c:v>2.9405000000000001</c:v>
                </c:pt>
                <c:pt idx="49">
                  <c:v>4.2250000000000014</c:v>
                </c:pt>
                <c:pt idx="50">
                  <c:v>5.9499999999999957</c:v>
                </c:pt>
                <c:pt idx="51">
                  <c:v>5</c:v>
                </c:pt>
                <c:pt idx="52">
                  <c:v>5.452300000000001</c:v>
                </c:pt>
                <c:pt idx="53">
                  <c:v>5.5</c:v>
                </c:pt>
                <c:pt idx="54">
                  <c:v>5.5908999999999978</c:v>
                </c:pt>
                <c:pt idx="55">
                  <c:v>5.4880999999999958</c:v>
                </c:pt>
                <c:pt idx="56">
                  <c:v>5.4762000000000057</c:v>
                </c:pt>
                <c:pt idx="57">
                  <c:v>5</c:v>
                </c:pt>
                <c:pt idx="58">
                  <c:v>4.5262999999999991</c:v>
                </c:pt>
                <c:pt idx="59">
                  <c:v>3.9999999999999964</c:v>
                </c:pt>
                <c:pt idx="60">
                  <c:v>4</c:v>
                </c:pt>
                <c:pt idx="61">
                  <c:v>3.3816000000000024</c:v>
                </c:pt>
                <c:pt idx="62">
                  <c:v>3</c:v>
                </c:pt>
                <c:pt idx="63">
                  <c:v>2.7856999999999985</c:v>
                </c:pt>
                <c:pt idx="64">
                  <c:v>3</c:v>
                </c:pt>
                <c:pt idx="65">
                  <c:v>3</c:v>
                </c:pt>
                <c:pt idx="66">
                  <c:v>2.9999999999999964</c:v>
                </c:pt>
                <c:pt idx="67">
                  <c:v>3</c:v>
                </c:pt>
                <c:pt idx="68">
                  <c:v>3.0000000000000036</c:v>
                </c:pt>
                <c:pt idx="69">
                  <c:v>3</c:v>
                </c:pt>
                <c:pt idx="70">
                  <c:v>3</c:v>
                </c:pt>
                <c:pt idx="71">
                  <c:v>2.8181999999999974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3</c:v>
                </c:pt>
                <c:pt idx="81">
                  <c:v>3.5</c:v>
                </c:pt>
                <c:pt idx="82">
                  <c:v>3.5</c:v>
                </c:pt>
                <c:pt idx="83">
                  <c:v>3.5</c:v>
                </c:pt>
                <c:pt idx="84">
                  <c:v>4.3000000000000043</c:v>
                </c:pt>
                <c:pt idx="85">
                  <c:v>5.5</c:v>
                </c:pt>
                <c:pt idx="86">
                  <c:v>5.6303999999999945</c:v>
                </c:pt>
                <c:pt idx="87">
                  <c:v>6.4249999999999972</c:v>
                </c:pt>
                <c:pt idx="88">
                  <c:v>6.5</c:v>
                </c:pt>
                <c:pt idx="89">
                  <c:v>6.5</c:v>
                </c:pt>
                <c:pt idx="90">
                  <c:v>6.5</c:v>
                </c:pt>
                <c:pt idx="91">
                  <c:v>6.5</c:v>
                </c:pt>
                <c:pt idx="92">
                  <c:v>6.5</c:v>
                </c:pt>
                <c:pt idx="93">
                  <c:v>6.5</c:v>
                </c:pt>
                <c:pt idx="94">
                  <c:v>6.4481000000000037</c:v>
                </c:pt>
                <c:pt idx="95">
                  <c:v>6.5</c:v>
                </c:pt>
                <c:pt idx="96">
                  <c:v>6.5</c:v>
                </c:pt>
                <c:pt idx="97">
                  <c:v>6.5</c:v>
                </c:pt>
                <c:pt idx="98">
                  <c:v>6.5</c:v>
                </c:pt>
                <c:pt idx="99">
                  <c:v>6.6499999999999986</c:v>
                </c:pt>
                <c:pt idx="100">
                  <c:v>7</c:v>
                </c:pt>
                <c:pt idx="101">
                  <c:v>6.2428000000000026</c:v>
                </c:pt>
                <c:pt idx="102">
                  <c:v>5.7000000000000028</c:v>
                </c:pt>
                <c:pt idx="103">
                  <c:v>5.9022000000000006</c:v>
                </c:pt>
                <c:pt idx="104">
                  <c:v>5.2235999999999976</c:v>
                </c:pt>
                <c:pt idx="105">
                  <c:v>4.213000000000001</c:v>
                </c:pt>
                <c:pt idx="106">
                  <c:v>2.9794999999999945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2.8928000000000011</c:v>
                </c:pt>
                <c:pt idx="123">
                  <c:v>2.75</c:v>
                </c:pt>
                <c:pt idx="124">
                  <c:v>2.75</c:v>
                </c:pt>
                <c:pt idx="125">
                  <c:v>2.75</c:v>
                </c:pt>
                <c:pt idx="126">
                  <c:v>2.75</c:v>
                </c:pt>
                <c:pt idx="127">
                  <c:v>2.7480999999999938</c:v>
                </c:pt>
                <c:pt idx="128">
                  <c:v>2.75</c:v>
                </c:pt>
                <c:pt idx="129">
                  <c:v>2.7064999999999984</c:v>
                </c:pt>
                <c:pt idx="130">
                  <c:v>2.75</c:v>
                </c:pt>
                <c:pt idx="131">
                  <c:v>2.75</c:v>
                </c:pt>
                <c:pt idx="132">
                  <c:v>2.75</c:v>
                </c:pt>
                <c:pt idx="133">
                  <c:v>2.7499999999999964</c:v>
                </c:pt>
                <c:pt idx="134">
                  <c:v>2.7203000000000017</c:v>
                </c:pt>
                <c:pt idx="135">
                  <c:v>3.8882000000000048</c:v>
                </c:pt>
                <c:pt idx="136">
                  <c:v>3.0119000000000042</c:v>
                </c:pt>
                <c:pt idx="137">
                  <c:v>2.75</c:v>
                </c:pt>
                <c:pt idx="138">
                  <c:v>2.7499999999999964</c:v>
                </c:pt>
                <c:pt idx="139">
                  <c:v>2.7260999999999989</c:v>
                </c:pt>
                <c:pt idx="140">
                  <c:v>2.5</c:v>
                </c:pt>
                <c:pt idx="141">
                  <c:v>2.5</c:v>
                </c:pt>
                <c:pt idx="142">
                  <c:v>2.5</c:v>
                </c:pt>
                <c:pt idx="143">
                  <c:v>2.4999999999999964</c:v>
                </c:pt>
                <c:pt idx="144">
                  <c:v>2.5</c:v>
                </c:pt>
                <c:pt idx="145">
                  <c:v>2.5</c:v>
                </c:pt>
                <c:pt idx="146">
                  <c:v>2.4999999999999964</c:v>
                </c:pt>
                <c:pt idx="147">
                  <c:v>2.5</c:v>
                </c:pt>
                <c:pt idx="148">
                  <c:v>2.5</c:v>
                </c:pt>
                <c:pt idx="149">
                  <c:v>2.5</c:v>
                </c:pt>
                <c:pt idx="150">
                  <c:v>2.5</c:v>
                </c:pt>
                <c:pt idx="151">
                  <c:v>2.5</c:v>
                </c:pt>
                <c:pt idx="152">
                  <c:v>2.5</c:v>
                </c:pt>
                <c:pt idx="153">
                  <c:v>2.5</c:v>
                </c:pt>
                <c:pt idx="154">
                  <c:v>2.5</c:v>
                </c:pt>
                <c:pt idx="155">
                  <c:v>2.5</c:v>
                </c:pt>
                <c:pt idx="156">
                  <c:v>2.5</c:v>
                </c:pt>
                <c:pt idx="157">
                  <c:v>2.5</c:v>
                </c:pt>
                <c:pt idx="158">
                  <c:v>2.5</c:v>
                </c:pt>
                <c:pt idx="159">
                  <c:v>2.5000000000000036</c:v>
                </c:pt>
                <c:pt idx="160">
                  <c:v>2.4631999999999969</c:v>
                </c:pt>
                <c:pt idx="161">
                  <c:v>2.4999999999999964</c:v>
                </c:pt>
                <c:pt idx="162">
                  <c:v>2.5</c:v>
                </c:pt>
                <c:pt idx="163">
                  <c:v>2.5</c:v>
                </c:pt>
                <c:pt idx="164">
                  <c:v>2.5</c:v>
                </c:pt>
                <c:pt idx="165">
                  <c:v>2.5</c:v>
                </c:pt>
                <c:pt idx="166">
                  <c:v>2.5</c:v>
                </c:pt>
                <c:pt idx="167">
                  <c:v>2.5</c:v>
                </c:pt>
                <c:pt idx="168">
                  <c:v>2.5000000000000036</c:v>
                </c:pt>
                <c:pt idx="169">
                  <c:v>2.5</c:v>
                </c:pt>
                <c:pt idx="170">
                  <c:v>2.4999999999999964</c:v>
                </c:pt>
                <c:pt idx="171">
                  <c:v>2.5</c:v>
                </c:pt>
                <c:pt idx="172">
                  <c:v>2.5</c:v>
                </c:pt>
                <c:pt idx="173">
                  <c:v>2.5</c:v>
                </c:pt>
                <c:pt idx="174">
                  <c:v>2.5</c:v>
                </c:pt>
                <c:pt idx="175">
                  <c:v>2.5</c:v>
                </c:pt>
                <c:pt idx="176">
                  <c:v>2.5</c:v>
                </c:pt>
                <c:pt idx="177">
                  <c:v>2.5</c:v>
                </c:pt>
                <c:pt idx="178">
                  <c:v>3.452300000000001</c:v>
                </c:pt>
                <c:pt idx="179">
                  <c:v>3.75</c:v>
                </c:pt>
                <c:pt idx="180">
                  <c:v>3.75</c:v>
                </c:pt>
                <c:pt idx="181">
                  <c:v>3.3288999999999973</c:v>
                </c:pt>
                <c:pt idx="182">
                  <c:v>3.1499999999999986</c:v>
                </c:pt>
                <c:pt idx="183">
                  <c:v>3.1499999999999986</c:v>
                </c:pt>
                <c:pt idx="184">
                  <c:v>3.1499999999999986</c:v>
                </c:pt>
                <c:pt idx="185">
                  <c:v>3.1499999999999986</c:v>
                </c:pt>
                <c:pt idx="186">
                  <c:v>3.1500000000000021</c:v>
                </c:pt>
                <c:pt idx="187">
                  <c:v>3.1500000000000021</c:v>
                </c:pt>
                <c:pt idx="188">
                  <c:v>3.1500000000000021</c:v>
                </c:pt>
                <c:pt idx="189">
                  <c:v>3.1500000000000021</c:v>
                </c:pt>
                <c:pt idx="190">
                  <c:v>3.1500000000000021</c:v>
                </c:pt>
                <c:pt idx="191">
                  <c:v>3.1499999999999986</c:v>
                </c:pt>
                <c:pt idx="192">
                  <c:v>3.1499999999999986</c:v>
                </c:pt>
                <c:pt idx="193">
                  <c:v>3.1500000000000021</c:v>
                </c:pt>
                <c:pt idx="194">
                  <c:v>3.1499999999999986</c:v>
                </c:pt>
                <c:pt idx="195">
                  <c:v>3.1500000000000021</c:v>
                </c:pt>
                <c:pt idx="196">
                  <c:v>3.1500000000000021</c:v>
                </c:pt>
                <c:pt idx="197">
                  <c:v>3.1499999999999986</c:v>
                </c:pt>
                <c:pt idx="198">
                  <c:v>3.1091000000000015</c:v>
                </c:pt>
                <c:pt idx="199">
                  <c:v>3.1499999999999986</c:v>
                </c:pt>
                <c:pt idx="200">
                  <c:v>3.1499999999999986</c:v>
                </c:pt>
                <c:pt idx="201">
                  <c:v>3.1499999999999986</c:v>
                </c:pt>
                <c:pt idx="202">
                  <c:v>3.1499999999999986</c:v>
                </c:pt>
                <c:pt idx="203">
                  <c:v>3.5113999999999947</c:v>
                </c:pt>
                <c:pt idx="204">
                  <c:v>3</c:v>
                </c:pt>
                <c:pt idx="205">
                  <c:v>2.1315999999999988</c:v>
                </c:pt>
                <c:pt idx="206">
                  <c:v>2.4782000000000011</c:v>
                </c:pt>
                <c:pt idx="207">
                  <c:v>6.428600000000003</c:v>
                </c:pt>
                <c:pt idx="208">
                  <c:v>15.625</c:v>
                </c:pt>
                <c:pt idx="209">
                  <c:v>20.5227</c:v>
                </c:pt>
                <c:pt idx="210">
                  <c:v>20.071399999999997</c:v>
                </c:pt>
                <c:pt idx="211">
                  <c:v>14.882352941176478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D-48E3-9585-4D8DCFB98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315688"/>
        <c:axId val="1219311096"/>
      </c:areaChart>
      <c:lineChart>
        <c:grouping val="standard"/>
        <c:varyColors val="0"/>
        <c:ser>
          <c:idx val="1"/>
          <c:order val="1"/>
          <c:tx>
            <c:v>Crude</c:v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val>
            <c:numRef>
              <c:f>'SB RBD v Crude'!$B$2:$B$213</c:f>
              <c:numCache>
                <c:formatCode>0.00</c:formatCode>
                <c:ptCount val="212"/>
                <c:pt idx="0">
                  <c:v>31.001000000000001</c:v>
                </c:pt>
                <c:pt idx="1">
                  <c:v>33.717300000000002</c:v>
                </c:pt>
                <c:pt idx="2">
                  <c:v>34.973199999999999</c:v>
                </c:pt>
                <c:pt idx="3">
                  <c:v>34.127600000000001</c:v>
                </c:pt>
                <c:pt idx="4">
                  <c:v>32.732500000000002</c:v>
                </c:pt>
                <c:pt idx="5">
                  <c:v>30.426100000000002</c:v>
                </c:pt>
                <c:pt idx="6">
                  <c:v>29.1004</c:v>
                </c:pt>
                <c:pt idx="7">
                  <c:v>26.617699999999999</c:v>
                </c:pt>
                <c:pt idx="8">
                  <c:v>26.321400000000001</c:v>
                </c:pt>
                <c:pt idx="9">
                  <c:v>23.790400000000002</c:v>
                </c:pt>
                <c:pt idx="10">
                  <c:v>23.616</c:v>
                </c:pt>
                <c:pt idx="11">
                  <c:v>22.8004</c:v>
                </c:pt>
                <c:pt idx="12">
                  <c:v>21.3202</c:v>
                </c:pt>
                <c:pt idx="13">
                  <c:v>21.3215</c:v>
                </c:pt>
                <c:pt idx="14">
                  <c:v>24.710899999999999</c:v>
                </c:pt>
                <c:pt idx="15">
                  <c:v>24.117100000000001</c:v>
                </c:pt>
                <c:pt idx="16">
                  <c:v>24.2895</c:v>
                </c:pt>
                <c:pt idx="17">
                  <c:v>25.426300000000001</c:v>
                </c:pt>
                <c:pt idx="18">
                  <c:v>26.109000000000002</c:v>
                </c:pt>
                <c:pt idx="19">
                  <c:v>24.320399999999999</c:v>
                </c:pt>
                <c:pt idx="20">
                  <c:v>23.98</c:v>
                </c:pt>
                <c:pt idx="21">
                  <c:v>25.0838</c:v>
                </c:pt>
                <c:pt idx="22">
                  <c:v>23.339500000000001</c:v>
                </c:pt>
                <c:pt idx="23">
                  <c:v>21.624500000000001</c:v>
                </c:pt>
                <c:pt idx="24">
                  <c:v>21.944500000000001</c:v>
                </c:pt>
                <c:pt idx="25">
                  <c:v>22.109400000000001</c:v>
                </c:pt>
                <c:pt idx="26">
                  <c:v>22.050799999999999</c:v>
                </c:pt>
                <c:pt idx="27">
                  <c:v>21.936800000000002</c:v>
                </c:pt>
                <c:pt idx="28">
                  <c:v>23.943999999999999</c:v>
                </c:pt>
                <c:pt idx="29">
                  <c:v>24.203099999999999</c:v>
                </c:pt>
                <c:pt idx="30">
                  <c:v>25.632000000000001</c:v>
                </c:pt>
                <c:pt idx="31">
                  <c:v>24.098199999999999</c:v>
                </c:pt>
                <c:pt idx="32">
                  <c:v>25.096699999999998</c:v>
                </c:pt>
                <c:pt idx="33">
                  <c:v>27.559699999999999</c:v>
                </c:pt>
                <c:pt idx="34">
                  <c:v>29.593499999999999</c:v>
                </c:pt>
                <c:pt idx="35">
                  <c:v>29.618200000000002</c:v>
                </c:pt>
                <c:pt idx="36">
                  <c:v>28.135200000000001</c:v>
                </c:pt>
                <c:pt idx="37">
                  <c:v>28.140699999999999</c:v>
                </c:pt>
                <c:pt idx="38">
                  <c:v>29.5686</c:v>
                </c:pt>
                <c:pt idx="39">
                  <c:v>31.185199999999998</c:v>
                </c:pt>
                <c:pt idx="40">
                  <c:v>33.0486</c:v>
                </c:pt>
                <c:pt idx="41">
                  <c:v>34.396099999999997</c:v>
                </c:pt>
                <c:pt idx="42">
                  <c:v>35.831899999999997</c:v>
                </c:pt>
                <c:pt idx="43">
                  <c:v>35.686</c:v>
                </c:pt>
                <c:pt idx="44">
                  <c:v>39.362099999999998</c:v>
                </c:pt>
                <c:pt idx="45">
                  <c:v>39.899099999999997</c:v>
                </c:pt>
                <c:pt idx="46">
                  <c:v>43.920499999999997</c:v>
                </c:pt>
                <c:pt idx="47">
                  <c:v>45.820999999999998</c:v>
                </c:pt>
                <c:pt idx="48">
                  <c:v>50.387099999999997</c:v>
                </c:pt>
                <c:pt idx="49">
                  <c:v>56.743499999999997</c:v>
                </c:pt>
                <c:pt idx="50">
                  <c:v>57.828000000000003</c:v>
                </c:pt>
                <c:pt idx="51">
                  <c:v>56.948599999999999</c:v>
                </c:pt>
                <c:pt idx="52">
                  <c:v>59.425699999999999</c:v>
                </c:pt>
                <c:pt idx="53">
                  <c:v>63.537999999999997</c:v>
                </c:pt>
                <c:pt idx="54">
                  <c:v>60.8354</c:v>
                </c:pt>
                <c:pt idx="55">
                  <c:v>50.959000000000003</c:v>
                </c:pt>
                <c:pt idx="56">
                  <c:v>46.264699999999998</c:v>
                </c:pt>
                <c:pt idx="57">
                  <c:v>35.857799999999997</c:v>
                </c:pt>
                <c:pt idx="58">
                  <c:v>32.045200000000001</c:v>
                </c:pt>
                <c:pt idx="59">
                  <c:v>29.66</c:v>
                </c:pt>
                <c:pt idx="60">
                  <c:v>32.347999999999999</c:v>
                </c:pt>
                <c:pt idx="61">
                  <c:v>29.296800000000001</c:v>
                </c:pt>
                <c:pt idx="62">
                  <c:v>28.515899999999998</c:v>
                </c:pt>
                <c:pt idx="63">
                  <c:v>32.925699999999999</c:v>
                </c:pt>
                <c:pt idx="64">
                  <c:v>36.154000000000003</c:v>
                </c:pt>
                <c:pt idx="65">
                  <c:v>35.725900000000003</c:v>
                </c:pt>
                <c:pt idx="66">
                  <c:v>31.801300000000001</c:v>
                </c:pt>
                <c:pt idx="67">
                  <c:v>33.726100000000002</c:v>
                </c:pt>
                <c:pt idx="68">
                  <c:v>31.0519</c:v>
                </c:pt>
                <c:pt idx="69">
                  <c:v>33.159999999999997</c:v>
                </c:pt>
                <c:pt idx="70">
                  <c:v>36.672499999999999</c:v>
                </c:pt>
                <c:pt idx="71">
                  <c:v>36.9345</c:v>
                </c:pt>
                <c:pt idx="72">
                  <c:v>34.955199999999998</c:v>
                </c:pt>
                <c:pt idx="73">
                  <c:v>34.646299999999997</c:v>
                </c:pt>
                <c:pt idx="74">
                  <c:v>36.312100000000001</c:v>
                </c:pt>
                <c:pt idx="75">
                  <c:v>37.2057</c:v>
                </c:pt>
                <c:pt idx="76">
                  <c:v>35.6205</c:v>
                </c:pt>
                <c:pt idx="77">
                  <c:v>34.671300000000002</c:v>
                </c:pt>
                <c:pt idx="78">
                  <c:v>35.252299999999998</c:v>
                </c:pt>
                <c:pt idx="79">
                  <c:v>37.667700000000004</c:v>
                </c:pt>
                <c:pt idx="80">
                  <c:v>39.183300000000003</c:v>
                </c:pt>
                <c:pt idx="81">
                  <c:v>44.077100000000002</c:v>
                </c:pt>
                <c:pt idx="82">
                  <c:v>47.570900000000002</c:v>
                </c:pt>
                <c:pt idx="83">
                  <c:v>51.527700000000003</c:v>
                </c:pt>
                <c:pt idx="84">
                  <c:v>53.770499999999998</c:v>
                </c:pt>
                <c:pt idx="85">
                  <c:v>54.136800000000001</c:v>
                </c:pt>
                <c:pt idx="86">
                  <c:v>53.965200000000003</c:v>
                </c:pt>
                <c:pt idx="87">
                  <c:v>56.638500000000001</c:v>
                </c:pt>
                <c:pt idx="88">
                  <c:v>56.079500000000003</c:v>
                </c:pt>
                <c:pt idx="89">
                  <c:v>55.728999999999999</c:v>
                </c:pt>
                <c:pt idx="90">
                  <c:v>55.262</c:v>
                </c:pt>
                <c:pt idx="91">
                  <c:v>54.3504</c:v>
                </c:pt>
                <c:pt idx="92">
                  <c:v>54.9619</c:v>
                </c:pt>
                <c:pt idx="93">
                  <c:v>51.9923</c:v>
                </c:pt>
                <c:pt idx="94">
                  <c:v>51.777999999999999</c:v>
                </c:pt>
                <c:pt idx="95">
                  <c:v>50.292299999999997</c:v>
                </c:pt>
                <c:pt idx="96">
                  <c:v>51.107500000000002</c:v>
                </c:pt>
                <c:pt idx="97">
                  <c:v>52.405500000000004</c:v>
                </c:pt>
                <c:pt idx="98">
                  <c:v>53.419499999999999</c:v>
                </c:pt>
                <c:pt idx="99">
                  <c:v>54.942</c:v>
                </c:pt>
                <c:pt idx="100">
                  <c:v>50.7714</c:v>
                </c:pt>
                <c:pt idx="101">
                  <c:v>49.552399999999999</c:v>
                </c:pt>
                <c:pt idx="102">
                  <c:v>53.4193</c:v>
                </c:pt>
                <c:pt idx="103">
                  <c:v>52.329099999999997</c:v>
                </c:pt>
                <c:pt idx="104">
                  <c:v>53.433199999999999</c:v>
                </c:pt>
                <c:pt idx="105">
                  <c:v>50.186999999999998</c:v>
                </c:pt>
                <c:pt idx="106">
                  <c:v>48.317300000000003</c:v>
                </c:pt>
                <c:pt idx="107">
                  <c:v>49.616999999999997</c:v>
                </c:pt>
                <c:pt idx="108">
                  <c:v>51.557099999999998</c:v>
                </c:pt>
                <c:pt idx="109">
                  <c:v>52.244199999999999</c:v>
                </c:pt>
                <c:pt idx="110">
                  <c:v>51.25</c:v>
                </c:pt>
                <c:pt idx="111">
                  <c:v>51.625500000000002</c:v>
                </c:pt>
                <c:pt idx="112">
                  <c:v>52.540500000000002</c:v>
                </c:pt>
                <c:pt idx="113">
                  <c:v>51.329500000000003</c:v>
                </c:pt>
                <c:pt idx="114">
                  <c:v>48.377000000000002</c:v>
                </c:pt>
                <c:pt idx="115">
                  <c:v>45.105899999999998</c:v>
                </c:pt>
                <c:pt idx="116">
                  <c:v>45.637999999999998</c:v>
                </c:pt>
                <c:pt idx="117">
                  <c:v>44.160899999999998</c:v>
                </c:pt>
                <c:pt idx="118">
                  <c:v>40.981499999999997</c:v>
                </c:pt>
                <c:pt idx="119">
                  <c:v>39.730499999999999</c:v>
                </c:pt>
                <c:pt idx="120">
                  <c:v>37.824300000000001</c:v>
                </c:pt>
                <c:pt idx="121">
                  <c:v>39.642600000000002</c:v>
                </c:pt>
                <c:pt idx="122">
                  <c:v>41.254300000000001</c:v>
                </c:pt>
                <c:pt idx="123">
                  <c:v>42.012900000000002</c:v>
                </c:pt>
                <c:pt idx="124">
                  <c:v>41.364800000000002</c:v>
                </c:pt>
                <c:pt idx="125">
                  <c:v>40.8767</c:v>
                </c:pt>
                <c:pt idx="126">
                  <c:v>39.006399999999999</c:v>
                </c:pt>
                <c:pt idx="127">
                  <c:v>36.390500000000003</c:v>
                </c:pt>
                <c:pt idx="128">
                  <c:v>35.086199999999998</c:v>
                </c:pt>
                <c:pt idx="129">
                  <c:v>35.61</c:v>
                </c:pt>
                <c:pt idx="130">
                  <c:v>34.6432</c:v>
                </c:pt>
                <c:pt idx="131">
                  <c:v>32.640500000000003</c:v>
                </c:pt>
                <c:pt idx="132">
                  <c:v>32.327500000000001</c:v>
                </c:pt>
                <c:pt idx="133">
                  <c:v>31.0395</c:v>
                </c:pt>
                <c:pt idx="134">
                  <c:v>30.526800000000001</c:v>
                </c:pt>
                <c:pt idx="135">
                  <c:v>31.492899999999999</c:v>
                </c:pt>
                <c:pt idx="136">
                  <c:v>32.638599999999997</c:v>
                </c:pt>
                <c:pt idx="137">
                  <c:v>33.787300000000002</c:v>
                </c:pt>
                <c:pt idx="138">
                  <c:v>31.863600000000002</c:v>
                </c:pt>
                <c:pt idx="139">
                  <c:v>28.751000000000001</c:v>
                </c:pt>
                <c:pt idx="140">
                  <c:v>26.0471</c:v>
                </c:pt>
                <c:pt idx="141">
                  <c:v>27.3005</c:v>
                </c:pt>
                <c:pt idx="142">
                  <c:v>26.5715</c:v>
                </c:pt>
                <c:pt idx="143">
                  <c:v>29.5136</c:v>
                </c:pt>
                <c:pt idx="144">
                  <c:v>28.7942</c:v>
                </c:pt>
                <c:pt idx="145">
                  <c:v>29.657499999999999</c:v>
                </c:pt>
                <c:pt idx="146">
                  <c:v>30.976400000000002</c:v>
                </c:pt>
                <c:pt idx="147">
                  <c:v>32.441000000000003</c:v>
                </c:pt>
                <c:pt idx="148">
                  <c:v>30.578600000000002</c:v>
                </c:pt>
                <c:pt idx="149">
                  <c:v>30.517299999999999</c:v>
                </c:pt>
                <c:pt idx="150">
                  <c:v>29</c:v>
                </c:pt>
                <c:pt idx="151">
                  <c:v>31.555700000000002</c:v>
                </c:pt>
                <c:pt idx="152">
                  <c:v>32.965200000000003</c:v>
                </c:pt>
                <c:pt idx="153">
                  <c:v>33.634300000000003</c:v>
                </c:pt>
                <c:pt idx="154">
                  <c:v>34.286200000000001</c:v>
                </c:pt>
                <c:pt idx="155">
                  <c:v>35.348100000000002</c:v>
                </c:pt>
                <c:pt idx="156">
                  <c:v>33.611499999999999</c:v>
                </c:pt>
                <c:pt idx="157">
                  <c:v>32.282600000000002</c:v>
                </c:pt>
                <c:pt idx="158">
                  <c:v>30.862200000000001</c:v>
                </c:pt>
                <c:pt idx="159">
                  <c:v>29.6174</c:v>
                </c:pt>
                <c:pt idx="160">
                  <c:v>30.7409</c:v>
                </c:pt>
                <c:pt idx="161">
                  <c:v>30.7773</c:v>
                </c:pt>
                <c:pt idx="162">
                  <c:v>32.71</c:v>
                </c:pt>
                <c:pt idx="163">
                  <c:v>33.159599999999998</c:v>
                </c:pt>
                <c:pt idx="164">
                  <c:v>33.292499999999997</c:v>
                </c:pt>
                <c:pt idx="165">
                  <c:v>32.137700000000002</c:v>
                </c:pt>
                <c:pt idx="166">
                  <c:v>33.315199999999997</c:v>
                </c:pt>
                <c:pt idx="167">
                  <c:v>32.183500000000002</c:v>
                </c:pt>
                <c:pt idx="168">
                  <c:v>31.826699999999999</c:v>
                </c:pt>
                <c:pt idx="169">
                  <c:v>30.642600000000002</c:v>
                </c:pt>
                <c:pt idx="170">
                  <c:v>30.284800000000001</c:v>
                </c:pt>
                <c:pt idx="171">
                  <c:v>29.698599999999999</c:v>
                </c:pt>
                <c:pt idx="172">
                  <c:v>29.436800000000002</c:v>
                </c:pt>
                <c:pt idx="173">
                  <c:v>28.221</c:v>
                </c:pt>
                <c:pt idx="174">
                  <c:v>27.185700000000001</c:v>
                </c:pt>
                <c:pt idx="175">
                  <c:v>27.67</c:v>
                </c:pt>
                <c:pt idx="176">
                  <c:v>27.776299999999999</c:v>
                </c:pt>
                <c:pt idx="177">
                  <c:v>28.938700000000001</c:v>
                </c:pt>
                <c:pt idx="178">
                  <c:v>27.491</c:v>
                </c:pt>
                <c:pt idx="179">
                  <c:v>28.122499999999999</c:v>
                </c:pt>
                <c:pt idx="180">
                  <c:v>28.567599999999999</c:v>
                </c:pt>
                <c:pt idx="181">
                  <c:v>29.575800000000001</c:v>
                </c:pt>
                <c:pt idx="182">
                  <c:v>28.64</c:v>
                </c:pt>
                <c:pt idx="183">
                  <c:v>27.8781</c:v>
                </c:pt>
                <c:pt idx="184">
                  <c:v>26.981400000000001</c:v>
                </c:pt>
                <c:pt idx="185">
                  <c:v>28.240500000000001</c:v>
                </c:pt>
                <c:pt idx="186">
                  <c:v>28.273199999999999</c:v>
                </c:pt>
                <c:pt idx="187">
                  <c:v>28.370899999999999</c:v>
                </c:pt>
                <c:pt idx="188">
                  <c:v>28.812999999999999</c:v>
                </c:pt>
                <c:pt idx="189">
                  <c:v>30.1191</c:v>
                </c:pt>
                <c:pt idx="190">
                  <c:v>30.616499999999998</c:v>
                </c:pt>
                <c:pt idx="191">
                  <c:v>32.232399999999998</c:v>
                </c:pt>
                <c:pt idx="192">
                  <c:v>32.942900000000002</c:v>
                </c:pt>
                <c:pt idx="193">
                  <c:v>30.282599999999999</c:v>
                </c:pt>
                <c:pt idx="194">
                  <c:v>27.026800000000001</c:v>
                </c:pt>
                <c:pt idx="195">
                  <c:v>25.652899999999999</c:v>
                </c:pt>
                <c:pt idx="196">
                  <c:v>25.2685</c:v>
                </c:pt>
                <c:pt idx="197">
                  <c:v>26.614100000000001</c:v>
                </c:pt>
                <c:pt idx="198">
                  <c:v>28.701799999999999</c:v>
                </c:pt>
                <c:pt idx="199">
                  <c:v>31.992899999999999</c:v>
                </c:pt>
                <c:pt idx="200">
                  <c:v>34.067599999999999</c:v>
                </c:pt>
                <c:pt idx="201">
                  <c:v>33.876800000000003</c:v>
                </c:pt>
                <c:pt idx="202">
                  <c:v>37.952500000000001</c:v>
                </c:pt>
                <c:pt idx="203">
                  <c:v>42.207700000000003</c:v>
                </c:pt>
                <c:pt idx="204">
                  <c:v>46.417400000000001</c:v>
                </c:pt>
                <c:pt idx="205">
                  <c:v>50.4726</c:v>
                </c:pt>
                <c:pt idx="206">
                  <c:v>60.130899999999997</c:v>
                </c:pt>
                <c:pt idx="207">
                  <c:v>65.338099999999997</c:v>
                </c:pt>
                <c:pt idx="208">
                  <c:v>77.164500000000004</c:v>
                </c:pt>
                <c:pt idx="209">
                  <c:v>76.834100000000007</c:v>
                </c:pt>
                <c:pt idx="210">
                  <c:v>72.721900000000005</c:v>
                </c:pt>
                <c:pt idx="211">
                  <c:v>69.002941176470571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ED-48E3-9585-4D8DCFB9830D}"/>
            </c:ext>
          </c:extLst>
        </c:ser>
        <c:ser>
          <c:idx val="2"/>
          <c:order val="2"/>
          <c:tx>
            <c:v>RBD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'SB RBD v Crude'!$C$2:$C$213</c:f>
              <c:numCache>
                <c:formatCode>0.00</c:formatCode>
                <c:ptCount val="212"/>
                <c:pt idx="0">
                  <c:v>35.913499999999999</c:v>
                </c:pt>
                <c:pt idx="1">
                  <c:v>38.44</c:v>
                </c:pt>
                <c:pt idx="2">
                  <c:v>39.865600000000001</c:v>
                </c:pt>
                <c:pt idx="3">
                  <c:v>39.403300000000002</c:v>
                </c:pt>
                <c:pt idx="4">
                  <c:v>37.982500000000002</c:v>
                </c:pt>
                <c:pt idx="5">
                  <c:v>35.838000000000001</c:v>
                </c:pt>
                <c:pt idx="6">
                  <c:v>34.119500000000002</c:v>
                </c:pt>
                <c:pt idx="7">
                  <c:v>31.6586</c:v>
                </c:pt>
                <c:pt idx="8">
                  <c:v>32.369</c:v>
                </c:pt>
                <c:pt idx="9">
                  <c:v>28.790400000000002</c:v>
                </c:pt>
                <c:pt idx="10">
                  <c:v>28.616</c:v>
                </c:pt>
                <c:pt idx="11">
                  <c:v>27.8004</c:v>
                </c:pt>
                <c:pt idx="12">
                  <c:v>26.3202</c:v>
                </c:pt>
                <c:pt idx="13">
                  <c:v>26.3215</c:v>
                </c:pt>
                <c:pt idx="14">
                  <c:v>29.710899999999999</c:v>
                </c:pt>
                <c:pt idx="15">
                  <c:v>29.117100000000001</c:v>
                </c:pt>
                <c:pt idx="16">
                  <c:v>29.2895</c:v>
                </c:pt>
                <c:pt idx="17">
                  <c:v>30.426300000000001</c:v>
                </c:pt>
                <c:pt idx="18">
                  <c:v>31.109000000000002</c:v>
                </c:pt>
                <c:pt idx="19">
                  <c:v>29.320399999999999</c:v>
                </c:pt>
                <c:pt idx="20">
                  <c:v>28.98</c:v>
                </c:pt>
                <c:pt idx="21">
                  <c:v>30.0838</c:v>
                </c:pt>
                <c:pt idx="22">
                  <c:v>28.339500000000001</c:v>
                </c:pt>
                <c:pt idx="23">
                  <c:v>26.624500000000001</c:v>
                </c:pt>
                <c:pt idx="24">
                  <c:v>26.944500000000001</c:v>
                </c:pt>
                <c:pt idx="25">
                  <c:v>26.583100000000002</c:v>
                </c:pt>
                <c:pt idx="26">
                  <c:v>25.7895</c:v>
                </c:pt>
                <c:pt idx="27">
                  <c:v>25.581499999999998</c:v>
                </c:pt>
                <c:pt idx="28">
                  <c:v>27.344000000000001</c:v>
                </c:pt>
                <c:pt idx="29">
                  <c:v>27.203099999999999</c:v>
                </c:pt>
                <c:pt idx="30">
                  <c:v>28.882000000000001</c:v>
                </c:pt>
                <c:pt idx="31">
                  <c:v>27.305599999999998</c:v>
                </c:pt>
                <c:pt idx="32">
                  <c:v>28.0105</c:v>
                </c:pt>
                <c:pt idx="33">
                  <c:v>31.093800000000002</c:v>
                </c:pt>
                <c:pt idx="34">
                  <c:v>33.213500000000003</c:v>
                </c:pt>
                <c:pt idx="35">
                  <c:v>32.731999999999999</c:v>
                </c:pt>
                <c:pt idx="36">
                  <c:v>30.901499999999999</c:v>
                </c:pt>
                <c:pt idx="37">
                  <c:v>31.207799999999999</c:v>
                </c:pt>
                <c:pt idx="38">
                  <c:v>32.393599999999999</c:v>
                </c:pt>
                <c:pt idx="39">
                  <c:v>34.120699999999999</c:v>
                </c:pt>
                <c:pt idx="40">
                  <c:v>36.6509</c:v>
                </c:pt>
                <c:pt idx="41">
                  <c:v>37.953299999999999</c:v>
                </c:pt>
                <c:pt idx="42">
                  <c:v>39.008000000000003</c:v>
                </c:pt>
                <c:pt idx="43">
                  <c:v>38.61</c:v>
                </c:pt>
                <c:pt idx="44">
                  <c:v>41.862099999999998</c:v>
                </c:pt>
                <c:pt idx="45">
                  <c:v>42.746899999999997</c:v>
                </c:pt>
                <c:pt idx="46">
                  <c:v>47.295499999999997</c:v>
                </c:pt>
                <c:pt idx="47">
                  <c:v>48.494500000000002</c:v>
                </c:pt>
                <c:pt idx="48">
                  <c:v>53.327599999999997</c:v>
                </c:pt>
                <c:pt idx="49">
                  <c:v>60.968499999999999</c:v>
                </c:pt>
                <c:pt idx="50">
                  <c:v>63.777999999999999</c:v>
                </c:pt>
                <c:pt idx="51">
                  <c:v>61.948599999999999</c:v>
                </c:pt>
                <c:pt idx="52">
                  <c:v>64.878</c:v>
                </c:pt>
                <c:pt idx="53">
                  <c:v>69.037999999999997</c:v>
                </c:pt>
                <c:pt idx="54">
                  <c:v>66.426299999999998</c:v>
                </c:pt>
                <c:pt idx="55">
                  <c:v>56.447099999999999</c:v>
                </c:pt>
                <c:pt idx="56">
                  <c:v>51.740900000000003</c:v>
                </c:pt>
                <c:pt idx="57">
                  <c:v>40.857799999999997</c:v>
                </c:pt>
                <c:pt idx="58">
                  <c:v>36.5715</c:v>
                </c:pt>
                <c:pt idx="59">
                  <c:v>33.659999999999997</c:v>
                </c:pt>
                <c:pt idx="60">
                  <c:v>36.347999999999999</c:v>
                </c:pt>
                <c:pt idx="61">
                  <c:v>32.678400000000003</c:v>
                </c:pt>
                <c:pt idx="62">
                  <c:v>31.515899999999998</c:v>
                </c:pt>
                <c:pt idx="63">
                  <c:v>35.711399999999998</c:v>
                </c:pt>
                <c:pt idx="64">
                  <c:v>39.154000000000003</c:v>
                </c:pt>
                <c:pt idx="65">
                  <c:v>38.725900000000003</c:v>
                </c:pt>
                <c:pt idx="66">
                  <c:v>34.801299999999998</c:v>
                </c:pt>
                <c:pt idx="67">
                  <c:v>36.726100000000002</c:v>
                </c:pt>
                <c:pt idx="68">
                  <c:v>34.051900000000003</c:v>
                </c:pt>
                <c:pt idx="69">
                  <c:v>36.159999999999997</c:v>
                </c:pt>
                <c:pt idx="70">
                  <c:v>39.672499999999999</c:v>
                </c:pt>
                <c:pt idx="71">
                  <c:v>39.752699999999997</c:v>
                </c:pt>
                <c:pt idx="72">
                  <c:v>36.955199999999998</c:v>
                </c:pt>
                <c:pt idx="73">
                  <c:v>36.646299999999997</c:v>
                </c:pt>
                <c:pt idx="74">
                  <c:v>38.312100000000001</c:v>
                </c:pt>
                <c:pt idx="75">
                  <c:v>39.2057</c:v>
                </c:pt>
                <c:pt idx="76">
                  <c:v>37.6205</c:v>
                </c:pt>
                <c:pt idx="77">
                  <c:v>36.671300000000002</c:v>
                </c:pt>
                <c:pt idx="78">
                  <c:v>37.252299999999998</c:v>
                </c:pt>
                <c:pt idx="79">
                  <c:v>39.667700000000004</c:v>
                </c:pt>
                <c:pt idx="80">
                  <c:v>42.183300000000003</c:v>
                </c:pt>
                <c:pt idx="81">
                  <c:v>47.577100000000002</c:v>
                </c:pt>
                <c:pt idx="82">
                  <c:v>51.070900000000002</c:v>
                </c:pt>
                <c:pt idx="83">
                  <c:v>55.027700000000003</c:v>
                </c:pt>
                <c:pt idx="84">
                  <c:v>58.070500000000003</c:v>
                </c:pt>
                <c:pt idx="85">
                  <c:v>59.636800000000001</c:v>
                </c:pt>
                <c:pt idx="86">
                  <c:v>59.595599999999997</c:v>
                </c:pt>
                <c:pt idx="87">
                  <c:v>63.063499999999998</c:v>
                </c:pt>
                <c:pt idx="88">
                  <c:v>62.579500000000003</c:v>
                </c:pt>
                <c:pt idx="89">
                  <c:v>62.228999999999999</c:v>
                </c:pt>
                <c:pt idx="90">
                  <c:v>61.762</c:v>
                </c:pt>
                <c:pt idx="91">
                  <c:v>60.8504</c:v>
                </c:pt>
                <c:pt idx="92">
                  <c:v>61.4619</c:v>
                </c:pt>
                <c:pt idx="93">
                  <c:v>58.4923</c:v>
                </c:pt>
                <c:pt idx="94">
                  <c:v>58.226100000000002</c:v>
                </c:pt>
                <c:pt idx="95">
                  <c:v>56.792299999999997</c:v>
                </c:pt>
                <c:pt idx="96">
                  <c:v>57.607500000000002</c:v>
                </c:pt>
                <c:pt idx="97">
                  <c:v>58.905500000000004</c:v>
                </c:pt>
                <c:pt idx="98">
                  <c:v>59.919499999999999</c:v>
                </c:pt>
                <c:pt idx="99">
                  <c:v>61.591999999999999</c:v>
                </c:pt>
                <c:pt idx="100">
                  <c:v>57.7714</c:v>
                </c:pt>
                <c:pt idx="101">
                  <c:v>55.795200000000001</c:v>
                </c:pt>
                <c:pt idx="102">
                  <c:v>59.119300000000003</c:v>
                </c:pt>
                <c:pt idx="103">
                  <c:v>58.231299999999997</c:v>
                </c:pt>
                <c:pt idx="104">
                  <c:v>58.656799999999997</c:v>
                </c:pt>
                <c:pt idx="105">
                  <c:v>54.4</c:v>
                </c:pt>
                <c:pt idx="106">
                  <c:v>51.296799999999998</c:v>
                </c:pt>
                <c:pt idx="107">
                  <c:v>52.616999999999997</c:v>
                </c:pt>
                <c:pt idx="108">
                  <c:v>54.557099999999998</c:v>
                </c:pt>
                <c:pt idx="109">
                  <c:v>55.244199999999999</c:v>
                </c:pt>
                <c:pt idx="110">
                  <c:v>54.25</c:v>
                </c:pt>
                <c:pt idx="111">
                  <c:v>54.625500000000002</c:v>
                </c:pt>
                <c:pt idx="112">
                  <c:v>55.540500000000002</c:v>
                </c:pt>
                <c:pt idx="113">
                  <c:v>54.329500000000003</c:v>
                </c:pt>
                <c:pt idx="114">
                  <c:v>51.377000000000002</c:v>
                </c:pt>
                <c:pt idx="115">
                  <c:v>48.105899999999998</c:v>
                </c:pt>
                <c:pt idx="116">
                  <c:v>48.637999999999998</c:v>
                </c:pt>
                <c:pt idx="117">
                  <c:v>47.160899999999998</c:v>
                </c:pt>
                <c:pt idx="118">
                  <c:v>43.981499999999997</c:v>
                </c:pt>
                <c:pt idx="119">
                  <c:v>42.730499999999999</c:v>
                </c:pt>
                <c:pt idx="120">
                  <c:v>40.824300000000001</c:v>
                </c:pt>
                <c:pt idx="121">
                  <c:v>42.642600000000002</c:v>
                </c:pt>
                <c:pt idx="122">
                  <c:v>44.147100000000002</c:v>
                </c:pt>
                <c:pt idx="123">
                  <c:v>44.762900000000002</c:v>
                </c:pt>
                <c:pt idx="124">
                  <c:v>44.114800000000002</c:v>
                </c:pt>
                <c:pt idx="125">
                  <c:v>43.6267</c:v>
                </c:pt>
                <c:pt idx="126">
                  <c:v>41.756399999999999</c:v>
                </c:pt>
                <c:pt idx="127">
                  <c:v>39.138599999999997</c:v>
                </c:pt>
                <c:pt idx="128">
                  <c:v>37.836199999999998</c:v>
                </c:pt>
                <c:pt idx="129">
                  <c:v>38.316499999999998</c:v>
                </c:pt>
                <c:pt idx="130">
                  <c:v>37.3932</c:v>
                </c:pt>
                <c:pt idx="131">
                  <c:v>35.390500000000003</c:v>
                </c:pt>
                <c:pt idx="132">
                  <c:v>35.077500000000001</c:v>
                </c:pt>
                <c:pt idx="133">
                  <c:v>33.789499999999997</c:v>
                </c:pt>
                <c:pt idx="134">
                  <c:v>33.247100000000003</c:v>
                </c:pt>
                <c:pt idx="135">
                  <c:v>35.381100000000004</c:v>
                </c:pt>
                <c:pt idx="136">
                  <c:v>35.650500000000001</c:v>
                </c:pt>
                <c:pt idx="137">
                  <c:v>36.537300000000002</c:v>
                </c:pt>
                <c:pt idx="138">
                  <c:v>34.613599999999998</c:v>
                </c:pt>
                <c:pt idx="139">
                  <c:v>31.4771</c:v>
                </c:pt>
                <c:pt idx="140">
                  <c:v>28.5471</c:v>
                </c:pt>
                <c:pt idx="141">
                  <c:v>29.8005</c:v>
                </c:pt>
                <c:pt idx="142">
                  <c:v>29.0715</c:v>
                </c:pt>
                <c:pt idx="143">
                  <c:v>32.013599999999997</c:v>
                </c:pt>
                <c:pt idx="144">
                  <c:v>31.2942</c:v>
                </c:pt>
                <c:pt idx="145">
                  <c:v>32.157499999999999</c:v>
                </c:pt>
                <c:pt idx="146">
                  <c:v>33.476399999999998</c:v>
                </c:pt>
                <c:pt idx="147">
                  <c:v>34.941000000000003</c:v>
                </c:pt>
                <c:pt idx="148">
                  <c:v>33.078600000000002</c:v>
                </c:pt>
                <c:pt idx="149">
                  <c:v>33.017299999999999</c:v>
                </c:pt>
                <c:pt idx="150">
                  <c:v>31.5</c:v>
                </c:pt>
                <c:pt idx="151">
                  <c:v>34.055700000000002</c:v>
                </c:pt>
                <c:pt idx="152">
                  <c:v>35.465200000000003</c:v>
                </c:pt>
                <c:pt idx="153">
                  <c:v>36.134300000000003</c:v>
                </c:pt>
                <c:pt idx="154">
                  <c:v>36.786200000000001</c:v>
                </c:pt>
                <c:pt idx="155">
                  <c:v>37.848100000000002</c:v>
                </c:pt>
                <c:pt idx="156">
                  <c:v>36.111499999999999</c:v>
                </c:pt>
                <c:pt idx="157">
                  <c:v>34.782600000000002</c:v>
                </c:pt>
                <c:pt idx="158">
                  <c:v>33.362200000000001</c:v>
                </c:pt>
                <c:pt idx="159">
                  <c:v>32.117400000000004</c:v>
                </c:pt>
                <c:pt idx="160">
                  <c:v>33.204099999999997</c:v>
                </c:pt>
                <c:pt idx="161">
                  <c:v>33.277299999999997</c:v>
                </c:pt>
                <c:pt idx="162">
                  <c:v>35.21</c:v>
                </c:pt>
                <c:pt idx="163">
                  <c:v>35.659599999999998</c:v>
                </c:pt>
                <c:pt idx="164">
                  <c:v>35.792499999999997</c:v>
                </c:pt>
                <c:pt idx="165">
                  <c:v>34.637700000000002</c:v>
                </c:pt>
                <c:pt idx="166">
                  <c:v>35.815199999999997</c:v>
                </c:pt>
                <c:pt idx="167">
                  <c:v>34.683500000000002</c:v>
                </c:pt>
                <c:pt idx="168">
                  <c:v>34.326700000000002</c:v>
                </c:pt>
                <c:pt idx="169">
                  <c:v>33.142600000000002</c:v>
                </c:pt>
                <c:pt idx="170">
                  <c:v>32.784799999999997</c:v>
                </c:pt>
                <c:pt idx="171">
                  <c:v>32.198599999999999</c:v>
                </c:pt>
                <c:pt idx="172">
                  <c:v>31.936800000000002</c:v>
                </c:pt>
                <c:pt idx="173">
                  <c:v>30.721</c:v>
                </c:pt>
                <c:pt idx="174">
                  <c:v>29.685700000000001</c:v>
                </c:pt>
                <c:pt idx="175">
                  <c:v>30.17</c:v>
                </c:pt>
                <c:pt idx="176">
                  <c:v>30.276299999999999</c:v>
                </c:pt>
                <c:pt idx="177">
                  <c:v>31.438700000000001</c:v>
                </c:pt>
                <c:pt idx="178">
                  <c:v>30.943300000000001</c:v>
                </c:pt>
                <c:pt idx="179">
                  <c:v>31.872499999999999</c:v>
                </c:pt>
                <c:pt idx="180">
                  <c:v>32.317599999999999</c:v>
                </c:pt>
                <c:pt idx="181">
                  <c:v>32.904699999999998</c:v>
                </c:pt>
                <c:pt idx="182">
                  <c:v>31.79</c:v>
                </c:pt>
                <c:pt idx="183">
                  <c:v>31.028099999999998</c:v>
                </c:pt>
                <c:pt idx="184">
                  <c:v>30.131399999999999</c:v>
                </c:pt>
                <c:pt idx="185">
                  <c:v>31.390499999999999</c:v>
                </c:pt>
                <c:pt idx="186">
                  <c:v>31.423200000000001</c:v>
                </c:pt>
                <c:pt idx="187">
                  <c:v>31.520900000000001</c:v>
                </c:pt>
                <c:pt idx="188">
                  <c:v>31.963000000000001</c:v>
                </c:pt>
                <c:pt idx="189">
                  <c:v>33.269100000000002</c:v>
                </c:pt>
                <c:pt idx="190">
                  <c:v>33.766500000000001</c:v>
                </c:pt>
                <c:pt idx="191">
                  <c:v>35.382399999999997</c:v>
                </c:pt>
                <c:pt idx="192">
                  <c:v>36.0929</c:v>
                </c:pt>
                <c:pt idx="193">
                  <c:v>33.432600000000001</c:v>
                </c:pt>
                <c:pt idx="194">
                  <c:v>30.1768</c:v>
                </c:pt>
                <c:pt idx="195">
                  <c:v>28.802900000000001</c:v>
                </c:pt>
                <c:pt idx="196">
                  <c:v>28.418500000000002</c:v>
                </c:pt>
                <c:pt idx="197">
                  <c:v>29.764099999999999</c:v>
                </c:pt>
                <c:pt idx="198">
                  <c:v>31.8109</c:v>
                </c:pt>
                <c:pt idx="199">
                  <c:v>35.142899999999997</c:v>
                </c:pt>
                <c:pt idx="200">
                  <c:v>37.217599999999997</c:v>
                </c:pt>
                <c:pt idx="201">
                  <c:v>37.026800000000001</c:v>
                </c:pt>
                <c:pt idx="202">
                  <c:v>41.102499999999999</c:v>
                </c:pt>
                <c:pt idx="203">
                  <c:v>45.719099999999997</c:v>
                </c:pt>
                <c:pt idx="204">
                  <c:v>49.417400000000001</c:v>
                </c:pt>
                <c:pt idx="205">
                  <c:v>52.604199999999999</c:v>
                </c:pt>
                <c:pt idx="206">
                  <c:v>62.609099999999998</c:v>
                </c:pt>
                <c:pt idx="207">
                  <c:v>71.7667</c:v>
                </c:pt>
                <c:pt idx="208">
                  <c:v>92.789500000000004</c:v>
                </c:pt>
                <c:pt idx="209">
                  <c:v>97.356800000000007</c:v>
                </c:pt>
                <c:pt idx="210">
                  <c:v>92.793300000000002</c:v>
                </c:pt>
                <c:pt idx="211">
                  <c:v>83.885294117647049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ED-48E3-9585-4D8DCFB98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428320"/>
        <c:axId val="983429960"/>
      </c:lineChart>
      <c:dateAx>
        <c:axId val="1219315688"/>
        <c:scaling>
          <c:orientation val="minMax"/>
          <c:min val="37987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6F079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9311096"/>
        <c:crosses val="autoZero"/>
        <c:auto val="1"/>
        <c:lblOffset val="100"/>
        <c:baseTimeUnit val="months"/>
      </c:dateAx>
      <c:valAx>
        <c:axId val="1219311096"/>
        <c:scaling>
          <c:orientation val="minMax"/>
          <c:max val="22.5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(spread - cents per pound)</a:t>
                </a:r>
              </a:p>
            </c:rich>
          </c:tx>
          <c:layout>
            <c:manualLayout>
              <c:xMode val="edge"/>
              <c:yMode val="edge"/>
              <c:x val="2.732419794174989E-3"/>
              <c:y val="0.329331443483132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9315688"/>
        <c:crossesAt val="41640"/>
        <c:crossBetween val="midCat"/>
      </c:valAx>
      <c:valAx>
        <c:axId val="9834299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(cents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per pound)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3428320"/>
        <c:crosses val="max"/>
        <c:crossBetween val="between"/>
      </c:valAx>
      <c:catAx>
        <c:axId val="983428320"/>
        <c:scaling>
          <c:orientation val="minMax"/>
        </c:scaling>
        <c:delete val="1"/>
        <c:axPos val="b"/>
        <c:majorTickMark val="out"/>
        <c:minorTickMark val="none"/>
        <c:tickLblPos val="nextTo"/>
        <c:crossAx val="983429960"/>
        <c:crosses val="autoZero"/>
        <c:auto val="1"/>
        <c:lblAlgn val="ctr"/>
        <c:lblOffset val="100"/>
        <c:noMultiLvlLbl val="0"/>
      </c:catAx>
      <c:spPr>
        <a:noFill/>
        <a:ln>
          <a:solidFill>
            <a:srgbClr val="6F0791"/>
          </a:solidFill>
        </a:ln>
        <a:effectLst/>
      </c:spPr>
    </c:plotArea>
    <c:legend>
      <c:legendPos val="t"/>
      <c:layout>
        <c:manualLayout>
          <c:xMode val="edge"/>
          <c:yMode val="edge"/>
          <c:x val="0.51577015683807226"/>
          <c:y val="0.2753859038278022"/>
          <c:w val="0.36289889804413661"/>
          <c:h val="5.0744374946180747E-2"/>
        </c:manualLayout>
      </c:layout>
      <c:overlay val="0"/>
      <c:spPr>
        <a:solidFill>
          <a:schemeClr val="bg1"/>
        </a:solidFill>
        <a:ln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none" baseline="0">
                <a:effectLst/>
              </a:rPr>
              <a:t>US SOYBEAN OIL USSAGE (Million Pounds)</a:t>
            </a:r>
            <a:r>
              <a:rPr lang="en-US" sz="1400" b="0" i="0" u="none" strike="noStrike" cap="non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'Soybean Ussage'!$D$5</c:f>
              <c:strCache>
                <c:ptCount val="1"/>
                <c:pt idx="0">
                  <c:v>19/20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A5-435E-A279-A799035F59E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A5-435E-A279-A799035F59E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5A5-435E-A279-A799035F59E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5A5-435E-A279-A799035F59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'Soybean Ussage'!$C$6:$C$9</c:f>
              <c:strCache>
                <c:ptCount val="4"/>
                <c:pt idx="0">
                  <c:v>Biodiesel Production</c:v>
                </c:pt>
                <c:pt idx="1">
                  <c:v>Renewable Diesel</c:v>
                </c:pt>
                <c:pt idx="2">
                  <c:v>Co-Processing</c:v>
                </c:pt>
                <c:pt idx="3">
                  <c:v>Non-Biofuel Usage</c:v>
                </c:pt>
              </c:strCache>
            </c:strRef>
          </c:cat>
          <c:val>
            <c:numRef>
              <c:f>'Soybean Ussage'!$D$6:$D$9</c:f>
              <c:numCache>
                <c:formatCode>#,##0</c:formatCode>
                <c:ptCount val="4"/>
                <c:pt idx="0">
                  <c:v>7858</c:v>
                </c:pt>
                <c:pt idx="1">
                  <c:v>1462</c:v>
                </c:pt>
                <c:pt idx="2" formatCode="General">
                  <c:v>15</c:v>
                </c:pt>
                <c:pt idx="3">
                  <c:v>12991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A5-435E-A279-A799035F59E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Refined Production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'Production Loss'!$B$1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'Production Loss'!$A$2:$A$15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'Production Loss'!$B$2:$B$15</c:f>
              <c:numCache>
                <c:formatCode>#,##0</c:formatCode>
                <c:ptCount val="14"/>
                <c:pt idx="0">
                  <c:v>2154.4270000000001</c:v>
                </c:pt>
                <c:pt idx="1">
                  <c:v>1999.5239999999999</c:v>
                </c:pt>
                <c:pt idx="2">
                  <c:v>2201.0680000000002</c:v>
                </c:pt>
                <c:pt idx="3">
                  <c:v>2099.4650000000001</c:v>
                </c:pt>
                <c:pt idx="4">
                  <c:v>2057.6170000000002</c:v>
                </c:pt>
                <c:pt idx="5">
                  <c:v>2035.269</c:v>
                </c:pt>
                <c:pt idx="6">
                  <c:v>2123.2370000000001</c:v>
                </c:pt>
                <c:pt idx="7">
                  <c:v>2012.8230000000001</c:v>
                </c:pt>
                <c:pt idx="8">
                  <c:v>1967.6210000000001</c:v>
                </c:pt>
                <c:pt idx="9">
                  <c:v>2282.471</c:v>
                </c:pt>
                <c:pt idx="10">
                  <c:v>2206.7919999999999</c:v>
                </c:pt>
                <c:pt idx="11">
                  <c:v>2233.4859999999999</c:v>
                </c:pt>
                <c:pt idx="12">
                  <c:v>2308.752</c:v>
                </c:pt>
                <c:pt idx="13">
                  <c:v>1929.799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4-4081-859A-FFF0F1B1E38D}"/>
            </c:ext>
          </c:extLst>
        </c:ser>
        <c:ser>
          <c:idx val="2"/>
          <c:order val="1"/>
          <c:tx>
            <c:strRef>
              <c:f>'Production Loss'!$D$1</c:f>
              <c:strCache>
                <c:ptCount val="1"/>
                <c:pt idx="0">
                  <c:v>Refined Production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'Production Loss'!$A$2:$A$15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'Production Loss'!$D$2:$D$15</c:f>
              <c:numCache>
                <c:formatCode>#,##0</c:formatCode>
                <c:ptCount val="14"/>
                <c:pt idx="0">
                  <c:v>1374.5050000000001</c:v>
                </c:pt>
                <c:pt idx="1">
                  <c:v>1362.414</c:v>
                </c:pt>
                <c:pt idx="2">
                  <c:v>1540.931</c:v>
                </c:pt>
                <c:pt idx="3">
                  <c:v>1223.692</c:v>
                </c:pt>
                <c:pt idx="4">
                  <c:v>1455.183</c:v>
                </c:pt>
                <c:pt idx="5">
                  <c:v>1511.2650000000001</c:v>
                </c:pt>
                <c:pt idx="6">
                  <c:v>1582.5650000000001</c:v>
                </c:pt>
                <c:pt idx="7">
                  <c:v>1555.4369999999999</c:v>
                </c:pt>
                <c:pt idx="8">
                  <c:v>1496.712</c:v>
                </c:pt>
                <c:pt idx="9">
                  <c:v>1589.296</c:v>
                </c:pt>
                <c:pt idx="10">
                  <c:v>1519.0170000000001</c:v>
                </c:pt>
                <c:pt idx="11">
                  <c:v>1576.008</c:v>
                </c:pt>
                <c:pt idx="12">
                  <c:v>1587.925</c:v>
                </c:pt>
                <c:pt idx="13">
                  <c:v>1444.5419999999999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4-4081-859A-FFF0F1B1E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920533391"/>
        <c:axId val="920535039"/>
      </c:barChart>
      <c:lineChart>
        <c:grouping val="standard"/>
        <c:varyColors val="0"/>
        <c:ser>
          <c:idx val="3"/>
          <c:order val="2"/>
          <c:tx>
            <c:strRef>
              <c:f>'Production Loss'!$E$1</c:f>
              <c:strCache>
                <c:ptCount val="1"/>
                <c:pt idx="0">
                  <c:v>Refined Loss (%)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'Production Loss'!$A$2:$A$15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'Production Loss'!$E$2:$E$15</c:f>
              <c:numCache>
                <c:formatCode>0.0%</c:formatCode>
                <c:ptCount val="14"/>
                <c:pt idx="0">
                  <c:v>2.3444355003150844E-2</c:v>
                </c:pt>
                <c:pt idx="1">
                  <c:v>2.7562578959765306E-2</c:v>
                </c:pt>
                <c:pt idx="2">
                  <c:v>2.2478296587402011E-2</c:v>
                </c:pt>
                <c:pt idx="3">
                  <c:v>2.0628796118665069E-2</c:v>
                </c:pt>
                <c:pt idx="4">
                  <c:v>2.3152076430247755E-2</c:v>
                </c:pt>
                <c:pt idx="5">
                  <c:v>2.1101252589319372E-2</c:v>
                </c:pt>
                <c:pt idx="6">
                  <c:v>2.7224904970077218E-2</c:v>
                </c:pt>
                <c:pt idx="7">
                  <c:v>2.5366559727304734E-2</c:v>
                </c:pt>
                <c:pt idx="8">
                  <c:v>2.2443069374831051E-2</c:v>
                </c:pt>
                <c:pt idx="9">
                  <c:v>2.4561257068925958E-2</c:v>
                </c:pt>
                <c:pt idx="10">
                  <c:v>2.2153542706434971E-2</c:v>
                </c:pt>
                <c:pt idx="11">
                  <c:v>2.3738640798349711E-2</c:v>
                </c:pt>
                <c:pt idx="12">
                  <c:v>2.0209443208336359E-2</c:v>
                </c:pt>
                <c:pt idx="13">
                  <c:v>1.9794885574813043E-2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F4-4081-859A-FFF0F1B1E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5260399"/>
        <c:axId val="1298738271"/>
      </c:lineChart>
      <c:dateAx>
        <c:axId val="9205333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535039"/>
        <c:crosses val="autoZero"/>
        <c:auto val="1"/>
        <c:lblOffset val="100"/>
        <c:baseTimeUnit val="months"/>
      </c:dateAx>
      <c:valAx>
        <c:axId val="92053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Million pounds</a:t>
                </a:r>
              </a:p>
            </c:rich>
          </c:tx>
          <c:layout>
            <c:manualLayout>
              <c:xMode val="edge"/>
              <c:yMode val="edge"/>
              <c:x val="9.2506938020351526E-3"/>
              <c:y val="0.40287889676204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533391"/>
        <c:crosses val="autoZero"/>
        <c:crossBetween val="between"/>
      </c:valAx>
      <c:valAx>
        <c:axId val="129873827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Refined loss %</a:t>
                </a:r>
              </a:p>
            </c:rich>
          </c:tx>
          <c:layout>
            <c:manualLayout>
              <c:xMode val="edge"/>
              <c:yMode val="edge"/>
              <c:x val="0.95224791859389468"/>
              <c:y val="0.42503303377558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260399"/>
        <c:crosses val="max"/>
        <c:crossBetween val="between"/>
      </c:valAx>
      <c:dateAx>
        <c:axId val="9052603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298738271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'Production Loss'!$B$1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'Production Loss'!$A$2:$A$15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'Production Loss'!$B$2:$B$15</c:f>
              <c:numCache>
                <c:formatCode>#,##0</c:formatCode>
                <c:ptCount val="14"/>
                <c:pt idx="0">
                  <c:v>2154.4270000000001</c:v>
                </c:pt>
                <c:pt idx="1">
                  <c:v>1999.5239999999999</c:v>
                </c:pt>
                <c:pt idx="2">
                  <c:v>2201.0680000000002</c:v>
                </c:pt>
                <c:pt idx="3">
                  <c:v>2099.4650000000001</c:v>
                </c:pt>
                <c:pt idx="4">
                  <c:v>2057.6170000000002</c:v>
                </c:pt>
                <c:pt idx="5">
                  <c:v>2035.269</c:v>
                </c:pt>
                <c:pt idx="6">
                  <c:v>2123.2370000000001</c:v>
                </c:pt>
                <c:pt idx="7">
                  <c:v>2012.8230000000001</c:v>
                </c:pt>
                <c:pt idx="8">
                  <c:v>1967.6210000000001</c:v>
                </c:pt>
                <c:pt idx="9">
                  <c:v>2282.471</c:v>
                </c:pt>
                <c:pt idx="10">
                  <c:v>2206.7919999999999</c:v>
                </c:pt>
                <c:pt idx="11">
                  <c:v>2233.4859999999999</c:v>
                </c:pt>
                <c:pt idx="12">
                  <c:v>2308.752</c:v>
                </c:pt>
                <c:pt idx="13">
                  <c:v>1929.799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7-483D-BB1F-DFCDE5918B63}"/>
            </c:ext>
          </c:extLst>
        </c:ser>
        <c:ser>
          <c:idx val="2"/>
          <c:order val="1"/>
          <c:tx>
            <c:strRef>
              <c:f>'Production Loss'!$D$1</c:f>
              <c:strCache>
                <c:ptCount val="1"/>
                <c:pt idx="0">
                  <c:v>Refined Production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'Production Loss'!$A$2:$A$15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'Production Loss'!$D$2:$D$15</c:f>
              <c:numCache>
                <c:formatCode>#,##0</c:formatCode>
                <c:ptCount val="14"/>
                <c:pt idx="0">
                  <c:v>1374.5050000000001</c:v>
                </c:pt>
                <c:pt idx="1">
                  <c:v>1362.414</c:v>
                </c:pt>
                <c:pt idx="2">
                  <c:v>1540.931</c:v>
                </c:pt>
                <c:pt idx="3">
                  <c:v>1223.692</c:v>
                </c:pt>
                <c:pt idx="4">
                  <c:v>1455.183</c:v>
                </c:pt>
                <c:pt idx="5">
                  <c:v>1511.2650000000001</c:v>
                </c:pt>
                <c:pt idx="6">
                  <c:v>1582.5650000000001</c:v>
                </c:pt>
                <c:pt idx="7">
                  <c:v>1555.4369999999999</c:v>
                </c:pt>
                <c:pt idx="8">
                  <c:v>1496.712</c:v>
                </c:pt>
                <c:pt idx="9">
                  <c:v>1589.296</c:v>
                </c:pt>
                <c:pt idx="10">
                  <c:v>1519.0170000000001</c:v>
                </c:pt>
                <c:pt idx="11">
                  <c:v>1576.008</c:v>
                </c:pt>
                <c:pt idx="12">
                  <c:v>1587.925</c:v>
                </c:pt>
                <c:pt idx="13">
                  <c:v>1444.5419999999999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E7-483D-BB1F-DFCDE5918B63}"/>
            </c:ext>
          </c:extLst>
        </c:ser>
        <c:ser>
          <c:idx val="4"/>
          <c:order val="3"/>
          <c:tx>
            <c:strRef>
              <c:f>'Production Loss'!$F$1</c:f>
              <c:strCache>
                <c:ptCount val="1"/>
                <c:pt idx="0">
                  <c:v>Refined Loss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'Production Loss'!$A$2:$A$15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'Production Loss'!$F$2:$F$15</c:f>
              <c:numCache>
                <c:formatCode>#,##0</c:formatCode>
                <c:ptCount val="14"/>
                <c:pt idx="0">
                  <c:v>32.99799999999982</c:v>
                </c:pt>
                <c:pt idx="1">
                  <c:v>38.615999999999985</c:v>
                </c:pt>
                <c:pt idx="2">
                  <c:v>35.433999999999969</c:v>
                </c:pt>
                <c:pt idx="3">
                  <c:v>25.775000000000091</c:v>
                </c:pt>
                <c:pt idx="4">
                  <c:v>34.489000000000033</c:v>
                </c:pt>
                <c:pt idx="5">
                  <c:v>32.576999999999998</c:v>
                </c:pt>
                <c:pt idx="6">
                  <c:v>44.29099999999994</c:v>
                </c:pt>
                <c:pt idx="7">
                  <c:v>40.483000000000175</c:v>
                </c:pt>
                <c:pt idx="8">
                  <c:v>34.36200000000008</c:v>
                </c:pt>
                <c:pt idx="9">
                  <c:v>40.018000000000029</c:v>
                </c:pt>
                <c:pt idx="10">
                  <c:v>34.413999999999987</c:v>
                </c:pt>
                <c:pt idx="11">
                  <c:v>38.321999999999889</c:v>
                </c:pt>
                <c:pt idx="12">
                  <c:v>32.753000000000156</c:v>
                </c:pt>
                <c:pt idx="13">
                  <c:v>29.172000000000025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E7-483D-BB1F-DFCDE5918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7813311"/>
        <c:axId val="127564671"/>
      </c:barChart>
      <c:lineChart>
        <c:grouping val="standard"/>
        <c:varyColors val="0"/>
        <c:ser>
          <c:idx val="3"/>
          <c:order val="2"/>
          <c:tx>
            <c:strRef>
              <c:f>'Production Loss'!$E$1</c:f>
              <c:strCache>
                <c:ptCount val="1"/>
                <c:pt idx="0">
                  <c:v>Refined Loss (%)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'Production Loss'!$A$2:$A$15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'Production Loss'!$E$2:$E$15</c:f>
              <c:numCache>
                <c:formatCode>0.0%</c:formatCode>
                <c:ptCount val="14"/>
                <c:pt idx="0">
                  <c:v>2.3444355003150844E-2</c:v>
                </c:pt>
                <c:pt idx="1">
                  <c:v>2.7562578959765306E-2</c:v>
                </c:pt>
                <c:pt idx="2">
                  <c:v>2.2478296587402011E-2</c:v>
                </c:pt>
                <c:pt idx="3">
                  <c:v>2.0628796118665069E-2</c:v>
                </c:pt>
                <c:pt idx="4">
                  <c:v>2.3152076430247755E-2</c:v>
                </c:pt>
                <c:pt idx="5">
                  <c:v>2.1101252589319372E-2</c:v>
                </c:pt>
                <c:pt idx="6">
                  <c:v>2.7224904970077218E-2</c:v>
                </c:pt>
                <c:pt idx="7">
                  <c:v>2.5366559727304734E-2</c:v>
                </c:pt>
                <c:pt idx="8">
                  <c:v>2.2443069374831051E-2</c:v>
                </c:pt>
                <c:pt idx="9">
                  <c:v>2.4561257068925958E-2</c:v>
                </c:pt>
                <c:pt idx="10">
                  <c:v>2.2153542706434971E-2</c:v>
                </c:pt>
                <c:pt idx="11">
                  <c:v>2.3738640798349711E-2</c:v>
                </c:pt>
                <c:pt idx="12">
                  <c:v>2.0209443208336359E-2</c:v>
                </c:pt>
                <c:pt idx="13">
                  <c:v>1.9794885574813043E-2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E7-483D-BB1F-DFCDE5918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830367"/>
        <c:axId val="440269983"/>
      </c:lineChart>
      <c:dateAx>
        <c:axId val="12781331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64671"/>
        <c:crosses val="autoZero"/>
        <c:auto val="1"/>
        <c:lblOffset val="100"/>
        <c:baseTimeUnit val="months"/>
      </c:dateAx>
      <c:valAx>
        <c:axId val="12756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13311"/>
        <c:crosses val="autoZero"/>
        <c:crossBetween val="between"/>
      </c:valAx>
      <c:valAx>
        <c:axId val="440269983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830367"/>
        <c:crosses val="max"/>
        <c:crossBetween val="between"/>
      </c:valAx>
      <c:dateAx>
        <c:axId val="36783036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4026998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Refined Production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'Production Loss 2'!$B$1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'Production Loss 2'!$A$2:$A$15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'Production Loss 2'!$B$2:$B$15</c:f>
              <c:numCache>
                <c:formatCode>#,##0</c:formatCode>
                <c:ptCount val="14"/>
                <c:pt idx="0">
                  <c:v>2154.4270000000001</c:v>
                </c:pt>
                <c:pt idx="1">
                  <c:v>1999.5239999999999</c:v>
                </c:pt>
                <c:pt idx="2">
                  <c:v>2201.0680000000002</c:v>
                </c:pt>
                <c:pt idx="3">
                  <c:v>2099.4650000000001</c:v>
                </c:pt>
                <c:pt idx="4">
                  <c:v>2057.6170000000002</c:v>
                </c:pt>
                <c:pt idx="5">
                  <c:v>2035.269</c:v>
                </c:pt>
                <c:pt idx="6">
                  <c:v>2123.2370000000001</c:v>
                </c:pt>
                <c:pt idx="7">
                  <c:v>2012.8230000000001</c:v>
                </c:pt>
                <c:pt idx="8">
                  <c:v>1967.6210000000001</c:v>
                </c:pt>
                <c:pt idx="9">
                  <c:v>2282.471</c:v>
                </c:pt>
                <c:pt idx="10">
                  <c:v>2206.7919999999999</c:v>
                </c:pt>
                <c:pt idx="11">
                  <c:v>2233.4859999999999</c:v>
                </c:pt>
                <c:pt idx="12">
                  <c:v>2308.752</c:v>
                </c:pt>
                <c:pt idx="13">
                  <c:v>1929.799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C-4DFF-910C-EA45D13CCE07}"/>
            </c:ext>
          </c:extLst>
        </c:ser>
        <c:ser>
          <c:idx val="1"/>
          <c:order val="1"/>
          <c:tx>
            <c:strRef>
              <c:f>'Production Loss 2'!$C$1</c:f>
              <c:strCache>
                <c:ptCount val="1"/>
                <c:pt idx="0">
                  <c:v>Filler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'Production Loss 2'!$A$2:$A$15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'Production Loss 2'!$C$2:$C$15</c:f>
              <c:numCache>
                <c:formatCode>#,##0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1-950C-4DFF-910C-EA45D13CCE07}"/>
            </c:ext>
          </c:extLst>
        </c:ser>
        <c:ser>
          <c:idx val="2"/>
          <c:order val="2"/>
          <c:tx>
            <c:strRef>
              <c:f>'Production Loss 2'!$D$1</c:f>
              <c:strCache>
                <c:ptCount val="1"/>
                <c:pt idx="0">
                  <c:v>Filler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'Production Loss 2'!$A$2:$A$15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'Production Loss 2'!$D$2:$D$15</c:f>
              <c:numCache>
                <c:formatCode>#,##0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2-950C-4DFF-910C-EA45D13C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50"/>
        <c:axId val="389121551"/>
        <c:axId val="647077487"/>
      </c:barChart>
      <c:barChart>
        <c:barDir val="col"/>
        <c:grouping val="stacked"/>
        <c:varyColors val="0"/>
        <c:ser>
          <c:idx val="3"/>
          <c:order val="3"/>
          <c:tx>
            <c:strRef>
              <c:f>'Production Loss 2'!$E$1</c:f>
              <c:strCache>
                <c:ptCount val="1"/>
                <c:pt idx="0">
                  <c:v>Refined Production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'Production Loss 2'!$A$2:$A$15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'Production Loss 2'!$E$2:$E$15</c:f>
              <c:numCache>
                <c:formatCode>#,##0</c:formatCode>
                <c:ptCount val="14"/>
                <c:pt idx="0">
                  <c:v>1374.5050000000001</c:v>
                </c:pt>
                <c:pt idx="1">
                  <c:v>1362.414</c:v>
                </c:pt>
                <c:pt idx="2">
                  <c:v>1540.931</c:v>
                </c:pt>
                <c:pt idx="3">
                  <c:v>1223.692</c:v>
                </c:pt>
                <c:pt idx="4">
                  <c:v>1455.183</c:v>
                </c:pt>
                <c:pt idx="5">
                  <c:v>1511.2650000000001</c:v>
                </c:pt>
                <c:pt idx="6">
                  <c:v>1582.5650000000001</c:v>
                </c:pt>
                <c:pt idx="7">
                  <c:v>1555.4369999999999</c:v>
                </c:pt>
                <c:pt idx="8">
                  <c:v>1496.712</c:v>
                </c:pt>
                <c:pt idx="9">
                  <c:v>1589.296</c:v>
                </c:pt>
                <c:pt idx="10">
                  <c:v>1519.0170000000001</c:v>
                </c:pt>
                <c:pt idx="11">
                  <c:v>1576.008</c:v>
                </c:pt>
                <c:pt idx="12">
                  <c:v>1587.925</c:v>
                </c:pt>
                <c:pt idx="13">
                  <c:v>1444.5419999999999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0C-4DFF-910C-EA45D13CCE07}"/>
            </c:ext>
          </c:extLst>
        </c:ser>
        <c:ser>
          <c:idx val="4"/>
          <c:order val="4"/>
          <c:tx>
            <c:strRef>
              <c:f>'Production Loss 2'!$F$1</c:f>
              <c:strCache>
                <c:ptCount val="1"/>
                <c:pt idx="0">
                  <c:v>Refined Loss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'Production Loss 2'!$A$2:$A$15</c:f>
              <c:numCache>
                <c:formatCode>mmm\-yy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'Production Loss 2'!$F$2:$F$15</c:f>
              <c:numCache>
                <c:formatCode>#,##0</c:formatCode>
                <c:ptCount val="14"/>
                <c:pt idx="0">
                  <c:v>32.99799999999982</c:v>
                </c:pt>
                <c:pt idx="1">
                  <c:v>38.615999999999985</c:v>
                </c:pt>
                <c:pt idx="2">
                  <c:v>35.433999999999969</c:v>
                </c:pt>
                <c:pt idx="3">
                  <c:v>25.775000000000091</c:v>
                </c:pt>
                <c:pt idx="4">
                  <c:v>34.489000000000033</c:v>
                </c:pt>
                <c:pt idx="5">
                  <c:v>32.576999999999998</c:v>
                </c:pt>
                <c:pt idx="6">
                  <c:v>44.29099999999994</c:v>
                </c:pt>
                <c:pt idx="7">
                  <c:v>40.483000000000175</c:v>
                </c:pt>
                <c:pt idx="8">
                  <c:v>34.36200000000008</c:v>
                </c:pt>
                <c:pt idx="9">
                  <c:v>40.018000000000029</c:v>
                </c:pt>
                <c:pt idx="10">
                  <c:v>34.413999999999987</c:v>
                </c:pt>
                <c:pt idx="11">
                  <c:v>38.321999999999889</c:v>
                </c:pt>
                <c:pt idx="12">
                  <c:v>32.753000000000156</c:v>
                </c:pt>
                <c:pt idx="13">
                  <c:v>29.172000000000025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0C-4DFF-910C-EA45D13C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25551839"/>
        <c:axId val="624059023"/>
      </c:barChart>
      <c:dateAx>
        <c:axId val="3891215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077487"/>
        <c:crosses val="autoZero"/>
        <c:auto val="1"/>
        <c:lblOffset val="100"/>
        <c:baseTimeUnit val="months"/>
      </c:dateAx>
      <c:valAx>
        <c:axId val="64707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Million Pounds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121551"/>
        <c:crosses val="autoZero"/>
        <c:crossBetween val="between"/>
      </c:valAx>
      <c:valAx>
        <c:axId val="624059023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425551839"/>
        <c:crosses val="max"/>
        <c:crossBetween val="between"/>
      </c:valAx>
      <c:dateAx>
        <c:axId val="42555183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2405902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Soybean Oil Crude/Refined 2019/2020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'SB Crude-Refined'!$G$1</c:f>
              <c:strCache>
                <c:ptCount val="1"/>
                <c:pt idx="0">
                  <c:v>2019/20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15-4A09-AE8C-C12463D021A2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15-4A09-AE8C-C12463D021A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15-4A09-AE8C-C12463D021A2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15-4A09-AE8C-C12463D021A2}"/>
              </c:ext>
            </c:extLst>
          </c:dPt>
          <c:dPt>
            <c:idx val="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15-4A09-AE8C-C12463D021A2}"/>
              </c:ext>
            </c:extLst>
          </c:dPt>
          <c:dPt>
            <c:idx val="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F15-4A09-AE8C-C12463D021A2}"/>
              </c:ext>
            </c:extLst>
          </c:dPt>
          <c:dPt>
            <c:idx val="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F15-4A09-AE8C-C12463D021A2}"/>
              </c:ext>
            </c:extLst>
          </c:dPt>
          <c:dPt>
            <c:idx val="7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15-4A09-AE8C-C12463D021A2}"/>
              </c:ext>
            </c:extLst>
          </c:dPt>
          <c:dLbls>
            <c:dLbl>
              <c:idx val="0"/>
              <c:layout>
                <c:manualLayout>
                  <c:x val="0.16988782799029015"/>
                  <c:y val="1.75936810918920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15-4A09-AE8C-C12463D021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'SB Crude-Refined'!$F$2:$F$9</c:f>
              <c:strCache>
                <c:ptCount val="8"/>
                <c:pt idx="0">
                  <c:v>Refined Exports</c:v>
                </c:pt>
                <c:pt idx="1">
                  <c:v>Biodiesel</c:v>
                </c:pt>
                <c:pt idx="2">
                  <c:v>Renewable Diesel</c:v>
                </c:pt>
                <c:pt idx="3">
                  <c:v>Co-Processing</c:v>
                </c:pt>
                <c:pt idx="4">
                  <c:v>Refined Non-Biofuel</c:v>
                </c:pt>
                <c:pt idx="5">
                  <c:v>Crude Exports</c:v>
                </c:pt>
                <c:pt idx="6">
                  <c:v>Domestic Crude</c:v>
                </c:pt>
                <c:pt idx="7">
                  <c:v>Crude Non-Biofuel </c:v>
                </c:pt>
              </c:strCache>
            </c:strRef>
          </c:cat>
          <c:val>
            <c:numRef>
              <c:f>'SB Crude-Refined'!$G$2:$G$9</c:f>
              <c:numCache>
                <c:formatCode>#,##0</c:formatCode>
                <c:ptCount val="8"/>
                <c:pt idx="0" formatCode="General">
                  <c:v>385.7</c:v>
                </c:pt>
                <c:pt idx="1">
                  <c:v>0</c:v>
                </c:pt>
                <c:pt idx="2">
                  <c:v>0</c:v>
                </c:pt>
                <c:pt idx="3" formatCode="0">
                  <c:v>0</c:v>
                </c:pt>
                <c:pt idx="4" formatCode="_(* #,##0_);_(* \(#,##0\);_(* &quot;-&quot;??_);_(@_)">
                  <c:v>7939.3018236199096</c:v>
                </c:pt>
                <c:pt idx="5" formatCode="_(* #,##0_);_(* \(#,##0\);_(* &quot;-&quot;??_);_(@_)">
                  <c:v>2446</c:v>
                </c:pt>
                <c:pt idx="6" formatCode="_(* #,##0_);_(* \(#,##0\);_(* &quot;-&quot;??_);_(@_)">
                  <c:v>5125.1510000000017</c:v>
                </c:pt>
                <c:pt idx="7" formatCode="_(* #,##0_);_(* \(#,##0\);_(* &quot;-&quot;??_);_(@_)">
                  <c:v>5125.1510000000017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F15-4A09-AE8C-C12463D021A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Soybean Oil Crude/Refined </a:t>
            </a:r>
            <a:r>
              <a:rPr lang="en-US" baseline="0"/>
              <a:t>2021/2022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'SB Crude-Refined'!$J$1</c:f>
              <c:strCache>
                <c:ptCount val="1"/>
                <c:pt idx="0">
                  <c:v>2021/22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B8-4C09-AE6A-AFF32667FD65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B8-4C09-AE6A-AFF32667FD65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B8-4C09-AE6A-AFF32667FD65}"/>
              </c:ext>
            </c:extLst>
          </c:dPt>
          <c:dPt>
            <c:idx val="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B8-4C09-AE6A-AFF32667FD65}"/>
              </c:ext>
            </c:extLst>
          </c:dPt>
          <c:dPt>
            <c:idx val="4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3B8-4C09-AE6A-AFF32667FD65}"/>
              </c:ext>
            </c:extLst>
          </c:dPt>
          <c:dPt>
            <c:idx val="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3B8-4C09-AE6A-AFF32667FD65}"/>
              </c:ext>
            </c:extLst>
          </c:dPt>
          <c:dPt>
            <c:idx val="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3B8-4C09-AE6A-AFF32667FD65}"/>
              </c:ext>
            </c:extLst>
          </c:dPt>
          <c:dPt>
            <c:idx val="7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3B8-4C09-AE6A-AFF32667FD65}"/>
              </c:ext>
            </c:extLst>
          </c:dPt>
          <c:dLbls>
            <c:dLbl>
              <c:idx val="0"/>
              <c:layout>
                <c:manualLayout>
                  <c:x val="0.22218558422212639"/>
                  <c:y val="3.45826134830472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B8-4C09-AE6A-AFF32667FD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'SB Crude-Refined'!$I$2:$I$9</c:f>
              <c:strCache>
                <c:ptCount val="8"/>
                <c:pt idx="0">
                  <c:v>Refined Exports</c:v>
                </c:pt>
                <c:pt idx="1">
                  <c:v>Biodiesel</c:v>
                </c:pt>
                <c:pt idx="2">
                  <c:v>Renewable Diesel</c:v>
                </c:pt>
                <c:pt idx="3">
                  <c:v>Co-Processing</c:v>
                </c:pt>
                <c:pt idx="4">
                  <c:v>Refined Non-Biofuel</c:v>
                </c:pt>
                <c:pt idx="5">
                  <c:v>Crude Exports</c:v>
                </c:pt>
                <c:pt idx="6">
                  <c:v>Domestic Crude</c:v>
                </c:pt>
                <c:pt idx="7">
                  <c:v>Crude Non-Biofuel </c:v>
                </c:pt>
              </c:strCache>
            </c:strRef>
          </c:cat>
          <c:val>
            <c:numRef>
              <c:f>'SB Crude-Refined'!$J$2:$J$9</c:f>
              <c:numCache>
                <c:formatCode>#,##0</c:formatCode>
                <c:ptCount val="8"/>
                <c:pt idx="0" formatCode="_(* #,##0.00_);_(* \(#,##0.00\);_(* &quot;-&quot;??_);_(@_)">
                  <c:v>326.89903591483198</c:v>
                </c:pt>
                <c:pt idx="1">
                  <c:v>8068</c:v>
                </c:pt>
                <c:pt idx="2">
                  <c:v>2712</c:v>
                </c:pt>
                <c:pt idx="3" formatCode="General">
                  <c:v>374</c:v>
                </c:pt>
                <c:pt idx="4" formatCode="_(* #,##0_);_(* \(#,##0\);_(* &quot;-&quot;??_);_(@_)">
                  <c:v>7176.8</c:v>
                </c:pt>
                <c:pt idx="5" formatCode="_(* #,##0_);_(* \(#,##0\);_(* &quot;-&quot;??_);_(@_)">
                  <c:v>2073.1</c:v>
                </c:pt>
                <c:pt idx="6" formatCode="_(* #,##0_);_(* \(#,##0\);_(* &quot;-&quot;??_);_(@_)">
                  <c:v>5905.19</c:v>
                </c:pt>
                <c:pt idx="7" formatCode="_(* #,##0_);_(* \(#,##0\);_(* &quot;-&quot;??_);_(@_)">
                  <c:v>5905.19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3B8-4C09-AE6A-AFF32667FD6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normalizeH="0" baseline="0">
                <a:solidFill>
                  <a:srgbClr val="323232"/>
                </a:solidFill>
                <a:latin typeface="Arial" panose="020B0604020202020204" pitchFamily="34" charset="0"/>
                <a:ea typeface="+mj-ea"/>
                <a:cs typeface="Arial" panose="020B0604020202020204" pitchFamily="34" charset="0"/>
              </a:defRPr>
            </a:pPr>
            <a:r>
              <a:rPr lang="en-US" sz="2800" b="1">
                <a:solidFill>
                  <a:srgbClr val="32323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Soybean Oil</a:t>
            </a:r>
            <a:r>
              <a:rPr lang="en-US" sz="2800" b="1" baseline="0">
                <a:solidFill>
                  <a:srgbClr val="32323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Demand</a:t>
            </a:r>
            <a:r>
              <a:rPr lang="en-US" sz="2800" b="1">
                <a:solidFill>
                  <a:srgbClr val="32323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2021/22 </a:t>
            </a:r>
          </a:p>
        </c:rich>
      </c:tx>
      <c:layout>
        <c:manualLayout>
          <c:xMode val="edge"/>
          <c:yMode val="edge"/>
          <c:x val="0.17191600980729232"/>
          <c:y val="2.1801471620722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normalizeH="0" baseline="0">
              <a:solidFill>
                <a:srgbClr val="323232"/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 Crude Refined'!$E$25</c:f>
              <c:strCache>
                <c:ptCount val="1"/>
                <c:pt idx="0">
                  <c:v>2021/22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</c:spPr>
          <c:dPt>
            <c:idx val="0"/>
            <c:bubble3D val="0"/>
            <c:spPr>
              <a:solidFill>
                <a:srgbClr val="323232"/>
              </a:solidFill>
              <a:ln w="19050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91-4B7D-A06E-ACBC80B88EAD}"/>
              </c:ext>
            </c:extLst>
          </c:dPt>
          <c:dPt>
            <c:idx val="1"/>
            <c:bubble3D val="0"/>
            <c:spPr>
              <a:solidFill>
                <a:srgbClr val="8C8C8C"/>
              </a:solidFill>
              <a:ln w="19050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91-4B7D-A06E-ACBC80B88EAD}"/>
              </c:ext>
            </c:extLst>
          </c:dPt>
          <c:dPt>
            <c:idx val="2"/>
            <c:bubble3D val="0"/>
            <c:spPr>
              <a:solidFill>
                <a:srgbClr val="ECECEC"/>
              </a:solidFill>
              <a:ln w="19050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91-4B7D-A06E-ACBC80B88EAD}"/>
              </c:ext>
            </c:extLst>
          </c:dPt>
          <c:dPt>
            <c:idx val="3"/>
            <c:bubble3D val="0"/>
            <c:spPr>
              <a:solidFill>
                <a:srgbClr val="E49CFA"/>
              </a:solidFill>
              <a:ln w="19050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91-4B7D-A06E-ACBC80B88EAD}"/>
              </c:ext>
            </c:extLst>
          </c:dPt>
          <c:dPt>
            <c:idx val="4"/>
            <c:bubble3D val="0"/>
            <c:spPr>
              <a:solidFill>
                <a:srgbClr val="6F0791"/>
              </a:solidFill>
              <a:ln w="19050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491-4B7D-A06E-ACBC80B88EAD}"/>
              </c:ext>
            </c:extLst>
          </c:dPt>
          <c:dLbls>
            <c:dLbl>
              <c:idx val="0"/>
              <c:layout>
                <c:manualLayout>
                  <c:x val="-0.14050909284021088"/>
                  <c:y val="0.16681598119920182"/>
                </c:manualLayout>
              </c:layout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sz="1400" b="1" i="0" u="none" strike="noStrike" kern="1200" baseline="0">
                      <a:ln w="3175">
                        <a:noFill/>
                      </a:ln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749818370792063"/>
                      <c:h val="0.105109123598397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491-4B7D-A06E-ACBC80B88EAD}"/>
                </c:ext>
              </c:extLst>
            </c:dLbl>
            <c:dLbl>
              <c:idx val="1"/>
              <c:layout>
                <c:manualLayout>
                  <c:x val="6.1556364482378091E-2"/>
                  <c:y val="-7.2411751763551246E-2"/>
                </c:manualLayout>
              </c:layout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sz="1400" b="1" i="0" u="none" strike="noStrike" kern="1200" baseline="0">
                      <a:ln w="3175">
                        <a:noFill/>
                      </a:ln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162182054054329"/>
                      <c:h val="9.80231152659215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491-4B7D-A06E-ACBC80B88EAD}"/>
                </c:ext>
              </c:extLst>
            </c:dLbl>
            <c:dLbl>
              <c:idx val="2"/>
              <c:layout>
                <c:manualLayout>
                  <c:x val="-0.15501666162726629"/>
                  <c:y val="-9.7729793041018434E-2"/>
                </c:manualLayout>
              </c:layout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sz="1400" b="1" i="0" u="none" strike="noStrike" kern="1200" baseline="0">
                      <a:ln w="3175">
                        <a:noFill/>
                      </a:ln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806898956686089"/>
                      <c:h val="0.123306804519020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491-4B7D-A06E-ACBC80B88EAD}"/>
                </c:ext>
              </c:extLst>
            </c:dLbl>
            <c:dLbl>
              <c:idx val="4"/>
              <c:layout>
                <c:manualLayout>
                  <c:x val="-0.12194450675829248"/>
                  <c:y val="6.7448849155993154E-2"/>
                </c:manualLayout>
              </c:layout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sz="1400" b="1" i="0" u="none" strike="noStrike" kern="1200" baseline="0">
                      <a:ln w="3175">
                        <a:noFill/>
                      </a:ln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34831239991954"/>
                      <c:h val="0.104164322487400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491-4B7D-A06E-ACBC80B88EAD}"/>
                </c:ext>
              </c:extLst>
            </c:dLbl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1400" b="1" i="0" u="none" strike="noStrike" kern="1200" baseline="0">
                    <a:ln w="3175">
                      <a:noFill/>
                    </a:ln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31750" cap="flat" cmpd="sng" algn="ctr">
                  <a:solidFill>
                    <a:srgbClr val="323232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Crude Refined'!$A$30:$A$34</c:f>
              <c:strCache>
                <c:ptCount val="5"/>
                <c:pt idx="0">
                  <c:v>Biodiesel</c:v>
                </c:pt>
                <c:pt idx="1">
                  <c:v>Renewable Diesel</c:v>
                </c:pt>
                <c:pt idx="2">
                  <c:v>Co-Processing</c:v>
                </c:pt>
                <c:pt idx="3">
                  <c:v>Non-Biofuel</c:v>
                </c:pt>
                <c:pt idx="4">
                  <c:v>Exports</c:v>
                </c:pt>
              </c:strCache>
            </c:strRef>
          </c:cat>
          <c:val>
            <c:numRef>
              <c:f>'Pie Chart Crude Refined'!$E$30:$E$34</c:f>
              <c:numCache>
                <c:formatCode>#,##0_);[Red]\(#,##0\)</c:formatCode>
                <c:ptCount val="5"/>
                <c:pt idx="0" formatCode="#,##0">
                  <c:v>6597.5815917071213</c:v>
                </c:pt>
                <c:pt idx="1">
                  <c:v>8093.8165298902195</c:v>
                </c:pt>
                <c:pt idx="2" formatCode="_(* #,##0_);_(* \(#,##0\);_(* &quot;-&quot;??_);_(@_)">
                  <c:v>299.3658667948917</c:v>
                </c:pt>
                <c:pt idx="3" formatCode="_(* #,##0_);_(* \(#,##0\);_(* &quot;-&quot;??_);_(@_)">
                  <c:v>12250</c:v>
                </c:pt>
                <c:pt idx="4" formatCode="_(* #,##0_);_(* \(#,##0\);_(* &quot;-&quot;??_);_(@_)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91-4B7D-A06E-ACBC80B88EA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normalizeH="0" baseline="0">
                <a:solidFill>
                  <a:srgbClr val="323232"/>
                </a:solidFill>
                <a:latin typeface="Arial" panose="020B0604020202020204" pitchFamily="34" charset="0"/>
                <a:ea typeface="+mj-ea"/>
                <a:cs typeface="Arial" panose="020B0604020202020204" pitchFamily="34" charset="0"/>
              </a:defRPr>
            </a:pPr>
            <a:r>
              <a:rPr lang="en-US" sz="2800">
                <a:solidFill>
                  <a:srgbClr val="323232"/>
                </a:solidFill>
              </a:rPr>
              <a:t> Soybean Oil Demand 2019/20 </a:t>
            </a:r>
          </a:p>
        </c:rich>
      </c:tx>
      <c:layout>
        <c:manualLayout>
          <c:xMode val="edge"/>
          <c:yMode val="edge"/>
          <c:x val="0.16522510062442514"/>
          <c:y val="1.9439468843230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normalizeH="0" baseline="0">
              <a:solidFill>
                <a:srgbClr val="323232"/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 Crude Refined'!$B$24</c:f>
              <c:strCache>
                <c:ptCount val="1"/>
                <c:pt idx="0">
                  <c:v>2019/20</c:v>
                </c:pt>
              </c:strCache>
            </c:strRef>
          </c:tx>
          <c:spPr>
            <a:ln>
              <a:solidFill>
                <a:srgbClr val="323232"/>
              </a:solidFill>
            </a:ln>
          </c:spPr>
          <c:dPt>
            <c:idx val="0"/>
            <c:bubble3D val="0"/>
            <c:spPr>
              <a:solidFill>
                <a:srgbClr val="323232"/>
              </a:solidFill>
              <a:ln w="19050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A0-4853-A950-9EF7F4B3A25C}"/>
              </c:ext>
            </c:extLst>
          </c:dPt>
          <c:dPt>
            <c:idx val="1"/>
            <c:bubble3D val="0"/>
            <c:spPr>
              <a:solidFill>
                <a:srgbClr val="8C8C8C"/>
              </a:solidFill>
              <a:ln w="19050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A0-4853-A950-9EF7F4B3A25C}"/>
              </c:ext>
            </c:extLst>
          </c:dPt>
          <c:dPt>
            <c:idx val="2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rgbClr val="ECECEC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A0-4853-A950-9EF7F4B3A25C}"/>
              </c:ext>
            </c:extLst>
          </c:dPt>
          <c:dPt>
            <c:idx val="3"/>
            <c:bubble3D val="0"/>
            <c:spPr>
              <a:solidFill>
                <a:srgbClr val="E49CFA"/>
              </a:solidFill>
              <a:ln w="19050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A0-4853-A950-9EF7F4B3A25C}"/>
              </c:ext>
            </c:extLst>
          </c:dPt>
          <c:dPt>
            <c:idx val="4"/>
            <c:bubble3D val="0"/>
            <c:spPr>
              <a:solidFill>
                <a:srgbClr val="6F0791"/>
              </a:solidFill>
              <a:ln w="19050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A0-4853-A950-9EF7F4B3A25C}"/>
              </c:ext>
            </c:extLst>
          </c:dPt>
          <c:dLbls>
            <c:dLbl>
              <c:idx val="0"/>
              <c:layout>
                <c:manualLayout>
                  <c:x val="-0.15121454753279845"/>
                  <c:y val="0.1488673638728513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946909268848"/>
                      <c:h val="0.114557134708366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3A0-4853-A950-9EF7F4B3A25C}"/>
                </c:ext>
              </c:extLst>
            </c:dLbl>
            <c:dLbl>
              <c:idx val="1"/>
              <c:layout>
                <c:manualLayout>
                  <c:x val="5.9348853499143844E-2"/>
                  <c:y val="-6.856990136182455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340572335103072"/>
                      <c:h val="0.101836168883570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3A0-4853-A950-9EF7F4B3A25C}"/>
                </c:ext>
              </c:extLst>
            </c:dLbl>
            <c:dLbl>
              <c:idx val="2"/>
              <c:layout>
                <c:manualLayout>
                  <c:x val="3.7868986827674631E-2"/>
                  <c:y val="5.5651351812409579E-2"/>
                </c:manualLayout>
              </c:layout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sz="1400" b="1" i="0" u="none" strike="noStrike" kern="1200" baseline="0">
                      <a:ln w="0">
                        <a:noFill/>
                      </a:ln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128139133806085"/>
                      <c:h val="0.10900799622280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3A0-4853-A950-9EF7F4B3A25C}"/>
                </c:ext>
              </c:extLst>
            </c:dLbl>
            <c:dLbl>
              <c:idx val="3"/>
              <c:layout>
                <c:manualLayout>
                  <c:x val="0.17661430255576616"/>
                  <c:y val="-0.1753824310801793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015415297512504"/>
                      <c:h val="0.109861326004160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3A0-4853-A950-9EF7F4B3A25C}"/>
                </c:ext>
              </c:extLst>
            </c:dLbl>
            <c:dLbl>
              <c:idx val="4"/>
              <c:layout>
                <c:manualLayout>
                  <c:x val="-0.14653091110479133"/>
                  <c:y val="5.494167248023124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80945470776058"/>
                      <c:h val="0.107471126375889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3A0-4853-A950-9EF7F4B3A25C}"/>
                </c:ext>
              </c:extLst>
            </c:dLbl>
            <c:spPr>
              <a:solidFill>
                <a:sysClr val="window" lastClr="FFFFFF"/>
              </a:solidFill>
              <a:ln w="15875">
                <a:solidFill>
                  <a:srgbClr val="32323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 algn="ctr">
                  <a:defRPr sz="1400" b="1" i="0" u="none" strike="noStrike" kern="1200" baseline="0">
                    <a:ln w="0">
                      <a:noFill/>
                    </a:ln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28575" cap="flat" cmpd="sng" algn="ctr">
                  <a:solidFill>
                    <a:srgbClr val="323232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Crude Refined'!$A$30:$A$34</c:f>
              <c:strCache>
                <c:ptCount val="5"/>
                <c:pt idx="0">
                  <c:v>Biodiesel</c:v>
                </c:pt>
                <c:pt idx="1">
                  <c:v>Renewable Diesel</c:v>
                </c:pt>
                <c:pt idx="2">
                  <c:v>Co-Processing</c:v>
                </c:pt>
                <c:pt idx="3">
                  <c:v>Non-Biofuel</c:v>
                </c:pt>
                <c:pt idx="4">
                  <c:v>Exports</c:v>
                </c:pt>
              </c:strCache>
            </c:strRef>
          </c:cat>
          <c:val>
            <c:numRef>
              <c:f>'Pie Chart Crude Refined'!$B$30:$B$34</c:f>
              <c:numCache>
                <c:formatCode>#,##0</c:formatCode>
                <c:ptCount val="5"/>
                <c:pt idx="0">
                  <c:v>7857.82</c:v>
                </c:pt>
                <c:pt idx="1">
                  <c:v>1424.0832194533459</c:v>
                </c:pt>
                <c:pt idx="2" formatCode="0">
                  <c:v>14.877988255617979</c:v>
                </c:pt>
                <c:pt idx="3" formatCode="_(* #,##0_);_(* \(#,##0\);_(* &quot;-&quot;??_);_(@_)">
                  <c:v>13024.916335535307</c:v>
                </c:pt>
                <c:pt idx="4" formatCode="_(* #,##0_);_(* \(#,##0\);_(* &quot;-&quot;??_);_(@_)">
                  <c:v>2832.2140233623118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A0-4853-A950-9EF7F4B3A25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rgbClr val="ECECEC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>
                <a:solidFill>
                  <a:srgbClr val="323232"/>
                </a:solidFill>
              </a:rPr>
              <a:t>2019/20 US Crude SBO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spPr>
            <a:ln>
              <a:solidFill>
                <a:srgbClr val="6F0791"/>
              </a:solidFill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8C-4EFA-B112-3391EF590BF0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8C-4EFA-B112-3391EF590BF0}"/>
              </c:ext>
            </c:extLst>
          </c:dPt>
          <c:dPt>
            <c:idx val="2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8C-4EFA-B112-3391EF590BF0}"/>
              </c:ext>
            </c:extLst>
          </c:dPt>
          <c:dPt>
            <c:idx val="3"/>
            <c:bubble3D val="0"/>
            <c:spPr>
              <a:solidFill>
                <a:srgbClr val="323232"/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8C-4EFA-B112-3391EF590BF0}"/>
              </c:ext>
            </c:extLst>
          </c:dPt>
          <c:dPt>
            <c:idx val="4"/>
            <c:bubble3D val="0"/>
            <c:spPr>
              <a:solidFill>
                <a:srgbClr val="ECECEC"/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78C-4EFA-B112-3391EF590BF0}"/>
              </c:ext>
            </c:extLst>
          </c:dPt>
          <c:dPt>
            <c:idx val="5"/>
            <c:bubble3D val="0"/>
            <c:spPr>
              <a:solidFill>
                <a:srgbClr val="8C8C8C"/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78C-4EFA-B112-3391EF590BF0}"/>
              </c:ext>
            </c:extLst>
          </c:dPt>
          <c:dLbls>
            <c:dLbl>
              <c:idx val="0"/>
              <c:layout>
                <c:manualLayout>
                  <c:x val="9.2185039370078735E-3"/>
                  <c:y val="2.5565895172194385E-2"/>
                </c:manualLayout>
              </c:layout>
              <c:spPr>
                <a:solidFill>
                  <a:sysClr val="window" lastClr="FFFFFF"/>
                </a:solidFill>
                <a:ln w="28575" cap="flat" cmpd="sng" algn="ctr">
                  <a:solidFill>
                    <a:sysClr val="windowText" lastClr="000000">
                      <a:lumMod val="50000"/>
                      <a:lumOff val="50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>
                        <a:gd name="adj1" fmla="val 49253"/>
                        <a:gd name="adj2" fmla="val -209"/>
                        <a:gd name="adj3" fmla="val 18750"/>
                        <a:gd name="adj4" fmla="val -16667"/>
                        <a:gd name="adj5" fmla="val -38401"/>
                        <a:gd name="adj6" fmla="val -19642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78C-4EFA-B112-3391EF590BF0}"/>
                </c:ext>
              </c:extLst>
            </c:dLbl>
            <c:dLbl>
              <c:idx val="1"/>
              <c:layout>
                <c:manualLayout>
                  <c:x val="0.21186252889603477"/>
                  <c:y val="-4.6220116712694721E-2"/>
                </c:manualLayout>
              </c:layout>
              <c:spPr>
                <a:solidFill>
                  <a:sysClr val="window" lastClr="FFFFFF"/>
                </a:solidFill>
                <a:ln w="28575"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78C-4EFA-B112-3391EF590BF0}"/>
                </c:ext>
              </c:extLst>
            </c:dLbl>
            <c:dLbl>
              <c:idx val="2"/>
              <c:layout>
                <c:manualLayout>
                  <c:x val="-4.9303155341037706E-2"/>
                  <c:y val="-0.17082101246892153"/>
                </c:manualLayout>
              </c:layout>
              <c:spPr>
                <a:solidFill>
                  <a:sysClr val="window" lastClr="FFFFFF"/>
                </a:solidFill>
                <a:ln w="28575" cap="flat" cmpd="sng" algn="ctr">
                  <a:solidFill>
                    <a:sysClr val="windowText" lastClr="000000">
                      <a:lumMod val="50000"/>
                      <a:lumOff val="50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>
                        <a:gd name="adj1" fmla="val 100466"/>
                        <a:gd name="adj2" fmla="val 51459"/>
                        <a:gd name="adj3" fmla="val 253882"/>
                        <a:gd name="adj4" fmla="val 32540"/>
                        <a:gd name="adj5" fmla="val 291366"/>
                        <a:gd name="adj6" fmla="val 1820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78C-4EFA-B112-3391EF590BF0}"/>
                </c:ext>
              </c:extLst>
            </c:dLbl>
            <c:dLbl>
              <c:idx val="3"/>
              <c:layout>
                <c:manualLayout>
                  <c:x val="-5.2737432642117797E-2"/>
                  <c:y val="-0.18987823694036082"/>
                </c:manualLayout>
              </c:layout>
              <c:spPr>
                <a:solidFill>
                  <a:sysClr val="window" lastClr="FFFFFF"/>
                </a:solidFill>
                <a:ln w="28575" cap="flat" cmpd="sng" algn="ctr">
                  <a:solidFill>
                    <a:sysClr val="windowText" lastClr="000000">
                      <a:lumMod val="50000"/>
                      <a:lumOff val="50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>
                        <a:gd name="adj1" fmla="val 282125"/>
                        <a:gd name="adj2" fmla="val 41834"/>
                        <a:gd name="adj3" fmla="val 278531"/>
                        <a:gd name="adj4" fmla="val 49960"/>
                        <a:gd name="adj5" fmla="val 98774"/>
                        <a:gd name="adj6" fmla="val 50464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278C-4EFA-B112-3391EF590BF0}"/>
                </c:ext>
              </c:extLst>
            </c:dLbl>
            <c:dLbl>
              <c:idx val="4"/>
              <c:layout>
                <c:manualLayout>
                  <c:x val="-6.4456862118143846E-2"/>
                  <c:y val="0.29086447860201009"/>
                </c:manualLayout>
              </c:layout>
              <c:spPr>
                <a:solidFill>
                  <a:sysClr val="window" lastClr="FFFFFF"/>
                </a:solidFill>
                <a:ln w="28575" cap="flat" cmpd="sng" algn="ctr">
                  <a:solidFill>
                    <a:sysClr val="windowText" lastClr="000000">
                      <a:lumMod val="50000"/>
                      <a:lumOff val="50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>
                        <a:gd name="adj1" fmla="val 3033"/>
                        <a:gd name="adj2" fmla="val 49165"/>
                        <a:gd name="adj3" fmla="val -300923"/>
                        <a:gd name="adj4" fmla="val 53949"/>
                        <a:gd name="adj5" fmla="val -299565"/>
                        <a:gd name="adj6" fmla="val 44269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278C-4EFA-B112-3391EF590BF0}"/>
                </c:ext>
              </c:extLst>
            </c:dLbl>
            <c:dLbl>
              <c:idx val="5"/>
              <c:layout>
                <c:manualLayout>
                  <c:x val="-0.15763855792889075"/>
                  <c:y val="-2.470803692833256E-4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323232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400" b="1"/>
                      <a:t>Domestic Use, </a:t>
                    </a:r>
                    <a:fld id="{93364631-0A70-4FA9-B9DD-1266B67C4BB5}" type="VALUE">
                      <a:rPr lang="en-US" sz="1400" b="1"/>
                      <a:pPr>
                        <a:defRPr sz="1400" b="1"/>
                      </a:pPr>
                      <a:t>[VALUE]</a:t>
                    </a:fld>
                    <a:r>
                      <a:rPr lang="en-US" sz="1400" b="1"/>
                      <a:t>, </a:t>
                    </a:r>
                    <a:fld id="{008A1D9B-328A-46F0-9DB8-6ED2E0B4680D}" type="PERCENTAGE">
                      <a:rPr lang="en-US" sz="1400" b="1"/>
                      <a:pPr>
                        <a:defRPr sz="1400" b="1"/>
                      </a:pPr>
                      <a:t>[PERCENTAGE]</a:t>
                    </a:fld>
                    <a:endParaRPr lang="en-US" sz="1400" b="1"/>
                  </a:p>
                </c:rich>
              </c:tx>
              <c:spPr>
                <a:solidFill>
                  <a:sysClr val="window" lastClr="FFFFFF"/>
                </a:solidFill>
                <a:ln w="28575"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835388250278779"/>
                      <c:h val="9.075428419877795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278C-4EFA-B112-3391EF590BF0}"/>
                </c:ext>
              </c:extLst>
            </c:dLbl>
            <c:spPr>
              <a:solidFill>
                <a:sysClr val="window" lastClr="FFFFFF"/>
              </a:solidFill>
              <a:ln w="28575">
                <a:solidFill>
                  <a:sysClr val="windowText" lastClr="000000">
                    <a:lumMod val="50000"/>
                    <a:lumOff val="50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2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Sheet1!$A$9:$A$13</c:f>
              <c:strCache>
                <c:ptCount val="5"/>
                <c:pt idx="0">
                  <c:v>Exports</c:v>
                </c:pt>
                <c:pt idx="1">
                  <c:v>Refined</c:v>
                </c:pt>
                <c:pt idx="2">
                  <c:v>  Refining Loss</c:v>
                </c:pt>
                <c:pt idx="3">
                  <c:v>Inedible Use</c:v>
                </c:pt>
                <c:pt idx="4">
                  <c:v>Edible Use</c:v>
                </c:pt>
              </c:strCache>
            </c:strRef>
          </c:cat>
          <c:val>
            <c:numRef>
              <c:f>Sheet1!$O$9:$O$13</c:f>
              <c:numCache>
                <c:formatCode>#,##0_);[Red]\(#,##0\)</c:formatCode>
                <c:ptCount val="5"/>
                <c:pt idx="0">
                  <c:v>2446.0946750000007</c:v>
                </c:pt>
                <c:pt idx="1">
                  <c:v>18377.331000000002</c:v>
                </c:pt>
                <c:pt idx="2">
                  <c:v>442.53</c:v>
                </c:pt>
                <c:pt idx="3">
                  <c:v>1327.1079999999999</c:v>
                </c:pt>
                <c:pt idx="4">
                  <c:v>2265.1661010000034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78C-4EFA-B112-3391EF590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secondPieSize val="75"/>
        <c:serLines>
          <c:spPr>
            <a:ln w="15875" cap="flat" cmpd="sng" algn="ctr">
              <a:solidFill>
                <a:srgbClr val="6F0791"/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>
                <a:solidFill>
                  <a:srgbClr val="323232"/>
                </a:solidFill>
              </a:rPr>
              <a:t>2021/21 US Crude SBO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spPr>
            <a:ln>
              <a:solidFill>
                <a:srgbClr val="6F0791"/>
              </a:solidFill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47-4159-8E8F-E851CB756D1C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47-4159-8E8F-E851CB756D1C}"/>
              </c:ext>
            </c:extLst>
          </c:dPt>
          <c:dPt>
            <c:idx val="2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47-4159-8E8F-E851CB756D1C}"/>
              </c:ext>
            </c:extLst>
          </c:dPt>
          <c:dPt>
            <c:idx val="3"/>
            <c:bubble3D val="0"/>
            <c:spPr>
              <a:solidFill>
                <a:srgbClr val="323232"/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47-4159-8E8F-E851CB756D1C}"/>
              </c:ext>
            </c:extLst>
          </c:dPt>
          <c:dPt>
            <c:idx val="4"/>
            <c:bubble3D val="0"/>
            <c:spPr>
              <a:solidFill>
                <a:srgbClr val="ECECEC"/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47-4159-8E8F-E851CB756D1C}"/>
              </c:ext>
            </c:extLst>
          </c:dPt>
          <c:dPt>
            <c:idx val="5"/>
            <c:bubble3D val="0"/>
            <c:spPr>
              <a:solidFill>
                <a:srgbClr val="8C8C8C"/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A47-4159-8E8F-E851CB756D1C}"/>
              </c:ext>
            </c:extLst>
          </c:dPt>
          <c:dLbls>
            <c:dLbl>
              <c:idx val="0"/>
              <c:layout>
                <c:manualLayout>
                  <c:x val="9.2185039370078735E-3"/>
                  <c:y val="2.5565895172194385E-2"/>
                </c:manualLayout>
              </c:layout>
              <c:spPr>
                <a:solidFill>
                  <a:sysClr val="window" lastClr="FFFFFF"/>
                </a:solidFill>
                <a:ln w="28575" cap="flat" cmpd="sng" algn="ctr">
                  <a:solidFill>
                    <a:sysClr val="windowText" lastClr="000000">
                      <a:lumMod val="50000"/>
                      <a:lumOff val="50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>
                        <a:gd name="adj1" fmla="val 49253"/>
                        <a:gd name="adj2" fmla="val -209"/>
                        <a:gd name="adj3" fmla="val 18750"/>
                        <a:gd name="adj4" fmla="val -16667"/>
                        <a:gd name="adj5" fmla="val -38401"/>
                        <a:gd name="adj6" fmla="val -19642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A47-4159-8E8F-E851CB756D1C}"/>
                </c:ext>
              </c:extLst>
            </c:dLbl>
            <c:dLbl>
              <c:idx val="1"/>
              <c:layout>
                <c:manualLayout>
                  <c:x val="0.21186252889603477"/>
                  <c:y val="-4.6220116712694721E-2"/>
                </c:manualLayout>
              </c:layout>
              <c:spPr>
                <a:solidFill>
                  <a:sysClr val="window" lastClr="FFFFFF"/>
                </a:solidFill>
                <a:ln w="28575"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A47-4159-8E8F-E851CB756D1C}"/>
                </c:ext>
              </c:extLst>
            </c:dLbl>
            <c:dLbl>
              <c:idx val="2"/>
              <c:layout>
                <c:manualLayout>
                  <c:x val="-4.9303155341037706E-2"/>
                  <c:y val="-0.17082101246892153"/>
                </c:manualLayout>
              </c:layout>
              <c:spPr>
                <a:solidFill>
                  <a:sysClr val="window" lastClr="FFFFFF"/>
                </a:solidFill>
                <a:ln w="28575" cap="flat" cmpd="sng" algn="ctr">
                  <a:solidFill>
                    <a:sysClr val="windowText" lastClr="000000">
                      <a:lumMod val="50000"/>
                      <a:lumOff val="50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>
                        <a:gd name="adj1" fmla="val 100466"/>
                        <a:gd name="adj2" fmla="val 51459"/>
                        <a:gd name="adj3" fmla="val 253882"/>
                        <a:gd name="adj4" fmla="val 32540"/>
                        <a:gd name="adj5" fmla="val 291366"/>
                        <a:gd name="adj6" fmla="val 1820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A47-4159-8E8F-E851CB756D1C}"/>
                </c:ext>
              </c:extLst>
            </c:dLbl>
            <c:dLbl>
              <c:idx val="3"/>
              <c:layout>
                <c:manualLayout>
                  <c:x val="-5.2737432642117797E-2"/>
                  <c:y val="-0.18987823694036082"/>
                </c:manualLayout>
              </c:layout>
              <c:spPr>
                <a:solidFill>
                  <a:sysClr val="window" lastClr="FFFFFF"/>
                </a:solidFill>
                <a:ln w="28575" cap="flat" cmpd="sng" algn="ctr">
                  <a:solidFill>
                    <a:sysClr val="windowText" lastClr="000000">
                      <a:lumMod val="50000"/>
                      <a:lumOff val="50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>
                        <a:gd name="adj1" fmla="val 282125"/>
                        <a:gd name="adj2" fmla="val 41834"/>
                        <a:gd name="adj3" fmla="val 278531"/>
                        <a:gd name="adj4" fmla="val 49960"/>
                        <a:gd name="adj5" fmla="val 98774"/>
                        <a:gd name="adj6" fmla="val 50464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2A47-4159-8E8F-E851CB756D1C}"/>
                </c:ext>
              </c:extLst>
            </c:dLbl>
            <c:dLbl>
              <c:idx val="4"/>
              <c:layout>
                <c:manualLayout>
                  <c:x val="-6.4456862118143846E-2"/>
                  <c:y val="0.29086447860201009"/>
                </c:manualLayout>
              </c:layout>
              <c:spPr>
                <a:solidFill>
                  <a:sysClr val="window" lastClr="FFFFFF"/>
                </a:solidFill>
                <a:ln w="28575" cap="flat" cmpd="sng" algn="ctr">
                  <a:solidFill>
                    <a:sysClr val="windowText" lastClr="000000">
                      <a:lumMod val="50000"/>
                      <a:lumOff val="50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>
                        <a:gd name="adj1" fmla="val 3033"/>
                        <a:gd name="adj2" fmla="val 49165"/>
                        <a:gd name="adj3" fmla="val -300923"/>
                        <a:gd name="adj4" fmla="val 53949"/>
                        <a:gd name="adj5" fmla="val -299565"/>
                        <a:gd name="adj6" fmla="val 44269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2A47-4159-8E8F-E851CB756D1C}"/>
                </c:ext>
              </c:extLst>
            </c:dLbl>
            <c:dLbl>
              <c:idx val="5"/>
              <c:layout>
                <c:manualLayout>
                  <c:x val="-0.15763855792889075"/>
                  <c:y val="-2.470803692833256E-4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323232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400" b="1"/>
                      <a:t>Domestic Use, </a:t>
                    </a:r>
                    <a:fld id="{93364631-0A70-4FA9-B9DD-1266B67C4BB5}" type="VALUE">
                      <a:rPr lang="en-US" sz="1400" b="1"/>
                      <a:pPr>
                        <a:defRPr sz="1400" b="1"/>
                      </a:pPr>
                      <a:t>[VALUE]</a:t>
                    </a:fld>
                    <a:r>
                      <a:rPr lang="en-US" sz="1400" b="1"/>
                      <a:t>, </a:t>
                    </a:r>
                    <a:fld id="{008A1D9B-328A-46F0-9DB8-6ED2E0B4680D}" type="PERCENTAGE">
                      <a:rPr lang="en-US" sz="1400" b="1"/>
                      <a:pPr>
                        <a:defRPr sz="1400" b="1"/>
                      </a:pPr>
                      <a:t>[PERCENTAGE]</a:t>
                    </a:fld>
                    <a:endParaRPr lang="en-US" sz="1400" b="1"/>
                  </a:p>
                </c:rich>
              </c:tx>
              <c:spPr>
                <a:solidFill>
                  <a:sysClr val="window" lastClr="FFFFFF"/>
                </a:solidFill>
                <a:ln w="28575"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835388250278779"/>
                      <c:h val="9.075428419877795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2A47-4159-8E8F-E851CB756D1C}"/>
                </c:ext>
              </c:extLst>
            </c:dLbl>
            <c:spPr>
              <a:solidFill>
                <a:sysClr val="window" lastClr="FFFFFF"/>
              </a:solidFill>
              <a:ln w="28575">
                <a:solidFill>
                  <a:sysClr val="windowText" lastClr="000000">
                    <a:lumMod val="50000"/>
                    <a:lumOff val="50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2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Sheet1!$A$9:$A$13</c:f>
              <c:strCache>
                <c:ptCount val="5"/>
                <c:pt idx="0">
                  <c:v>Exports</c:v>
                </c:pt>
                <c:pt idx="1">
                  <c:v>Refined</c:v>
                </c:pt>
                <c:pt idx="2">
                  <c:v>  Refining Loss</c:v>
                </c:pt>
                <c:pt idx="3">
                  <c:v>Inedible Use</c:v>
                </c:pt>
                <c:pt idx="4">
                  <c:v>Edible Use</c:v>
                </c:pt>
              </c:strCache>
            </c:strRef>
          </c:cat>
          <c:val>
            <c:numRef>
              <c:f>Sheet1!$O$9:$O$13</c:f>
              <c:numCache>
                <c:formatCode>#,##0_);[Red]\(#,##0\)</c:formatCode>
                <c:ptCount val="5"/>
                <c:pt idx="0">
                  <c:v>2446.0946750000007</c:v>
                </c:pt>
                <c:pt idx="1">
                  <c:v>18377.331000000002</c:v>
                </c:pt>
                <c:pt idx="2">
                  <c:v>442.53</c:v>
                </c:pt>
                <c:pt idx="3">
                  <c:v>1327.1079999999999</c:v>
                </c:pt>
                <c:pt idx="4">
                  <c:v>2265.1661010000034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A47-4159-8E8F-E851CB756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secondPieSize val="75"/>
        <c:serLines>
          <c:spPr>
            <a:ln w="15875" cap="flat" cmpd="sng" algn="ctr">
              <a:solidFill>
                <a:srgbClr val="6F0791"/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>
                <a:solidFill>
                  <a:srgbClr val="323232"/>
                </a:solidFill>
              </a:rPr>
              <a:t>2019/20 US Refined SBO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BA-4606-9476-BCC66955DB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BA-4606-9476-BCC66955DB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BA-4606-9476-BCC66955DB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BA-4606-9476-BCC66955DB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BA-4606-9476-BCC66955DB28}"/>
              </c:ext>
            </c:extLst>
          </c:dPt>
          <c:dPt>
            <c:idx val="5"/>
            <c:bubble3D val="0"/>
            <c:spPr>
              <a:solidFill>
                <a:srgbClr val="8C8C8C"/>
              </a:solidFill>
              <a:ln w="19050">
                <a:solidFill>
                  <a:srgbClr val="6F0791"/>
                </a:solidFill>
              </a:ln>
              <a:effectLst/>
              <a:sp3d contourW="19050">
                <a:contourClr>
                  <a:srgbClr val="6F079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BA-4606-9476-BCC66955DB28}"/>
              </c:ext>
            </c:extLst>
          </c:dPt>
          <c:dLbls>
            <c:dLbl>
              <c:idx val="0"/>
              <c:layout>
                <c:manualLayout>
                  <c:x val="8.3758065574913998E-2"/>
                  <c:y val="9.092501794285180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BA-4606-9476-BCC66955DB28}"/>
                </c:ext>
              </c:extLst>
            </c:dLbl>
            <c:dLbl>
              <c:idx val="1"/>
              <c:layout>
                <c:manualLayout>
                  <c:x val="5.3751287209752835E-2"/>
                  <c:y val="8.191109458742414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BA-4606-9476-BCC66955DB28}"/>
                </c:ext>
              </c:extLst>
            </c:dLbl>
            <c:dLbl>
              <c:idx val="2"/>
              <c:layout>
                <c:manualLayout>
                  <c:x val="0.21606336617638985"/>
                  <c:y val="-1.432359400854747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BA-4606-9476-BCC66955DB28}"/>
                </c:ext>
              </c:extLst>
            </c:dLbl>
            <c:dLbl>
              <c:idx val="5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323232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400" b="1"/>
                      <a:t>Domestic Use, </a:t>
                    </a:r>
                    <a:fld id="{93364631-0A70-4FA9-B9DD-1266B67C4BB5}" type="VALUE">
                      <a:rPr lang="en-US" sz="1400" b="1"/>
                      <a:pPr>
                        <a:defRPr sz="1400" b="1"/>
                      </a:pPr>
                      <a:t>[VALUE]</a:t>
                    </a:fld>
                    <a:r>
                      <a:rPr lang="en-US" sz="1400" b="1"/>
                      <a:t>, </a:t>
                    </a:r>
                    <a:fld id="{008A1D9B-328A-46F0-9DB8-6ED2E0B4680D}" type="PERCENTAGE">
                      <a:rPr lang="en-US" sz="1400" b="1"/>
                      <a:pPr>
                        <a:defRPr sz="1400" b="1"/>
                      </a:pPr>
                      <a:t>[PERCENTAGE]</a:t>
                    </a:fld>
                    <a:endParaRPr lang="en-US" sz="1400" b="1"/>
                  </a:p>
                </c:rich>
              </c:tx>
              <c:spPr>
                <a:solidFill>
                  <a:sysClr val="window" lastClr="FFFFFF"/>
                </a:solidFill>
                <a:ln w="28575"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835388250278779"/>
                      <c:h val="9.075428419877795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0EBA-4606-9476-BCC66955DB28}"/>
                </c:ext>
              </c:extLst>
            </c:dLbl>
            <c:spPr>
              <a:solidFill>
                <a:sysClr val="window" lastClr="FFFFFF"/>
              </a:solidFill>
              <a:ln w="28575">
                <a:solidFill>
                  <a:sysClr val="windowText" lastClr="000000">
                    <a:lumMod val="50000"/>
                    <a:lumOff val="50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2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Sheet1!$A$24:$A$26</c:f>
              <c:strCache>
                <c:ptCount val="3"/>
                <c:pt idx="0">
                  <c:v>Inedible Use</c:v>
                </c:pt>
                <c:pt idx="1">
                  <c:v>Edible Use</c:v>
                </c:pt>
                <c:pt idx="2">
                  <c:v>Exports</c:v>
                </c:pt>
              </c:strCache>
            </c:strRef>
          </c:cat>
          <c:val>
            <c:numRef>
              <c:f>Sheet1!$O$24:$O$26</c:f>
              <c:numCache>
                <c:formatCode>#,##0_);[Red]\(#,##0\)</c:formatCode>
                <c:ptCount val="3"/>
                <c:pt idx="0">
                  <c:v>4981.9779999999992</c:v>
                </c:pt>
                <c:pt idx="1">
                  <c:v>13127.203</c:v>
                </c:pt>
                <c:pt idx="2">
                  <c:v>385.66509400000001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BA-4606-9476-BCC66955D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>
                <a:solidFill>
                  <a:srgbClr val="323232"/>
                </a:solidFill>
              </a:rPr>
              <a:t>2019/20 US Crude SBO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spPr>
            <a:ln>
              <a:solidFill>
                <a:srgbClr val="6F0791"/>
              </a:solidFill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7B-49E6-BA06-878F91E5DEE4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7B-49E6-BA06-878F91E5DEE4}"/>
              </c:ext>
            </c:extLst>
          </c:dPt>
          <c:dPt>
            <c:idx val="2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7B-49E6-BA06-878F91E5DEE4}"/>
              </c:ext>
            </c:extLst>
          </c:dPt>
          <c:dPt>
            <c:idx val="3"/>
            <c:bubble3D val="0"/>
            <c:spPr>
              <a:solidFill>
                <a:srgbClr val="323232"/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7B-49E6-BA06-878F91E5DEE4}"/>
              </c:ext>
            </c:extLst>
          </c:dPt>
          <c:dPt>
            <c:idx val="4"/>
            <c:bubble3D val="0"/>
            <c:spPr>
              <a:solidFill>
                <a:srgbClr val="ECECEC"/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7B-49E6-BA06-878F91E5DEE4}"/>
              </c:ext>
            </c:extLst>
          </c:dPt>
          <c:dPt>
            <c:idx val="5"/>
            <c:bubble3D val="0"/>
            <c:spPr>
              <a:solidFill>
                <a:srgbClr val="8C8C8C"/>
              </a:solidFill>
              <a:ln w="19050">
                <a:solidFill>
                  <a:srgbClr val="6F07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87B-49E6-BA06-878F91E5DEE4}"/>
              </c:ext>
            </c:extLst>
          </c:dPt>
          <c:dLbls>
            <c:dLbl>
              <c:idx val="0"/>
              <c:layout>
                <c:manualLayout>
                  <c:x val="9.2185039370078735E-3"/>
                  <c:y val="2.5565895172194385E-2"/>
                </c:manualLayout>
              </c:layout>
              <c:spPr>
                <a:solidFill>
                  <a:sysClr val="window" lastClr="FFFFFF"/>
                </a:solidFill>
                <a:ln w="28575" cap="flat" cmpd="sng" algn="ctr">
                  <a:solidFill>
                    <a:sysClr val="windowText" lastClr="000000">
                      <a:lumMod val="50000"/>
                      <a:lumOff val="50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>
                        <a:gd name="adj1" fmla="val 49253"/>
                        <a:gd name="adj2" fmla="val -209"/>
                        <a:gd name="adj3" fmla="val 18750"/>
                        <a:gd name="adj4" fmla="val -16667"/>
                        <a:gd name="adj5" fmla="val -38401"/>
                        <a:gd name="adj6" fmla="val -19642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387B-49E6-BA06-878F91E5DEE4}"/>
                </c:ext>
              </c:extLst>
            </c:dLbl>
            <c:dLbl>
              <c:idx val="1"/>
              <c:layout>
                <c:manualLayout>
                  <c:x val="0.21186252889603477"/>
                  <c:y val="-4.6220116712694721E-2"/>
                </c:manualLayout>
              </c:layout>
              <c:spPr>
                <a:solidFill>
                  <a:sysClr val="window" lastClr="FFFFFF"/>
                </a:solidFill>
                <a:ln w="28575"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87B-49E6-BA06-878F91E5DEE4}"/>
                </c:ext>
              </c:extLst>
            </c:dLbl>
            <c:dLbl>
              <c:idx val="2"/>
              <c:layout>
                <c:manualLayout>
                  <c:x val="-4.9303155341037706E-2"/>
                  <c:y val="-0.17082101246892153"/>
                </c:manualLayout>
              </c:layout>
              <c:spPr>
                <a:solidFill>
                  <a:sysClr val="window" lastClr="FFFFFF"/>
                </a:solidFill>
                <a:ln w="28575" cap="flat" cmpd="sng" algn="ctr">
                  <a:solidFill>
                    <a:sysClr val="windowText" lastClr="000000">
                      <a:lumMod val="50000"/>
                      <a:lumOff val="50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>
                        <a:gd name="adj1" fmla="val 100466"/>
                        <a:gd name="adj2" fmla="val 51459"/>
                        <a:gd name="adj3" fmla="val 253882"/>
                        <a:gd name="adj4" fmla="val 32540"/>
                        <a:gd name="adj5" fmla="val 291366"/>
                        <a:gd name="adj6" fmla="val 1820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387B-49E6-BA06-878F91E5DEE4}"/>
                </c:ext>
              </c:extLst>
            </c:dLbl>
            <c:dLbl>
              <c:idx val="3"/>
              <c:layout>
                <c:manualLayout>
                  <c:x val="-5.2737432642117797E-2"/>
                  <c:y val="-0.18987823694036082"/>
                </c:manualLayout>
              </c:layout>
              <c:spPr>
                <a:solidFill>
                  <a:sysClr val="window" lastClr="FFFFFF"/>
                </a:solidFill>
                <a:ln w="28575" cap="flat" cmpd="sng" algn="ctr">
                  <a:solidFill>
                    <a:sysClr val="windowText" lastClr="000000">
                      <a:lumMod val="50000"/>
                      <a:lumOff val="50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>
                        <a:gd name="adj1" fmla="val 282125"/>
                        <a:gd name="adj2" fmla="val 41834"/>
                        <a:gd name="adj3" fmla="val 278531"/>
                        <a:gd name="adj4" fmla="val 49960"/>
                        <a:gd name="adj5" fmla="val 98774"/>
                        <a:gd name="adj6" fmla="val 50464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387B-49E6-BA06-878F91E5DEE4}"/>
                </c:ext>
              </c:extLst>
            </c:dLbl>
            <c:dLbl>
              <c:idx val="4"/>
              <c:layout>
                <c:manualLayout>
                  <c:x val="-6.4456862118143846E-2"/>
                  <c:y val="0.29086447860201009"/>
                </c:manualLayout>
              </c:layout>
              <c:spPr>
                <a:solidFill>
                  <a:sysClr val="window" lastClr="FFFFFF"/>
                </a:solidFill>
                <a:ln w="28575" cap="flat" cmpd="sng" algn="ctr">
                  <a:solidFill>
                    <a:sysClr val="windowText" lastClr="000000">
                      <a:lumMod val="50000"/>
                      <a:lumOff val="50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>
                        <a:gd name="adj1" fmla="val 3033"/>
                        <a:gd name="adj2" fmla="val 49165"/>
                        <a:gd name="adj3" fmla="val -300923"/>
                        <a:gd name="adj4" fmla="val 53949"/>
                        <a:gd name="adj5" fmla="val -299565"/>
                        <a:gd name="adj6" fmla="val 44269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387B-49E6-BA06-878F91E5DEE4}"/>
                </c:ext>
              </c:extLst>
            </c:dLbl>
            <c:dLbl>
              <c:idx val="5"/>
              <c:layout>
                <c:manualLayout>
                  <c:x val="-0.15763855792889075"/>
                  <c:y val="-2.470803692833256E-4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323232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sz="1400" b="1"/>
                      <a:t>Domestic Use, </a:t>
                    </a:r>
                    <a:fld id="{93364631-0A70-4FA9-B9DD-1266B67C4BB5}" type="VALUE">
                      <a:rPr lang="en-US" sz="1400" b="1"/>
                      <a:pPr>
                        <a:defRPr sz="1400" b="1"/>
                      </a:pPr>
                      <a:t>[VALUE]</a:t>
                    </a:fld>
                    <a:r>
                      <a:rPr lang="en-US" sz="1400" b="1"/>
                      <a:t>, </a:t>
                    </a:r>
                    <a:fld id="{008A1D9B-328A-46F0-9DB8-6ED2E0B4680D}" type="PERCENTAGE">
                      <a:rPr lang="en-US" sz="1400" b="1"/>
                      <a:pPr>
                        <a:defRPr sz="1400" b="1"/>
                      </a:pPr>
                      <a:t>[PERCENTAGE]</a:t>
                    </a:fld>
                    <a:endParaRPr lang="en-US" sz="1400" b="1"/>
                  </a:p>
                </c:rich>
              </c:tx>
              <c:spPr>
                <a:solidFill>
                  <a:sysClr val="window" lastClr="FFFFFF"/>
                </a:solidFill>
                <a:ln w="28575"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32323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835388250278779"/>
                      <c:h val="9.075428419877795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387B-49E6-BA06-878F91E5DEE4}"/>
                </c:ext>
              </c:extLst>
            </c:dLbl>
            <c:spPr>
              <a:solidFill>
                <a:sysClr val="window" lastClr="FFFFFF"/>
              </a:solidFill>
              <a:ln w="28575">
                <a:solidFill>
                  <a:sysClr val="windowText" lastClr="000000">
                    <a:lumMod val="50000"/>
                    <a:lumOff val="50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2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Sheet1!$A$9:$A$13</c:f>
              <c:strCache>
                <c:ptCount val="5"/>
                <c:pt idx="0">
                  <c:v>Exports</c:v>
                </c:pt>
                <c:pt idx="1">
                  <c:v>Refined</c:v>
                </c:pt>
                <c:pt idx="2">
                  <c:v>  Refining Loss</c:v>
                </c:pt>
                <c:pt idx="3">
                  <c:v>Inedible Use</c:v>
                </c:pt>
                <c:pt idx="4">
                  <c:v>Edible Use</c:v>
                </c:pt>
              </c:strCache>
            </c:strRef>
          </c:cat>
          <c:val>
            <c:numRef>
              <c:f>Sheet1!$O$9:$O$13</c:f>
              <c:numCache>
                <c:formatCode>#,##0_);[Red]\(#,##0\)</c:formatCode>
                <c:ptCount val="5"/>
                <c:pt idx="0">
                  <c:v>2446.0946750000007</c:v>
                </c:pt>
                <c:pt idx="1">
                  <c:v>18377.331000000002</c:v>
                </c:pt>
                <c:pt idx="2">
                  <c:v>442.53</c:v>
                </c:pt>
                <c:pt idx="3">
                  <c:v>1327.1079999999999</c:v>
                </c:pt>
                <c:pt idx="4">
                  <c:v>2265.1661010000034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87B-49E6-BA06-878F91E5D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secondPieSize val="75"/>
        <c:serLines>
          <c:spPr>
            <a:ln w="15875" cap="flat" cmpd="sng" algn="ctr">
              <a:solidFill>
                <a:srgbClr val="6F0791"/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35D2F9-CF94-42A2-BE40-023BE591D8B1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2C71BA2-6549-433A-B146-821DC377491D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06A2A2-EF13-46EF-94F9-A2823A9F5EF5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83A3E1-3530-4280-B162-26454CD2CAFE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9B0B4AD-00C0-4920-AE0A-7805D92A836D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B662F6-3C98-4BB8-A624-E7F9C53D7F25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7C51E0-AC5A-4C8B-8AB1-E733D86692A6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273531</xdr:colOff>
      <xdr:row>6</xdr:row>
      <xdr:rowOff>52464</xdr:rowOff>
    </xdr:from>
    <xdr:to>
      <xdr:col>14</xdr:col>
      <xdr:colOff>639384</xdr:colOff>
      <xdr:row>23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8553C7-2790-40B3-9F90-4BE4E9367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40640</xdr:colOff>
      <xdr:row>24</xdr:row>
      <xdr:rowOff>132080</xdr:rowOff>
    </xdr:from>
    <xdr:to>
      <xdr:col>8</xdr:col>
      <xdr:colOff>235464</xdr:colOff>
      <xdr:row>42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A6D6CD-8854-4C1D-89B5-4D4AEDE4B8AE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40" y="4932680"/>
          <a:ext cx="6281299" cy="35699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F5A43-189D-3795-A6AE-06181D9D35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0.01003</cdr:x>
      <cdr:y>0.94622</cdr:y>
    </cdr:from>
    <cdr:to>
      <cdr:x>0.23181</cdr:x>
      <cdr:y>0.99761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9E2BDC5-35A9-4959-9326-06A9338DB3F7}"/>
            </a:ext>
          </a:extLst>
        </cdr:cNvPr>
        <cdr:cNvSpPr txBox="1"/>
      </cdr:nvSpPr>
      <cdr:spPr>
        <a:xfrm xmlns:a="http://schemas.openxmlformats.org/drawingml/2006/main">
          <a:off x="95250" y="5086350"/>
          <a:ext cx="21050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The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Jacobsen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8</xdr:row>
      <xdr:rowOff>0</xdr:rowOff>
    </xdr:from>
    <xdr:to>
      <xdr:col>19</xdr:col>
      <xdr:colOff>347225</xdr:colOff>
      <xdr:row>17</xdr:row>
      <xdr:rowOff>126417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3A6862-2E3E-464B-83B4-0BEDF6496A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25800" y="1600200"/>
          <a:ext cx="3700025" cy="19266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641350</xdr:colOff>
      <xdr:row>10</xdr:row>
      <xdr:rowOff>120650</xdr:rowOff>
    </xdr:from>
    <xdr:to>
      <xdr:col>12</xdr:col>
      <xdr:colOff>260350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818AD-FCA8-421C-AA38-D8881EBCE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824552</xdr:colOff>
      <xdr:row>5</xdr:row>
      <xdr:rowOff>0</xdr:rowOff>
    </xdr:from>
    <xdr:to>
      <xdr:col>14</xdr:col>
      <xdr:colOff>682734</xdr:colOff>
      <xdr:row>24</xdr:row>
      <xdr:rowOff>17420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469B4-95DA-453D-B8BF-AEF3F5225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813279</xdr:colOff>
      <xdr:row>22</xdr:row>
      <xdr:rowOff>64170</xdr:rowOff>
    </xdr:from>
    <xdr:to>
      <xdr:col>7</xdr:col>
      <xdr:colOff>0</xdr:colOff>
      <xdr:row>35</xdr:row>
      <xdr:rowOff>200526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C25ACE-073E-4C19-B0F4-B87CD6082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1129631</xdr:colOff>
      <xdr:row>7</xdr:row>
      <xdr:rowOff>86895</xdr:rowOff>
    </xdr:from>
    <xdr:to>
      <xdr:col>12</xdr:col>
      <xdr:colOff>414935</xdr:colOff>
      <xdr:row>20</xdr:row>
      <xdr:rowOff>163095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E1535-DCD0-4084-8175-632346AB4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12</xdr:row>
      <xdr:rowOff>0</xdr:rowOff>
    </xdr:from>
    <xdr:to>
      <xdr:col>10</xdr:col>
      <xdr:colOff>431165</xdr:colOff>
      <xdr:row>28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E5A6C-E957-42B2-BAA7-06925E11A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521027</xdr:colOff>
      <xdr:row>10</xdr:row>
      <xdr:rowOff>136280</xdr:rowOff>
    </xdr:from>
    <xdr:to>
      <xdr:col>19</xdr:col>
      <xdr:colOff>497417</xdr:colOff>
      <xdr:row>27</xdr:row>
      <xdr:rowOff>52917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095682-4FF0-4903-8CDA-3BD9BD9296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9F3CA-91AD-791E-F669-8F7F5FA96B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0.00944</cdr:x>
      <cdr:y>0.92976</cdr:y>
    </cdr:from>
    <cdr:to>
      <cdr:x>0.30813</cdr:x>
      <cdr:y>0.98187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E82C14E-9317-4041-BA1E-76C2A3552113}"/>
            </a:ext>
          </a:extLst>
        </cdr:cNvPr>
        <cdr:cNvSpPr txBox="1"/>
      </cdr:nvSpPr>
      <cdr:spPr>
        <a:xfrm xmlns:a="http://schemas.openxmlformats.org/drawingml/2006/main">
          <a:off x="89647" y="4997824"/>
          <a:ext cx="2835088" cy="2801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The Jacobsen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857FE8-C1DF-1D13-3C87-237493A20E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0.92878</cdr:y>
    </cdr:from>
    <cdr:to>
      <cdr:x>0.29869</cdr:x>
      <cdr:y>0.9809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4561FE1-AFF1-49F4-B18F-861B674FC623}"/>
            </a:ext>
          </a:extLst>
        </cdr:cNvPr>
        <cdr:cNvSpPr txBox="1"/>
      </cdr:nvSpPr>
      <cdr:spPr>
        <a:xfrm xmlns:a="http://schemas.openxmlformats.org/drawingml/2006/main">
          <a:off x="0" y="4992594"/>
          <a:ext cx="2835088" cy="2801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 and The Jacobsen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7782A6-D872-1D6C-4331-1AD075D18B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D2FAFE-D74F-A581-ECC8-FB173D20651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1ECB7A-BC42-0D10-4459-701E74CE2F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96628-78F6-AD97-1036-D39224B173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Refinery%20Capacity%20Expansion%20Data%20-%20HOBO.xlsx" TargetMode="External"/><Relationship Id="rId1" Type="http://schemas.openxmlformats.org/officeDocument/2006/relationships/externalLinkPath" Target="/Users/torem/Dropbox/FM%20Files/HOBO/Biofuel%20Model/Refinery%20Capacity%20Expansion%20Data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uromoneyplc.sharepoint.com/sites/TJTeam/Shared%20Documents/Soybean%20Spreadsheets/usoilseedb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uromoneyplc.sharepoint.com/sites/TJTeam/Shared%20Documents/Soybean%20Spreadsheets/wldcr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Plant"/>
      <sheetName val="BD List (region)"/>
      <sheetName val="RD Capacity (Region)"/>
      <sheetName val="RD Capacity bob (region)"/>
      <sheetName val="Stocks"/>
      <sheetName val="RBD vs Crude"/>
      <sheetName val="SB RBD v Crude"/>
      <sheetName val="Soybean Ussage"/>
      <sheetName val="Production Loss"/>
      <sheetName val="Production Loss 2"/>
      <sheetName val="SB Crude-Refined"/>
      <sheetName val="2021-22 Demand"/>
      <sheetName val="2019-20 Demand"/>
      <sheetName val="Pie Chart Crude Refined"/>
      <sheetName val="2019-20 Breakout Crude"/>
      <sheetName val="2021-22 Breakout Crude"/>
      <sheetName val="2019-20 Breakout Refined"/>
      <sheetName val="2021-22 Breakout Refined"/>
      <sheetName val="Sheet1"/>
    </sheetNames>
    <sheetDataSet>
      <sheetData sheetId="0"/>
      <sheetData sheetId="1"/>
      <sheetData sheetId="2"/>
      <sheetData sheetId="3"/>
      <sheetData sheetId="4">
        <row r="1">
          <cell r="B1" t="str">
            <v>Crusher</v>
          </cell>
          <cell r="C1" t="str">
            <v>Refiner</v>
          </cell>
          <cell r="D1" t="str">
            <v>Offsite</v>
          </cell>
          <cell r="E1" t="str">
            <v>Crude Stocks</v>
          </cell>
          <cell r="F1" t="str">
            <v>Refinded Stocks</v>
          </cell>
        </row>
        <row r="2">
          <cell r="A2">
            <v>43831</v>
          </cell>
          <cell r="B2">
            <v>862.56700000000001</v>
          </cell>
          <cell r="C2">
            <v>467.76400000000001</v>
          </cell>
          <cell r="D2">
            <v>658.83299999999997</v>
          </cell>
          <cell r="E2">
            <v>1989.164</v>
          </cell>
          <cell r="F2">
            <v>362.303</v>
          </cell>
        </row>
        <row r="3">
          <cell r="A3">
            <v>43862</v>
          </cell>
          <cell r="B3">
            <v>947.48500000000001</v>
          </cell>
          <cell r="C3">
            <v>463.06799999999998</v>
          </cell>
          <cell r="D3">
            <v>586.19399999999996</v>
          </cell>
          <cell r="E3">
            <v>1996.7470000000001</v>
          </cell>
          <cell r="F3">
            <v>380.702</v>
          </cell>
        </row>
        <row r="4">
          <cell r="A4">
            <v>43891</v>
          </cell>
          <cell r="B4">
            <v>856.12400000000002</v>
          </cell>
          <cell r="C4">
            <v>407.46499999999997</v>
          </cell>
          <cell r="D4">
            <v>670.05899999999997</v>
          </cell>
          <cell r="E4">
            <v>1933.6479999999999</v>
          </cell>
          <cell r="F4">
            <v>393.94299999999998</v>
          </cell>
        </row>
        <row r="5">
          <cell r="A5">
            <v>43922</v>
          </cell>
          <cell r="B5">
            <v>939.327</v>
          </cell>
          <cell r="C5">
            <v>443.76100000000002</v>
          </cell>
          <cell r="D5">
            <v>840.91899999999998</v>
          </cell>
          <cell r="E5">
            <v>2224.0070000000001</v>
          </cell>
          <cell r="F5">
            <v>377.964</v>
          </cell>
        </row>
        <row r="6">
          <cell r="A6">
            <v>43952</v>
          </cell>
          <cell r="B6">
            <v>875.58399999999995</v>
          </cell>
          <cell r="C6">
            <v>431.34500000000003</v>
          </cell>
          <cell r="D6">
            <v>742.06299999999999</v>
          </cell>
          <cell r="E6">
            <v>2048.9920000000002</v>
          </cell>
          <cell r="F6">
            <v>398.25599999999997</v>
          </cell>
        </row>
        <row r="7">
          <cell r="A7">
            <v>43983</v>
          </cell>
          <cell r="B7">
            <v>773.16099999999994</v>
          </cell>
          <cell r="C7">
            <v>450.97699999999998</v>
          </cell>
          <cell r="D7">
            <v>701.44500000000005</v>
          </cell>
          <cell r="E7">
            <v>1925.5830000000001</v>
          </cell>
          <cell r="F7">
            <v>345.08300000000003</v>
          </cell>
        </row>
        <row r="8">
          <cell r="A8">
            <v>44013</v>
          </cell>
          <cell r="B8">
            <v>729.22799999999995</v>
          </cell>
          <cell r="C8">
            <v>380.94</v>
          </cell>
          <cell r="D8">
            <v>666.14599999999996</v>
          </cell>
          <cell r="E8">
            <v>1776.3140000000001</v>
          </cell>
          <cell r="F8">
            <v>346.76400000000001</v>
          </cell>
        </row>
        <row r="9">
          <cell r="A9">
            <v>44044</v>
          </cell>
          <cell r="B9">
            <v>653.15700000000004</v>
          </cell>
          <cell r="C9">
            <v>322.52800000000002</v>
          </cell>
          <cell r="D9">
            <v>596.798</v>
          </cell>
          <cell r="E9">
            <v>1572.4829999999999</v>
          </cell>
          <cell r="F9">
            <v>369.47899999999998</v>
          </cell>
        </row>
        <row r="10">
          <cell r="A10">
            <v>44075</v>
          </cell>
          <cell r="B10">
            <v>600.80600000000004</v>
          </cell>
          <cell r="C10">
            <v>328.13600000000002</v>
          </cell>
          <cell r="D10">
            <v>574.40200000000004</v>
          </cell>
          <cell r="E10">
            <v>1503.3440000000001</v>
          </cell>
          <cell r="F10">
            <v>345.18599999999998</v>
          </cell>
        </row>
        <row r="11">
          <cell r="A11">
            <v>44105</v>
          </cell>
          <cell r="B11">
            <v>689.02499999999998</v>
          </cell>
          <cell r="C11">
            <v>288.339</v>
          </cell>
          <cell r="D11">
            <v>586.95500000000004</v>
          </cell>
          <cell r="E11">
            <v>1564.319</v>
          </cell>
          <cell r="F11">
            <v>399.54700000000003</v>
          </cell>
        </row>
        <row r="12">
          <cell r="A12">
            <v>44136</v>
          </cell>
          <cell r="B12">
            <v>760.16499999999996</v>
          </cell>
          <cell r="C12">
            <v>267.25299999999999</v>
          </cell>
          <cell r="D12">
            <v>657.71299999999997</v>
          </cell>
          <cell r="E12">
            <v>1685.1310000000001</v>
          </cell>
          <cell r="F12">
            <v>432.56200000000001</v>
          </cell>
        </row>
        <row r="13">
          <cell r="A13">
            <v>44166</v>
          </cell>
          <cell r="B13">
            <v>781.38099999999997</v>
          </cell>
          <cell r="C13">
            <v>277.49</v>
          </cell>
          <cell r="D13">
            <v>658.43399999999997</v>
          </cell>
          <cell r="E13">
            <v>1717.3050000000001</v>
          </cell>
          <cell r="F13">
            <v>393.48099999999999</v>
          </cell>
        </row>
        <row r="14">
          <cell r="A14">
            <v>44197</v>
          </cell>
          <cell r="B14">
            <v>915.44399999999996</v>
          </cell>
          <cell r="C14">
            <v>287.88900000000001</v>
          </cell>
          <cell r="D14">
            <v>678.73599999999999</v>
          </cell>
          <cell r="E14">
            <v>1882.069</v>
          </cell>
          <cell r="F14">
            <v>423.92200000000003</v>
          </cell>
        </row>
        <row r="15">
          <cell r="A15">
            <v>44228</v>
          </cell>
          <cell r="B15">
            <v>953.46400000000006</v>
          </cell>
          <cell r="C15">
            <v>293.65600000000001</v>
          </cell>
          <cell r="D15">
            <v>623.70500000000004</v>
          </cell>
          <cell r="E15">
            <v>1870.825</v>
          </cell>
          <cell r="F15">
            <v>435.16300000000001</v>
          </cell>
        </row>
      </sheetData>
      <sheetData sheetId="6">
        <row r="2">
          <cell r="A2">
            <v>37987</v>
          </cell>
          <cell r="B2">
            <v>31.001000000000001</v>
          </cell>
          <cell r="C2">
            <v>35.913499999999999</v>
          </cell>
          <cell r="D2">
            <v>4.9124999999999979</v>
          </cell>
        </row>
        <row r="3">
          <cell r="A3">
            <v>38018</v>
          </cell>
          <cell r="B3">
            <v>33.717300000000002</v>
          </cell>
          <cell r="C3">
            <v>38.44</v>
          </cell>
          <cell r="D3">
            <v>4.7226999999999961</v>
          </cell>
        </row>
        <row r="4">
          <cell r="A4">
            <v>38047</v>
          </cell>
          <cell r="B4">
            <v>34.973199999999999</v>
          </cell>
          <cell r="C4">
            <v>39.865600000000001</v>
          </cell>
          <cell r="D4">
            <v>4.8924000000000021</v>
          </cell>
        </row>
        <row r="5">
          <cell r="A5">
            <v>38078</v>
          </cell>
          <cell r="B5">
            <v>34.127600000000001</v>
          </cell>
          <cell r="C5">
            <v>39.403300000000002</v>
          </cell>
          <cell r="D5">
            <v>5.2757000000000005</v>
          </cell>
        </row>
        <row r="6">
          <cell r="A6">
            <v>38108</v>
          </cell>
          <cell r="B6">
            <v>32.732500000000002</v>
          </cell>
          <cell r="C6">
            <v>37.982500000000002</v>
          </cell>
          <cell r="D6">
            <v>5.25</v>
          </cell>
        </row>
        <row r="7">
          <cell r="A7">
            <v>38139</v>
          </cell>
          <cell r="B7">
            <v>30.426100000000002</v>
          </cell>
          <cell r="C7">
            <v>35.838000000000001</v>
          </cell>
          <cell r="D7">
            <v>5.4118999999999993</v>
          </cell>
        </row>
        <row r="8">
          <cell r="A8">
            <v>38169</v>
          </cell>
          <cell r="B8">
            <v>29.1004</v>
          </cell>
          <cell r="C8">
            <v>34.119500000000002</v>
          </cell>
          <cell r="D8">
            <v>5.0191000000000017</v>
          </cell>
        </row>
        <row r="9">
          <cell r="A9">
            <v>38200</v>
          </cell>
          <cell r="B9">
            <v>26.617699999999999</v>
          </cell>
          <cell r="C9">
            <v>31.6586</v>
          </cell>
          <cell r="D9">
            <v>5.0409000000000006</v>
          </cell>
        </row>
        <row r="10">
          <cell r="A10">
            <v>38231</v>
          </cell>
          <cell r="B10">
            <v>26.321400000000001</v>
          </cell>
          <cell r="C10">
            <v>32.369</v>
          </cell>
          <cell r="D10">
            <v>6.0475999999999992</v>
          </cell>
        </row>
        <row r="11">
          <cell r="A11">
            <v>38261</v>
          </cell>
          <cell r="B11">
            <v>23.790400000000002</v>
          </cell>
          <cell r="C11">
            <v>28.790400000000002</v>
          </cell>
          <cell r="D11">
            <v>5</v>
          </cell>
        </row>
        <row r="12">
          <cell r="A12">
            <v>38292</v>
          </cell>
          <cell r="B12">
            <v>23.616</v>
          </cell>
          <cell r="C12">
            <v>28.616</v>
          </cell>
          <cell r="D12">
            <v>5</v>
          </cell>
        </row>
        <row r="13">
          <cell r="A13">
            <v>38322</v>
          </cell>
          <cell r="B13">
            <v>22.8004</v>
          </cell>
          <cell r="C13">
            <v>27.8004</v>
          </cell>
          <cell r="D13">
            <v>5</v>
          </cell>
        </row>
        <row r="14">
          <cell r="A14">
            <v>38353</v>
          </cell>
          <cell r="B14">
            <v>21.3202</v>
          </cell>
          <cell r="C14">
            <v>26.3202</v>
          </cell>
          <cell r="D14">
            <v>5</v>
          </cell>
        </row>
        <row r="15">
          <cell r="A15">
            <v>38384</v>
          </cell>
          <cell r="B15">
            <v>21.3215</v>
          </cell>
          <cell r="C15">
            <v>26.3215</v>
          </cell>
          <cell r="D15">
            <v>5</v>
          </cell>
        </row>
        <row r="16">
          <cell r="A16">
            <v>38412</v>
          </cell>
          <cell r="B16">
            <v>24.710899999999999</v>
          </cell>
          <cell r="C16">
            <v>29.710899999999999</v>
          </cell>
          <cell r="D16">
            <v>5</v>
          </cell>
        </row>
        <row r="17">
          <cell r="A17">
            <v>38443</v>
          </cell>
          <cell r="B17">
            <v>24.117100000000001</v>
          </cell>
          <cell r="C17">
            <v>29.117100000000001</v>
          </cell>
          <cell r="D17">
            <v>5</v>
          </cell>
        </row>
        <row r="18">
          <cell r="A18">
            <v>38473</v>
          </cell>
          <cell r="B18">
            <v>24.2895</v>
          </cell>
          <cell r="C18">
            <v>29.2895</v>
          </cell>
          <cell r="D18">
            <v>5</v>
          </cell>
        </row>
        <row r="19">
          <cell r="A19">
            <v>38504</v>
          </cell>
          <cell r="B19">
            <v>25.426300000000001</v>
          </cell>
          <cell r="C19">
            <v>30.426300000000001</v>
          </cell>
          <cell r="D19">
            <v>5</v>
          </cell>
        </row>
        <row r="20">
          <cell r="A20">
            <v>38534</v>
          </cell>
          <cell r="B20">
            <v>26.109000000000002</v>
          </cell>
          <cell r="C20">
            <v>31.109000000000002</v>
          </cell>
          <cell r="D20">
            <v>5</v>
          </cell>
        </row>
        <row r="21">
          <cell r="A21">
            <v>38565</v>
          </cell>
          <cell r="B21">
            <v>24.320399999999999</v>
          </cell>
          <cell r="C21">
            <v>29.320399999999999</v>
          </cell>
          <cell r="D21">
            <v>5</v>
          </cell>
        </row>
        <row r="22">
          <cell r="A22">
            <v>38596</v>
          </cell>
          <cell r="B22">
            <v>23.98</v>
          </cell>
          <cell r="C22">
            <v>28.98</v>
          </cell>
          <cell r="D22">
            <v>5</v>
          </cell>
        </row>
        <row r="23">
          <cell r="A23">
            <v>38626</v>
          </cell>
          <cell r="B23">
            <v>25.0838</v>
          </cell>
          <cell r="C23">
            <v>30.0838</v>
          </cell>
          <cell r="D23">
            <v>5</v>
          </cell>
        </row>
        <row r="24">
          <cell r="A24">
            <v>38657</v>
          </cell>
          <cell r="B24">
            <v>23.339500000000001</v>
          </cell>
          <cell r="C24">
            <v>28.339500000000001</v>
          </cell>
          <cell r="D24">
            <v>5</v>
          </cell>
        </row>
        <row r="25">
          <cell r="A25">
            <v>38687</v>
          </cell>
          <cell r="B25">
            <v>21.624500000000001</v>
          </cell>
          <cell r="C25">
            <v>26.624500000000001</v>
          </cell>
          <cell r="D25">
            <v>5</v>
          </cell>
        </row>
        <row r="26">
          <cell r="A26">
            <v>38718</v>
          </cell>
          <cell r="B26">
            <v>21.944500000000001</v>
          </cell>
          <cell r="C26">
            <v>26.944500000000001</v>
          </cell>
          <cell r="D26">
            <v>5</v>
          </cell>
        </row>
        <row r="27">
          <cell r="A27">
            <v>38749</v>
          </cell>
          <cell r="B27">
            <v>22.109400000000001</v>
          </cell>
          <cell r="C27">
            <v>26.583100000000002</v>
          </cell>
          <cell r="D27">
            <v>4.4737000000000009</v>
          </cell>
        </row>
        <row r="28">
          <cell r="A28">
            <v>38777</v>
          </cell>
          <cell r="B28">
            <v>22.050799999999999</v>
          </cell>
          <cell r="C28">
            <v>25.7895</v>
          </cell>
          <cell r="D28">
            <v>3.7387000000000015</v>
          </cell>
        </row>
        <row r="29">
          <cell r="A29">
            <v>38808</v>
          </cell>
          <cell r="B29">
            <v>21.936800000000002</v>
          </cell>
          <cell r="C29">
            <v>25.581499999999998</v>
          </cell>
          <cell r="D29">
            <v>3.6446999999999967</v>
          </cell>
        </row>
        <row r="30">
          <cell r="A30">
            <v>38838</v>
          </cell>
          <cell r="B30">
            <v>23.943999999999999</v>
          </cell>
          <cell r="C30">
            <v>27.344000000000001</v>
          </cell>
          <cell r="D30">
            <v>3.4000000000000021</v>
          </cell>
        </row>
        <row r="31">
          <cell r="A31">
            <v>38869</v>
          </cell>
          <cell r="B31">
            <v>24.203099999999999</v>
          </cell>
          <cell r="C31">
            <v>27.203099999999999</v>
          </cell>
          <cell r="D31">
            <v>3</v>
          </cell>
        </row>
        <row r="32">
          <cell r="A32">
            <v>38899</v>
          </cell>
          <cell r="B32">
            <v>25.632000000000001</v>
          </cell>
          <cell r="C32">
            <v>28.882000000000001</v>
          </cell>
          <cell r="D32">
            <v>3.25</v>
          </cell>
        </row>
        <row r="33">
          <cell r="A33">
            <v>38930</v>
          </cell>
          <cell r="B33">
            <v>24.098199999999999</v>
          </cell>
          <cell r="C33">
            <v>27.305599999999998</v>
          </cell>
          <cell r="D33">
            <v>3.2073999999999998</v>
          </cell>
        </row>
        <row r="34">
          <cell r="A34">
            <v>38961</v>
          </cell>
          <cell r="B34">
            <v>25.096699999999998</v>
          </cell>
          <cell r="C34">
            <v>28.0105</v>
          </cell>
          <cell r="D34">
            <v>2.9138000000000019</v>
          </cell>
        </row>
        <row r="35">
          <cell r="A35">
            <v>38991</v>
          </cell>
          <cell r="B35">
            <v>27.559699999999999</v>
          </cell>
          <cell r="C35">
            <v>31.093800000000002</v>
          </cell>
          <cell r="D35">
            <v>3.5341000000000022</v>
          </cell>
        </row>
        <row r="36">
          <cell r="A36">
            <v>39022</v>
          </cell>
          <cell r="B36">
            <v>29.593499999999999</v>
          </cell>
          <cell r="C36">
            <v>33.213500000000003</v>
          </cell>
          <cell r="D36">
            <v>3.6200000000000045</v>
          </cell>
        </row>
        <row r="37">
          <cell r="A37">
            <v>39052</v>
          </cell>
          <cell r="B37">
            <v>29.618200000000002</v>
          </cell>
          <cell r="C37">
            <v>32.731999999999999</v>
          </cell>
          <cell r="D37">
            <v>3.1137999999999977</v>
          </cell>
        </row>
        <row r="38">
          <cell r="A38">
            <v>39083</v>
          </cell>
          <cell r="B38">
            <v>28.135200000000001</v>
          </cell>
          <cell r="C38">
            <v>30.901499999999999</v>
          </cell>
          <cell r="D38">
            <v>2.7662999999999975</v>
          </cell>
        </row>
        <row r="39">
          <cell r="A39">
            <v>39114</v>
          </cell>
          <cell r="B39">
            <v>28.140699999999999</v>
          </cell>
          <cell r="C39">
            <v>31.207799999999999</v>
          </cell>
          <cell r="D39">
            <v>3.0670999999999999</v>
          </cell>
        </row>
        <row r="40">
          <cell r="A40">
            <v>39142</v>
          </cell>
          <cell r="B40">
            <v>29.5686</v>
          </cell>
          <cell r="C40">
            <v>32.393599999999999</v>
          </cell>
          <cell r="D40">
            <v>2.8249999999999993</v>
          </cell>
        </row>
        <row r="41">
          <cell r="A41">
            <v>39173</v>
          </cell>
          <cell r="B41">
            <v>31.185199999999998</v>
          </cell>
          <cell r="C41">
            <v>34.120699999999999</v>
          </cell>
          <cell r="D41">
            <v>2.9355000000000011</v>
          </cell>
        </row>
        <row r="42">
          <cell r="A42">
            <v>39203</v>
          </cell>
          <cell r="B42">
            <v>33.0486</v>
          </cell>
          <cell r="C42">
            <v>36.6509</v>
          </cell>
          <cell r="D42">
            <v>3.6022999999999996</v>
          </cell>
        </row>
        <row r="43">
          <cell r="A43">
            <v>39234</v>
          </cell>
          <cell r="B43">
            <v>34.396099999999997</v>
          </cell>
          <cell r="C43">
            <v>37.953299999999999</v>
          </cell>
          <cell r="D43">
            <v>3.5572000000000017</v>
          </cell>
        </row>
        <row r="44">
          <cell r="A44">
            <v>39264</v>
          </cell>
          <cell r="B44">
            <v>35.831899999999997</v>
          </cell>
          <cell r="C44">
            <v>39.008000000000003</v>
          </cell>
          <cell r="D44">
            <v>3.1761000000000053</v>
          </cell>
        </row>
        <row r="45">
          <cell r="A45">
            <v>39295</v>
          </cell>
          <cell r="B45">
            <v>35.686</v>
          </cell>
          <cell r="C45">
            <v>38.61</v>
          </cell>
          <cell r="D45">
            <v>2.9239999999999995</v>
          </cell>
        </row>
        <row r="46">
          <cell r="A46">
            <v>39326</v>
          </cell>
          <cell r="B46">
            <v>39.362099999999998</v>
          </cell>
          <cell r="C46">
            <v>41.862099999999998</v>
          </cell>
          <cell r="D46">
            <v>2.5</v>
          </cell>
        </row>
        <row r="47">
          <cell r="A47">
            <v>39356</v>
          </cell>
          <cell r="B47">
            <v>39.899099999999997</v>
          </cell>
          <cell r="C47">
            <v>42.746899999999997</v>
          </cell>
          <cell r="D47">
            <v>2.8477999999999994</v>
          </cell>
        </row>
        <row r="48">
          <cell r="A48">
            <v>39387</v>
          </cell>
          <cell r="B48">
            <v>43.920499999999997</v>
          </cell>
          <cell r="C48">
            <v>47.295499999999997</v>
          </cell>
          <cell r="D48">
            <v>3.375</v>
          </cell>
        </row>
        <row r="49">
          <cell r="A49">
            <v>39417</v>
          </cell>
          <cell r="B49">
            <v>45.820999999999998</v>
          </cell>
          <cell r="C49">
            <v>48.494500000000002</v>
          </cell>
          <cell r="D49">
            <v>2.6735000000000042</v>
          </cell>
        </row>
        <row r="50">
          <cell r="A50">
            <v>39448</v>
          </cell>
          <cell r="B50">
            <v>50.387099999999997</v>
          </cell>
          <cell r="C50">
            <v>53.327599999999997</v>
          </cell>
          <cell r="D50">
            <v>2.9405000000000001</v>
          </cell>
        </row>
        <row r="51">
          <cell r="A51">
            <v>39479</v>
          </cell>
          <cell r="B51">
            <v>56.743499999999997</v>
          </cell>
          <cell r="C51">
            <v>60.968499999999999</v>
          </cell>
          <cell r="D51">
            <v>4.2250000000000014</v>
          </cell>
        </row>
        <row r="52">
          <cell r="A52">
            <v>39508</v>
          </cell>
          <cell r="B52">
            <v>57.828000000000003</v>
          </cell>
          <cell r="C52">
            <v>63.777999999999999</v>
          </cell>
          <cell r="D52">
            <v>5.9499999999999957</v>
          </cell>
        </row>
        <row r="53">
          <cell r="A53">
            <v>39539</v>
          </cell>
          <cell r="B53">
            <v>56.948599999999999</v>
          </cell>
          <cell r="C53">
            <v>61.948599999999999</v>
          </cell>
          <cell r="D53">
            <v>5</v>
          </cell>
        </row>
        <row r="54">
          <cell r="A54">
            <v>39569</v>
          </cell>
          <cell r="B54">
            <v>59.425699999999999</v>
          </cell>
          <cell r="C54">
            <v>64.878</v>
          </cell>
          <cell r="D54">
            <v>5.452300000000001</v>
          </cell>
        </row>
        <row r="55">
          <cell r="A55">
            <v>39600</v>
          </cell>
          <cell r="B55">
            <v>63.537999999999997</v>
          </cell>
          <cell r="C55">
            <v>69.037999999999997</v>
          </cell>
          <cell r="D55">
            <v>5.5</v>
          </cell>
        </row>
        <row r="56">
          <cell r="A56">
            <v>39630</v>
          </cell>
          <cell r="B56">
            <v>60.8354</v>
          </cell>
          <cell r="C56">
            <v>66.426299999999998</v>
          </cell>
          <cell r="D56">
            <v>5.5908999999999978</v>
          </cell>
        </row>
        <row r="57">
          <cell r="A57">
            <v>39661</v>
          </cell>
          <cell r="B57">
            <v>50.959000000000003</v>
          </cell>
          <cell r="C57">
            <v>56.447099999999999</v>
          </cell>
          <cell r="D57">
            <v>5.4880999999999958</v>
          </cell>
        </row>
        <row r="58">
          <cell r="A58">
            <v>39692</v>
          </cell>
          <cell r="B58">
            <v>46.264699999999998</v>
          </cell>
          <cell r="C58">
            <v>51.740900000000003</v>
          </cell>
          <cell r="D58">
            <v>5.4762000000000057</v>
          </cell>
        </row>
        <row r="59">
          <cell r="A59">
            <v>39722</v>
          </cell>
          <cell r="B59">
            <v>35.857799999999997</v>
          </cell>
          <cell r="C59">
            <v>40.857799999999997</v>
          </cell>
          <cell r="D59">
            <v>5</v>
          </cell>
        </row>
        <row r="60">
          <cell r="A60">
            <v>39753</v>
          </cell>
          <cell r="B60">
            <v>32.045200000000001</v>
          </cell>
          <cell r="C60">
            <v>36.5715</v>
          </cell>
          <cell r="D60">
            <v>4.5262999999999991</v>
          </cell>
        </row>
        <row r="61">
          <cell r="A61">
            <v>39783</v>
          </cell>
          <cell r="B61">
            <v>29.66</v>
          </cell>
          <cell r="C61">
            <v>33.659999999999997</v>
          </cell>
          <cell r="D61">
            <v>3.9999999999999964</v>
          </cell>
        </row>
        <row r="62">
          <cell r="A62">
            <v>39814</v>
          </cell>
          <cell r="B62">
            <v>32.347999999999999</v>
          </cell>
          <cell r="C62">
            <v>36.347999999999999</v>
          </cell>
          <cell r="D62">
            <v>4</v>
          </cell>
        </row>
        <row r="63">
          <cell r="A63">
            <v>39845</v>
          </cell>
          <cell r="B63">
            <v>29.296800000000001</v>
          </cell>
          <cell r="C63">
            <v>32.678400000000003</v>
          </cell>
          <cell r="D63">
            <v>3.3816000000000024</v>
          </cell>
        </row>
        <row r="64">
          <cell r="A64">
            <v>39873</v>
          </cell>
          <cell r="B64">
            <v>28.515899999999998</v>
          </cell>
          <cell r="C64">
            <v>31.515899999999998</v>
          </cell>
          <cell r="D64">
            <v>3</v>
          </cell>
        </row>
        <row r="65">
          <cell r="A65">
            <v>39904</v>
          </cell>
          <cell r="B65">
            <v>32.925699999999999</v>
          </cell>
          <cell r="C65">
            <v>35.711399999999998</v>
          </cell>
          <cell r="D65">
            <v>2.7856999999999985</v>
          </cell>
        </row>
        <row r="66">
          <cell r="A66">
            <v>39934</v>
          </cell>
          <cell r="B66">
            <v>36.154000000000003</v>
          </cell>
          <cell r="C66">
            <v>39.154000000000003</v>
          </cell>
          <cell r="D66">
            <v>3</v>
          </cell>
        </row>
        <row r="67">
          <cell r="A67">
            <v>39965</v>
          </cell>
          <cell r="B67">
            <v>35.725900000000003</v>
          </cell>
          <cell r="C67">
            <v>38.725900000000003</v>
          </cell>
          <cell r="D67">
            <v>3</v>
          </cell>
        </row>
        <row r="68">
          <cell r="A68">
            <v>39995</v>
          </cell>
          <cell r="B68">
            <v>31.801300000000001</v>
          </cell>
          <cell r="C68">
            <v>34.801299999999998</v>
          </cell>
          <cell r="D68">
            <v>2.9999999999999964</v>
          </cell>
        </row>
        <row r="69">
          <cell r="A69">
            <v>40026</v>
          </cell>
          <cell r="B69">
            <v>33.726100000000002</v>
          </cell>
          <cell r="C69">
            <v>36.726100000000002</v>
          </cell>
          <cell r="D69">
            <v>3</v>
          </cell>
        </row>
        <row r="70">
          <cell r="A70">
            <v>40057</v>
          </cell>
          <cell r="B70">
            <v>31.0519</v>
          </cell>
          <cell r="C70">
            <v>34.051900000000003</v>
          </cell>
          <cell r="D70">
            <v>3.0000000000000036</v>
          </cell>
        </row>
        <row r="71">
          <cell r="A71">
            <v>40087</v>
          </cell>
          <cell r="B71">
            <v>33.159999999999997</v>
          </cell>
          <cell r="C71">
            <v>36.159999999999997</v>
          </cell>
          <cell r="D71">
            <v>3</v>
          </cell>
        </row>
        <row r="72">
          <cell r="A72">
            <v>40118</v>
          </cell>
          <cell r="B72">
            <v>36.672499999999999</v>
          </cell>
          <cell r="C72">
            <v>39.672499999999999</v>
          </cell>
          <cell r="D72">
            <v>3</v>
          </cell>
        </row>
        <row r="73">
          <cell r="A73">
            <v>40148</v>
          </cell>
          <cell r="B73">
            <v>36.9345</v>
          </cell>
          <cell r="C73">
            <v>39.752699999999997</v>
          </cell>
          <cell r="D73">
            <v>2.8181999999999974</v>
          </cell>
        </row>
        <row r="74">
          <cell r="A74">
            <v>40179</v>
          </cell>
          <cell r="B74">
            <v>34.955199999999998</v>
          </cell>
          <cell r="C74">
            <v>36.955199999999998</v>
          </cell>
          <cell r="D74">
            <v>2</v>
          </cell>
        </row>
        <row r="75">
          <cell r="A75">
            <v>40210</v>
          </cell>
          <cell r="B75">
            <v>34.646299999999997</v>
          </cell>
          <cell r="C75">
            <v>36.646299999999997</v>
          </cell>
          <cell r="D75">
            <v>2</v>
          </cell>
        </row>
        <row r="76">
          <cell r="A76">
            <v>40238</v>
          </cell>
          <cell r="B76">
            <v>36.312100000000001</v>
          </cell>
          <cell r="C76">
            <v>38.312100000000001</v>
          </cell>
          <cell r="D76">
            <v>2</v>
          </cell>
        </row>
        <row r="77">
          <cell r="A77">
            <v>40269</v>
          </cell>
          <cell r="B77">
            <v>37.2057</v>
          </cell>
          <cell r="C77">
            <v>39.2057</v>
          </cell>
          <cell r="D77">
            <v>2</v>
          </cell>
        </row>
        <row r="78">
          <cell r="A78">
            <v>40299</v>
          </cell>
          <cell r="B78">
            <v>35.6205</v>
          </cell>
          <cell r="C78">
            <v>37.6205</v>
          </cell>
          <cell r="D78">
            <v>2</v>
          </cell>
        </row>
        <row r="79">
          <cell r="A79">
            <v>40330</v>
          </cell>
          <cell r="B79">
            <v>34.671300000000002</v>
          </cell>
          <cell r="C79">
            <v>36.671300000000002</v>
          </cell>
          <cell r="D79">
            <v>2</v>
          </cell>
        </row>
        <row r="80">
          <cell r="A80">
            <v>40360</v>
          </cell>
          <cell r="B80">
            <v>35.252299999999998</v>
          </cell>
          <cell r="C80">
            <v>37.252299999999998</v>
          </cell>
          <cell r="D80">
            <v>2</v>
          </cell>
        </row>
        <row r="81">
          <cell r="A81">
            <v>40391</v>
          </cell>
          <cell r="B81">
            <v>37.667700000000004</v>
          </cell>
          <cell r="C81">
            <v>39.667700000000004</v>
          </cell>
          <cell r="D81">
            <v>2</v>
          </cell>
        </row>
        <row r="82">
          <cell r="A82">
            <v>40422</v>
          </cell>
          <cell r="B82">
            <v>39.183300000000003</v>
          </cell>
          <cell r="C82">
            <v>42.183300000000003</v>
          </cell>
          <cell r="D82">
            <v>3</v>
          </cell>
        </row>
        <row r="83">
          <cell r="A83">
            <v>40452</v>
          </cell>
          <cell r="B83">
            <v>44.077100000000002</v>
          </cell>
          <cell r="C83">
            <v>47.577100000000002</v>
          </cell>
          <cell r="D83">
            <v>3.5</v>
          </cell>
        </row>
        <row r="84">
          <cell r="A84">
            <v>40483</v>
          </cell>
          <cell r="B84">
            <v>47.570900000000002</v>
          </cell>
          <cell r="C84">
            <v>51.070900000000002</v>
          </cell>
          <cell r="D84">
            <v>3.5</v>
          </cell>
        </row>
        <row r="85">
          <cell r="A85">
            <v>40513</v>
          </cell>
          <cell r="B85">
            <v>51.527700000000003</v>
          </cell>
          <cell r="C85">
            <v>55.027700000000003</v>
          </cell>
          <cell r="D85">
            <v>3.5</v>
          </cell>
        </row>
        <row r="86">
          <cell r="A86">
            <v>40544</v>
          </cell>
          <cell r="B86">
            <v>53.770499999999998</v>
          </cell>
          <cell r="C86">
            <v>58.070500000000003</v>
          </cell>
          <cell r="D86">
            <v>4.3000000000000043</v>
          </cell>
        </row>
        <row r="87">
          <cell r="A87">
            <v>40575</v>
          </cell>
          <cell r="B87">
            <v>54.136800000000001</v>
          </cell>
          <cell r="C87">
            <v>59.636800000000001</v>
          </cell>
          <cell r="D87">
            <v>5.5</v>
          </cell>
        </row>
        <row r="88">
          <cell r="A88">
            <v>40603</v>
          </cell>
          <cell r="B88">
            <v>53.965200000000003</v>
          </cell>
          <cell r="C88">
            <v>59.595599999999997</v>
          </cell>
          <cell r="D88">
            <v>5.6303999999999945</v>
          </cell>
        </row>
        <row r="89">
          <cell r="A89">
            <v>40634</v>
          </cell>
          <cell r="B89">
            <v>56.638500000000001</v>
          </cell>
          <cell r="C89">
            <v>63.063499999999998</v>
          </cell>
          <cell r="D89">
            <v>6.4249999999999972</v>
          </cell>
        </row>
        <row r="90">
          <cell r="A90">
            <v>40664</v>
          </cell>
          <cell r="B90">
            <v>56.079500000000003</v>
          </cell>
          <cell r="C90">
            <v>62.579500000000003</v>
          </cell>
          <cell r="D90">
            <v>6.5</v>
          </cell>
        </row>
        <row r="91">
          <cell r="A91">
            <v>40695</v>
          </cell>
          <cell r="B91">
            <v>55.728999999999999</v>
          </cell>
          <cell r="C91">
            <v>62.228999999999999</v>
          </cell>
          <cell r="D91">
            <v>6.5</v>
          </cell>
        </row>
        <row r="92">
          <cell r="A92">
            <v>40725</v>
          </cell>
          <cell r="B92">
            <v>55.262</v>
          </cell>
          <cell r="C92">
            <v>61.762</v>
          </cell>
          <cell r="D92">
            <v>6.5</v>
          </cell>
        </row>
        <row r="93">
          <cell r="A93">
            <v>40756</v>
          </cell>
          <cell r="B93">
            <v>54.3504</v>
          </cell>
          <cell r="C93">
            <v>60.8504</v>
          </cell>
          <cell r="D93">
            <v>6.5</v>
          </cell>
        </row>
        <row r="94">
          <cell r="A94">
            <v>40787</v>
          </cell>
          <cell r="B94">
            <v>54.9619</v>
          </cell>
          <cell r="C94">
            <v>61.4619</v>
          </cell>
          <cell r="D94">
            <v>6.5</v>
          </cell>
        </row>
        <row r="95">
          <cell r="A95">
            <v>40817</v>
          </cell>
          <cell r="B95">
            <v>51.9923</v>
          </cell>
          <cell r="C95">
            <v>58.4923</v>
          </cell>
          <cell r="D95">
            <v>6.5</v>
          </cell>
        </row>
        <row r="96">
          <cell r="A96">
            <v>40848</v>
          </cell>
          <cell r="B96">
            <v>51.777999999999999</v>
          </cell>
          <cell r="C96">
            <v>58.226100000000002</v>
          </cell>
          <cell r="D96">
            <v>6.4481000000000037</v>
          </cell>
        </row>
        <row r="97">
          <cell r="A97">
            <v>40878</v>
          </cell>
          <cell r="B97">
            <v>50.292299999999997</v>
          </cell>
          <cell r="C97">
            <v>56.792299999999997</v>
          </cell>
          <cell r="D97">
            <v>6.5</v>
          </cell>
        </row>
        <row r="98">
          <cell r="A98">
            <v>40909</v>
          </cell>
          <cell r="B98">
            <v>51.107500000000002</v>
          </cell>
          <cell r="C98">
            <v>57.607500000000002</v>
          </cell>
          <cell r="D98">
            <v>6.5</v>
          </cell>
        </row>
        <row r="99">
          <cell r="A99">
            <v>40940</v>
          </cell>
          <cell r="B99">
            <v>52.405500000000004</v>
          </cell>
          <cell r="C99">
            <v>58.905500000000004</v>
          </cell>
          <cell r="D99">
            <v>6.5</v>
          </cell>
        </row>
        <row r="100">
          <cell r="A100">
            <v>40969</v>
          </cell>
          <cell r="B100">
            <v>53.419499999999999</v>
          </cell>
          <cell r="C100">
            <v>59.919499999999999</v>
          </cell>
          <cell r="D100">
            <v>6.5</v>
          </cell>
        </row>
        <row r="101">
          <cell r="A101">
            <v>41000</v>
          </cell>
          <cell r="B101">
            <v>54.942</v>
          </cell>
          <cell r="C101">
            <v>61.591999999999999</v>
          </cell>
          <cell r="D101">
            <v>6.6499999999999986</v>
          </cell>
        </row>
        <row r="102">
          <cell r="A102">
            <v>41030</v>
          </cell>
          <cell r="B102">
            <v>50.7714</v>
          </cell>
          <cell r="C102">
            <v>57.7714</v>
          </cell>
          <cell r="D102">
            <v>7</v>
          </cell>
        </row>
        <row r="103">
          <cell r="A103">
            <v>41061</v>
          </cell>
          <cell r="B103">
            <v>49.552399999999999</v>
          </cell>
          <cell r="C103">
            <v>55.795200000000001</v>
          </cell>
          <cell r="D103">
            <v>6.2428000000000026</v>
          </cell>
        </row>
        <row r="104">
          <cell r="A104">
            <v>41091</v>
          </cell>
          <cell r="B104">
            <v>53.4193</v>
          </cell>
          <cell r="C104">
            <v>59.119300000000003</v>
          </cell>
          <cell r="D104">
            <v>5.7000000000000028</v>
          </cell>
        </row>
        <row r="105">
          <cell r="A105">
            <v>41122</v>
          </cell>
          <cell r="B105">
            <v>52.329099999999997</v>
          </cell>
          <cell r="C105">
            <v>58.231299999999997</v>
          </cell>
          <cell r="D105">
            <v>5.9022000000000006</v>
          </cell>
        </row>
        <row r="106">
          <cell r="A106">
            <v>41153</v>
          </cell>
          <cell r="B106">
            <v>53.433199999999999</v>
          </cell>
          <cell r="C106">
            <v>58.656799999999997</v>
          </cell>
          <cell r="D106">
            <v>5.2235999999999976</v>
          </cell>
        </row>
        <row r="107">
          <cell r="A107">
            <v>41183</v>
          </cell>
          <cell r="B107">
            <v>50.186999999999998</v>
          </cell>
          <cell r="C107">
            <v>54.4</v>
          </cell>
          <cell r="D107">
            <v>4.213000000000001</v>
          </cell>
        </row>
        <row r="108">
          <cell r="A108">
            <v>41214</v>
          </cell>
          <cell r="B108">
            <v>48.317300000000003</v>
          </cell>
          <cell r="C108">
            <v>51.296799999999998</v>
          </cell>
          <cell r="D108">
            <v>2.9794999999999945</v>
          </cell>
        </row>
        <row r="109">
          <cell r="A109">
            <v>41244</v>
          </cell>
          <cell r="B109">
            <v>49.616999999999997</v>
          </cell>
          <cell r="C109">
            <v>52.616999999999997</v>
          </cell>
          <cell r="D109">
            <v>3</v>
          </cell>
        </row>
        <row r="110">
          <cell r="A110">
            <v>41275</v>
          </cell>
          <cell r="B110">
            <v>51.557099999999998</v>
          </cell>
          <cell r="C110">
            <v>54.557099999999998</v>
          </cell>
          <cell r="D110">
            <v>3</v>
          </cell>
        </row>
        <row r="111">
          <cell r="A111">
            <v>41306</v>
          </cell>
          <cell r="B111">
            <v>52.244199999999999</v>
          </cell>
          <cell r="C111">
            <v>55.244199999999999</v>
          </cell>
          <cell r="D111">
            <v>3</v>
          </cell>
        </row>
        <row r="112">
          <cell r="A112">
            <v>41334</v>
          </cell>
          <cell r="B112">
            <v>51.25</v>
          </cell>
          <cell r="C112">
            <v>54.25</v>
          </cell>
          <cell r="D112">
            <v>3</v>
          </cell>
        </row>
        <row r="113">
          <cell r="A113">
            <v>41365</v>
          </cell>
          <cell r="B113">
            <v>51.625500000000002</v>
          </cell>
          <cell r="C113">
            <v>54.625500000000002</v>
          </cell>
          <cell r="D113">
            <v>3</v>
          </cell>
        </row>
        <row r="114">
          <cell r="A114">
            <v>41395</v>
          </cell>
          <cell r="B114">
            <v>52.540500000000002</v>
          </cell>
          <cell r="C114">
            <v>55.540500000000002</v>
          </cell>
          <cell r="D114">
            <v>3</v>
          </cell>
        </row>
        <row r="115">
          <cell r="A115">
            <v>41426</v>
          </cell>
          <cell r="B115">
            <v>51.329500000000003</v>
          </cell>
          <cell r="C115">
            <v>54.329500000000003</v>
          </cell>
          <cell r="D115">
            <v>3</v>
          </cell>
        </row>
        <row r="116">
          <cell r="A116">
            <v>41456</v>
          </cell>
          <cell r="B116">
            <v>48.377000000000002</v>
          </cell>
          <cell r="C116">
            <v>51.377000000000002</v>
          </cell>
          <cell r="D116">
            <v>3</v>
          </cell>
        </row>
        <row r="117">
          <cell r="A117">
            <v>41487</v>
          </cell>
          <cell r="B117">
            <v>45.105899999999998</v>
          </cell>
          <cell r="C117">
            <v>48.105899999999998</v>
          </cell>
          <cell r="D117">
            <v>3</v>
          </cell>
        </row>
        <row r="118">
          <cell r="A118">
            <v>41518</v>
          </cell>
          <cell r="B118">
            <v>45.637999999999998</v>
          </cell>
          <cell r="C118">
            <v>48.637999999999998</v>
          </cell>
          <cell r="D118">
            <v>3</v>
          </cell>
        </row>
        <row r="119">
          <cell r="A119">
            <v>41548</v>
          </cell>
          <cell r="B119">
            <v>44.160899999999998</v>
          </cell>
          <cell r="C119">
            <v>47.160899999999998</v>
          </cell>
          <cell r="D119">
            <v>3</v>
          </cell>
        </row>
        <row r="120">
          <cell r="A120">
            <v>41579</v>
          </cell>
          <cell r="B120">
            <v>40.981499999999997</v>
          </cell>
          <cell r="C120">
            <v>43.981499999999997</v>
          </cell>
          <cell r="D120">
            <v>3</v>
          </cell>
        </row>
        <row r="121">
          <cell r="A121">
            <v>41609</v>
          </cell>
          <cell r="B121">
            <v>39.730499999999999</v>
          </cell>
          <cell r="C121">
            <v>42.730499999999999</v>
          </cell>
          <cell r="D121">
            <v>3</v>
          </cell>
        </row>
        <row r="122">
          <cell r="A122">
            <v>41640</v>
          </cell>
          <cell r="B122">
            <v>37.824300000000001</v>
          </cell>
          <cell r="C122">
            <v>40.824300000000001</v>
          </cell>
          <cell r="D122">
            <v>3</v>
          </cell>
        </row>
        <row r="123">
          <cell r="A123">
            <v>41671</v>
          </cell>
          <cell r="B123">
            <v>39.642600000000002</v>
          </cell>
          <cell r="C123">
            <v>42.642600000000002</v>
          </cell>
          <cell r="D123">
            <v>3</v>
          </cell>
        </row>
        <row r="124">
          <cell r="A124">
            <v>41699</v>
          </cell>
          <cell r="B124">
            <v>41.254300000000001</v>
          </cell>
          <cell r="C124">
            <v>44.147100000000002</v>
          </cell>
          <cell r="D124">
            <v>2.8928000000000011</v>
          </cell>
        </row>
        <row r="125">
          <cell r="A125">
            <v>41730</v>
          </cell>
          <cell r="B125">
            <v>42.012900000000002</v>
          </cell>
          <cell r="C125">
            <v>44.762900000000002</v>
          </cell>
          <cell r="D125">
            <v>2.75</v>
          </cell>
        </row>
        <row r="126">
          <cell r="A126">
            <v>41760</v>
          </cell>
          <cell r="B126">
            <v>41.364800000000002</v>
          </cell>
          <cell r="C126">
            <v>44.114800000000002</v>
          </cell>
          <cell r="D126">
            <v>2.75</v>
          </cell>
        </row>
        <row r="127">
          <cell r="A127">
            <v>41791</v>
          </cell>
          <cell r="B127">
            <v>40.8767</v>
          </cell>
          <cell r="C127">
            <v>43.6267</v>
          </cell>
          <cell r="D127">
            <v>2.75</v>
          </cell>
        </row>
        <row r="128">
          <cell r="A128">
            <v>41821</v>
          </cell>
          <cell r="B128">
            <v>39.006399999999999</v>
          </cell>
          <cell r="C128">
            <v>41.756399999999999</v>
          </cell>
          <cell r="D128">
            <v>2.75</v>
          </cell>
        </row>
        <row r="129">
          <cell r="A129">
            <v>41852</v>
          </cell>
          <cell r="B129">
            <v>36.390500000000003</v>
          </cell>
          <cell r="C129">
            <v>39.138599999999997</v>
          </cell>
          <cell r="D129">
            <v>2.7480999999999938</v>
          </cell>
        </row>
        <row r="130">
          <cell r="A130">
            <v>41883</v>
          </cell>
          <cell r="B130">
            <v>35.086199999999998</v>
          </cell>
          <cell r="C130">
            <v>37.836199999999998</v>
          </cell>
          <cell r="D130">
            <v>2.75</v>
          </cell>
        </row>
        <row r="131">
          <cell r="A131">
            <v>41913</v>
          </cell>
          <cell r="B131">
            <v>35.61</v>
          </cell>
          <cell r="C131">
            <v>38.316499999999998</v>
          </cell>
          <cell r="D131">
            <v>2.7064999999999984</v>
          </cell>
        </row>
        <row r="132">
          <cell r="A132">
            <v>41944</v>
          </cell>
          <cell r="B132">
            <v>34.6432</v>
          </cell>
          <cell r="C132">
            <v>37.3932</v>
          </cell>
          <cell r="D132">
            <v>2.75</v>
          </cell>
        </row>
        <row r="133">
          <cell r="A133">
            <v>41974</v>
          </cell>
          <cell r="B133">
            <v>32.640500000000003</v>
          </cell>
          <cell r="C133">
            <v>35.390500000000003</v>
          </cell>
          <cell r="D133">
            <v>2.75</v>
          </cell>
        </row>
        <row r="134">
          <cell r="A134">
            <v>42005</v>
          </cell>
          <cell r="B134">
            <v>32.327500000000001</v>
          </cell>
          <cell r="C134">
            <v>35.077500000000001</v>
          </cell>
          <cell r="D134">
            <v>2.75</v>
          </cell>
        </row>
        <row r="135">
          <cell r="A135">
            <v>42036</v>
          </cell>
          <cell r="B135">
            <v>31.0395</v>
          </cell>
          <cell r="C135">
            <v>33.789499999999997</v>
          </cell>
          <cell r="D135">
            <v>2.7499999999999964</v>
          </cell>
        </row>
        <row r="136">
          <cell r="A136">
            <v>42064</v>
          </cell>
          <cell r="B136">
            <v>30.526800000000001</v>
          </cell>
          <cell r="C136">
            <v>33.247100000000003</v>
          </cell>
          <cell r="D136">
            <v>2.7203000000000017</v>
          </cell>
        </row>
        <row r="137">
          <cell r="A137">
            <v>42095</v>
          </cell>
          <cell r="B137">
            <v>31.492899999999999</v>
          </cell>
          <cell r="C137">
            <v>35.381100000000004</v>
          </cell>
          <cell r="D137">
            <v>3.8882000000000048</v>
          </cell>
        </row>
        <row r="138">
          <cell r="A138">
            <v>42125</v>
          </cell>
          <cell r="B138">
            <v>32.638599999999997</v>
          </cell>
          <cell r="C138">
            <v>35.650500000000001</v>
          </cell>
          <cell r="D138">
            <v>3.0119000000000042</v>
          </cell>
        </row>
        <row r="139">
          <cell r="A139">
            <v>42156</v>
          </cell>
          <cell r="B139">
            <v>33.787300000000002</v>
          </cell>
          <cell r="C139">
            <v>36.537300000000002</v>
          </cell>
          <cell r="D139">
            <v>2.75</v>
          </cell>
        </row>
        <row r="140">
          <cell r="A140">
            <v>42186</v>
          </cell>
          <cell r="B140">
            <v>31.863600000000002</v>
          </cell>
          <cell r="C140">
            <v>34.613599999999998</v>
          </cell>
          <cell r="D140">
            <v>2.7499999999999964</v>
          </cell>
        </row>
        <row r="141">
          <cell r="A141">
            <v>42217</v>
          </cell>
          <cell r="B141">
            <v>28.751000000000001</v>
          </cell>
          <cell r="C141">
            <v>31.4771</v>
          </cell>
          <cell r="D141">
            <v>2.7260999999999989</v>
          </cell>
        </row>
        <row r="142">
          <cell r="A142">
            <v>42248</v>
          </cell>
          <cell r="B142">
            <v>26.0471</v>
          </cell>
          <cell r="C142">
            <v>28.5471</v>
          </cell>
          <cell r="D142">
            <v>2.5</v>
          </cell>
        </row>
        <row r="143">
          <cell r="A143">
            <v>42278</v>
          </cell>
          <cell r="B143">
            <v>27.3005</v>
          </cell>
          <cell r="C143">
            <v>29.8005</v>
          </cell>
          <cell r="D143">
            <v>2.5</v>
          </cell>
        </row>
        <row r="144">
          <cell r="A144">
            <v>42309</v>
          </cell>
          <cell r="B144">
            <v>26.5715</v>
          </cell>
          <cell r="C144">
            <v>29.0715</v>
          </cell>
          <cell r="D144">
            <v>2.5</v>
          </cell>
        </row>
        <row r="145">
          <cell r="A145">
            <v>42339</v>
          </cell>
          <cell r="B145">
            <v>29.5136</v>
          </cell>
          <cell r="C145">
            <v>32.013599999999997</v>
          </cell>
          <cell r="D145">
            <v>2.4999999999999964</v>
          </cell>
        </row>
        <row r="146">
          <cell r="A146">
            <v>42370</v>
          </cell>
          <cell r="B146">
            <v>28.7942</v>
          </cell>
          <cell r="C146">
            <v>31.2942</v>
          </cell>
          <cell r="D146">
            <v>2.5</v>
          </cell>
        </row>
        <row r="147">
          <cell r="A147">
            <v>42401</v>
          </cell>
          <cell r="B147">
            <v>29.657499999999999</v>
          </cell>
          <cell r="C147">
            <v>32.157499999999999</v>
          </cell>
          <cell r="D147">
            <v>2.5</v>
          </cell>
        </row>
        <row r="148">
          <cell r="A148">
            <v>42430</v>
          </cell>
          <cell r="B148">
            <v>30.976400000000002</v>
          </cell>
          <cell r="C148">
            <v>33.476399999999998</v>
          </cell>
          <cell r="D148">
            <v>2.4999999999999964</v>
          </cell>
        </row>
        <row r="149">
          <cell r="A149">
            <v>42461</v>
          </cell>
          <cell r="B149">
            <v>32.441000000000003</v>
          </cell>
          <cell r="C149">
            <v>34.941000000000003</v>
          </cell>
          <cell r="D149">
            <v>2.5</v>
          </cell>
        </row>
        <row r="150">
          <cell r="A150">
            <v>42491</v>
          </cell>
          <cell r="B150">
            <v>30.578600000000002</v>
          </cell>
          <cell r="C150">
            <v>33.078600000000002</v>
          </cell>
          <cell r="D150">
            <v>2.5</v>
          </cell>
        </row>
        <row r="151">
          <cell r="A151">
            <v>42522</v>
          </cell>
          <cell r="B151">
            <v>30.517299999999999</v>
          </cell>
          <cell r="C151">
            <v>33.017299999999999</v>
          </cell>
          <cell r="D151">
            <v>2.5</v>
          </cell>
        </row>
        <row r="152">
          <cell r="A152">
            <v>42552</v>
          </cell>
          <cell r="B152">
            <v>29</v>
          </cell>
          <cell r="C152">
            <v>31.5</v>
          </cell>
          <cell r="D152">
            <v>2.5</v>
          </cell>
        </row>
        <row r="153">
          <cell r="A153">
            <v>42583</v>
          </cell>
          <cell r="B153">
            <v>31.555700000000002</v>
          </cell>
          <cell r="C153">
            <v>34.055700000000002</v>
          </cell>
          <cell r="D153">
            <v>2.5</v>
          </cell>
        </row>
        <row r="154">
          <cell r="A154">
            <v>42614</v>
          </cell>
          <cell r="B154">
            <v>32.965200000000003</v>
          </cell>
          <cell r="C154">
            <v>35.465200000000003</v>
          </cell>
          <cell r="D154">
            <v>2.5</v>
          </cell>
        </row>
        <row r="155">
          <cell r="A155">
            <v>42644</v>
          </cell>
          <cell r="B155">
            <v>33.634300000000003</v>
          </cell>
          <cell r="C155">
            <v>36.134300000000003</v>
          </cell>
          <cell r="D155">
            <v>2.5</v>
          </cell>
        </row>
        <row r="156">
          <cell r="A156">
            <v>42675</v>
          </cell>
          <cell r="B156">
            <v>34.286200000000001</v>
          </cell>
          <cell r="C156">
            <v>36.786200000000001</v>
          </cell>
          <cell r="D156">
            <v>2.5</v>
          </cell>
        </row>
        <row r="157">
          <cell r="A157">
            <v>42705</v>
          </cell>
          <cell r="B157">
            <v>35.348100000000002</v>
          </cell>
          <cell r="C157">
            <v>37.848100000000002</v>
          </cell>
          <cell r="D157">
            <v>2.5</v>
          </cell>
        </row>
        <row r="158">
          <cell r="A158">
            <v>42736</v>
          </cell>
          <cell r="B158">
            <v>33.611499999999999</v>
          </cell>
          <cell r="C158">
            <v>36.111499999999999</v>
          </cell>
          <cell r="D158">
            <v>2.5</v>
          </cell>
        </row>
        <row r="159">
          <cell r="A159">
            <v>42767</v>
          </cell>
          <cell r="B159">
            <v>32.282600000000002</v>
          </cell>
          <cell r="C159">
            <v>34.782600000000002</v>
          </cell>
          <cell r="D159">
            <v>2.5</v>
          </cell>
        </row>
        <row r="160">
          <cell r="A160">
            <v>42795</v>
          </cell>
          <cell r="B160">
            <v>30.862200000000001</v>
          </cell>
          <cell r="C160">
            <v>33.362200000000001</v>
          </cell>
          <cell r="D160">
            <v>2.5</v>
          </cell>
        </row>
        <row r="161">
          <cell r="A161">
            <v>42826</v>
          </cell>
          <cell r="B161">
            <v>29.6174</v>
          </cell>
          <cell r="C161">
            <v>32.117400000000004</v>
          </cell>
          <cell r="D161">
            <v>2.5000000000000036</v>
          </cell>
        </row>
        <row r="162">
          <cell r="A162">
            <v>42856</v>
          </cell>
          <cell r="B162">
            <v>30.7409</v>
          </cell>
          <cell r="C162">
            <v>33.204099999999997</v>
          </cell>
          <cell r="D162">
            <v>2.4631999999999969</v>
          </cell>
        </row>
        <row r="163">
          <cell r="A163">
            <v>42887</v>
          </cell>
          <cell r="B163">
            <v>30.7773</v>
          </cell>
          <cell r="C163">
            <v>33.277299999999997</v>
          </cell>
          <cell r="D163">
            <v>2.4999999999999964</v>
          </cell>
        </row>
        <row r="164">
          <cell r="A164">
            <v>42917</v>
          </cell>
          <cell r="B164">
            <v>32.71</v>
          </cell>
          <cell r="C164">
            <v>35.21</v>
          </cell>
          <cell r="D164">
            <v>2.5</v>
          </cell>
        </row>
        <row r="165">
          <cell r="A165">
            <v>42948</v>
          </cell>
          <cell r="B165">
            <v>33.159599999999998</v>
          </cell>
          <cell r="C165">
            <v>35.659599999999998</v>
          </cell>
          <cell r="D165">
            <v>2.5</v>
          </cell>
        </row>
        <row r="166">
          <cell r="A166">
            <v>42979</v>
          </cell>
          <cell r="B166">
            <v>33.292499999999997</v>
          </cell>
          <cell r="C166">
            <v>35.792499999999997</v>
          </cell>
          <cell r="D166">
            <v>2.5</v>
          </cell>
        </row>
        <row r="167">
          <cell r="A167">
            <v>43009</v>
          </cell>
          <cell r="B167">
            <v>32.137700000000002</v>
          </cell>
          <cell r="C167">
            <v>34.637700000000002</v>
          </cell>
          <cell r="D167">
            <v>2.5</v>
          </cell>
        </row>
        <row r="168">
          <cell r="A168">
            <v>43040</v>
          </cell>
          <cell r="B168">
            <v>33.315199999999997</v>
          </cell>
          <cell r="C168">
            <v>35.815199999999997</v>
          </cell>
          <cell r="D168">
            <v>2.5</v>
          </cell>
        </row>
        <row r="169">
          <cell r="A169">
            <v>43070</v>
          </cell>
          <cell r="B169">
            <v>32.183500000000002</v>
          </cell>
          <cell r="C169">
            <v>34.683500000000002</v>
          </cell>
          <cell r="D169">
            <v>2.5</v>
          </cell>
        </row>
        <row r="170">
          <cell r="A170">
            <v>43101</v>
          </cell>
          <cell r="B170">
            <v>31.826699999999999</v>
          </cell>
          <cell r="C170">
            <v>34.326700000000002</v>
          </cell>
          <cell r="D170">
            <v>2.5000000000000036</v>
          </cell>
        </row>
        <row r="171">
          <cell r="A171">
            <v>43132</v>
          </cell>
          <cell r="B171">
            <v>30.642600000000002</v>
          </cell>
          <cell r="C171">
            <v>33.142600000000002</v>
          </cell>
          <cell r="D171">
            <v>2.5</v>
          </cell>
        </row>
        <row r="172">
          <cell r="A172">
            <v>43160</v>
          </cell>
          <cell r="B172">
            <v>30.284800000000001</v>
          </cell>
          <cell r="C172">
            <v>32.784799999999997</v>
          </cell>
          <cell r="D172">
            <v>2.4999999999999964</v>
          </cell>
        </row>
        <row r="173">
          <cell r="A173">
            <v>43191</v>
          </cell>
          <cell r="B173">
            <v>29.698599999999999</v>
          </cell>
          <cell r="C173">
            <v>32.198599999999999</v>
          </cell>
          <cell r="D173">
            <v>2.5</v>
          </cell>
        </row>
        <row r="174">
          <cell r="A174">
            <v>43221</v>
          </cell>
          <cell r="B174">
            <v>29.436800000000002</v>
          </cell>
          <cell r="C174">
            <v>31.936800000000002</v>
          </cell>
          <cell r="D174">
            <v>2.5</v>
          </cell>
        </row>
        <row r="175">
          <cell r="A175">
            <v>43252</v>
          </cell>
          <cell r="B175">
            <v>28.221</v>
          </cell>
          <cell r="C175">
            <v>30.721</v>
          </cell>
          <cell r="D175">
            <v>2.5</v>
          </cell>
        </row>
        <row r="176">
          <cell r="A176">
            <v>43282</v>
          </cell>
          <cell r="B176">
            <v>27.185700000000001</v>
          </cell>
          <cell r="C176">
            <v>29.685700000000001</v>
          </cell>
          <cell r="D176">
            <v>2.5</v>
          </cell>
        </row>
        <row r="177">
          <cell r="A177">
            <v>43313</v>
          </cell>
          <cell r="B177">
            <v>27.67</v>
          </cell>
          <cell r="C177">
            <v>30.17</v>
          </cell>
          <cell r="D177">
            <v>2.5</v>
          </cell>
        </row>
        <row r="178">
          <cell r="A178">
            <v>43344</v>
          </cell>
          <cell r="B178">
            <v>27.776299999999999</v>
          </cell>
          <cell r="C178">
            <v>30.276299999999999</v>
          </cell>
          <cell r="D178">
            <v>2.5</v>
          </cell>
        </row>
        <row r="179">
          <cell r="A179">
            <v>43374</v>
          </cell>
          <cell r="B179">
            <v>28.938700000000001</v>
          </cell>
          <cell r="C179">
            <v>31.438700000000001</v>
          </cell>
          <cell r="D179">
            <v>2.5</v>
          </cell>
        </row>
        <row r="180">
          <cell r="A180">
            <v>43405</v>
          </cell>
          <cell r="B180">
            <v>27.491</v>
          </cell>
          <cell r="C180">
            <v>30.943300000000001</v>
          </cell>
          <cell r="D180">
            <v>3.452300000000001</v>
          </cell>
        </row>
        <row r="181">
          <cell r="A181">
            <v>43435</v>
          </cell>
          <cell r="B181">
            <v>28.122499999999999</v>
          </cell>
          <cell r="C181">
            <v>31.872499999999999</v>
          </cell>
          <cell r="D181">
            <v>3.75</v>
          </cell>
        </row>
        <row r="182">
          <cell r="A182">
            <v>43466</v>
          </cell>
          <cell r="B182">
            <v>28.567599999999999</v>
          </cell>
          <cell r="C182">
            <v>32.317599999999999</v>
          </cell>
          <cell r="D182">
            <v>3.75</v>
          </cell>
        </row>
        <row r="183">
          <cell r="A183">
            <v>43497</v>
          </cell>
          <cell r="B183">
            <v>29.575800000000001</v>
          </cell>
          <cell r="C183">
            <v>32.904699999999998</v>
          </cell>
          <cell r="D183">
            <v>3.3288999999999973</v>
          </cell>
        </row>
        <row r="184">
          <cell r="A184">
            <v>43525</v>
          </cell>
          <cell r="B184">
            <v>28.64</v>
          </cell>
          <cell r="C184">
            <v>31.79</v>
          </cell>
          <cell r="D184">
            <v>3.1499999999999986</v>
          </cell>
        </row>
        <row r="185">
          <cell r="A185">
            <v>43556</v>
          </cell>
          <cell r="B185">
            <v>27.8781</v>
          </cell>
          <cell r="C185">
            <v>31.028099999999998</v>
          </cell>
          <cell r="D185">
            <v>3.1499999999999986</v>
          </cell>
        </row>
        <row r="186">
          <cell r="A186">
            <v>43586</v>
          </cell>
          <cell r="B186">
            <v>26.981400000000001</v>
          </cell>
          <cell r="C186">
            <v>30.131399999999999</v>
          </cell>
          <cell r="D186">
            <v>3.1499999999999986</v>
          </cell>
        </row>
        <row r="187">
          <cell r="A187">
            <v>43617</v>
          </cell>
          <cell r="B187">
            <v>28.240500000000001</v>
          </cell>
          <cell r="C187">
            <v>31.390499999999999</v>
          </cell>
          <cell r="D187">
            <v>3.1499999999999986</v>
          </cell>
        </row>
        <row r="188">
          <cell r="A188">
            <v>43647</v>
          </cell>
          <cell r="B188">
            <v>28.273199999999999</v>
          </cell>
          <cell r="C188">
            <v>31.423200000000001</v>
          </cell>
          <cell r="D188">
            <v>3.1500000000000021</v>
          </cell>
        </row>
        <row r="189">
          <cell r="A189">
            <v>43678</v>
          </cell>
          <cell r="B189">
            <v>28.370899999999999</v>
          </cell>
          <cell r="C189">
            <v>31.520900000000001</v>
          </cell>
          <cell r="D189">
            <v>3.1500000000000021</v>
          </cell>
        </row>
        <row r="190">
          <cell r="A190">
            <v>43709</v>
          </cell>
          <cell r="B190">
            <v>28.812999999999999</v>
          </cell>
          <cell r="C190">
            <v>31.963000000000001</v>
          </cell>
          <cell r="D190">
            <v>3.1500000000000021</v>
          </cell>
        </row>
        <row r="191">
          <cell r="A191">
            <v>43739</v>
          </cell>
          <cell r="B191">
            <v>30.1191</v>
          </cell>
          <cell r="C191">
            <v>33.269100000000002</v>
          </cell>
          <cell r="D191">
            <v>3.1500000000000021</v>
          </cell>
        </row>
        <row r="192">
          <cell r="A192">
            <v>43770</v>
          </cell>
          <cell r="B192">
            <v>30.616499999999998</v>
          </cell>
          <cell r="C192">
            <v>33.766500000000001</v>
          </cell>
          <cell r="D192">
            <v>3.1500000000000021</v>
          </cell>
        </row>
        <row r="193">
          <cell r="A193">
            <v>43800</v>
          </cell>
          <cell r="B193">
            <v>32.232399999999998</v>
          </cell>
          <cell r="C193">
            <v>35.382399999999997</v>
          </cell>
          <cell r="D193">
            <v>3.1499999999999986</v>
          </cell>
        </row>
        <row r="194">
          <cell r="A194">
            <v>43831</v>
          </cell>
          <cell r="B194">
            <v>32.942900000000002</v>
          </cell>
          <cell r="C194">
            <v>36.0929</v>
          </cell>
          <cell r="D194">
            <v>3.1499999999999986</v>
          </cell>
        </row>
        <row r="195">
          <cell r="A195">
            <v>43862</v>
          </cell>
          <cell r="B195">
            <v>30.282599999999999</v>
          </cell>
          <cell r="C195">
            <v>33.432600000000001</v>
          </cell>
          <cell r="D195">
            <v>3.1500000000000021</v>
          </cell>
        </row>
        <row r="196">
          <cell r="A196">
            <v>43891</v>
          </cell>
          <cell r="B196">
            <v>27.026800000000001</v>
          </cell>
          <cell r="C196">
            <v>30.1768</v>
          </cell>
          <cell r="D196">
            <v>3.1499999999999986</v>
          </cell>
        </row>
        <row r="197">
          <cell r="A197">
            <v>43922</v>
          </cell>
          <cell r="B197">
            <v>25.652899999999999</v>
          </cell>
          <cell r="C197">
            <v>28.802900000000001</v>
          </cell>
          <cell r="D197">
            <v>3.1500000000000021</v>
          </cell>
        </row>
        <row r="198">
          <cell r="A198">
            <v>43952</v>
          </cell>
          <cell r="B198">
            <v>25.2685</v>
          </cell>
          <cell r="C198">
            <v>28.418500000000002</v>
          </cell>
          <cell r="D198">
            <v>3.1500000000000021</v>
          </cell>
        </row>
        <row r="199">
          <cell r="A199">
            <v>43983</v>
          </cell>
          <cell r="B199">
            <v>26.614100000000001</v>
          </cell>
          <cell r="C199">
            <v>29.764099999999999</v>
          </cell>
          <cell r="D199">
            <v>3.1499999999999986</v>
          </cell>
        </row>
        <row r="200">
          <cell r="A200">
            <v>44013</v>
          </cell>
          <cell r="B200">
            <v>28.701799999999999</v>
          </cell>
          <cell r="C200">
            <v>31.8109</v>
          </cell>
          <cell r="D200">
            <v>3.1091000000000015</v>
          </cell>
        </row>
        <row r="201">
          <cell r="A201">
            <v>44044</v>
          </cell>
          <cell r="B201">
            <v>31.992899999999999</v>
          </cell>
          <cell r="C201">
            <v>35.142899999999997</v>
          </cell>
          <cell r="D201">
            <v>3.1499999999999986</v>
          </cell>
        </row>
        <row r="202">
          <cell r="A202">
            <v>44075</v>
          </cell>
          <cell r="B202">
            <v>34.067599999999999</v>
          </cell>
          <cell r="C202">
            <v>37.217599999999997</v>
          </cell>
          <cell r="D202">
            <v>3.1499999999999986</v>
          </cell>
        </row>
        <row r="203">
          <cell r="A203">
            <v>44105</v>
          </cell>
          <cell r="B203">
            <v>33.876800000000003</v>
          </cell>
          <cell r="C203">
            <v>37.026800000000001</v>
          </cell>
          <cell r="D203">
            <v>3.1499999999999986</v>
          </cell>
        </row>
        <row r="204">
          <cell r="A204">
            <v>44136</v>
          </cell>
          <cell r="B204">
            <v>37.952500000000001</v>
          </cell>
          <cell r="C204">
            <v>41.102499999999999</v>
          </cell>
          <cell r="D204">
            <v>3.1499999999999986</v>
          </cell>
        </row>
        <row r="205">
          <cell r="A205">
            <v>44166</v>
          </cell>
          <cell r="B205">
            <v>42.207700000000003</v>
          </cell>
          <cell r="C205">
            <v>45.719099999999997</v>
          </cell>
          <cell r="D205">
            <v>3.5113999999999947</v>
          </cell>
        </row>
        <row r="206">
          <cell r="A206">
            <v>44197</v>
          </cell>
          <cell r="B206">
            <v>46.417400000000001</v>
          </cell>
          <cell r="C206">
            <v>49.417400000000001</v>
          </cell>
          <cell r="D206">
            <v>3</v>
          </cell>
        </row>
        <row r="207">
          <cell r="A207">
            <v>44228</v>
          </cell>
          <cell r="B207">
            <v>50.4726</v>
          </cell>
          <cell r="C207">
            <v>52.604199999999999</v>
          </cell>
          <cell r="D207">
            <v>2.1315999999999988</v>
          </cell>
        </row>
        <row r="208">
          <cell r="A208">
            <v>44256</v>
          </cell>
          <cell r="B208">
            <v>60.130899999999997</v>
          </cell>
          <cell r="C208">
            <v>62.609099999999998</v>
          </cell>
          <cell r="D208">
            <v>2.4782000000000011</v>
          </cell>
        </row>
        <row r="209">
          <cell r="A209">
            <v>44287</v>
          </cell>
          <cell r="B209">
            <v>65.338099999999997</v>
          </cell>
          <cell r="C209">
            <v>71.7667</v>
          </cell>
          <cell r="D209">
            <v>6.428600000000003</v>
          </cell>
        </row>
        <row r="210">
          <cell r="A210">
            <v>44317</v>
          </cell>
          <cell r="B210">
            <v>77.164500000000004</v>
          </cell>
          <cell r="C210">
            <v>92.789500000000004</v>
          </cell>
          <cell r="D210">
            <v>15.625</v>
          </cell>
        </row>
        <row r="211">
          <cell r="A211">
            <v>44348</v>
          </cell>
          <cell r="B211">
            <v>76.834100000000007</v>
          </cell>
          <cell r="C211">
            <v>97.356800000000007</v>
          </cell>
          <cell r="D211">
            <v>20.5227</v>
          </cell>
        </row>
        <row r="212">
          <cell r="A212">
            <v>44378</v>
          </cell>
          <cell r="B212">
            <v>72.721900000000005</v>
          </cell>
          <cell r="C212">
            <v>92.793300000000002</v>
          </cell>
          <cell r="D212">
            <v>20.071399999999997</v>
          </cell>
        </row>
        <row r="213">
          <cell r="A213">
            <v>44409</v>
          </cell>
          <cell r="B213">
            <v>69.002941176470571</v>
          </cell>
          <cell r="C213">
            <v>83.885294117647049</v>
          </cell>
          <cell r="D213">
            <v>14.882352941176478</v>
          </cell>
        </row>
      </sheetData>
      <sheetData sheetId="7">
        <row r="5">
          <cell r="D5" t="str">
            <v>19/20</v>
          </cell>
        </row>
        <row r="6">
          <cell r="C6" t="str">
            <v>Biodiesel Production</v>
          </cell>
          <cell r="D6">
            <v>7858</v>
          </cell>
        </row>
        <row r="7">
          <cell r="C7" t="str">
            <v>Renewable Diesel</v>
          </cell>
          <cell r="D7">
            <v>1462</v>
          </cell>
        </row>
        <row r="8">
          <cell r="C8" t="str">
            <v>Co-Processing</v>
          </cell>
          <cell r="D8">
            <v>15</v>
          </cell>
        </row>
        <row r="9">
          <cell r="C9" t="str">
            <v>Non-Biofuel Usage</v>
          </cell>
          <cell r="D9">
            <v>12991</v>
          </cell>
        </row>
      </sheetData>
      <sheetData sheetId="8">
        <row r="1">
          <cell r="B1" t="str">
            <v>Production</v>
          </cell>
          <cell r="D1" t="str">
            <v>Refined Production</v>
          </cell>
          <cell r="E1" t="str">
            <v>Refined Loss (%)</v>
          </cell>
          <cell r="F1" t="str">
            <v xml:space="preserve">Refined Loss </v>
          </cell>
        </row>
        <row r="2">
          <cell r="A2">
            <v>43831</v>
          </cell>
          <cell r="B2">
            <v>2154.4270000000001</v>
          </cell>
          <cell r="D2">
            <v>1374.5050000000001</v>
          </cell>
          <cell r="E2">
            <v>2.3444355003150844E-2</v>
          </cell>
          <cell r="F2">
            <v>32.99799999999982</v>
          </cell>
        </row>
        <row r="3">
          <cell r="A3">
            <v>43862</v>
          </cell>
          <cell r="B3">
            <v>1999.5239999999999</v>
          </cell>
          <cell r="D3">
            <v>1362.414</v>
          </cell>
          <cell r="E3">
            <v>2.7562578959765306E-2</v>
          </cell>
          <cell r="F3">
            <v>38.615999999999985</v>
          </cell>
        </row>
        <row r="4">
          <cell r="A4">
            <v>43891</v>
          </cell>
          <cell r="B4">
            <v>2201.0680000000002</v>
          </cell>
          <cell r="D4">
            <v>1540.931</v>
          </cell>
          <cell r="E4">
            <v>2.2478296587402011E-2</v>
          </cell>
          <cell r="F4">
            <v>35.433999999999969</v>
          </cell>
        </row>
        <row r="5">
          <cell r="A5">
            <v>43922</v>
          </cell>
          <cell r="B5">
            <v>2099.4650000000001</v>
          </cell>
          <cell r="D5">
            <v>1223.692</v>
          </cell>
          <cell r="E5">
            <v>2.0628796118665069E-2</v>
          </cell>
          <cell r="F5">
            <v>25.775000000000091</v>
          </cell>
        </row>
        <row r="6">
          <cell r="A6">
            <v>43952</v>
          </cell>
          <cell r="B6">
            <v>2057.6170000000002</v>
          </cell>
          <cell r="D6">
            <v>1455.183</v>
          </cell>
          <cell r="E6">
            <v>2.3152076430247755E-2</v>
          </cell>
          <cell r="F6">
            <v>34.489000000000033</v>
          </cell>
        </row>
        <row r="7">
          <cell r="A7">
            <v>43983</v>
          </cell>
          <cell r="B7">
            <v>2035.269</v>
          </cell>
          <cell r="D7">
            <v>1511.2650000000001</v>
          </cell>
          <cell r="E7">
            <v>2.1101252589319372E-2</v>
          </cell>
          <cell r="F7">
            <v>32.576999999999998</v>
          </cell>
        </row>
        <row r="8">
          <cell r="A8">
            <v>44013</v>
          </cell>
          <cell r="B8">
            <v>2123.2370000000001</v>
          </cell>
          <cell r="D8">
            <v>1582.5650000000001</v>
          </cell>
          <cell r="E8">
            <v>2.7224904970077218E-2</v>
          </cell>
          <cell r="F8">
            <v>44.29099999999994</v>
          </cell>
        </row>
        <row r="9">
          <cell r="A9">
            <v>44044</v>
          </cell>
          <cell r="B9">
            <v>2012.8230000000001</v>
          </cell>
          <cell r="D9">
            <v>1555.4369999999999</v>
          </cell>
          <cell r="E9">
            <v>2.5366559727304734E-2</v>
          </cell>
          <cell r="F9">
            <v>40.483000000000175</v>
          </cell>
        </row>
        <row r="10">
          <cell r="A10">
            <v>44075</v>
          </cell>
          <cell r="B10">
            <v>1967.6210000000001</v>
          </cell>
          <cell r="D10">
            <v>1496.712</v>
          </cell>
          <cell r="E10">
            <v>2.2443069374831051E-2</v>
          </cell>
          <cell r="F10">
            <v>34.36200000000008</v>
          </cell>
        </row>
        <row r="11">
          <cell r="A11">
            <v>44105</v>
          </cell>
          <cell r="B11">
            <v>2282.471</v>
          </cell>
          <cell r="D11">
            <v>1589.296</v>
          </cell>
          <cell r="E11">
            <v>2.4561257068925958E-2</v>
          </cell>
          <cell r="F11">
            <v>40.018000000000029</v>
          </cell>
        </row>
        <row r="12">
          <cell r="A12">
            <v>44136</v>
          </cell>
          <cell r="B12">
            <v>2206.7919999999999</v>
          </cell>
          <cell r="D12">
            <v>1519.0170000000001</v>
          </cell>
          <cell r="E12">
            <v>2.2153542706434971E-2</v>
          </cell>
          <cell r="F12">
            <v>34.413999999999987</v>
          </cell>
        </row>
        <row r="13">
          <cell r="A13">
            <v>44166</v>
          </cell>
          <cell r="B13">
            <v>2233.4859999999999</v>
          </cell>
          <cell r="D13">
            <v>1576.008</v>
          </cell>
          <cell r="E13">
            <v>2.3738640798349711E-2</v>
          </cell>
          <cell r="F13">
            <v>38.321999999999889</v>
          </cell>
        </row>
        <row r="14">
          <cell r="A14">
            <v>44197</v>
          </cell>
          <cell r="B14">
            <v>2308.752</v>
          </cell>
          <cell r="D14">
            <v>1587.925</v>
          </cell>
          <cell r="E14">
            <v>2.0209443208336359E-2</v>
          </cell>
          <cell r="F14">
            <v>32.753000000000156</v>
          </cell>
        </row>
        <row r="15">
          <cell r="A15">
            <v>44228</v>
          </cell>
          <cell r="B15">
            <v>1929.799</v>
          </cell>
          <cell r="D15">
            <v>1444.5419999999999</v>
          </cell>
          <cell r="E15">
            <v>1.9794885574813043E-2</v>
          </cell>
          <cell r="F15">
            <v>29.172000000000025</v>
          </cell>
        </row>
      </sheetData>
      <sheetData sheetId="9">
        <row r="1">
          <cell r="B1" t="str">
            <v>Production</v>
          </cell>
          <cell r="C1" t="str">
            <v>Filler 1</v>
          </cell>
          <cell r="D1" t="str">
            <v>Filler 2</v>
          </cell>
          <cell r="E1" t="str">
            <v>Refined Production</v>
          </cell>
          <cell r="F1" t="str">
            <v xml:space="preserve">Refined Loss </v>
          </cell>
        </row>
        <row r="2">
          <cell r="A2">
            <v>43831</v>
          </cell>
          <cell r="B2">
            <v>2154.4270000000001</v>
          </cell>
          <cell r="E2">
            <v>1374.5050000000001</v>
          </cell>
          <cell r="F2">
            <v>32.99799999999982</v>
          </cell>
        </row>
        <row r="3">
          <cell r="A3">
            <v>43862</v>
          </cell>
          <cell r="B3">
            <v>1999.5239999999999</v>
          </cell>
          <cell r="E3">
            <v>1362.414</v>
          </cell>
          <cell r="F3">
            <v>38.615999999999985</v>
          </cell>
        </row>
        <row r="4">
          <cell r="A4">
            <v>43891</v>
          </cell>
          <cell r="B4">
            <v>2201.0680000000002</v>
          </cell>
          <cell r="E4">
            <v>1540.931</v>
          </cell>
          <cell r="F4">
            <v>35.433999999999969</v>
          </cell>
        </row>
        <row r="5">
          <cell r="A5">
            <v>43922</v>
          </cell>
          <cell r="B5">
            <v>2099.4650000000001</v>
          </cell>
          <cell r="E5">
            <v>1223.692</v>
          </cell>
          <cell r="F5">
            <v>25.775000000000091</v>
          </cell>
        </row>
        <row r="6">
          <cell r="A6">
            <v>43952</v>
          </cell>
          <cell r="B6">
            <v>2057.6170000000002</v>
          </cell>
          <cell r="E6">
            <v>1455.183</v>
          </cell>
          <cell r="F6">
            <v>34.489000000000033</v>
          </cell>
        </row>
        <row r="7">
          <cell r="A7">
            <v>43983</v>
          </cell>
          <cell r="B7">
            <v>2035.269</v>
          </cell>
          <cell r="E7">
            <v>1511.2650000000001</v>
          </cell>
          <cell r="F7">
            <v>32.576999999999998</v>
          </cell>
        </row>
        <row r="8">
          <cell r="A8">
            <v>44013</v>
          </cell>
          <cell r="B8">
            <v>2123.2370000000001</v>
          </cell>
          <cell r="E8">
            <v>1582.5650000000001</v>
          </cell>
          <cell r="F8">
            <v>44.29099999999994</v>
          </cell>
        </row>
        <row r="9">
          <cell r="A9">
            <v>44044</v>
          </cell>
          <cell r="B9">
            <v>2012.8230000000001</v>
          </cell>
          <cell r="E9">
            <v>1555.4369999999999</v>
          </cell>
          <cell r="F9">
            <v>40.483000000000175</v>
          </cell>
        </row>
        <row r="10">
          <cell r="A10">
            <v>44075</v>
          </cell>
          <cell r="B10">
            <v>1967.6210000000001</v>
          </cell>
          <cell r="E10">
            <v>1496.712</v>
          </cell>
          <cell r="F10">
            <v>34.36200000000008</v>
          </cell>
        </row>
        <row r="11">
          <cell r="A11">
            <v>44105</v>
          </cell>
          <cell r="B11">
            <v>2282.471</v>
          </cell>
          <cell r="E11">
            <v>1589.296</v>
          </cell>
          <cell r="F11">
            <v>40.018000000000029</v>
          </cell>
        </row>
        <row r="12">
          <cell r="A12">
            <v>44136</v>
          </cell>
          <cell r="B12">
            <v>2206.7919999999999</v>
          </cell>
          <cell r="E12">
            <v>1519.0170000000001</v>
          </cell>
          <cell r="F12">
            <v>34.413999999999987</v>
          </cell>
        </row>
        <row r="13">
          <cell r="A13">
            <v>44166</v>
          </cell>
          <cell r="B13">
            <v>2233.4859999999999</v>
          </cell>
          <cell r="E13">
            <v>1576.008</v>
          </cell>
          <cell r="F13">
            <v>38.321999999999889</v>
          </cell>
        </row>
        <row r="14">
          <cell r="A14">
            <v>44197</v>
          </cell>
          <cell r="B14">
            <v>2308.752</v>
          </cell>
          <cell r="E14">
            <v>1587.925</v>
          </cell>
          <cell r="F14">
            <v>32.753000000000156</v>
          </cell>
        </row>
        <row r="15">
          <cell r="A15">
            <v>44228</v>
          </cell>
          <cell r="B15">
            <v>1929.799</v>
          </cell>
          <cell r="E15">
            <v>1444.5419999999999</v>
          </cell>
          <cell r="F15">
            <v>29.172000000000025</v>
          </cell>
        </row>
      </sheetData>
      <sheetData sheetId="10">
        <row r="1">
          <cell r="G1" t="str">
            <v>2019/20</v>
          </cell>
          <cell r="J1" t="str">
            <v>2021/22</v>
          </cell>
        </row>
        <row r="2">
          <cell r="F2" t="str">
            <v>Refined Exports</v>
          </cell>
          <cell r="G2">
            <v>385.7</v>
          </cell>
          <cell r="I2" t="str">
            <v>Refined Exports</v>
          </cell>
          <cell r="J2">
            <v>326.89903591483198</v>
          </cell>
        </row>
        <row r="3">
          <cell r="F3" t="str">
            <v>Biodiesel</v>
          </cell>
          <cell r="G3">
            <v>0</v>
          </cell>
          <cell r="I3" t="str">
            <v>Biodiesel</v>
          </cell>
          <cell r="J3">
            <v>8068</v>
          </cell>
        </row>
        <row r="4">
          <cell r="F4" t="str">
            <v>Renewable Diesel</v>
          </cell>
          <cell r="G4">
            <v>0</v>
          </cell>
          <cell r="I4" t="str">
            <v>Renewable Diesel</v>
          </cell>
          <cell r="J4">
            <v>2712</v>
          </cell>
        </row>
        <row r="5">
          <cell r="F5" t="str">
            <v>Co-Processing</v>
          </cell>
          <cell r="G5">
            <v>0</v>
          </cell>
          <cell r="I5" t="str">
            <v>Co-Processing</v>
          </cell>
          <cell r="J5">
            <v>374</v>
          </cell>
        </row>
        <row r="6">
          <cell r="F6" t="str">
            <v>Refined Non-Biofuel</v>
          </cell>
          <cell r="G6">
            <v>7939.3018236199096</v>
          </cell>
          <cell r="I6" t="str">
            <v>Refined Non-Biofuel</v>
          </cell>
          <cell r="J6">
            <v>7176.8</v>
          </cell>
        </row>
        <row r="7">
          <cell r="F7" t="str">
            <v>Crude Exports</v>
          </cell>
          <cell r="G7">
            <v>2446</v>
          </cell>
          <cell r="I7" t="str">
            <v>Crude Exports</v>
          </cell>
          <cell r="J7">
            <v>2073.1</v>
          </cell>
        </row>
        <row r="8">
          <cell r="F8" t="str">
            <v>Domestic Crude</v>
          </cell>
          <cell r="G8">
            <v>5125.1510000000017</v>
          </cell>
          <cell r="I8" t="str">
            <v>Domestic Crude</v>
          </cell>
          <cell r="J8">
            <v>5905.19</v>
          </cell>
        </row>
        <row r="9">
          <cell r="F9" t="str">
            <v xml:space="preserve">Crude Non-Biofuel </v>
          </cell>
          <cell r="G9">
            <v>5125.1510000000017</v>
          </cell>
          <cell r="I9" t="str">
            <v xml:space="preserve">Crude Non-Biofuel </v>
          </cell>
          <cell r="J9">
            <v>5905.19</v>
          </cell>
        </row>
      </sheetData>
      <sheetData sheetId="13">
        <row r="24">
          <cell r="B24" t="str">
            <v>2019/20</v>
          </cell>
        </row>
        <row r="25">
          <cell r="E25" t="str">
            <v>2021/22</v>
          </cell>
        </row>
        <row r="30">
          <cell r="A30" t="str">
            <v>Biodiesel</v>
          </cell>
          <cell r="B30">
            <v>7857.82</v>
          </cell>
          <cell r="E30">
            <v>6597.5815917071213</v>
          </cell>
        </row>
        <row r="31">
          <cell r="A31" t="str">
            <v>Renewable Diesel</v>
          </cell>
          <cell r="B31">
            <v>1424.0832194533459</v>
          </cell>
          <cell r="E31">
            <v>8093.8165298902195</v>
          </cell>
        </row>
        <row r="32">
          <cell r="A32" t="str">
            <v>Co-Processing</v>
          </cell>
          <cell r="B32">
            <v>14.877988255617979</v>
          </cell>
          <cell r="E32">
            <v>299.3658667948917</v>
          </cell>
        </row>
        <row r="33">
          <cell r="A33" t="str">
            <v>Non-Biofuel</v>
          </cell>
          <cell r="B33">
            <v>13024.916335535307</v>
          </cell>
          <cell r="E33">
            <v>12250</v>
          </cell>
        </row>
        <row r="34">
          <cell r="A34" t="str">
            <v>Exports</v>
          </cell>
          <cell r="B34">
            <v>2832.2140233623118</v>
          </cell>
          <cell r="E34">
            <v>1000</v>
          </cell>
        </row>
      </sheetData>
      <sheetData sheetId="18">
        <row r="9">
          <cell r="A9" t="str">
            <v>Exports</v>
          </cell>
          <cell r="O9">
            <v>2446.0946750000007</v>
          </cell>
        </row>
        <row r="10">
          <cell r="A10" t="str">
            <v>Refined</v>
          </cell>
          <cell r="O10">
            <v>18377.331000000002</v>
          </cell>
        </row>
        <row r="11">
          <cell r="A11" t="str">
            <v xml:space="preserve">  Refining Loss</v>
          </cell>
          <cell r="O11">
            <v>442.53</v>
          </cell>
        </row>
        <row r="12">
          <cell r="A12" t="str">
            <v>Inedible Use</v>
          </cell>
          <cell r="O12">
            <v>1327.1079999999999</v>
          </cell>
        </row>
        <row r="13">
          <cell r="A13" t="str">
            <v>Edible Use</v>
          </cell>
          <cell r="O13">
            <v>2265.1661010000034</v>
          </cell>
        </row>
        <row r="24">
          <cell r="A24" t="str">
            <v>Inedible Use</v>
          </cell>
          <cell r="O24">
            <v>4981.9779999999992</v>
          </cell>
        </row>
        <row r="25">
          <cell r="A25" t="str">
            <v>Edible Use</v>
          </cell>
          <cell r="O25">
            <v>13127.203</v>
          </cell>
        </row>
        <row r="26">
          <cell r="A26" t="str">
            <v>Exports</v>
          </cell>
          <cell r="O26">
            <v>385.66509400000001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DA Comp"/>
      <sheetName val="Long-Term Comparison"/>
      <sheetName val="Chart1"/>
      <sheetName val="Monthly Soy Use in Biofuel"/>
      <sheetName val="Soy Complex"/>
      <sheetName val="SBO Biofuel Use"/>
      <sheetName val="Slaughter"/>
      <sheetName val="Chart2"/>
      <sheetName val="Chart3"/>
      <sheetName val="Chart4"/>
      <sheetName val="Chart5"/>
      <sheetName val="Soy Monthly Bal"/>
      <sheetName val="Meal Monthly Bal"/>
      <sheetName val="Meal Domestic Use"/>
      <sheetName val="Meal and Co-Product Dom Use"/>
      <sheetName val="Oil Monthly Bal"/>
      <sheetName val="Per Cap Dom Use"/>
      <sheetName val="Oil Domestic Use"/>
      <sheetName val="Oil Biodiesel Use"/>
      <sheetName val="Oil Non-Biodiesel Use"/>
      <sheetName val="Bio Use Cng From LY"/>
      <sheetName val="Qrtly Bio Chart"/>
      <sheetName val="Qrtly Non-Bio Chart"/>
      <sheetName val="Sun Complex"/>
      <sheetName val="Sunflower Meal Monthly Bal"/>
      <sheetName val="Sunflower Oil Monthly Bal"/>
      <sheetName val="Canola USDA Comp"/>
      <sheetName val="Canola Dom Use"/>
      <sheetName val="Canola Crush"/>
      <sheetName val="Canola Prod v Canada Imp"/>
      <sheetName val="Canola Avg Daily Crush"/>
      <sheetName val="Canola Complex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Edible Tallow Complex"/>
      <sheetName val="Inedible Tallow Complex"/>
      <sheetName val="Grease Complex"/>
      <sheetName val="Yellow Grease Complex"/>
      <sheetName val="Used Cooking Oil Complex"/>
      <sheetName val="CWG Complex"/>
      <sheetName val="Lard Complex"/>
      <sheetName val="Feather Meal Complex"/>
      <sheetName val="Poultry Byproduct Complex"/>
      <sheetName val="Chart12"/>
      <sheetName val="Chart13"/>
      <sheetName val="Chart14"/>
      <sheetName val="Chart15"/>
      <sheetName val="Chart16"/>
      <sheetName val="Chart17"/>
      <sheetName val="Chart18"/>
      <sheetName val="Chart19"/>
      <sheetName val="Chart20"/>
      <sheetName val="Soy Prod and Exp"/>
      <sheetName val="Chart22"/>
      <sheetName val="Chart23"/>
      <sheetName val="Chart42"/>
      <sheetName val="Chart30"/>
      <sheetName val="Chart32"/>
      <sheetName val="Chart34"/>
      <sheetName val="Chart36"/>
      <sheetName val="Chart38"/>
      <sheetName val="Crop Progress"/>
      <sheetName val="Complex Template Meal-Oil"/>
      <sheetName val="Complex Template"/>
      <sheetName val="Monthly Bal Template"/>
      <sheetName val="DCO Complex"/>
      <sheetName val="UCO Complex"/>
    </sheetNames>
    <sheetDataSet>
      <sheetData sheetId="0"/>
      <sheetData sheetId="1"/>
      <sheetData sheetId="2"/>
      <sheetData sheetId="3"/>
      <sheetData sheetId="4">
        <row r="40">
          <cell r="BK40">
            <v>6597.5815917071213</v>
          </cell>
        </row>
        <row r="41">
          <cell r="BK41">
            <v>8093.8165298902195</v>
          </cell>
        </row>
        <row r="42">
          <cell r="BK42">
            <v>299.3658667948917</v>
          </cell>
        </row>
        <row r="46">
          <cell r="BK46">
            <v>1434.8264519483823</v>
          </cell>
        </row>
        <row r="288">
          <cell r="BI288">
            <v>24911.125000000004</v>
          </cell>
          <cell r="BK288">
            <v>26334.275000000001</v>
          </cell>
        </row>
        <row r="289">
          <cell r="BI289">
            <v>0</v>
          </cell>
        </row>
        <row r="336">
          <cell r="BI336">
            <v>320.14556660657996</v>
          </cell>
          <cell r="BK336">
            <v>1250</v>
          </cell>
        </row>
        <row r="337">
          <cell r="BI337">
            <v>0</v>
          </cell>
        </row>
        <row r="352">
          <cell r="BI352">
            <v>2832.2140233623118</v>
          </cell>
          <cell r="BK352">
            <v>1000</v>
          </cell>
        </row>
        <row r="368">
          <cell r="BK368">
            <v>27240.763988392231</v>
          </cell>
        </row>
        <row r="400">
          <cell r="BI400">
            <v>7857.82</v>
          </cell>
        </row>
        <row r="416">
          <cell r="BI416">
            <v>1424.0832194533459</v>
          </cell>
        </row>
        <row r="417">
          <cell r="BI417"/>
        </row>
        <row r="432">
          <cell r="BI432">
            <v>14.877988255617979</v>
          </cell>
        </row>
        <row r="433">
          <cell r="BI433"/>
        </row>
        <row r="448">
          <cell r="BI448">
            <v>13024.916335535307</v>
          </cell>
          <cell r="BK448">
            <v>12250</v>
          </cell>
        </row>
        <row r="463">
          <cell r="BH463">
            <v>1775.316</v>
          </cell>
          <cell r="BI463">
            <v>1852.675</v>
          </cell>
          <cell r="BJ463">
            <v>2091.3154403406115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Chart3"/>
      <sheetName val="Chart4"/>
      <sheetName val="Chart5"/>
      <sheetName val="NOPA Crush"/>
      <sheetName val="NASS Crush"/>
      <sheetName val="Census Crush"/>
      <sheetName val="COPA Weekly Crush"/>
      <sheetName val="NASS Low CI"/>
      <sheetName val="NASS Other Veg Oils"/>
      <sheetName val="Japan"/>
    </sheetNames>
    <sheetDataSet>
      <sheetData sheetId="0"/>
      <sheetData sheetId="1"/>
      <sheetData sheetId="2"/>
      <sheetData sheetId="3"/>
      <sheetData sheetId="4"/>
      <sheetData sheetId="5">
        <row r="57">
          <cell r="N57">
            <v>1400.569</v>
          </cell>
          <cell r="Q57">
            <v>292.13</v>
          </cell>
          <cell r="R57">
            <v>374.74700000000001</v>
          </cell>
        </row>
        <row r="58">
          <cell r="M58">
            <v>2149.9690000000001</v>
          </cell>
          <cell r="W58">
            <v>1610.8679999999999</v>
          </cell>
          <cell r="X58">
            <v>1566.0029999999999</v>
          </cell>
        </row>
        <row r="59">
          <cell r="M59">
            <v>1999.6479999999999</v>
          </cell>
          <cell r="W59">
            <v>1397.17</v>
          </cell>
          <cell r="X59">
            <v>1362.3430000000001</v>
          </cell>
        </row>
        <row r="60">
          <cell r="M60">
            <v>2110.9360000000001</v>
          </cell>
          <cell r="W60">
            <v>1389.8720000000001</v>
          </cell>
          <cell r="X60">
            <v>1363.403</v>
          </cell>
        </row>
        <row r="61">
          <cell r="M61">
            <v>2154.4270000000001</v>
          </cell>
          <cell r="W61">
            <v>1442.6420000000001</v>
          </cell>
          <cell r="X61">
            <v>1408.135</v>
          </cell>
        </row>
        <row r="62">
          <cell r="M62">
            <v>1999.5239999999999</v>
          </cell>
          <cell r="W62">
            <v>1469.241</v>
          </cell>
          <cell r="X62">
            <v>1428.5229999999999</v>
          </cell>
        </row>
        <row r="63">
          <cell r="M63">
            <v>2201.0680000000002</v>
          </cell>
          <cell r="W63">
            <v>1634.117</v>
          </cell>
          <cell r="X63">
            <v>1596.7380000000001</v>
          </cell>
        </row>
        <row r="64">
          <cell r="M64">
            <v>2099.4650000000001</v>
          </cell>
          <cell r="W64">
            <v>1288.7550000000001</v>
          </cell>
          <cell r="X64">
            <v>1261.415</v>
          </cell>
        </row>
        <row r="65">
          <cell r="M65">
            <v>2057.6170000000002</v>
          </cell>
          <cell r="W65">
            <v>1570.271</v>
          </cell>
          <cell r="X65">
            <v>1532.758</v>
          </cell>
        </row>
        <row r="66">
          <cell r="M66">
            <v>2035.269</v>
          </cell>
          <cell r="W66">
            <v>1602.0119999999999</v>
          </cell>
          <cell r="X66">
            <v>1567.576</v>
          </cell>
        </row>
        <row r="67">
          <cell r="M67">
            <v>2122.7579999999998</v>
          </cell>
          <cell r="W67">
            <v>1712.925</v>
          </cell>
          <cell r="X67">
            <v>1667.5509999999999</v>
          </cell>
        </row>
        <row r="68">
          <cell r="M68">
            <v>2012.8230000000001</v>
          </cell>
          <cell r="N68">
            <v>1575.6279999999999</v>
          </cell>
          <cell r="Q68">
            <v>596.798</v>
          </cell>
          <cell r="R68">
            <v>369.47899999999998</v>
          </cell>
          <cell r="W68">
            <v>1682.55</v>
          </cell>
          <cell r="X68">
            <v>1639.547</v>
          </cell>
        </row>
        <row r="69">
          <cell r="M69">
            <v>1967.6210000000001</v>
          </cell>
          <cell r="N69">
            <v>1507.489</v>
          </cell>
          <cell r="R69">
            <v>345.18599999999998</v>
          </cell>
          <cell r="W69">
            <v>1576.9079999999999</v>
          </cell>
          <cell r="X69">
            <v>1540.809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biodieselmagazine.com/plants/view/5069" TargetMode="External"/><Relationship Id="rId21" Type="http://schemas.openxmlformats.org/officeDocument/2006/relationships/hyperlink" Target="http://www.biodieselmagazine.com/plants/view/5248" TargetMode="External"/><Relationship Id="rId42" Type="http://schemas.openxmlformats.org/officeDocument/2006/relationships/hyperlink" Target="http://www.biodieselmagazine.com/plants/view/5091" TargetMode="External"/><Relationship Id="rId47" Type="http://schemas.openxmlformats.org/officeDocument/2006/relationships/hyperlink" Target="http://www.biodieselmagazine.com/plants/view/5100" TargetMode="External"/><Relationship Id="rId63" Type="http://schemas.openxmlformats.org/officeDocument/2006/relationships/hyperlink" Target="http://www.biodieselmagazine.com/plants/view/5123" TargetMode="External"/><Relationship Id="rId68" Type="http://schemas.openxmlformats.org/officeDocument/2006/relationships/hyperlink" Target="http://www.biodieselmagazine.com/plants/view/5135" TargetMode="External"/><Relationship Id="rId84" Type="http://schemas.openxmlformats.org/officeDocument/2006/relationships/hyperlink" Target="http://www.biodieselmagazine.com/plants/view/5173" TargetMode="External"/><Relationship Id="rId89" Type="http://schemas.openxmlformats.org/officeDocument/2006/relationships/hyperlink" Target="http://www.biodieselmagazine.com/plants/view/5262" TargetMode="External"/><Relationship Id="rId16" Type="http://schemas.openxmlformats.org/officeDocument/2006/relationships/hyperlink" Target="http://www.biodieselmagazine.com/plants/view/5290" TargetMode="External"/><Relationship Id="rId107" Type="http://schemas.openxmlformats.org/officeDocument/2006/relationships/hyperlink" Target="http://www.biodieselmagazine.com/plants/view/5270" TargetMode="External"/><Relationship Id="rId11" Type="http://schemas.openxmlformats.org/officeDocument/2006/relationships/hyperlink" Target="http://www.biodieselmagazine.com/plants/view/5245" TargetMode="External"/><Relationship Id="rId32" Type="http://schemas.openxmlformats.org/officeDocument/2006/relationships/hyperlink" Target="http://www.biodieselmagazine.com/plants/view/5308" TargetMode="External"/><Relationship Id="rId37" Type="http://schemas.openxmlformats.org/officeDocument/2006/relationships/hyperlink" Target="http://www.biodieselmagazine.com/plants/view/5088" TargetMode="External"/><Relationship Id="rId53" Type="http://schemas.openxmlformats.org/officeDocument/2006/relationships/hyperlink" Target="http://www.biodieselmagazine.com/plants/view/5258" TargetMode="External"/><Relationship Id="rId58" Type="http://schemas.openxmlformats.org/officeDocument/2006/relationships/hyperlink" Target="http://www.biodieselmagazine.com/plants/view/5232" TargetMode="External"/><Relationship Id="rId74" Type="http://schemas.openxmlformats.org/officeDocument/2006/relationships/hyperlink" Target="http://www.biodieselmagazine.com/plants/view/5157" TargetMode="External"/><Relationship Id="rId79" Type="http://schemas.openxmlformats.org/officeDocument/2006/relationships/hyperlink" Target="http://www.biodieselmagazine.com/plants/view/5167" TargetMode="External"/><Relationship Id="rId102" Type="http://schemas.openxmlformats.org/officeDocument/2006/relationships/hyperlink" Target="http://www.biodieselmagazine.com/plants/view/5205" TargetMode="External"/><Relationship Id="rId5" Type="http://schemas.openxmlformats.org/officeDocument/2006/relationships/hyperlink" Target="http://www.biodieselmagazine.com/plants/view/5024" TargetMode="External"/><Relationship Id="rId90" Type="http://schemas.openxmlformats.org/officeDocument/2006/relationships/hyperlink" Target="http://www.biodieselmagazine.com/plants/view/5181" TargetMode="External"/><Relationship Id="rId95" Type="http://schemas.openxmlformats.org/officeDocument/2006/relationships/hyperlink" Target="http://www.biodieselmagazine.com/plants/view/5265" TargetMode="External"/><Relationship Id="rId22" Type="http://schemas.openxmlformats.org/officeDocument/2006/relationships/hyperlink" Target="http://www.biodieselmagazine.com/plants/view/5292" TargetMode="External"/><Relationship Id="rId27" Type="http://schemas.openxmlformats.org/officeDocument/2006/relationships/hyperlink" Target="http://www.biodieselmagazine.com/plants/view/5227" TargetMode="External"/><Relationship Id="rId43" Type="http://schemas.openxmlformats.org/officeDocument/2006/relationships/hyperlink" Target="http://www.biodieselmagazine.com/plants/view/5254" TargetMode="External"/><Relationship Id="rId48" Type="http://schemas.openxmlformats.org/officeDocument/2006/relationships/hyperlink" Target="http://www.biodieselmagazine.com/plants/view/5295" TargetMode="External"/><Relationship Id="rId64" Type="http://schemas.openxmlformats.org/officeDocument/2006/relationships/hyperlink" Target="http://www.biodieselmagazine.com/plants/view/5127" TargetMode="External"/><Relationship Id="rId69" Type="http://schemas.openxmlformats.org/officeDocument/2006/relationships/hyperlink" Target="http://www.biodieselmagazine.com/plants/view/5141" TargetMode="External"/><Relationship Id="rId80" Type="http://schemas.openxmlformats.org/officeDocument/2006/relationships/hyperlink" Target="http://www.biodieselmagazine.com/plants/view/5168" TargetMode="External"/><Relationship Id="rId85" Type="http://schemas.openxmlformats.org/officeDocument/2006/relationships/hyperlink" Target="http://www.biodieselmagazine.com/plants/view/5175" TargetMode="External"/><Relationship Id="rId12" Type="http://schemas.openxmlformats.org/officeDocument/2006/relationships/hyperlink" Target="http://www.biodieselmagazine.com/plants/view/5219" TargetMode="External"/><Relationship Id="rId17" Type="http://schemas.openxmlformats.org/officeDocument/2006/relationships/hyperlink" Target="http://www.biodieselmagazine.com/plants/view/5057" TargetMode="External"/><Relationship Id="rId33" Type="http://schemas.openxmlformats.org/officeDocument/2006/relationships/hyperlink" Target="http://www.biodieselmagazine.com/plants/view/5077" TargetMode="External"/><Relationship Id="rId38" Type="http://schemas.openxmlformats.org/officeDocument/2006/relationships/hyperlink" Target="http://www.biodieselmagazine.com/plants/view/5089" TargetMode="External"/><Relationship Id="rId59" Type="http://schemas.openxmlformats.org/officeDocument/2006/relationships/hyperlink" Target="http://www.biodieselmagazine.com/plants/view/5298" TargetMode="External"/><Relationship Id="rId103" Type="http://schemas.openxmlformats.org/officeDocument/2006/relationships/hyperlink" Target="http://www.biodieselmagazine.com/plants/view/5207" TargetMode="External"/><Relationship Id="rId108" Type="http://schemas.openxmlformats.org/officeDocument/2006/relationships/hyperlink" Target="http://www.biodieselmagazine.com/plants/view/5213" TargetMode="External"/><Relationship Id="rId54" Type="http://schemas.openxmlformats.org/officeDocument/2006/relationships/hyperlink" Target="http://www.biodieselmagazine.com/plants/view/5110" TargetMode="External"/><Relationship Id="rId70" Type="http://schemas.openxmlformats.org/officeDocument/2006/relationships/hyperlink" Target="http://www.biodieselmagazine.com/plants/view/5143" TargetMode="External"/><Relationship Id="rId75" Type="http://schemas.openxmlformats.org/officeDocument/2006/relationships/hyperlink" Target="http://www.biodieselmagazine.com/plants/view/5159" TargetMode="External"/><Relationship Id="rId91" Type="http://schemas.openxmlformats.org/officeDocument/2006/relationships/hyperlink" Target="http://www.biodieselmagazine.com/plants/view/5237" TargetMode="External"/><Relationship Id="rId96" Type="http://schemas.openxmlformats.org/officeDocument/2006/relationships/hyperlink" Target="http://www.biodieselmagazine.com/plants/view/5186" TargetMode="External"/><Relationship Id="rId1" Type="http://schemas.openxmlformats.org/officeDocument/2006/relationships/hyperlink" Target="http://www.biodieselmagazine.com/plants/listplants/USA/page:1/sort:name/direction:desc" TargetMode="External"/><Relationship Id="rId6" Type="http://schemas.openxmlformats.org/officeDocument/2006/relationships/hyperlink" Target="http://www.biodieselmagazine.com/plants/view/5241" TargetMode="External"/><Relationship Id="rId15" Type="http://schemas.openxmlformats.org/officeDocument/2006/relationships/hyperlink" Target="http://www.biodieselmagazine.com/plants/view/5051" TargetMode="External"/><Relationship Id="rId23" Type="http://schemas.openxmlformats.org/officeDocument/2006/relationships/hyperlink" Target="http://www.biodieselmagazine.com/plants/view/5305" TargetMode="External"/><Relationship Id="rId28" Type="http://schemas.openxmlformats.org/officeDocument/2006/relationships/hyperlink" Target="http://www.biodieselmagazine.com/plants/view/5228" TargetMode="External"/><Relationship Id="rId36" Type="http://schemas.openxmlformats.org/officeDocument/2006/relationships/hyperlink" Target="http://www.biodieselmagazine.com/plants/view/5294" TargetMode="External"/><Relationship Id="rId49" Type="http://schemas.openxmlformats.org/officeDocument/2006/relationships/hyperlink" Target="http://www.biodieselmagazine.com/plants/view/5296" TargetMode="External"/><Relationship Id="rId57" Type="http://schemas.openxmlformats.org/officeDocument/2006/relationships/hyperlink" Target="http://www.biodieselmagazine.com/plants/view/5114" TargetMode="External"/><Relationship Id="rId106" Type="http://schemas.openxmlformats.org/officeDocument/2006/relationships/hyperlink" Target="http://www.biodieselmagazine.com/plants/view/5269" TargetMode="External"/><Relationship Id="rId10" Type="http://schemas.openxmlformats.org/officeDocument/2006/relationships/hyperlink" Target="http://www.biodieselmagazine.com/plants/view/5030" TargetMode="External"/><Relationship Id="rId31" Type="http://schemas.openxmlformats.org/officeDocument/2006/relationships/hyperlink" Target="http://www.biodieselmagazine.com/plants/view/5293" TargetMode="External"/><Relationship Id="rId44" Type="http://schemas.openxmlformats.org/officeDocument/2006/relationships/hyperlink" Target="http://www.biodieselmagazine.com/plants/view/5096" TargetMode="External"/><Relationship Id="rId52" Type="http://schemas.openxmlformats.org/officeDocument/2006/relationships/hyperlink" Target="http://www.biodieselmagazine.com/plants/view/5107" TargetMode="External"/><Relationship Id="rId60" Type="http://schemas.openxmlformats.org/officeDocument/2006/relationships/hyperlink" Target="http://www.biodieselmagazine.com/plants/view/5312" TargetMode="External"/><Relationship Id="rId65" Type="http://schemas.openxmlformats.org/officeDocument/2006/relationships/hyperlink" Target="http://www.biodieselmagazine.com/plants/view/5130" TargetMode="External"/><Relationship Id="rId73" Type="http://schemas.openxmlformats.org/officeDocument/2006/relationships/hyperlink" Target="http://www.biodieselmagazine.com/plants/view/5300" TargetMode="External"/><Relationship Id="rId78" Type="http://schemas.openxmlformats.org/officeDocument/2006/relationships/hyperlink" Target="http://www.biodieselmagazine.com/plants/view/5166" TargetMode="External"/><Relationship Id="rId81" Type="http://schemas.openxmlformats.org/officeDocument/2006/relationships/hyperlink" Target="http://www.biodieselmagazine.com/plants/view/5169" TargetMode="External"/><Relationship Id="rId86" Type="http://schemas.openxmlformats.org/officeDocument/2006/relationships/hyperlink" Target="http://www.biodieselmagazine.com/plants/view/5301" TargetMode="External"/><Relationship Id="rId94" Type="http://schemas.openxmlformats.org/officeDocument/2006/relationships/hyperlink" Target="http://www.biodieselmagazine.com/plants/view/5264" TargetMode="External"/><Relationship Id="rId99" Type="http://schemas.openxmlformats.org/officeDocument/2006/relationships/hyperlink" Target="http://www.biodieselmagazine.com/plants/view/5201" TargetMode="External"/><Relationship Id="rId101" Type="http://schemas.openxmlformats.org/officeDocument/2006/relationships/hyperlink" Target="http://www.biodieselmagazine.com/plants/view/5267" TargetMode="External"/><Relationship Id="rId4" Type="http://schemas.openxmlformats.org/officeDocument/2006/relationships/hyperlink" Target="http://www.biodieselmagazine.com/plants/listplants/USA/page:1/sort:capacity/direction:asc" TargetMode="External"/><Relationship Id="rId9" Type="http://schemas.openxmlformats.org/officeDocument/2006/relationships/hyperlink" Target="http://www.biodieselmagazine.com/plants/view/5244" TargetMode="External"/><Relationship Id="rId13" Type="http://schemas.openxmlformats.org/officeDocument/2006/relationships/hyperlink" Target="http://www.biodieselmagazine.com/plants/view/5039" TargetMode="External"/><Relationship Id="rId18" Type="http://schemas.openxmlformats.org/officeDocument/2006/relationships/hyperlink" Target="http://www.biodieselmagazine.com/plants/view/5291" TargetMode="External"/><Relationship Id="rId39" Type="http://schemas.openxmlformats.org/officeDocument/2006/relationships/hyperlink" Target="http://www.biodieselmagazine.com/plants/view/5252" TargetMode="External"/><Relationship Id="rId109" Type="http://schemas.openxmlformats.org/officeDocument/2006/relationships/hyperlink" Target="http://www.biodieselmagazine.com/plants/view/5214" TargetMode="External"/><Relationship Id="rId34" Type="http://schemas.openxmlformats.org/officeDocument/2006/relationships/hyperlink" Target="http://www.biodieselmagazine.com/plants/view/5251" TargetMode="External"/><Relationship Id="rId50" Type="http://schemas.openxmlformats.org/officeDocument/2006/relationships/hyperlink" Target="http://www.biodieselmagazine.com/plants/view/5297" TargetMode="External"/><Relationship Id="rId55" Type="http://schemas.openxmlformats.org/officeDocument/2006/relationships/hyperlink" Target="http://www.biodieselmagazine.com/plants/view/5112" TargetMode="External"/><Relationship Id="rId76" Type="http://schemas.openxmlformats.org/officeDocument/2006/relationships/hyperlink" Target="http://www.biodieselmagazine.com/plants/view/5162" TargetMode="External"/><Relationship Id="rId97" Type="http://schemas.openxmlformats.org/officeDocument/2006/relationships/hyperlink" Target="http://www.biodieselmagazine.com/plants/view/5194" TargetMode="External"/><Relationship Id="rId104" Type="http://schemas.openxmlformats.org/officeDocument/2006/relationships/hyperlink" Target="http://www.biodieselmagazine.com/plants/view/5208" TargetMode="External"/><Relationship Id="rId7" Type="http://schemas.openxmlformats.org/officeDocument/2006/relationships/hyperlink" Target="http://www.biodieselmagazine.com/plants/view/5242" TargetMode="External"/><Relationship Id="rId71" Type="http://schemas.openxmlformats.org/officeDocument/2006/relationships/hyperlink" Target="http://www.biodieselmagazine.com/plants/view/5259" TargetMode="External"/><Relationship Id="rId92" Type="http://schemas.openxmlformats.org/officeDocument/2006/relationships/hyperlink" Target="http://www.biodieselmagazine.com/plants/view/5263" TargetMode="External"/><Relationship Id="rId2" Type="http://schemas.openxmlformats.org/officeDocument/2006/relationships/hyperlink" Target="http://www.biodieselmagazine.com/plants/listplants/USA/page:1/sort:state/direction:asc" TargetMode="External"/><Relationship Id="rId29" Type="http://schemas.openxmlformats.org/officeDocument/2006/relationships/hyperlink" Target="http://www.biodieselmagazine.com/plants/view/5249" TargetMode="External"/><Relationship Id="rId24" Type="http://schemas.openxmlformats.org/officeDocument/2006/relationships/hyperlink" Target="http://www.biodieselmagazine.com/plants/view/5063" TargetMode="External"/><Relationship Id="rId40" Type="http://schemas.openxmlformats.org/officeDocument/2006/relationships/hyperlink" Target="http://www.biodieselmagazine.com/plants/view/5253" TargetMode="External"/><Relationship Id="rId45" Type="http://schemas.openxmlformats.org/officeDocument/2006/relationships/hyperlink" Target="http://www.biodieselmagazine.com/plants/view/5255" TargetMode="External"/><Relationship Id="rId66" Type="http://schemas.openxmlformats.org/officeDocument/2006/relationships/hyperlink" Target="http://www.biodieselmagazine.com/plants/view/5131" TargetMode="External"/><Relationship Id="rId87" Type="http://schemas.openxmlformats.org/officeDocument/2006/relationships/hyperlink" Target="http://www.biodieselmagazine.com/plants/view/5260" TargetMode="External"/><Relationship Id="rId61" Type="http://schemas.openxmlformats.org/officeDocument/2006/relationships/hyperlink" Target="http://www.biodieselmagazine.com/plants/view/5119" TargetMode="External"/><Relationship Id="rId82" Type="http://schemas.openxmlformats.org/officeDocument/2006/relationships/hyperlink" Target="http://www.biodieselmagazine.com/plants/view/5236" TargetMode="External"/><Relationship Id="rId19" Type="http://schemas.openxmlformats.org/officeDocument/2006/relationships/hyperlink" Target="http://www.biodieselmagazine.com/plants/view/5223" TargetMode="External"/><Relationship Id="rId14" Type="http://schemas.openxmlformats.org/officeDocument/2006/relationships/hyperlink" Target="http://www.biodieselmagazine.com/plants/view/5048" TargetMode="External"/><Relationship Id="rId30" Type="http://schemas.openxmlformats.org/officeDocument/2006/relationships/hyperlink" Target="http://www.biodieselmagazine.com/plants/view/5250" TargetMode="External"/><Relationship Id="rId35" Type="http://schemas.openxmlformats.org/officeDocument/2006/relationships/hyperlink" Target="http://www.biodieselmagazine.com/plants/view/5082" TargetMode="External"/><Relationship Id="rId56" Type="http://schemas.openxmlformats.org/officeDocument/2006/relationships/hyperlink" Target="http://www.biodieselmagazine.com/plants/view/5113" TargetMode="External"/><Relationship Id="rId77" Type="http://schemas.openxmlformats.org/officeDocument/2006/relationships/hyperlink" Target="http://www.biodieselmagazine.com/plants/view/5165" TargetMode="External"/><Relationship Id="rId100" Type="http://schemas.openxmlformats.org/officeDocument/2006/relationships/hyperlink" Target="http://www.biodieselmagazine.com/plants/view/5203" TargetMode="External"/><Relationship Id="rId105" Type="http://schemas.openxmlformats.org/officeDocument/2006/relationships/hyperlink" Target="http://www.biodieselmagazine.com/plants/view/5209" TargetMode="External"/><Relationship Id="rId8" Type="http://schemas.openxmlformats.org/officeDocument/2006/relationships/hyperlink" Target="http://www.biodieselmagazine.com/plants/view/5243" TargetMode="External"/><Relationship Id="rId51" Type="http://schemas.openxmlformats.org/officeDocument/2006/relationships/hyperlink" Target="http://www.biodieselmagazine.com/plants/view/5106" TargetMode="External"/><Relationship Id="rId72" Type="http://schemas.openxmlformats.org/officeDocument/2006/relationships/hyperlink" Target="http://www.biodieselmagazine.com/plants/view/5145" TargetMode="External"/><Relationship Id="rId93" Type="http://schemas.openxmlformats.org/officeDocument/2006/relationships/hyperlink" Target="http://www.biodieselmagazine.com/plants/view/5302" TargetMode="External"/><Relationship Id="rId98" Type="http://schemas.openxmlformats.org/officeDocument/2006/relationships/hyperlink" Target="http://www.biodieselmagazine.com/plants/view/5195" TargetMode="External"/><Relationship Id="rId3" Type="http://schemas.openxmlformats.org/officeDocument/2006/relationships/hyperlink" Target="http://www.biodieselmagazine.com/plants/listplants/USA/page:1/sort:city/direction:asc" TargetMode="External"/><Relationship Id="rId25" Type="http://schemas.openxmlformats.org/officeDocument/2006/relationships/hyperlink" Target="http://www.biodieselmagazine.com/plants/view/5065" TargetMode="External"/><Relationship Id="rId46" Type="http://schemas.openxmlformats.org/officeDocument/2006/relationships/hyperlink" Target="http://www.biodieselmagazine.com/plants/view/5099" TargetMode="External"/><Relationship Id="rId67" Type="http://schemas.openxmlformats.org/officeDocument/2006/relationships/hyperlink" Target="http://www.biodieselmagazine.com/plants/view/5132" TargetMode="External"/><Relationship Id="rId20" Type="http://schemas.openxmlformats.org/officeDocument/2006/relationships/hyperlink" Target="http://www.biodieselmagazine.com/plants/view/5247" TargetMode="External"/><Relationship Id="rId41" Type="http://schemas.openxmlformats.org/officeDocument/2006/relationships/hyperlink" Target="http://www.biodieselmagazine.com/plants/view/5090" TargetMode="External"/><Relationship Id="rId62" Type="http://schemas.openxmlformats.org/officeDocument/2006/relationships/hyperlink" Target="http://www.biodieselmagazine.com/plants/view/5299" TargetMode="External"/><Relationship Id="rId83" Type="http://schemas.openxmlformats.org/officeDocument/2006/relationships/hyperlink" Target="http://www.biodieselmagazine.com/plants/view/5172" TargetMode="External"/><Relationship Id="rId88" Type="http://schemas.openxmlformats.org/officeDocument/2006/relationships/hyperlink" Target="http://www.biodieselmagazine.com/plants/view/5261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biodieselmagazine.com/plants/view/5051" TargetMode="External"/><Relationship Id="rId21" Type="http://schemas.openxmlformats.org/officeDocument/2006/relationships/hyperlink" Target="http://www.biodieselmagazine.com/plants/view/5024" TargetMode="External"/><Relationship Id="rId42" Type="http://schemas.openxmlformats.org/officeDocument/2006/relationships/hyperlink" Target="http://www.biodieselmagazine.com/plants/view/5232" TargetMode="External"/><Relationship Id="rId47" Type="http://schemas.openxmlformats.org/officeDocument/2006/relationships/hyperlink" Target="http://www.biodieselmagazine.com/plants/view/5130" TargetMode="External"/><Relationship Id="rId63" Type="http://schemas.openxmlformats.org/officeDocument/2006/relationships/hyperlink" Target="http://www.biodieselmagazine.com/plants/listplants/USA/page:1/sort:name/direction:desc" TargetMode="External"/><Relationship Id="rId68" Type="http://schemas.openxmlformats.org/officeDocument/2006/relationships/hyperlink" Target="http://www.biodieselmagazine.com/plants/view/5048" TargetMode="External"/><Relationship Id="rId84" Type="http://schemas.openxmlformats.org/officeDocument/2006/relationships/hyperlink" Target="http://www.biodieselmagazine.com/plants/view/5297" TargetMode="External"/><Relationship Id="rId89" Type="http://schemas.openxmlformats.org/officeDocument/2006/relationships/hyperlink" Target="http://www.biodieselmagazine.com/plants/view/5166" TargetMode="External"/><Relationship Id="rId112" Type="http://schemas.openxmlformats.org/officeDocument/2006/relationships/hyperlink" Target="http://www.biodieselmagazine.com/plants/view/5119" TargetMode="External"/><Relationship Id="rId16" Type="http://schemas.openxmlformats.org/officeDocument/2006/relationships/hyperlink" Target="http://www.biodieselmagazine.com/plants/view/5237" TargetMode="External"/><Relationship Id="rId107" Type="http://schemas.openxmlformats.org/officeDocument/2006/relationships/hyperlink" Target="http://www.biodieselmagazine.com/plants/view/5219" TargetMode="External"/><Relationship Id="rId11" Type="http://schemas.openxmlformats.org/officeDocument/2006/relationships/hyperlink" Target="http://www.biodieselmagazine.com/plants/view/5106" TargetMode="External"/><Relationship Id="rId32" Type="http://schemas.openxmlformats.org/officeDocument/2006/relationships/hyperlink" Target="http://www.biodieselmagazine.com/plants/view/5293" TargetMode="External"/><Relationship Id="rId37" Type="http://schemas.openxmlformats.org/officeDocument/2006/relationships/hyperlink" Target="http://www.biodieselmagazine.com/plants/view/5107" TargetMode="External"/><Relationship Id="rId53" Type="http://schemas.openxmlformats.org/officeDocument/2006/relationships/hyperlink" Target="http://www.biodieselmagazine.com/plants/view/5236" TargetMode="External"/><Relationship Id="rId58" Type="http://schemas.openxmlformats.org/officeDocument/2006/relationships/hyperlink" Target="http://www.biodieselmagazine.com/plants/view/5194" TargetMode="External"/><Relationship Id="rId74" Type="http://schemas.openxmlformats.org/officeDocument/2006/relationships/hyperlink" Target="http://www.biodieselmagazine.com/plants/view/5077" TargetMode="External"/><Relationship Id="rId79" Type="http://schemas.openxmlformats.org/officeDocument/2006/relationships/hyperlink" Target="http://www.biodieselmagazine.com/plants/view/5091" TargetMode="External"/><Relationship Id="rId102" Type="http://schemas.openxmlformats.org/officeDocument/2006/relationships/hyperlink" Target="http://www.biodieselmagazine.com/plants/view/5214" TargetMode="External"/><Relationship Id="rId5" Type="http://schemas.openxmlformats.org/officeDocument/2006/relationships/hyperlink" Target="http://www.biodieselmagazine.com/plants/view/5244" TargetMode="External"/><Relationship Id="rId90" Type="http://schemas.openxmlformats.org/officeDocument/2006/relationships/hyperlink" Target="http://www.biodieselmagazine.com/plants/view/5169" TargetMode="External"/><Relationship Id="rId95" Type="http://schemas.openxmlformats.org/officeDocument/2006/relationships/hyperlink" Target="http://www.biodieselmagazine.com/plants/view/5302" TargetMode="External"/><Relationship Id="rId22" Type="http://schemas.openxmlformats.org/officeDocument/2006/relationships/hyperlink" Target="http://www.biodieselmagazine.com/plants/view/5241" TargetMode="External"/><Relationship Id="rId27" Type="http://schemas.openxmlformats.org/officeDocument/2006/relationships/hyperlink" Target="http://www.biodieselmagazine.com/plants/view/5247" TargetMode="External"/><Relationship Id="rId43" Type="http://schemas.openxmlformats.org/officeDocument/2006/relationships/hyperlink" Target="http://www.biodieselmagazine.com/plants/view/5312" TargetMode="External"/><Relationship Id="rId48" Type="http://schemas.openxmlformats.org/officeDocument/2006/relationships/hyperlink" Target="http://www.biodieselmagazine.com/plants/view/5141" TargetMode="External"/><Relationship Id="rId64" Type="http://schemas.openxmlformats.org/officeDocument/2006/relationships/hyperlink" Target="http://www.biodieselmagazine.com/plants/listplants/USA/page:1/sort:state/direction:asc" TargetMode="External"/><Relationship Id="rId69" Type="http://schemas.openxmlformats.org/officeDocument/2006/relationships/hyperlink" Target="http://www.biodieselmagazine.com/plants/view/5290" TargetMode="External"/><Relationship Id="rId113" Type="http://schemas.openxmlformats.org/officeDocument/2006/relationships/hyperlink" Target="http://www.biodieselmagazine.com/plants/view/5132" TargetMode="External"/><Relationship Id="rId80" Type="http://schemas.openxmlformats.org/officeDocument/2006/relationships/hyperlink" Target="http://www.biodieselmagazine.com/plants/view/5096" TargetMode="External"/><Relationship Id="rId85" Type="http://schemas.openxmlformats.org/officeDocument/2006/relationships/hyperlink" Target="http://www.biodieselmagazine.com/plants/view/5112" TargetMode="External"/><Relationship Id="rId12" Type="http://schemas.openxmlformats.org/officeDocument/2006/relationships/hyperlink" Target="http://www.biodieselmagazine.com/plants/view/5131" TargetMode="External"/><Relationship Id="rId17" Type="http://schemas.openxmlformats.org/officeDocument/2006/relationships/hyperlink" Target="http://www.biodieselmagazine.com/plants/listplants/USA/page:1/sort:name/direction:desc" TargetMode="External"/><Relationship Id="rId33" Type="http://schemas.openxmlformats.org/officeDocument/2006/relationships/hyperlink" Target="http://www.biodieselmagazine.com/plants/view/5308" TargetMode="External"/><Relationship Id="rId38" Type="http://schemas.openxmlformats.org/officeDocument/2006/relationships/hyperlink" Target="http://www.biodieselmagazine.com/plants/view/5258" TargetMode="External"/><Relationship Id="rId59" Type="http://schemas.openxmlformats.org/officeDocument/2006/relationships/hyperlink" Target="http://www.biodieselmagazine.com/plants/view/5203" TargetMode="External"/><Relationship Id="rId103" Type="http://schemas.openxmlformats.org/officeDocument/2006/relationships/hyperlink" Target="http://www.biodieselmagazine.com/plants/listplants/USA/page:1/sort:name/direction:desc" TargetMode="External"/><Relationship Id="rId108" Type="http://schemas.openxmlformats.org/officeDocument/2006/relationships/hyperlink" Target="http://www.biodieselmagazine.com/plants/view/5223" TargetMode="External"/><Relationship Id="rId54" Type="http://schemas.openxmlformats.org/officeDocument/2006/relationships/hyperlink" Target="http://www.biodieselmagazine.com/plants/view/5172" TargetMode="External"/><Relationship Id="rId70" Type="http://schemas.openxmlformats.org/officeDocument/2006/relationships/hyperlink" Target="http://www.biodieselmagazine.com/plants/view/5227" TargetMode="External"/><Relationship Id="rId75" Type="http://schemas.openxmlformats.org/officeDocument/2006/relationships/hyperlink" Target="http://www.biodieselmagazine.com/plants/view/5294" TargetMode="External"/><Relationship Id="rId91" Type="http://schemas.openxmlformats.org/officeDocument/2006/relationships/hyperlink" Target="http://www.biodieselmagazine.com/plants/view/5175" TargetMode="External"/><Relationship Id="rId96" Type="http://schemas.openxmlformats.org/officeDocument/2006/relationships/hyperlink" Target="http://www.biodieselmagazine.com/plants/view/5264" TargetMode="External"/><Relationship Id="rId1" Type="http://schemas.openxmlformats.org/officeDocument/2006/relationships/hyperlink" Target="http://www.biodieselmagazine.com/plants/listplants/USA/page:1/sort:name/direction:desc" TargetMode="External"/><Relationship Id="rId6" Type="http://schemas.openxmlformats.org/officeDocument/2006/relationships/hyperlink" Target="http://www.biodieselmagazine.com/plants/view/5057" TargetMode="External"/><Relationship Id="rId15" Type="http://schemas.openxmlformats.org/officeDocument/2006/relationships/hyperlink" Target="http://www.biodieselmagazine.com/plants/view/5181" TargetMode="External"/><Relationship Id="rId23" Type="http://schemas.openxmlformats.org/officeDocument/2006/relationships/hyperlink" Target="http://www.biodieselmagazine.com/plants/view/5242" TargetMode="External"/><Relationship Id="rId28" Type="http://schemas.openxmlformats.org/officeDocument/2006/relationships/hyperlink" Target="http://www.biodieselmagazine.com/plants/view/5248" TargetMode="External"/><Relationship Id="rId36" Type="http://schemas.openxmlformats.org/officeDocument/2006/relationships/hyperlink" Target="http://www.biodieselmagazine.com/plants/view/5295" TargetMode="External"/><Relationship Id="rId49" Type="http://schemas.openxmlformats.org/officeDocument/2006/relationships/hyperlink" Target="http://www.biodieselmagazine.com/plants/view/5145" TargetMode="External"/><Relationship Id="rId57" Type="http://schemas.openxmlformats.org/officeDocument/2006/relationships/hyperlink" Target="http://www.biodieselmagazine.com/plants/view/5265" TargetMode="External"/><Relationship Id="rId106" Type="http://schemas.openxmlformats.org/officeDocument/2006/relationships/hyperlink" Target="http://www.biodieselmagazine.com/plants/listplants/USA/page:1/sort:capacity/direction:asc" TargetMode="External"/><Relationship Id="rId114" Type="http://schemas.openxmlformats.org/officeDocument/2006/relationships/hyperlink" Target="http://www.biodieselmagazine.com/plants/view/5135" TargetMode="External"/><Relationship Id="rId10" Type="http://schemas.openxmlformats.org/officeDocument/2006/relationships/hyperlink" Target="http://www.biodieselmagazine.com/plants/view/5254" TargetMode="External"/><Relationship Id="rId31" Type="http://schemas.openxmlformats.org/officeDocument/2006/relationships/hyperlink" Target="http://www.biodieselmagazine.com/plants/view/5069" TargetMode="External"/><Relationship Id="rId44" Type="http://schemas.openxmlformats.org/officeDocument/2006/relationships/hyperlink" Target="http://www.biodieselmagazine.com/plants/view/5299" TargetMode="External"/><Relationship Id="rId52" Type="http://schemas.openxmlformats.org/officeDocument/2006/relationships/hyperlink" Target="http://www.biodieselmagazine.com/plants/view/5168" TargetMode="External"/><Relationship Id="rId60" Type="http://schemas.openxmlformats.org/officeDocument/2006/relationships/hyperlink" Target="http://www.biodieselmagazine.com/plants/view/5267" TargetMode="External"/><Relationship Id="rId65" Type="http://schemas.openxmlformats.org/officeDocument/2006/relationships/hyperlink" Target="http://www.biodieselmagazine.com/plants/listplants/USA/page:1/sort:city/direction:asc" TargetMode="External"/><Relationship Id="rId73" Type="http://schemas.openxmlformats.org/officeDocument/2006/relationships/hyperlink" Target="http://www.biodieselmagazine.com/plants/view/5250" TargetMode="External"/><Relationship Id="rId78" Type="http://schemas.openxmlformats.org/officeDocument/2006/relationships/hyperlink" Target="http://www.biodieselmagazine.com/plants/view/5253" TargetMode="External"/><Relationship Id="rId81" Type="http://schemas.openxmlformats.org/officeDocument/2006/relationships/hyperlink" Target="http://www.biodieselmagazine.com/plants/view/5255" TargetMode="External"/><Relationship Id="rId86" Type="http://schemas.openxmlformats.org/officeDocument/2006/relationships/hyperlink" Target="http://www.biodieselmagazine.com/plants/view/5143" TargetMode="External"/><Relationship Id="rId94" Type="http://schemas.openxmlformats.org/officeDocument/2006/relationships/hyperlink" Target="http://www.biodieselmagazine.com/plants/view/5263" TargetMode="External"/><Relationship Id="rId99" Type="http://schemas.openxmlformats.org/officeDocument/2006/relationships/hyperlink" Target="http://www.biodieselmagazine.com/plants/view/5201" TargetMode="External"/><Relationship Id="rId101" Type="http://schemas.openxmlformats.org/officeDocument/2006/relationships/hyperlink" Target="http://www.biodieselmagazine.com/plants/view/5213" TargetMode="External"/><Relationship Id="rId4" Type="http://schemas.openxmlformats.org/officeDocument/2006/relationships/hyperlink" Target="http://www.biodieselmagazine.com/plants/listplants/USA/page:1/sort:capacity/direction:asc" TargetMode="External"/><Relationship Id="rId9" Type="http://schemas.openxmlformats.org/officeDocument/2006/relationships/hyperlink" Target="http://www.biodieselmagazine.com/plants/view/5090" TargetMode="External"/><Relationship Id="rId13" Type="http://schemas.openxmlformats.org/officeDocument/2006/relationships/hyperlink" Target="http://www.biodieselmagazine.com/plants/view/5165" TargetMode="External"/><Relationship Id="rId18" Type="http://schemas.openxmlformats.org/officeDocument/2006/relationships/hyperlink" Target="http://www.biodieselmagazine.com/plants/listplants/USA/page:1/sort:state/direction:asc" TargetMode="External"/><Relationship Id="rId39" Type="http://schemas.openxmlformats.org/officeDocument/2006/relationships/hyperlink" Target="http://www.biodieselmagazine.com/plants/view/5110" TargetMode="External"/><Relationship Id="rId109" Type="http://schemas.openxmlformats.org/officeDocument/2006/relationships/hyperlink" Target="http://www.biodieselmagazine.com/plants/view/5088" TargetMode="External"/><Relationship Id="rId34" Type="http://schemas.openxmlformats.org/officeDocument/2006/relationships/hyperlink" Target="http://www.biodieselmagazine.com/plants/view/5251" TargetMode="External"/><Relationship Id="rId50" Type="http://schemas.openxmlformats.org/officeDocument/2006/relationships/hyperlink" Target="http://www.biodieselmagazine.com/plants/view/5159" TargetMode="External"/><Relationship Id="rId55" Type="http://schemas.openxmlformats.org/officeDocument/2006/relationships/hyperlink" Target="http://www.biodieselmagazine.com/plants/view/5173" TargetMode="External"/><Relationship Id="rId76" Type="http://schemas.openxmlformats.org/officeDocument/2006/relationships/hyperlink" Target="http://www.biodieselmagazine.com/plants/view/5089" TargetMode="External"/><Relationship Id="rId97" Type="http://schemas.openxmlformats.org/officeDocument/2006/relationships/hyperlink" Target="http://www.biodieselmagazine.com/plants/view/5186" TargetMode="External"/><Relationship Id="rId104" Type="http://schemas.openxmlformats.org/officeDocument/2006/relationships/hyperlink" Target="http://www.biodieselmagazine.com/plants/listplants/USA/page:1/sort:state/direction:asc" TargetMode="External"/><Relationship Id="rId7" Type="http://schemas.openxmlformats.org/officeDocument/2006/relationships/hyperlink" Target="http://www.biodieselmagazine.com/plants/view/5291" TargetMode="External"/><Relationship Id="rId71" Type="http://schemas.openxmlformats.org/officeDocument/2006/relationships/hyperlink" Target="http://www.biodieselmagazine.com/plants/view/5228" TargetMode="External"/><Relationship Id="rId92" Type="http://schemas.openxmlformats.org/officeDocument/2006/relationships/hyperlink" Target="http://www.biodieselmagazine.com/plants/view/5301" TargetMode="External"/><Relationship Id="rId2" Type="http://schemas.openxmlformats.org/officeDocument/2006/relationships/hyperlink" Target="http://www.biodieselmagazine.com/plants/listplants/USA/page:1/sort:state/direction:asc" TargetMode="External"/><Relationship Id="rId29" Type="http://schemas.openxmlformats.org/officeDocument/2006/relationships/hyperlink" Target="http://www.biodieselmagazine.com/plants/view/5292" TargetMode="External"/><Relationship Id="rId24" Type="http://schemas.openxmlformats.org/officeDocument/2006/relationships/hyperlink" Target="http://www.biodieselmagazine.com/plants/view/5243" TargetMode="External"/><Relationship Id="rId40" Type="http://schemas.openxmlformats.org/officeDocument/2006/relationships/hyperlink" Target="http://www.biodieselmagazine.com/plants/view/5113" TargetMode="External"/><Relationship Id="rId45" Type="http://schemas.openxmlformats.org/officeDocument/2006/relationships/hyperlink" Target="http://www.biodieselmagazine.com/plants/view/5123" TargetMode="External"/><Relationship Id="rId66" Type="http://schemas.openxmlformats.org/officeDocument/2006/relationships/hyperlink" Target="http://www.biodieselmagazine.com/plants/listplants/USA/page:1/sort:capacity/direction:asc" TargetMode="External"/><Relationship Id="rId87" Type="http://schemas.openxmlformats.org/officeDocument/2006/relationships/hyperlink" Target="http://www.biodieselmagazine.com/plants/view/5300" TargetMode="External"/><Relationship Id="rId110" Type="http://schemas.openxmlformats.org/officeDocument/2006/relationships/hyperlink" Target="http://www.biodieselmagazine.com/plants/view/5296" TargetMode="External"/><Relationship Id="rId115" Type="http://schemas.openxmlformats.org/officeDocument/2006/relationships/hyperlink" Target="http://www.biodieselmagazine.com/plants/view/5209" TargetMode="External"/><Relationship Id="rId61" Type="http://schemas.openxmlformats.org/officeDocument/2006/relationships/hyperlink" Target="http://www.biodieselmagazine.com/plants/view/5207" TargetMode="External"/><Relationship Id="rId82" Type="http://schemas.openxmlformats.org/officeDocument/2006/relationships/hyperlink" Target="http://www.biodieselmagazine.com/plants/view/5099" TargetMode="External"/><Relationship Id="rId19" Type="http://schemas.openxmlformats.org/officeDocument/2006/relationships/hyperlink" Target="http://www.biodieselmagazine.com/plants/listplants/USA/page:1/sort:city/direction:asc" TargetMode="External"/><Relationship Id="rId14" Type="http://schemas.openxmlformats.org/officeDocument/2006/relationships/hyperlink" Target="http://www.biodieselmagazine.com/plants/view/5262" TargetMode="External"/><Relationship Id="rId30" Type="http://schemas.openxmlformats.org/officeDocument/2006/relationships/hyperlink" Target="http://www.biodieselmagazine.com/plants/view/5063" TargetMode="External"/><Relationship Id="rId35" Type="http://schemas.openxmlformats.org/officeDocument/2006/relationships/hyperlink" Target="http://www.biodieselmagazine.com/plants/view/5082" TargetMode="External"/><Relationship Id="rId56" Type="http://schemas.openxmlformats.org/officeDocument/2006/relationships/hyperlink" Target="http://www.biodieselmagazine.com/plants/view/5260" TargetMode="External"/><Relationship Id="rId77" Type="http://schemas.openxmlformats.org/officeDocument/2006/relationships/hyperlink" Target="http://www.biodieselmagazine.com/plants/view/5252" TargetMode="External"/><Relationship Id="rId100" Type="http://schemas.openxmlformats.org/officeDocument/2006/relationships/hyperlink" Target="http://www.biodieselmagazine.com/plants/view/5270" TargetMode="External"/><Relationship Id="rId105" Type="http://schemas.openxmlformats.org/officeDocument/2006/relationships/hyperlink" Target="http://www.biodieselmagazine.com/plants/listplants/USA/page:1/sort:city/direction:asc" TargetMode="External"/><Relationship Id="rId8" Type="http://schemas.openxmlformats.org/officeDocument/2006/relationships/hyperlink" Target="http://www.biodieselmagazine.com/plants/view/5065" TargetMode="External"/><Relationship Id="rId51" Type="http://schemas.openxmlformats.org/officeDocument/2006/relationships/hyperlink" Target="http://www.biodieselmagazine.com/plants/view/5162" TargetMode="External"/><Relationship Id="rId72" Type="http://schemas.openxmlformats.org/officeDocument/2006/relationships/hyperlink" Target="http://www.biodieselmagazine.com/plants/view/5249" TargetMode="External"/><Relationship Id="rId93" Type="http://schemas.openxmlformats.org/officeDocument/2006/relationships/hyperlink" Target="http://www.biodieselmagazine.com/plants/view/5261" TargetMode="External"/><Relationship Id="rId98" Type="http://schemas.openxmlformats.org/officeDocument/2006/relationships/hyperlink" Target="http://www.biodieselmagazine.com/plants/view/5195" TargetMode="External"/><Relationship Id="rId3" Type="http://schemas.openxmlformats.org/officeDocument/2006/relationships/hyperlink" Target="http://www.biodieselmagazine.com/plants/listplants/USA/page:1/sort:city/direction:asc" TargetMode="External"/><Relationship Id="rId25" Type="http://schemas.openxmlformats.org/officeDocument/2006/relationships/hyperlink" Target="http://www.biodieselmagazine.com/plants/view/5039" TargetMode="External"/><Relationship Id="rId46" Type="http://schemas.openxmlformats.org/officeDocument/2006/relationships/hyperlink" Target="http://www.biodieselmagazine.com/plants/view/5127" TargetMode="External"/><Relationship Id="rId67" Type="http://schemas.openxmlformats.org/officeDocument/2006/relationships/hyperlink" Target="http://www.biodieselmagazine.com/plants/view/5245" TargetMode="External"/><Relationship Id="rId116" Type="http://schemas.openxmlformats.org/officeDocument/2006/relationships/hyperlink" Target="http://www.biodieselmagazine.com/plants/view/5269" TargetMode="External"/><Relationship Id="rId20" Type="http://schemas.openxmlformats.org/officeDocument/2006/relationships/hyperlink" Target="http://www.biodieselmagazine.com/plants/listplants/USA/page:1/sort:capacity/direction:asc" TargetMode="External"/><Relationship Id="rId41" Type="http://schemas.openxmlformats.org/officeDocument/2006/relationships/hyperlink" Target="http://www.biodieselmagazine.com/plants/view/5114" TargetMode="External"/><Relationship Id="rId62" Type="http://schemas.openxmlformats.org/officeDocument/2006/relationships/hyperlink" Target="http://www.biodieselmagazine.com/plants/view/5208" TargetMode="External"/><Relationship Id="rId83" Type="http://schemas.openxmlformats.org/officeDocument/2006/relationships/hyperlink" Target="http://www.biodieselmagazine.com/plants/view/5100" TargetMode="External"/><Relationship Id="rId88" Type="http://schemas.openxmlformats.org/officeDocument/2006/relationships/hyperlink" Target="http://www.biodieselmagazine.com/plants/view/5157" TargetMode="External"/><Relationship Id="rId111" Type="http://schemas.openxmlformats.org/officeDocument/2006/relationships/hyperlink" Target="http://www.biodieselmagazine.com/plants/view/529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0026-EF71-4409-9E5E-DEA20882F7B4}">
  <dimension ref="A1:D107"/>
  <sheetViews>
    <sheetView tabSelected="1" workbookViewId="0">
      <selection activeCell="A26" sqref="A26:XFD26"/>
    </sheetView>
  </sheetViews>
  <sheetFormatPr defaultColWidth="11" defaultRowHeight="15.75"/>
  <cols>
    <col min="1" max="1" width="47.375" style="10" bestFit="1" customWidth="1"/>
    <col min="2" max="2" width="6.375" style="11" bestFit="1" customWidth="1"/>
    <col min="3" max="3" width="30" style="11" bestFit="1" customWidth="1"/>
    <col min="4" max="4" width="12.5" style="11" bestFit="1" customWidth="1"/>
  </cols>
  <sheetData>
    <row r="1" spans="1:4" ht="19.5" thickBot="1">
      <c r="A1" s="1" t="s">
        <v>0</v>
      </c>
      <c r="B1" s="2" t="s">
        <v>1</v>
      </c>
      <c r="C1" s="2" t="s">
        <v>2</v>
      </c>
      <c r="D1" s="3" t="s">
        <v>3</v>
      </c>
    </row>
    <row r="2" spans="1:4" ht="18.75">
      <c r="A2" s="4" t="s">
        <v>4</v>
      </c>
      <c r="B2" s="5" t="s">
        <v>5</v>
      </c>
      <c r="C2" s="5" t="s">
        <v>6</v>
      </c>
      <c r="D2" s="5" t="s">
        <v>7</v>
      </c>
    </row>
    <row r="3" spans="1:4" ht="18.75">
      <c r="A3" s="4" t="s">
        <v>8</v>
      </c>
      <c r="B3" s="5" t="s">
        <v>9</v>
      </c>
      <c r="C3" s="5" t="s">
        <v>10</v>
      </c>
      <c r="D3" s="5" t="s">
        <v>11</v>
      </c>
    </row>
    <row r="4" spans="1:4" ht="18.75">
      <c r="A4" s="4" t="s">
        <v>12</v>
      </c>
      <c r="B4" s="5" t="s">
        <v>9</v>
      </c>
      <c r="C4" s="5" t="s">
        <v>13</v>
      </c>
      <c r="D4" s="5" t="s">
        <v>11</v>
      </c>
    </row>
    <row r="5" spans="1:4" ht="18.75">
      <c r="A5" s="4" t="s">
        <v>14</v>
      </c>
      <c r="B5" s="5" t="s">
        <v>15</v>
      </c>
      <c r="C5" s="5" t="s">
        <v>16</v>
      </c>
      <c r="D5" s="5" t="s">
        <v>17</v>
      </c>
    </row>
    <row r="6" spans="1:4" ht="18.75">
      <c r="A6" s="4" t="s">
        <v>18</v>
      </c>
      <c r="B6" s="5" t="s">
        <v>19</v>
      </c>
      <c r="C6" s="5" t="s">
        <v>20</v>
      </c>
      <c r="D6" s="5" t="s">
        <v>21</v>
      </c>
    </row>
    <row r="7" spans="1:4" ht="18.75">
      <c r="A7" s="4" t="s">
        <v>22</v>
      </c>
      <c r="B7" s="5" t="s">
        <v>23</v>
      </c>
      <c r="C7" s="5" t="s">
        <v>24</v>
      </c>
      <c r="D7" s="5" t="s">
        <v>25</v>
      </c>
    </row>
    <row r="8" spans="1:4" ht="18.75">
      <c r="A8" s="4" t="s">
        <v>26</v>
      </c>
      <c r="B8" s="5" t="s">
        <v>27</v>
      </c>
      <c r="C8" s="5" t="s">
        <v>28</v>
      </c>
      <c r="D8" s="5" t="s">
        <v>29</v>
      </c>
    </row>
    <row r="9" spans="1:4" ht="18.75">
      <c r="A9" s="4" t="s">
        <v>30</v>
      </c>
      <c r="B9" s="5" t="s">
        <v>31</v>
      </c>
      <c r="C9" s="5" t="s">
        <v>32</v>
      </c>
      <c r="D9" s="5" t="s">
        <v>33</v>
      </c>
    </row>
    <row r="10" spans="1:4" ht="18.75">
      <c r="A10" s="4" t="s">
        <v>34</v>
      </c>
      <c r="B10" s="5" t="s">
        <v>35</v>
      </c>
      <c r="C10" s="5" t="s">
        <v>36</v>
      </c>
      <c r="D10" s="5" t="s">
        <v>37</v>
      </c>
    </row>
    <row r="11" spans="1:4" ht="18.75">
      <c r="A11" s="4" t="s">
        <v>38</v>
      </c>
      <c r="B11" s="5" t="s">
        <v>39</v>
      </c>
      <c r="C11" s="5" t="s">
        <v>40</v>
      </c>
      <c r="D11" s="5" t="s">
        <v>33</v>
      </c>
    </row>
    <row r="12" spans="1:4" ht="18.75">
      <c r="A12" s="4" t="s">
        <v>41</v>
      </c>
      <c r="B12" s="5" t="s">
        <v>5</v>
      </c>
      <c r="C12" s="5" t="s">
        <v>42</v>
      </c>
      <c r="D12" s="5" t="s">
        <v>43</v>
      </c>
    </row>
    <row r="13" spans="1:4" ht="18.75">
      <c r="A13" s="4" t="s">
        <v>44</v>
      </c>
      <c r="B13" s="5" t="s">
        <v>45</v>
      </c>
      <c r="C13" s="5" t="s">
        <v>46</v>
      </c>
      <c r="D13" s="5" t="s">
        <v>47</v>
      </c>
    </row>
    <row r="14" spans="1:4" ht="18.75">
      <c r="A14" s="4" t="s">
        <v>48</v>
      </c>
      <c r="B14" s="5" t="s">
        <v>19</v>
      </c>
      <c r="C14" s="5" t="s">
        <v>49</v>
      </c>
      <c r="D14" s="5" t="s">
        <v>43</v>
      </c>
    </row>
    <row r="15" spans="1:4" ht="18.75">
      <c r="A15" s="4" t="s">
        <v>50</v>
      </c>
      <c r="B15" s="5" t="s">
        <v>19</v>
      </c>
      <c r="C15" s="5" t="s">
        <v>51</v>
      </c>
      <c r="D15" s="5" t="s">
        <v>52</v>
      </c>
    </row>
    <row r="16" spans="1:4" ht="18.75">
      <c r="A16" s="4" t="s">
        <v>53</v>
      </c>
      <c r="B16" s="5" t="s">
        <v>54</v>
      </c>
      <c r="C16" s="5" t="s">
        <v>55</v>
      </c>
      <c r="D16" s="5" t="s">
        <v>56</v>
      </c>
    </row>
    <row r="17" spans="1:4" ht="18.75">
      <c r="A17" s="4" t="s">
        <v>57</v>
      </c>
      <c r="B17" s="5" t="s">
        <v>9</v>
      </c>
      <c r="C17" s="5" t="s">
        <v>58</v>
      </c>
      <c r="D17" s="5" t="s">
        <v>59</v>
      </c>
    </row>
    <row r="18" spans="1:4" ht="18.75">
      <c r="A18" s="4" t="s">
        <v>60</v>
      </c>
      <c r="B18" s="5" t="s">
        <v>61</v>
      </c>
      <c r="C18" s="5" t="s">
        <v>62</v>
      </c>
      <c r="D18" s="5" t="s">
        <v>11</v>
      </c>
    </row>
    <row r="19" spans="1:4" ht="18.75">
      <c r="A19" s="4" t="s">
        <v>63</v>
      </c>
      <c r="B19" s="5" t="s">
        <v>5</v>
      </c>
      <c r="C19" s="5" t="s">
        <v>64</v>
      </c>
      <c r="D19" s="5" t="s">
        <v>43</v>
      </c>
    </row>
    <row r="20" spans="1:4" ht="18.75">
      <c r="A20" s="4" t="s">
        <v>65</v>
      </c>
      <c r="B20" s="5" t="s">
        <v>66</v>
      </c>
      <c r="C20" s="5" t="s">
        <v>67</v>
      </c>
      <c r="D20" s="5" t="s">
        <v>68</v>
      </c>
    </row>
    <row r="21" spans="1:4" ht="18.75">
      <c r="A21" s="4" t="s">
        <v>69</v>
      </c>
      <c r="B21" s="5" t="s">
        <v>70</v>
      </c>
      <c r="C21" s="5" t="s">
        <v>71</v>
      </c>
      <c r="D21" s="5" t="s">
        <v>72</v>
      </c>
    </row>
    <row r="22" spans="1:4" ht="18.75">
      <c r="A22" s="4" t="s">
        <v>73</v>
      </c>
      <c r="B22" s="5" t="s">
        <v>19</v>
      </c>
      <c r="C22" s="5" t="s">
        <v>74</v>
      </c>
      <c r="D22" s="5" t="s">
        <v>75</v>
      </c>
    </row>
    <row r="23" spans="1:4" ht="18.75">
      <c r="A23" s="4" t="s">
        <v>76</v>
      </c>
      <c r="B23" s="5" t="s">
        <v>15</v>
      </c>
      <c r="C23" s="5" t="s">
        <v>77</v>
      </c>
      <c r="D23" s="5" t="s">
        <v>78</v>
      </c>
    </row>
    <row r="24" spans="1:4" ht="18.75">
      <c r="A24" s="4" t="s">
        <v>79</v>
      </c>
      <c r="B24" s="5" t="s">
        <v>27</v>
      </c>
      <c r="C24" s="5" t="s">
        <v>80</v>
      </c>
      <c r="D24" s="5" t="s">
        <v>81</v>
      </c>
    </row>
    <row r="25" spans="1:4" ht="18.75">
      <c r="A25" s="4" t="s">
        <v>82</v>
      </c>
      <c r="B25" s="5" t="s">
        <v>83</v>
      </c>
      <c r="C25" s="5" t="s">
        <v>84</v>
      </c>
      <c r="D25" s="5" t="s">
        <v>21</v>
      </c>
    </row>
    <row r="26" spans="1:4" ht="18.75">
      <c r="A26" s="4" t="s">
        <v>85</v>
      </c>
      <c r="B26" s="5" t="s">
        <v>86</v>
      </c>
      <c r="C26" s="5" t="s">
        <v>87</v>
      </c>
      <c r="D26" s="5" t="s">
        <v>88</v>
      </c>
    </row>
    <row r="27" spans="1:4" ht="18.75">
      <c r="A27" s="4" t="s">
        <v>89</v>
      </c>
      <c r="B27" s="5" t="s">
        <v>90</v>
      </c>
      <c r="C27" s="5" t="s">
        <v>91</v>
      </c>
      <c r="D27" s="5" t="s">
        <v>68</v>
      </c>
    </row>
    <row r="28" spans="1:4" ht="18.75">
      <c r="A28" s="4" t="s">
        <v>92</v>
      </c>
      <c r="B28" s="5" t="s">
        <v>93</v>
      </c>
      <c r="C28" s="5" t="s">
        <v>94</v>
      </c>
      <c r="D28" s="5" t="s">
        <v>78</v>
      </c>
    </row>
    <row r="29" spans="1:4" ht="18.75">
      <c r="A29" s="4" t="s">
        <v>95</v>
      </c>
      <c r="B29" s="5" t="s">
        <v>61</v>
      </c>
      <c r="C29" s="5" t="s">
        <v>96</v>
      </c>
      <c r="D29" s="5" t="s">
        <v>47</v>
      </c>
    </row>
    <row r="30" spans="1:4" ht="18.75">
      <c r="A30" s="4" t="s">
        <v>97</v>
      </c>
      <c r="B30" s="5" t="s">
        <v>27</v>
      </c>
      <c r="C30" s="5" t="s">
        <v>98</v>
      </c>
      <c r="D30" s="5" t="s">
        <v>25</v>
      </c>
    </row>
    <row r="31" spans="1:4" ht="18.75">
      <c r="A31" s="4" t="s">
        <v>99</v>
      </c>
      <c r="B31" s="5" t="s">
        <v>100</v>
      </c>
      <c r="C31" s="5" t="s">
        <v>101</v>
      </c>
      <c r="D31" s="5" t="s">
        <v>102</v>
      </c>
    </row>
    <row r="32" spans="1:4" ht="18.75">
      <c r="A32" s="4" t="s">
        <v>103</v>
      </c>
      <c r="B32" s="5" t="s">
        <v>104</v>
      </c>
      <c r="C32" s="5" t="s">
        <v>105</v>
      </c>
      <c r="D32" s="5" t="s">
        <v>106</v>
      </c>
    </row>
    <row r="33" spans="1:4" ht="18.75">
      <c r="A33" s="4" t="s">
        <v>107</v>
      </c>
      <c r="B33" s="5" t="s">
        <v>86</v>
      </c>
      <c r="C33" s="5" t="s">
        <v>108</v>
      </c>
      <c r="D33" s="5" t="s">
        <v>109</v>
      </c>
    </row>
    <row r="34" spans="1:4" ht="18.75">
      <c r="A34" s="4" t="s">
        <v>110</v>
      </c>
      <c r="B34" s="5" t="s">
        <v>111</v>
      </c>
      <c r="C34" s="5" t="s">
        <v>112</v>
      </c>
      <c r="D34" s="5" t="s">
        <v>29</v>
      </c>
    </row>
    <row r="35" spans="1:4" ht="18.75">
      <c r="A35" s="4" t="s">
        <v>113</v>
      </c>
      <c r="B35" s="5" t="s">
        <v>83</v>
      </c>
      <c r="C35" s="5" t="s">
        <v>114</v>
      </c>
      <c r="D35" s="5" t="s">
        <v>115</v>
      </c>
    </row>
    <row r="36" spans="1:4" ht="18.75">
      <c r="A36" s="4" t="s">
        <v>116</v>
      </c>
      <c r="B36" s="5" t="s">
        <v>39</v>
      </c>
      <c r="C36" s="5" t="s">
        <v>117</v>
      </c>
      <c r="D36" s="5" t="s">
        <v>33</v>
      </c>
    </row>
    <row r="37" spans="1:4" ht="18.75">
      <c r="A37" s="4" t="s">
        <v>118</v>
      </c>
      <c r="B37" s="5" t="s">
        <v>119</v>
      </c>
      <c r="C37" s="5" t="s">
        <v>120</v>
      </c>
      <c r="D37" s="5" t="s">
        <v>33</v>
      </c>
    </row>
    <row r="38" spans="1:4" ht="18.75">
      <c r="A38" s="4" t="s">
        <v>121</v>
      </c>
      <c r="B38" s="5" t="s">
        <v>122</v>
      </c>
      <c r="C38" s="5" t="s">
        <v>123</v>
      </c>
      <c r="D38" s="5" t="s">
        <v>124</v>
      </c>
    </row>
    <row r="39" spans="1:4" ht="18.75">
      <c r="A39" s="4" t="s">
        <v>125</v>
      </c>
      <c r="B39" s="5" t="s">
        <v>126</v>
      </c>
      <c r="C39" s="5" t="s">
        <v>127</v>
      </c>
      <c r="D39" s="5" t="s">
        <v>128</v>
      </c>
    </row>
    <row r="40" spans="1:4" ht="18.75">
      <c r="A40" s="4" t="s">
        <v>129</v>
      </c>
      <c r="B40" s="5" t="s">
        <v>19</v>
      </c>
      <c r="C40" s="5" t="s">
        <v>130</v>
      </c>
      <c r="D40" s="5" t="s">
        <v>106</v>
      </c>
    </row>
    <row r="41" spans="1:4" ht="18.75">
      <c r="A41" s="4" t="s">
        <v>131</v>
      </c>
      <c r="B41" s="5" t="s">
        <v>126</v>
      </c>
      <c r="C41" s="5" t="s">
        <v>132</v>
      </c>
      <c r="D41" s="5" t="s">
        <v>133</v>
      </c>
    </row>
    <row r="42" spans="1:4" ht="18.75">
      <c r="A42" s="4" t="s">
        <v>134</v>
      </c>
      <c r="B42" s="5" t="s">
        <v>119</v>
      </c>
      <c r="C42" s="5" t="s">
        <v>135</v>
      </c>
      <c r="D42" s="5" t="s">
        <v>25</v>
      </c>
    </row>
    <row r="43" spans="1:4" ht="18.75">
      <c r="A43" s="4" t="s">
        <v>136</v>
      </c>
      <c r="B43" s="5" t="s">
        <v>137</v>
      </c>
      <c r="C43" s="5" t="s">
        <v>138</v>
      </c>
      <c r="D43" s="5" t="s">
        <v>68</v>
      </c>
    </row>
    <row r="44" spans="1:4" ht="18.75">
      <c r="A44" s="4" t="s">
        <v>139</v>
      </c>
      <c r="B44" s="5" t="s">
        <v>27</v>
      </c>
      <c r="C44" s="5" t="s">
        <v>140</v>
      </c>
      <c r="D44" s="5" t="s">
        <v>56</v>
      </c>
    </row>
    <row r="45" spans="1:4" ht="18.75">
      <c r="A45" s="4" t="s">
        <v>141</v>
      </c>
      <c r="B45" s="5" t="s">
        <v>9</v>
      </c>
      <c r="C45" s="5" t="s">
        <v>142</v>
      </c>
      <c r="D45" s="5" t="s">
        <v>124</v>
      </c>
    </row>
    <row r="46" spans="1:4" ht="18.75">
      <c r="A46" s="4" t="s">
        <v>143</v>
      </c>
      <c r="B46" s="5" t="s">
        <v>144</v>
      </c>
      <c r="C46" s="5" t="s">
        <v>145</v>
      </c>
      <c r="D46" s="5" t="s">
        <v>78</v>
      </c>
    </row>
    <row r="47" spans="1:4" ht="18.75">
      <c r="A47" s="4" t="s">
        <v>146</v>
      </c>
      <c r="B47" s="5" t="s">
        <v>147</v>
      </c>
      <c r="C47" s="5" t="s">
        <v>148</v>
      </c>
      <c r="D47" s="5" t="s">
        <v>109</v>
      </c>
    </row>
    <row r="48" spans="1:4" ht="18.75">
      <c r="A48" s="4" t="s">
        <v>149</v>
      </c>
      <c r="B48" s="5" t="s">
        <v>19</v>
      </c>
      <c r="C48" s="5" t="s">
        <v>150</v>
      </c>
      <c r="D48" s="5" t="s">
        <v>151</v>
      </c>
    </row>
    <row r="49" spans="1:4" ht="18.75">
      <c r="A49" s="4" t="s">
        <v>152</v>
      </c>
      <c r="B49" s="5" t="s">
        <v>5</v>
      </c>
      <c r="C49" s="5" t="s">
        <v>153</v>
      </c>
      <c r="D49" s="5" t="s">
        <v>154</v>
      </c>
    </row>
    <row r="50" spans="1:4" ht="18.75">
      <c r="A50" s="4" t="s">
        <v>155</v>
      </c>
      <c r="B50" s="5" t="s">
        <v>156</v>
      </c>
      <c r="C50" s="5" t="s">
        <v>157</v>
      </c>
      <c r="D50" s="5" t="s">
        <v>158</v>
      </c>
    </row>
    <row r="51" spans="1:4" ht="18.75">
      <c r="A51" s="4" t="s">
        <v>159</v>
      </c>
      <c r="B51" s="5" t="s">
        <v>9</v>
      </c>
      <c r="C51" s="5" t="s">
        <v>160</v>
      </c>
      <c r="D51" s="5" t="s">
        <v>17</v>
      </c>
    </row>
    <row r="52" spans="1:4" ht="18.75">
      <c r="A52" s="4" t="s">
        <v>161</v>
      </c>
      <c r="B52" s="5" t="s">
        <v>137</v>
      </c>
      <c r="C52" s="5" t="s">
        <v>162</v>
      </c>
      <c r="D52" s="5" t="s">
        <v>163</v>
      </c>
    </row>
    <row r="53" spans="1:4" ht="18.75">
      <c r="A53" s="4" t="s">
        <v>164</v>
      </c>
      <c r="B53" s="5" t="s">
        <v>15</v>
      </c>
      <c r="C53" s="5" t="s">
        <v>165</v>
      </c>
      <c r="D53" s="5" t="s">
        <v>124</v>
      </c>
    </row>
    <row r="54" spans="1:4" ht="18.75">
      <c r="A54" s="4" t="s">
        <v>166</v>
      </c>
      <c r="B54" s="5" t="s">
        <v>156</v>
      </c>
      <c r="C54" s="5" t="s">
        <v>167</v>
      </c>
      <c r="D54" s="5" t="s">
        <v>168</v>
      </c>
    </row>
    <row r="55" spans="1:4" ht="18.75">
      <c r="A55" s="4" t="s">
        <v>169</v>
      </c>
      <c r="B55" s="5" t="s">
        <v>5</v>
      </c>
      <c r="C55" s="5" t="s">
        <v>170</v>
      </c>
      <c r="D55" s="5" t="s">
        <v>163</v>
      </c>
    </row>
    <row r="56" spans="1:4" ht="18.75">
      <c r="A56" s="4" t="s">
        <v>171</v>
      </c>
      <c r="B56" s="5" t="s">
        <v>172</v>
      </c>
      <c r="C56" s="5" t="s">
        <v>173</v>
      </c>
      <c r="D56" s="5" t="s">
        <v>174</v>
      </c>
    </row>
    <row r="57" spans="1:4" ht="18.75">
      <c r="A57" s="4" t="s">
        <v>175</v>
      </c>
      <c r="B57" s="5" t="s">
        <v>35</v>
      </c>
      <c r="C57" s="5" t="s">
        <v>176</v>
      </c>
      <c r="D57" s="5" t="s">
        <v>177</v>
      </c>
    </row>
    <row r="58" spans="1:4" ht="18.75">
      <c r="A58" s="4" t="s">
        <v>178</v>
      </c>
      <c r="B58" s="5" t="s">
        <v>179</v>
      </c>
      <c r="C58" s="5" t="s">
        <v>180</v>
      </c>
      <c r="D58" s="5" t="s">
        <v>56</v>
      </c>
    </row>
    <row r="59" spans="1:4" ht="18.75">
      <c r="A59" s="4" t="s">
        <v>181</v>
      </c>
      <c r="B59" s="5" t="s">
        <v>93</v>
      </c>
      <c r="C59" s="5" t="s">
        <v>182</v>
      </c>
      <c r="D59" s="5" t="s">
        <v>183</v>
      </c>
    </row>
    <row r="60" spans="1:4" ht="18.75">
      <c r="A60" s="4" t="s">
        <v>184</v>
      </c>
      <c r="B60" s="5" t="s">
        <v>15</v>
      </c>
      <c r="C60" s="5" t="s">
        <v>185</v>
      </c>
      <c r="D60" s="5" t="s">
        <v>78</v>
      </c>
    </row>
    <row r="61" spans="1:4" ht="18.75">
      <c r="A61" s="4" t="s">
        <v>186</v>
      </c>
      <c r="B61" s="5" t="s">
        <v>104</v>
      </c>
      <c r="C61" s="5" t="s">
        <v>187</v>
      </c>
      <c r="D61" s="5" t="s">
        <v>17</v>
      </c>
    </row>
    <row r="62" spans="1:4" ht="18.75">
      <c r="A62" s="4" t="s">
        <v>188</v>
      </c>
      <c r="B62" s="5" t="s">
        <v>15</v>
      </c>
      <c r="C62" s="5" t="s">
        <v>189</v>
      </c>
      <c r="D62" s="5" t="s">
        <v>43</v>
      </c>
    </row>
    <row r="63" spans="1:4" ht="18.75">
      <c r="A63" s="4" t="s">
        <v>190</v>
      </c>
      <c r="B63" s="5" t="s">
        <v>19</v>
      </c>
      <c r="C63" s="5" t="s">
        <v>191</v>
      </c>
      <c r="D63" s="5" t="s">
        <v>81</v>
      </c>
    </row>
    <row r="64" spans="1:4" ht="18.75">
      <c r="A64" s="4" t="s">
        <v>192</v>
      </c>
      <c r="B64" s="5" t="s">
        <v>179</v>
      </c>
      <c r="C64" s="5" t="s">
        <v>193</v>
      </c>
      <c r="D64" s="5" t="s">
        <v>194</v>
      </c>
    </row>
    <row r="65" spans="1:4" ht="18.75">
      <c r="A65" s="4" t="s">
        <v>195</v>
      </c>
      <c r="B65" s="5" t="s">
        <v>54</v>
      </c>
      <c r="C65" s="5" t="s">
        <v>196</v>
      </c>
      <c r="D65" s="5" t="s">
        <v>197</v>
      </c>
    </row>
    <row r="66" spans="1:4" ht="18.75">
      <c r="A66" s="4" t="s">
        <v>198</v>
      </c>
      <c r="B66" s="5" t="s">
        <v>93</v>
      </c>
      <c r="C66" s="5" t="s">
        <v>199</v>
      </c>
      <c r="D66" s="5" t="s">
        <v>200</v>
      </c>
    </row>
    <row r="67" spans="1:4" ht="18.75">
      <c r="A67" s="4" t="s">
        <v>201</v>
      </c>
      <c r="B67" s="5" t="s">
        <v>137</v>
      </c>
      <c r="C67" s="5" t="s">
        <v>202</v>
      </c>
      <c r="D67" s="5" t="s">
        <v>203</v>
      </c>
    </row>
    <row r="68" spans="1:4" ht="18.75">
      <c r="A68" s="4" t="s">
        <v>204</v>
      </c>
      <c r="B68" s="5" t="s">
        <v>205</v>
      </c>
      <c r="C68" s="5" t="s">
        <v>206</v>
      </c>
      <c r="D68" s="5" t="s">
        <v>207</v>
      </c>
    </row>
    <row r="69" spans="1:4" ht="18.75">
      <c r="A69" s="4" t="s">
        <v>208</v>
      </c>
      <c r="B69" s="5" t="s">
        <v>15</v>
      </c>
      <c r="C69" s="5" t="s">
        <v>209</v>
      </c>
      <c r="D69" s="5" t="s">
        <v>59</v>
      </c>
    </row>
    <row r="70" spans="1:4" ht="18.75">
      <c r="A70" s="4" t="s">
        <v>210</v>
      </c>
      <c r="B70" s="5" t="s">
        <v>27</v>
      </c>
      <c r="C70" s="5" t="s">
        <v>211</v>
      </c>
      <c r="D70" s="5" t="s">
        <v>212</v>
      </c>
    </row>
    <row r="71" spans="1:4" ht="18.75">
      <c r="A71" s="4" t="s">
        <v>213</v>
      </c>
      <c r="B71" s="5" t="s">
        <v>214</v>
      </c>
      <c r="C71" s="5" t="s">
        <v>215</v>
      </c>
      <c r="D71" s="5" t="s">
        <v>216</v>
      </c>
    </row>
    <row r="72" spans="1:4" ht="18.75">
      <c r="A72" s="4" t="s">
        <v>217</v>
      </c>
      <c r="B72" s="5" t="s">
        <v>104</v>
      </c>
      <c r="C72" s="5" t="s">
        <v>218</v>
      </c>
      <c r="D72" s="5" t="s">
        <v>17</v>
      </c>
    </row>
    <row r="73" spans="1:4" ht="18.75">
      <c r="A73" s="4" t="s">
        <v>219</v>
      </c>
      <c r="B73" s="5" t="s">
        <v>5</v>
      </c>
      <c r="C73" s="5" t="s">
        <v>220</v>
      </c>
      <c r="D73" s="5" t="s">
        <v>203</v>
      </c>
    </row>
    <row r="74" spans="1:4" ht="18.75">
      <c r="A74" s="4" t="s">
        <v>221</v>
      </c>
      <c r="B74" s="5" t="s">
        <v>122</v>
      </c>
      <c r="C74" s="5" t="s">
        <v>222</v>
      </c>
      <c r="D74" s="5" t="s">
        <v>223</v>
      </c>
    </row>
    <row r="75" spans="1:4" ht="18.75">
      <c r="A75" s="4" t="s">
        <v>224</v>
      </c>
      <c r="B75" s="5" t="s">
        <v>27</v>
      </c>
      <c r="C75" s="5" t="s">
        <v>225</v>
      </c>
      <c r="D75" s="5" t="s">
        <v>226</v>
      </c>
    </row>
    <row r="76" spans="1:4" ht="18.75">
      <c r="A76" s="4" t="s">
        <v>227</v>
      </c>
      <c r="B76" s="5" t="s">
        <v>228</v>
      </c>
      <c r="C76" s="5" t="s">
        <v>229</v>
      </c>
      <c r="D76" s="5" t="s">
        <v>109</v>
      </c>
    </row>
    <row r="77" spans="1:4" ht="18.75">
      <c r="A77" s="4" t="s">
        <v>230</v>
      </c>
      <c r="B77" s="5" t="s">
        <v>9</v>
      </c>
      <c r="C77" s="5" t="s">
        <v>231</v>
      </c>
      <c r="D77" s="5" t="s">
        <v>17</v>
      </c>
    </row>
    <row r="78" spans="1:4" ht="18.75">
      <c r="A78" s="4" t="s">
        <v>232</v>
      </c>
      <c r="B78" s="5" t="s">
        <v>27</v>
      </c>
      <c r="C78" s="5" t="s">
        <v>233</v>
      </c>
      <c r="D78" s="5" t="s">
        <v>21</v>
      </c>
    </row>
    <row r="79" spans="1:4" ht="18.75">
      <c r="A79" s="4" t="s">
        <v>234</v>
      </c>
      <c r="B79" s="5" t="s">
        <v>9</v>
      </c>
      <c r="C79" s="5" t="s">
        <v>46</v>
      </c>
      <c r="D79" s="5" t="s">
        <v>17</v>
      </c>
    </row>
    <row r="80" spans="1:4" ht="18.75">
      <c r="A80" s="4" t="s">
        <v>235</v>
      </c>
      <c r="B80" s="5" t="s">
        <v>9</v>
      </c>
      <c r="C80" s="5" t="s">
        <v>236</v>
      </c>
      <c r="D80" s="5" t="s">
        <v>17</v>
      </c>
    </row>
    <row r="81" spans="1:4" ht="18.75">
      <c r="A81" s="4" t="s">
        <v>237</v>
      </c>
      <c r="B81" s="5" t="s">
        <v>5</v>
      </c>
      <c r="C81" s="5" t="s">
        <v>238</v>
      </c>
      <c r="D81" s="5" t="s">
        <v>11</v>
      </c>
    </row>
    <row r="82" spans="1:4" ht="18.75">
      <c r="A82" s="4" t="s">
        <v>239</v>
      </c>
      <c r="B82" s="5" t="s">
        <v>27</v>
      </c>
      <c r="C82" s="5" t="s">
        <v>240</v>
      </c>
      <c r="D82" s="5" t="s">
        <v>241</v>
      </c>
    </row>
    <row r="83" spans="1:4" ht="18.75">
      <c r="A83" s="4" t="s">
        <v>242</v>
      </c>
      <c r="B83" s="5" t="s">
        <v>86</v>
      </c>
      <c r="C83" s="5" t="s">
        <v>243</v>
      </c>
      <c r="D83" s="5" t="s">
        <v>109</v>
      </c>
    </row>
    <row r="84" spans="1:4" ht="18.75">
      <c r="A84" s="4" t="s">
        <v>244</v>
      </c>
      <c r="B84" s="5" t="s">
        <v>15</v>
      </c>
      <c r="C84" s="5" t="s">
        <v>16</v>
      </c>
      <c r="D84" s="5" t="s">
        <v>17</v>
      </c>
    </row>
    <row r="85" spans="1:4" ht="18.75">
      <c r="A85" s="4" t="s">
        <v>245</v>
      </c>
      <c r="B85" s="5" t="s">
        <v>246</v>
      </c>
      <c r="C85" s="5" t="s">
        <v>247</v>
      </c>
      <c r="D85" s="5" t="s">
        <v>203</v>
      </c>
    </row>
    <row r="86" spans="1:4" ht="18.75">
      <c r="A86" s="4" t="s">
        <v>248</v>
      </c>
      <c r="B86" s="5" t="s">
        <v>249</v>
      </c>
      <c r="C86" s="5" t="s">
        <v>250</v>
      </c>
      <c r="D86" s="5" t="s">
        <v>241</v>
      </c>
    </row>
    <row r="87" spans="1:4" ht="18.75">
      <c r="A87" s="4" t="s">
        <v>251</v>
      </c>
      <c r="B87" s="5" t="s">
        <v>19</v>
      </c>
      <c r="C87" s="5" t="s">
        <v>252</v>
      </c>
      <c r="D87" s="5" t="s">
        <v>183</v>
      </c>
    </row>
    <row r="88" spans="1:4" ht="18.75">
      <c r="A88" s="4" t="s">
        <v>253</v>
      </c>
      <c r="B88" s="5" t="s">
        <v>19</v>
      </c>
      <c r="C88" s="5" t="s">
        <v>51</v>
      </c>
      <c r="D88" s="5" t="s">
        <v>43</v>
      </c>
    </row>
    <row r="89" spans="1:4" ht="18.75">
      <c r="A89" s="4" t="s">
        <v>254</v>
      </c>
      <c r="B89" s="5" t="s">
        <v>90</v>
      </c>
      <c r="C89" s="5" t="s">
        <v>255</v>
      </c>
      <c r="D89" s="5" t="s">
        <v>88</v>
      </c>
    </row>
    <row r="90" spans="1:4" ht="18.75">
      <c r="A90" s="4" t="s">
        <v>256</v>
      </c>
      <c r="B90" s="5" t="s">
        <v>83</v>
      </c>
      <c r="C90" s="5" t="s">
        <v>257</v>
      </c>
      <c r="D90" s="5" t="s">
        <v>33</v>
      </c>
    </row>
    <row r="91" spans="1:4" ht="18.75">
      <c r="A91" s="4" t="s">
        <v>258</v>
      </c>
      <c r="B91" s="5" t="s">
        <v>119</v>
      </c>
      <c r="C91" s="5" t="s">
        <v>259</v>
      </c>
      <c r="D91" s="5" t="s">
        <v>43</v>
      </c>
    </row>
    <row r="92" spans="1:4" ht="18.75">
      <c r="A92" s="4" t="s">
        <v>260</v>
      </c>
      <c r="B92" s="5" t="s">
        <v>5</v>
      </c>
      <c r="C92" s="5" t="s">
        <v>261</v>
      </c>
      <c r="D92" s="5" t="s">
        <v>262</v>
      </c>
    </row>
    <row r="93" spans="1:4" ht="18.75">
      <c r="A93" s="4" t="s">
        <v>263</v>
      </c>
      <c r="B93" s="5" t="s">
        <v>39</v>
      </c>
      <c r="C93" s="5" t="s">
        <v>264</v>
      </c>
      <c r="D93" s="5" t="s">
        <v>68</v>
      </c>
    </row>
    <row r="94" spans="1:4" ht="18.75">
      <c r="A94" s="4" t="s">
        <v>265</v>
      </c>
      <c r="B94" s="5" t="s">
        <v>100</v>
      </c>
      <c r="C94" s="5" t="s">
        <v>266</v>
      </c>
      <c r="D94" s="5" t="s">
        <v>267</v>
      </c>
    </row>
    <row r="95" spans="1:4" ht="18.75">
      <c r="A95" s="4" t="s">
        <v>268</v>
      </c>
      <c r="B95" s="5" t="s">
        <v>45</v>
      </c>
      <c r="C95" s="5" t="s">
        <v>269</v>
      </c>
      <c r="D95" s="5" t="s">
        <v>43</v>
      </c>
    </row>
    <row r="96" spans="1:4" ht="18.75">
      <c r="A96" s="4" t="s">
        <v>270</v>
      </c>
      <c r="B96" s="5" t="s">
        <v>214</v>
      </c>
      <c r="C96" s="5" t="s">
        <v>271</v>
      </c>
      <c r="D96" s="5" t="s">
        <v>43</v>
      </c>
    </row>
    <row r="97" spans="1:4" ht="18.75">
      <c r="A97" s="4" t="s">
        <v>272</v>
      </c>
      <c r="B97" s="5" t="s">
        <v>100</v>
      </c>
      <c r="C97" s="5" t="s">
        <v>273</v>
      </c>
      <c r="D97" s="5" t="s">
        <v>21</v>
      </c>
    </row>
    <row r="98" spans="1:4" ht="18.75">
      <c r="A98" s="4" t="s">
        <v>274</v>
      </c>
      <c r="B98" s="5" t="s">
        <v>9</v>
      </c>
      <c r="C98" s="5" t="s">
        <v>275</v>
      </c>
      <c r="D98" s="5" t="s">
        <v>124</v>
      </c>
    </row>
    <row r="99" spans="1:4" ht="18.75">
      <c r="A99" s="4" t="s">
        <v>276</v>
      </c>
      <c r="B99" s="5" t="s">
        <v>228</v>
      </c>
      <c r="C99" s="5" t="s">
        <v>277</v>
      </c>
      <c r="D99" s="5" t="s">
        <v>43</v>
      </c>
    </row>
    <row r="100" spans="1:4" ht="18.75">
      <c r="A100" s="4" t="s">
        <v>278</v>
      </c>
      <c r="B100" s="5" t="s">
        <v>9</v>
      </c>
      <c r="C100" s="5" t="s">
        <v>279</v>
      </c>
      <c r="D100" s="5" t="s">
        <v>280</v>
      </c>
    </row>
    <row r="101" spans="1:4" ht="18.75">
      <c r="A101" s="4" t="s">
        <v>281</v>
      </c>
      <c r="B101" s="5" t="s">
        <v>9</v>
      </c>
      <c r="C101" s="5" t="s">
        <v>282</v>
      </c>
      <c r="D101" s="5" t="s">
        <v>203</v>
      </c>
    </row>
    <row r="102" spans="1:4" ht="18.75">
      <c r="A102" s="4" t="s">
        <v>283</v>
      </c>
      <c r="B102" s="5" t="s">
        <v>284</v>
      </c>
      <c r="C102" s="5" t="s">
        <v>285</v>
      </c>
      <c r="D102" s="5" t="s">
        <v>286</v>
      </c>
    </row>
    <row r="103" spans="1:4" ht="18.75">
      <c r="A103" s="4" t="s">
        <v>287</v>
      </c>
      <c r="B103" s="5" t="s">
        <v>144</v>
      </c>
      <c r="C103" s="5" t="s">
        <v>288</v>
      </c>
      <c r="D103" s="5" t="s">
        <v>203</v>
      </c>
    </row>
    <row r="104" spans="1:4" ht="18.75">
      <c r="A104" s="4" t="s">
        <v>289</v>
      </c>
      <c r="B104" s="5" t="s">
        <v>27</v>
      </c>
      <c r="C104" s="5" t="s">
        <v>290</v>
      </c>
      <c r="D104" s="5" t="s">
        <v>291</v>
      </c>
    </row>
    <row r="105" spans="1:4" ht="18.75">
      <c r="A105" s="4" t="s">
        <v>292</v>
      </c>
      <c r="B105" s="5" t="s">
        <v>86</v>
      </c>
      <c r="C105" s="5" t="s">
        <v>293</v>
      </c>
      <c r="D105" s="5" t="s">
        <v>294</v>
      </c>
    </row>
    <row r="106" spans="1:4" ht="19.5" thickBot="1">
      <c r="A106" s="4" t="s">
        <v>295</v>
      </c>
      <c r="B106" s="5" t="s">
        <v>90</v>
      </c>
      <c r="C106" s="5" t="s">
        <v>296</v>
      </c>
      <c r="D106" s="5" t="s">
        <v>297</v>
      </c>
    </row>
    <row r="107" spans="1:4" ht="21.75" thickBot="1">
      <c r="A107" s="6" t="s">
        <v>298</v>
      </c>
      <c r="B107" s="7"/>
      <c r="C107" s="8" t="s">
        <v>299</v>
      </c>
      <c r="D107" s="9">
        <v>2806.82</v>
      </c>
    </row>
  </sheetData>
  <autoFilter ref="B1:B107" xr:uid="{30E19F5B-A6E2-864F-9B90-ED839FC28BE1}"/>
  <hyperlinks>
    <hyperlink ref="A1" r:id="rId1" display="http://www.biodieselmagazine.com/plants/listplants/USA/page:1/sort:name/direction:desc" xr:uid="{982F2408-BF4A-4132-9A5E-9B82C0F6D331}"/>
    <hyperlink ref="B1" r:id="rId2" display="http://www.biodieselmagazine.com/plants/listplants/USA/page:1/sort:state/direction:asc" xr:uid="{6779F6CF-2941-4FF0-933F-C8A74021B6D4}"/>
    <hyperlink ref="C1" r:id="rId3" display="http://www.biodieselmagazine.com/plants/listplants/USA/page:1/sort:city/direction:asc" xr:uid="{706AEAC5-08BF-4D3A-BBBA-17828187E191}"/>
    <hyperlink ref="D1" r:id="rId4" display="http://www.biodieselmagazine.com/plants/listplants/USA/page:1/sort:capacity/direction:asc" xr:uid="{38073283-6B43-4729-A6D8-FB109E7A0A72}"/>
    <hyperlink ref="A2" r:id="rId5" display="http://www.biodieselmagazine.com/plants/view/5024" xr:uid="{0C9FB770-9851-41E5-B30A-80DEDDA73668}"/>
    <hyperlink ref="A3" r:id="rId6" display="http://www.biodieselmagazine.com/plants/view/5241" xr:uid="{2F0B0A36-30B6-4FCE-84D0-120997093175}"/>
    <hyperlink ref="A4" r:id="rId7" display="http://www.biodieselmagazine.com/plants/view/5242" xr:uid="{A2B5AE56-BA74-48DA-9E76-6243CEDE148C}"/>
    <hyperlink ref="A5" r:id="rId8" display="http://www.biodieselmagazine.com/plants/view/5243" xr:uid="{B8BD6C17-3611-4615-9B8F-A6428C21A120}"/>
    <hyperlink ref="A6" r:id="rId9" display="http://www.biodieselmagazine.com/plants/view/5244" xr:uid="{CD25D629-857A-481F-826F-293D41546203}"/>
    <hyperlink ref="A7" r:id="rId10" display="http://www.biodieselmagazine.com/plants/view/5030" xr:uid="{D7A09014-3AC8-4A75-8861-F48FA94FAF98}"/>
    <hyperlink ref="A8" r:id="rId11" display="http://www.biodieselmagazine.com/plants/view/5245" xr:uid="{9F17822A-2AF4-479D-BB69-9B33E3BC77C9}"/>
    <hyperlink ref="A9" r:id="rId12" display="http://www.biodieselmagazine.com/plants/view/5219" xr:uid="{1A298D0B-B696-4F08-9706-13734BA528BD}"/>
    <hyperlink ref="A10" r:id="rId13" display="http://www.biodieselmagazine.com/plants/view/5039" xr:uid="{B74571CF-428C-45BC-8399-8FDABBCBB5E6}"/>
    <hyperlink ref="A11" r:id="rId14" display="http://www.biodieselmagazine.com/plants/view/5048" xr:uid="{43985BD2-FD9E-4C16-8EC9-C49401379B10}"/>
    <hyperlink ref="A12" r:id="rId15" display="http://www.biodieselmagazine.com/plants/view/5051" xr:uid="{EDDE784E-CC52-4547-8E1C-9F3313A74FC3}"/>
    <hyperlink ref="A13" r:id="rId16" display="http://www.biodieselmagazine.com/plants/view/5290" xr:uid="{7C013E07-7124-4B8D-8E61-F1DFBA642448}"/>
    <hyperlink ref="A14" r:id="rId17" display="http://www.biodieselmagazine.com/plants/view/5057" xr:uid="{4570F751-766F-4155-8834-915151521AC6}"/>
    <hyperlink ref="A15" r:id="rId18" display="http://www.biodieselmagazine.com/plants/view/5291" xr:uid="{20017FEB-2F8C-4986-BE6A-47D7904E587F}"/>
    <hyperlink ref="A16" r:id="rId19" display="http://www.biodieselmagazine.com/plants/view/5223" xr:uid="{DE8C44B6-6887-4D6A-A755-F6F115B2E001}"/>
    <hyperlink ref="A17" r:id="rId20" display="http://www.biodieselmagazine.com/plants/view/5247" xr:uid="{BBE90409-F53C-469F-8505-AF25EEB8BF61}"/>
    <hyperlink ref="A18" r:id="rId21" display="http://www.biodieselmagazine.com/plants/view/5248" xr:uid="{3E71BE0C-61BC-47C8-9D72-460109A44B1E}"/>
    <hyperlink ref="A19" r:id="rId22" display="http://www.biodieselmagazine.com/plants/view/5292" xr:uid="{E7BE72A7-2379-416F-A255-CA9D33DFBDB5}"/>
    <hyperlink ref="A20" r:id="rId23" display="http://www.biodieselmagazine.com/plants/view/5305" xr:uid="{7E5FE8F1-B2C7-4D03-A347-8CB17A651284}"/>
    <hyperlink ref="A21" r:id="rId24" display="http://www.biodieselmagazine.com/plants/view/5063" xr:uid="{1DAD073C-61A5-4ED1-83BB-54E5B4DE379B}"/>
    <hyperlink ref="A22" r:id="rId25" display="http://www.biodieselmagazine.com/plants/view/5065" xr:uid="{CC8806ED-2BA0-41E5-B1CB-85B953F819BF}"/>
    <hyperlink ref="A23" r:id="rId26" display="http://www.biodieselmagazine.com/plants/view/5069" xr:uid="{7F1E7476-CD01-4EB2-AFD1-20B4C6EF7324}"/>
    <hyperlink ref="A24" r:id="rId27" display="http://www.biodieselmagazine.com/plants/view/5227" xr:uid="{835549B5-E5E3-4232-B7A8-A3D7A0332437}"/>
    <hyperlink ref="A25" r:id="rId28" display="http://www.biodieselmagazine.com/plants/view/5228" xr:uid="{950BD6F3-DB11-4BF0-B153-69DE3477B4A7}"/>
    <hyperlink ref="A26" r:id="rId29" display="http://www.biodieselmagazine.com/plants/view/5249" xr:uid="{2FF1FF55-26CA-4D1B-A86F-F10F0F6F03CA}"/>
    <hyperlink ref="A27" r:id="rId30" display="http://www.biodieselmagazine.com/plants/view/5250" xr:uid="{54A3B315-759D-4CFA-AB36-3570E7FA55BE}"/>
    <hyperlink ref="A28" r:id="rId31" display="http://www.biodieselmagazine.com/plants/view/5293" xr:uid="{AA628E1C-B61F-43E2-9D76-8D38536A0B2C}"/>
    <hyperlink ref="A29" r:id="rId32" display="http://www.biodieselmagazine.com/plants/view/5308" xr:uid="{1D18330A-EC2C-4EE6-A45A-D696562ACEF4}"/>
    <hyperlink ref="A30" r:id="rId33" display="http://www.biodieselmagazine.com/plants/view/5077" xr:uid="{E3B066E9-37AB-460D-AF12-1A24F1D1F269}"/>
    <hyperlink ref="A31" r:id="rId34" display="http://www.biodieselmagazine.com/plants/view/5251" xr:uid="{5C9C32A6-9979-4C0D-811F-143F5EBC5132}"/>
    <hyperlink ref="A32" r:id="rId35" display="http://www.biodieselmagazine.com/plants/view/5082" xr:uid="{293D6D54-38A9-4F8E-8C12-D0EF94B42319}"/>
    <hyperlink ref="A33" r:id="rId36" display="http://www.biodieselmagazine.com/plants/view/5294" xr:uid="{2F5D9EFE-E4C5-4F44-A202-9927CF1D18E3}"/>
    <hyperlink ref="A34" r:id="rId37" display="http://www.biodieselmagazine.com/plants/view/5088" xr:uid="{2605FAEF-E2C0-4BD8-8E9C-ECD736185437}"/>
    <hyperlink ref="A35" r:id="rId38" display="http://www.biodieselmagazine.com/plants/view/5089" xr:uid="{7EDEF9D8-AC0B-401A-80A8-3B3370C75CDE}"/>
    <hyperlink ref="A36" r:id="rId39" display="http://www.biodieselmagazine.com/plants/view/5252" xr:uid="{D5222C4F-B662-462A-9E0F-B32C02E24C8F}"/>
    <hyperlink ref="A37" r:id="rId40" display="http://www.biodieselmagazine.com/plants/view/5253" xr:uid="{FBBA108B-A5DA-4C05-A1EF-037624B05D98}"/>
    <hyperlink ref="A38" r:id="rId41" display="http://www.biodieselmagazine.com/plants/view/5090" xr:uid="{8EEC8D88-EC30-4CED-82E0-7F729AFF9FB2}"/>
    <hyperlink ref="A39" r:id="rId42" display="http://www.biodieselmagazine.com/plants/view/5091" xr:uid="{F9736B09-45BA-4CE8-92D4-7E3CF784D92F}"/>
    <hyperlink ref="A40" r:id="rId43" display="http://www.biodieselmagazine.com/plants/view/5254" xr:uid="{62090D79-1F76-4A0F-8064-D4CF65AB2B8E}"/>
    <hyperlink ref="A41" r:id="rId44" display="http://www.biodieselmagazine.com/plants/view/5096" xr:uid="{9417A4BC-40E8-4646-9A18-80A9DABB2752}"/>
    <hyperlink ref="A42" r:id="rId45" display="http://www.biodieselmagazine.com/plants/view/5255" xr:uid="{414465FE-94BC-4CF5-ACB7-FF369C97CCB4}"/>
    <hyperlink ref="A43" r:id="rId46" display="http://www.biodieselmagazine.com/plants/view/5099" xr:uid="{16B9EAD4-1A7A-4506-AF62-D87A1AE26DC3}"/>
    <hyperlink ref="A44" r:id="rId47" display="http://www.biodieselmagazine.com/plants/view/5100" xr:uid="{733E6BA0-0AF0-4170-969A-648C94CAB873}"/>
    <hyperlink ref="A45" r:id="rId48" display="http://www.biodieselmagazine.com/plants/view/5295" xr:uid="{50F220F2-038A-4937-A0BB-8F73FC20E3B7}"/>
    <hyperlink ref="A46" r:id="rId49" display="http://www.biodieselmagazine.com/plants/view/5296" xr:uid="{BE1A2C8C-85C4-438D-B0F8-584AEF530AE5}"/>
    <hyperlink ref="A47" r:id="rId50" display="http://www.biodieselmagazine.com/plants/view/5297" xr:uid="{94EC1490-D8C1-4560-BC87-3390CD79FEF1}"/>
    <hyperlink ref="A48" r:id="rId51" display="http://www.biodieselmagazine.com/plants/view/5106" xr:uid="{6A75C94B-2827-4812-8479-7D9F970B6B04}"/>
    <hyperlink ref="A49" r:id="rId52" display="http://www.biodieselmagazine.com/plants/view/5107" xr:uid="{FC84DD4A-C7B9-4F54-97E2-76F302FD2A9F}"/>
    <hyperlink ref="A50" r:id="rId53" display="http://www.biodieselmagazine.com/plants/view/5258" xr:uid="{A4211530-6A63-4E80-AB3F-EEC7FF851F4A}"/>
    <hyperlink ref="A51" r:id="rId54" display="http://www.biodieselmagazine.com/plants/view/5110" xr:uid="{6A2B792A-7850-42AD-95D7-4FB63BBDD35D}"/>
    <hyperlink ref="A52" r:id="rId55" display="http://www.biodieselmagazine.com/plants/view/5112" xr:uid="{343B7AD6-E6A9-4BD8-982C-00AC132F815A}"/>
    <hyperlink ref="A53" r:id="rId56" display="http://www.biodieselmagazine.com/plants/view/5113" xr:uid="{8BD44B59-9FE6-4544-8A96-980D8273C880}"/>
    <hyperlink ref="A54" r:id="rId57" display="http://www.biodieselmagazine.com/plants/view/5114" xr:uid="{14FFB009-DB1C-4D50-947D-51B3C15C947C}"/>
    <hyperlink ref="A55" r:id="rId58" display="http://www.biodieselmagazine.com/plants/view/5232" xr:uid="{50E1BA6C-57B0-4C93-8AF4-06FAA47C526A}"/>
    <hyperlink ref="A56" r:id="rId59" display="http://www.biodieselmagazine.com/plants/view/5298" xr:uid="{6168E080-B315-4E50-90A9-149CB99A163E}"/>
    <hyperlink ref="A57" r:id="rId60" display="http://www.biodieselmagazine.com/plants/view/5312" xr:uid="{A43D259F-0D76-4BB3-A6AC-A0FC5FAE38E4}"/>
    <hyperlink ref="A58" r:id="rId61" display="http://www.biodieselmagazine.com/plants/view/5119" xr:uid="{710EE1A7-5EB8-43DA-8979-FB9D036EEFDD}"/>
    <hyperlink ref="A59" r:id="rId62" display="http://www.biodieselmagazine.com/plants/view/5299" xr:uid="{02D6D203-5A78-485C-85B9-17617AFBC7B9}"/>
    <hyperlink ref="A60" r:id="rId63" display="http://www.biodieselmagazine.com/plants/view/5123" xr:uid="{68C9DC82-D740-485B-89D5-DBC20D5377DD}"/>
    <hyperlink ref="A61" r:id="rId64" display="http://www.biodieselmagazine.com/plants/view/5127" xr:uid="{C3C2FAEE-61F9-4CF3-BFA1-76DBE08B6567}"/>
    <hyperlink ref="A62" r:id="rId65" display="http://www.biodieselmagazine.com/plants/view/5130" xr:uid="{B87FF429-0BA7-4DAC-BE71-19FB929113A7}"/>
    <hyperlink ref="A63" r:id="rId66" display="http://www.biodieselmagazine.com/plants/view/5131" xr:uid="{46FF7477-E2C6-447D-AB6E-B3A497AB92A1}"/>
    <hyperlink ref="A64" r:id="rId67" display="http://www.biodieselmagazine.com/plants/view/5132" xr:uid="{B997D244-AA64-4C1B-9646-0A8DCD2E9760}"/>
    <hyperlink ref="A65" r:id="rId68" display="http://www.biodieselmagazine.com/plants/view/5135" xr:uid="{1F2FC847-2AAE-4167-9F07-9D66D2C8FB49}"/>
    <hyperlink ref="A66" r:id="rId69" display="http://www.biodieselmagazine.com/plants/view/5141" xr:uid="{FAFFC940-E8E5-4C6B-A22F-E96758241DA4}"/>
    <hyperlink ref="A67" r:id="rId70" display="http://www.biodieselmagazine.com/plants/view/5143" xr:uid="{3402E485-4163-460B-BE66-7ACBFA07FA06}"/>
    <hyperlink ref="A68" r:id="rId71" display="http://www.biodieselmagazine.com/plants/view/5259" xr:uid="{0C638228-74AE-4A87-A121-8F526C24DBBB}"/>
    <hyperlink ref="A69" r:id="rId72" display="http://www.biodieselmagazine.com/plants/view/5145" xr:uid="{869ED0E4-6390-4AEE-A318-5133DEFADDAF}"/>
    <hyperlink ref="A70" r:id="rId73" display="http://www.biodieselmagazine.com/plants/view/5300" xr:uid="{5A690775-E5FC-4F70-82CA-5BFB769F5DB5}"/>
    <hyperlink ref="A71" r:id="rId74" display="http://www.biodieselmagazine.com/plants/view/5157" xr:uid="{999041A5-4864-4F01-A95F-41DC5B3C5FBE}"/>
    <hyperlink ref="A72" r:id="rId75" display="http://www.biodieselmagazine.com/plants/view/5159" xr:uid="{DE5BEB17-2C0C-48C7-B3DD-4F0E7DF4DA0A}"/>
    <hyperlink ref="A73" r:id="rId76" display="http://www.biodieselmagazine.com/plants/view/5162" xr:uid="{DA126C55-27FA-4474-976E-40233E576BA7}"/>
    <hyperlink ref="A74" r:id="rId77" display="http://www.biodieselmagazine.com/plants/view/5165" xr:uid="{E4DE1F28-DF06-4649-AE4B-7254D205EC3A}"/>
    <hyperlink ref="A75" r:id="rId78" display="http://www.biodieselmagazine.com/plants/view/5166" xr:uid="{EC61A3F8-9D35-406D-9AF0-1897A31B7F72}"/>
    <hyperlink ref="A76" r:id="rId79" display="http://www.biodieselmagazine.com/plants/view/5167" xr:uid="{CC854B97-B598-4586-B03B-E6FE124BAA93}"/>
    <hyperlink ref="A77" r:id="rId80" display="http://www.biodieselmagazine.com/plants/view/5168" xr:uid="{953FCC3A-3C08-484B-B78D-46A16CE5D7F2}"/>
    <hyperlink ref="A78" r:id="rId81" display="http://www.biodieselmagazine.com/plants/view/5169" xr:uid="{7E5FBFC6-76A8-48F9-8F89-4900A33BE270}"/>
    <hyperlink ref="A79" r:id="rId82" display="http://www.biodieselmagazine.com/plants/view/5236" xr:uid="{625941C1-A4EA-4407-8118-BDDC9489697E}"/>
    <hyperlink ref="A80" r:id="rId83" display="http://www.biodieselmagazine.com/plants/view/5172" xr:uid="{AB14FF68-0DD5-4576-AE72-38CEBCA0D0F4}"/>
    <hyperlink ref="A81" r:id="rId84" display="http://www.biodieselmagazine.com/plants/view/5173" xr:uid="{E46A7124-1C91-4B4F-B036-889CFC61A555}"/>
    <hyperlink ref="A82" r:id="rId85" display="http://www.biodieselmagazine.com/plants/view/5175" xr:uid="{A28F205E-54F9-45BC-AF93-5A60C8C510B9}"/>
    <hyperlink ref="A83" r:id="rId86" display="http://www.biodieselmagazine.com/plants/view/5301" xr:uid="{38AE5A76-3138-44F3-BD3A-4003BC9FA6D7}"/>
    <hyperlink ref="A84" r:id="rId87" display="http://www.biodieselmagazine.com/plants/view/5260" xr:uid="{3EA10D16-8146-459A-AEE9-DE36C40E6CDA}"/>
    <hyperlink ref="A85" r:id="rId88" display="http://www.biodieselmagazine.com/plants/view/5261" xr:uid="{16A158F6-72C7-49C8-A30B-315B01D31198}"/>
    <hyperlink ref="A86" r:id="rId89" display="http://www.biodieselmagazine.com/plants/view/5262" xr:uid="{81ADDF9A-F273-4503-AE9B-6DAF7B36BCF7}"/>
    <hyperlink ref="A87" r:id="rId90" display="http://www.biodieselmagazine.com/plants/view/5181" xr:uid="{37592A76-4421-4688-ADAC-17C18BCCC921}"/>
    <hyperlink ref="A88" r:id="rId91" display="http://www.biodieselmagazine.com/plants/view/5237" xr:uid="{4BA9EAC1-A183-473B-B824-DE0D77E65FE9}"/>
    <hyperlink ref="A89" r:id="rId92" display="http://www.biodieselmagazine.com/plants/view/5263" xr:uid="{5EBF9E4A-70F1-429D-8CA7-4DDE0FE2AFF9}"/>
    <hyperlink ref="A90" r:id="rId93" display="http://www.biodieselmagazine.com/plants/view/5302" xr:uid="{3D2A6727-0B48-490E-AB14-D4DF848B950F}"/>
    <hyperlink ref="A91" r:id="rId94" display="http://www.biodieselmagazine.com/plants/view/5264" xr:uid="{F69D117D-8FC8-44C0-A2A3-ECF9E9BBB7B4}"/>
    <hyperlink ref="A92" r:id="rId95" display="http://www.biodieselmagazine.com/plants/view/5265" xr:uid="{99C7E66B-61C0-482D-92D9-939D8678C804}"/>
    <hyperlink ref="A93" r:id="rId96" display="http://www.biodieselmagazine.com/plants/view/5186" xr:uid="{C4DA7FD0-5602-4B55-BCA3-7281BFC9A017}"/>
    <hyperlink ref="A94" r:id="rId97" display="http://www.biodieselmagazine.com/plants/view/5194" xr:uid="{C43593A0-18D9-4A18-8A38-F43A7292087A}"/>
    <hyperlink ref="A95" r:id="rId98" display="http://www.biodieselmagazine.com/plants/view/5195" xr:uid="{45C7A0C7-62E9-41AB-82C1-FFCA9F1D776D}"/>
    <hyperlink ref="A96" r:id="rId99" display="http://www.biodieselmagazine.com/plants/view/5201" xr:uid="{78938212-04D6-436B-8EA9-FA8307517ED5}"/>
    <hyperlink ref="A97" r:id="rId100" display="http://www.biodieselmagazine.com/plants/view/5203" xr:uid="{D2377C75-A743-41CF-AF87-F53158DBC0EF}"/>
    <hyperlink ref="A98" r:id="rId101" display="http://www.biodieselmagazine.com/plants/view/5267" xr:uid="{1E9E010C-7C92-4641-8ADE-F37FC0C09E83}"/>
    <hyperlink ref="A99" r:id="rId102" display="http://www.biodieselmagazine.com/plants/view/5205" xr:uid="{EF3AF5D0-F823-4E57-BD98-D20DDD10C929}"/>
    <hyperlink ref="A100" r:id="rId103" display="http://www.biodieselmagazine.com/plants/view/5207" xr:uid="{101D4572-0054-4BD6-8E03-2AB29990C184}"/>
    <hyperlink ref="A101" r:id="rId104" display="http://www.biodieselmagazine.com/plants/view/5208" xr:uid="{627BA76A-7333-4013-9CAB-DE38050D77CA}"/>
    <hyperlink ref="A102" r:id="rId105" display="http://www.biodieselmagazine.com/plants/view/5209" xr:uid="{3948FEE1-E43E-4183-866A-F9B3E4A46462}"/>
    <hyperlink ref="A103" r:id="rId106" display="http://www.biodieselmagazine.com/plants/view/5269" xr:uid="{52AA1B65-46EC-4156-B64D-1353B5B7EF4F}"/>
    <hyperlink ref="A104" r:id="rId107" display="http://www.biodieselmagazine.com/plants/view/5270" xr:uid="{2EECAA3E-6A04-42FB-A736-2A6809223E1E}"/>
    <hyperlink ref="A105" r:id="rId108" display="http://www.biodieselmagazine.com/plants/view/5213" xr:uid="{CA7F6CD5-4B9F-4DF3-9BF9-5404433BBAF4}"/>
    <hyperlink ref="A106" r:id="rId109" display="http://www.biodieselmagazine.com/plants/view/5214" xr:uid="{62F42560-3777-4C3C-B9BE-628370C446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033D-BF76-4C2B-A5B5-288177113E87}">
  <dimension ref="A1:X46"/>
  <sheetViews>
    <sheetView zoomScaleNormal="100" workbookViewId="0">
      <selection activeCell="A26" sqref="A26:XFD26"/>
    </sheetView>
  </sheetViews>
  <sheetFormatPr defaultColWidth="11" defaultRowHeight="15.75"/>
  <cols>
    <col min="1" max="1" width="27.375" bestFit="1" customWidth="1"/>
    <col min="3" max="3" width="14" bestFit="1" customWidth="1"/>
    <col min="6" max="6" width="47.375" bestFit="1" customWidth="1"/>
    <col min="8" max="8" width="17" bestFit="1" customWidth="1"/>
    <col min="10" max="10" width="21" bestFit="1" customWidth="1"/>
    <col min="11" max="11" width="8.125" bestFit="1" customWidth="1"/>
    <col min="12" max="12" width="16" bestFit="1" customWidth="1"/>
    <col min="14" max="14" width="34.625" bestFit="1" customWidth="1"/>
    <col min="16" max="16" width="19.625" bestFit="1" customWidth="1"/>
    <col min="17" max="17" width="9.5" bestFit="1" customWidth="1"/>
    <col min="18" max="18" width="21" bestFit="1" customWidth="1"/>
    <col min="19" max="19" width="8.125" bestFit="1" customWidth="1"/>
    <col min="21" max="21" width="26.375" bestFit="1" customWidth="1"/>
    <col min="22" max="22" width="6.375" bestFit="1" customWidth="1"/>
    <col min="23" max="23" width="18" bestFit="1" customWidth="1"/>
    <col min="24" max="24" width="9.5" bestFit="1" customWidth="1"/>
  </cols>
  <sheetData>
    <row r="1" spans="1:24" ht="18.75" thickBot="1">
      <c r="A1" s="12" t="s">
        <v>300</v>
      </c>
      <c r="F1" t="s">
        <v>301</v>
      </c>
      <c r="N1" t="s">
        <v>302</v>
      </c>
      <c r="U1" t="s">
        <v>303</v>
      </c>
    </row>
    <row r="2" spans="1:24" ht="19.5" thickBot="1">
      <c r="A2" s="13" t="s">
        <v>0</v>
      </c>
      <c r="B2" s="14" t="s">
        <v>1</v>
      </c>
      <c r="C2" s="14" t="s">
        <v>2</v>
      </c>
      <c r="D2" s="15" t="s">
        <v>3</v>
      </c>
      <c r="F2" s="1" t="s">
        <v>0</v>
      </c>
      <c r="G2" s="2" t="s">
        <v>1</v>
      </c>
      <c r="H2" s="2" t="s">
        <v>2</v>
      </c>
      <c r="I2" s="2" t="s">
        <v>3</v>
      </c>
      <c r="J2" s="16" t="s">
        <v>304</v>
      </c>
      <c r="K2" s="17" t="s">
        <v>305</v>
      </c>
      <c r="L2" s="18" t="s">
        <v>306</v>
      </c>
      <c r="N2" s="1" t="s">
        <v>0</v>
      </c>
      <c r="O2" s="2" t="s">
        <v>1</v>
      </c>
      <c r="P2" s="2" t="s">
        <v>2</v>
      </c>
      <c r="Q2" s="2" t="s">
        <v>3</v>
      </c>
      <c r="R2" s="16" t="s">
        <v>304</v>
      </c>
      <c r="S2" s="18" t="s">
        <v>305</v>
      </c>
      <c r="U2" s="1" t="s">
        <v>0</v>
      </c>
      <c r="V2" s="2" t="s">
        <v>1</v>
      </c>
      <c r="W2" s="2" t="s">
        <v>2</v>
      </c>
      <c r="X2" s="3" t="s">
        <v>3</v>
      </c>
    </row>
    <row r="3" spans="1:24" ht="18.75">
      <c r="A3" s="19" t="s">
        <v>18</v>
      </c>
      <c r="B3" s="20" t="s">
        <v>19</v>
      </c>
      <c r="C3" s="20" t="s">
        <v>20</v>
      </c>
      <c r="D3" s="21" t="s">
        <v>21</v>
      </c>
      <c r="F3" s="22" t="s">
        <v>4</v>
      </c>
      <c r="G3" s="20" t="s">
        <v>5</v>
      </c>
      <c r="H3" s="20" t="s">
        <v>6</v>
      </c>
      <c r="I3" s="20" t="s">
        <v>7</v>
      </c>
      <c r="J3" s="23"/>
      <c r="K3" s="24"/>
      <c r="L3" s="24"/>
      <c r="N3" s="22" t="s">
        <v>26</v>
      </c>
      <c r="O3" s="20" t="s">
        <v>27</v>
      </c>
      <c r="P3" s="20" t="s">
        <v>28</v>
      </c>
      <c r="Q3" s="20" t="s">
        <v>29</v>
      </c>
      <c r="R3" s="24"/>
      <c r="S3" s="24"/>
      <c r="U3" s="22" t="s">
        <v>30</v>
      </c>
      <c r="V3" s="20" t="s">
        <v>31</v>
      </c>
      <c r="W3" s="20" t="s">
        <v>32</v>
      </c>
      <c r="X3" s="20" t="s">
        <v>33</v>
      </c>
    </row>
    <row r="4" spans="1:24" ht="18.75">
      <c r="A4" s="19" t="s">
        <v>48</v>
      </c>
      <c r="B4" s="20" t="s">
        <v>19</v>
      </c>
      <c r="C4" s="20" t="s">
        <v>49</v>
      </c>
      <c r="D4" s="21" t="s">
        <v>43</v>
      </c>
      <c r="F4" s="22" t="s">
        <v>8</v>
      </c>
      <c r="G4" s="20" t="s">
        <v>9</v>
      </c>
      <c r="H4" s="20" t="s">
        <v>10</v>
      </c>
      <c r="I4" s="20" t="s">
        <v>11</v>
      </c>
      <c r="J4" s="25"/>
      <c r="K4" s="24"/>
      <c r="L4" s="24"/>
      <c r="N4" s="22" t="s">
        <v>38</v>
      </c>
      <c r="O4" s="20" t="s">
        <v>39</v>
      </c>
      <c r="P4" s="20" t="s">
        <v>40</v>
      </c>
      <c r="Q4" s="20" t="s">
        <v>33</v>
      </c>
      <c r="R4" s="24"/>
      <c r="S4" s="24"/>
      <c r="U4" s="22" t="s">
        <v>53</v>
      </c>
      <c r="V4" s="20" t="s">
        <v>54</v>
      </c>
      <c r="W4" s="20" t="s">
        <v>55</v>
      </c>
      <c r="X4" s="20" t="s">
        <v>56</v>
      </c>
    </row>
    <row r="5" spans="1:24" ht="18.75">
      <c r="A5" s="19" t="s">
        <v>50</v>
      </c>
      <c r="B5" s="20" t="s">
        <v>19</v>
      </c>
      <c r="C5" s="20" t="s">
        <v>51</v>
      </c>
      <c r="D5" s="21" t="s">
        <v>52</v>
      </c>
      <c r="F5" s="22" t="s">
        <v>12</v>
      </c>
      <c r="G5" s="20" t="s">
        <v>9</v>
      </c>
      <c r="H5" s="20" t="s">
        <v>13</v>
      </c>
      <c r="I5" s="20" t="s">
        <v>11</v>
      </c>
      <c r="J5" s="26">
        <v>115000</v>
      </c>
      <c r="K5" s="27" t="s">
        <v>307</v>
      </c>
      <c r="L5" s="24"/>
      <c r="N5" s="22" t="s">
        <v>44</v>
      </c>
      <c r="O5" s="20" t="s">
        <v>45</v>
      </c>
      <c r="P5" s="20" t="s">
        <v>46</v>
      </c>
      <c r="Q5" s="20" t="s">
        <v>47</v>
      </c>
      <c r="R5" s="24"/>
      <c r="S5" s="24"/>
      <c r="U5" s="22" t="s">
        <v>110</v>
      </c>
      <c r="V5" s="20" t="s">
        <v>111</v>
      </c>
      <c r="W5" s="20" t="s">
        <v>112</v>
      </c>
      <c r="X5" s="20" t="s">
        <v>29</v>
      </c>
    </row>
    <row r="6" spans="1:24" ht="18.75">
      <c r="A6" s="19" t="s">
        <v>73</v>
      </c>
      <c r="B6" s="20" t="s">
        <v>19</v>
      </c>
      <c r="C6" s="20" t="s">
        <v>74</v>
      </c>
      <c r="D6" s="21" t="s">
        <v>75</v>
      </c>
      <c r="F6" s="22" t="s">
        <v>14</v>
      </c>
      <c r="G6" s="20" t="s">
        <v>15</v>
      </c>
      <c r="H6" s="20" t="s">
        <v>16</v>
      </c>
      <c r="I6" s="20" t="s">
        <v>17</v>
      </c>
      <c r="J6" s="26">
        <v>120000</v>
      </c>
      <c r="K6" s="27" t="s">
        <v>307</v>
      </c>
      <c r="L6" s="24"/>
      <c r="N6" s="22" t="s">
        <v>79</v>
      </c>
      <c r="O6" s="20" t="s">
        <v>27</v>
      </c>
      <c r="P6" s="20" t="s">
        <v>80</v>
      </c>
      <c r="Q6" s="20" t="s">
        <v>81</v>
      </c>
      <c r="R6" s="24"/>
      <c r="S6" s="24"/>
      <c r="U6" s="22" t="s">
        <v>143</v>
      </c>
      <c r="V6" s="20" t="s">
        <v>144</v>
      </c>
      <c r="W6" s="20" t="s">
        <v>145</v>
      </c>
      <c r="X6" s="20" t="s">
        <v>78</v>
      </c>
    </row>
    <row r="7" spans="1:24" ht="19.5">
      <c r="A7" s="19" t="s">
        <v>121</v>
      </c>
      <c r="B7" s="20" t="s">
        <v>122</v>
      </c>
      <c r="C7" s="20" t="s">
        <v>123</v>
      </c>
      <c r="D7" s="21" t="s">
        <v>124</v>
      </c>
      <c r="F7" s="22" t="s">
        <v>34</v>
      </c>
      <c r="G7" s="20" t="s">
        <v>35</v>
      </c>
      <c r="H7" s="20" t="s">
        <v>36</v>
      </c>
      <c r="I7" s="20" t="s">
        <v>37</v>
      </c>
      <c r="J7" s="28"/>
      <c r="K7" s="24"/>
      <c r="L7" s="24"/>
      <c r="N7" s="22" t="s">
        <v>82</v>
      </c>
      <c r="O7" s="20" t="s">
        <v>83</v>
      </c>
      <c r="P7" s="20" t="s">
        <v>84</v>
      </c>
      <c r="Q7" s="20" t="s">
        <v>21</v>
      </c>
      <c r="R7" s="24"/>
      <c r="S7" s="24"/>
      <c r="U7" s="22" t="s">
        <v>171</v>
      </c>
      <c r="V7" s="20" t="s">
        <v>172</v>
      </c>
      <c r="W7" s="20" t="s">
        <v>173</v>
      </c>
      <c r="X7" s="20" t="s">
        <v>174</v>
      </c>
    </row>
    <row r="8" spans="1:24" ht="19.5">
      <c r="A8" s="19" t="s">
        <v>129</v>
      </c>
      <c r="B8" s="20" t="s">
        <v>19</v>
      </c>
      <c r="C8" s="20" t="s">
        <v>130</v>
      </c>
      <c r="D8" s="21" t="s">
        <v>106</v>
      </c>
      <c r="F8" s="22" t="s">
        <v>41</v>
      </c>
      <c r="G8" s="20" t="s">
        <v>5</v>
      </c>
      <c r="H8" s="20" t="s">
        <v>42</v>
      </c>
      <c r="I8" s="20" t="s">
        <v>43</v>
      </c>
      <c r="J8" s="28"/>
      <c r="K8" s="24"/>
      <c r="L8" s="24"/>
      <c r="N8" s="22" t="s">
        <v>85</v>
      </c>
      <c r="O8" s="20" t="s">
        <v>86</v>
      </c>
      <c r="P8" s="20" t="s">
        <v>87</v>
      </c>
      <c r="Q8" s="20" t="s">
        <v>88</v>
      </c>
      <c r="R8" s="24"/>
      <c r="S8" s="24"/>
      <c r="U8" s="22" t="s">
        <v>178</v>
      </c>
      <c r="V8" s="20" t="s">
        <v>179</v>
      </c>
      <c r="W8" s="20" t="s">
        <v>180</v>
      </c>
      <c r="X8" s="20" t="s">
        <v>56</v>
      </c>
    </row>
    <row r="9" spans="1:24" ht="19.5">
      <c r="A9" s="19" t="s">
        <v>149</v>
      </c>
      <c r="B9" s="20" t="s">
        <v>19</v>
      </c>
      <c r="C9" s="20" t="s">
        <v>150</v>
      </c>
      <c r="D9" s="21" t="s">
        <v>151</v>
      </c>
      <c r="F9" s="22" t="s">
        <v>57</v>
      </c>
      <c r="G9" s="20" t="s">
        <v>9</v>
      </c>
      <c r="H9" s="20" t="s">
        <v>58</v>
      </c>
      <c r="I9" s="20" t="s">
        <v>59</v>
      </c>
      <c r="J9" s="28"/>
      <c r="K9" s="27"/>
      <c r="L9" s="24"/>
      <c r="N9" s="22" t="s">
        <v>89</v>
      </c>
      <c r="O9" s="20" t="s">
        <v>90</v>
      </c>
      <c r="P9" s="20" t="s">
        <v>91</v>
      </c>
      <c r="Q9" s="20" t="s">
        <v>68</v>
      </c>
      <c r="R9" s="24"/>
      <c r="S9" s="24"/>
      <c r="U9" s="22" t="s">
        <v>192</v>
      </c>
      <c r="V9" s="20" t="s">
        <v>179</v>
      </c>
      <c r="W9" s="20" t="s">
        <v>193</v>
      </c>
      <c r="X9" s="20" t="s">
        <v>194</v>
      </c>
    </row>
    <row r="10" spans="1:24" ht="18.75">
      <c r="A10" s="19" t="s">
        <v>190</v>
      </c>
      <c r="B10" s="20" t="s">
        <v>19</v>
      </c>
      <c r="C10" s="20" t="s">
        <v>191</v>
      </c>
      <c r="D10" s="21" t="s">
        <v>81</v>
      </c>
      <c r="F10" s="22" t="s">
        <v>60</v>
      </c>
      <c r="G10" s="20" t="s">
        <v>61</v>
      </c>
      <c r="H10" s="20" t="s">
        <v>62</v>
      </c>
      <c r="I10" s="20" t="s">
        <v>11</v>
      </c>
      <c r="J10" s="29">
        <v>100000</v>
      </c>
      <c r="K10" s="27" t="s">
        <v>307</v>
      </c>
      <c r="L10" s="24"/>
      <c r="N10" s="22" t="s">
        <v>97</v>
      </c>
      <c r="O10" s="20" t="s">
        <v>27</v>
      </c>
      <c r="P10" s="20" t="s">
        <v>98</v>
      </c>
      <c r="Q10" s="20" t="s">
        <v>25</v>
      </c>
      <c r="R10" s="24"/>
      <c r="S10" s="24"/>
      <c r="U10" s="22" t="s">
        <v>195</v>
      </c>
      <c r="V10" s="20" t="s">
        <v>54</v>
      </c>
      <c r="W10" s="20" t="s">
        <v>196</v>
      </c>
      <c r="X10" s="20" t="s">
        <v>197</v>
      </c>
    </row>
    <row r="11" spans="1:24" ht="19.5">
      <c r="A11" s="19" t="s">
        <v>221</v>
      </c>
      <c r="B11" s="20" t="s">
        <v>122</v>
      </c>
      <c r="C11" s="20" t="s">
        <v>222</v>
      </c>
      <c r="D11" s="21" t="s">
        <v>223</v>
      </c>
      <c r="F11" s="22" t="s">
        <v>63</v>
      </c>
      <c r="G11" s="20" t="s">
        <v>5</v>
      </c>
      <c r="H11" s="20" t="s">
        <v>64</v>
      </c>
      <c r="I11" s="20" t="s">
        <v>43</v>
      </c>
      <c r="J11" s="28"/>
      <c r="K11" s="24"/>
      <c r="L11" s="24"/>
      <c r="N11" s="22" t="s">
        <v>107</v>
      </c>
      <c r="O11" s="20" t="s">
        <v>86</v>
      </c>
      <c r="P11" s="20" t="s">
        <v>108</v>
      </c>
      <c r="Q11" s="20" t="s">
        <v>109</v>
      </c>
      <c r="R11" s="24"/>
      <c r="S11" s="24"/>
      <c r="U11" s="22" t="s">
        <v>283</v>
      </c>
      <c r="V11" s="20" t="s">
        <v>284</v>
      </c>
      <c r="W11" s="20" t="s">
        <v>285</v>
      </c>
      <c r="X11" s="20" t="s">
        <v>286</v>
      </c>
    </row>
    <row r="12" spans="1:24" ht="19.5">
      <c r="A12" s="19" t="s">
        <v>248</v>
      </c>
      <c r="B12" s="20" t="s">
        <v>249</v>
      </c>
      <c r="C12" s="20" t="s">
        <v>250</v>
      </c>
      <c r="D12" s="21" t="s">
        <v>241</v>
      </c>
      <c r="F12" s="22" t="s">
        <v>69</v>
      </c>
      <c r="G12" s="20" t="s">
        <v>70</v>
      </c>
      <c r="H12" s="20" t="s">
        <v>71</v>
      </c>
      <c r="I12" s="20" t="s">
        <v>72</v>
      </c>
      <c r="J12" s="28"/>
      <c r="K12" s="24"/>
      <c r="L12" s="24"/>
      <c r="N12" s="22" t="s">
        <v>113</v>
      </c>
      <c r="O12" s="20" t="s">
        <v>83</v>
      </c>
      <c r="P12" s="20" t="s">
        <v>114</v>
      </c>
      <c r="Q12" s="20" t="s">
        <v>115</v>
      </c>
      <c r="R12" s="24"/>
      <c r="S12" s="24"/>
      <c r="U12" s="22" t="s">
        <v>287</v>
      </c>
      <c r="V12" s="20" t="s">
        <v>144</v>
      </c>
      <c r="W12" s="20" t="s">
        <v>288</v>
      </c>
      <c r="X12" s="20" t="s">
        <v>203</v>
      </c>
    </row>
    <row r="13" spans="1:24" ht="19.5">
      <c r="A13" s="19" t="s">
        <v>251</v>
      </c>
      <c r="B13" s="20" t="s">
        <v>19</v>
      </c>
      <c r="C13" s="20" t="s">
        <v>252</v>
      </c>
      <c r="D13" s="21" t="s">
        <v>183</v>
      </c>
      <c r="F13" s="22" t="s">
        <v>76</v>
      </c>
      <c r="G13" s="20" t="s">
        <v>15</v>
      </c>
      <c r="H13" s="20" t="s">
        <v>77</v>
      </c>
      <c r="I13" s="20" t="s">
        <v>78</v>
      </c>
      <c r="J13" s="28"/>
      <c r="K13" s="24"/>
      <c r="L13" s="24"/>
      <c r="N13" s="22" t="s">
        <v>116</v>
      </c>
      <c r="O13" s="20" t="s">
        <v>39</v>
      </c>
      <c r="P13" s="20" t="s">
        <v>117</v>
      </c>
      <c r="Q13" s="20" t="s">
        <v>33</v>
      </c>
      <c r="R13" s="24"/>
      <c r="S13" s="24"/>
    </row>
    <row r="14" spans="1:24" ht="20.25" thickBot="1">
      <c r="A14" s="30" t="s">
        <v>253</v>
      </c>
      <c r="B14" s="31" t="s">
        <v>19</v>
      </c>
      <c r="C14" s="31" t="s">
        <v>51</v>
      </c>
      <c r="D14" s="32" t="s">
        <v>43</v>
      </c>
      <c r="F14" s="22" t="s">
        <v>92</v>
      </c>
      <c r="G14" s="20" t="s">
        <v>93</v>
      </c>
      <c r="H14" s="20" t="s">
        <v>94</v>
      </c>
      <c r="I14" s="20" t="s">
        <v>78</v>
      </c>
      <c r="J14" s="28"/>
      <c r="K14" s="24"/>
      <c r="L14" s="24"/>
      <c r="N14" s="22" t="s">
        <v>118</v>
      </c>
      <c r="O14" s="20" t="s">
        <v>119</v>
      </c>
      <c r="P14" s="20" t="s">
        <v>120</v>
      </c>
      <c r="Q14" s="20" t="s">
        <v>33</v>
      </c>
      <c r="R14" s="24"/>
      <c r="S14" s="24"/>
    </row>
    <row r="15" spans="1:24" ht="19.5">
      <c r="D15" s="33"/>
      <c r="F15" s="22" t="s">
        <v>95</v>
      </c>
      <c r="G15" s="20" t="s">
        <v>61</v>
      </c>
      <c r="H15" s="20" t="s">
        <v>96</v>
      </c>
      <c r="I15" s="20" t="s">
        <v>47</v>
      </c>
      <c r="J15" s="28"/>
      <c r="K15" s="24"/>
      <c r="L15" s="27" t="s">
        <v>307</v>
      </c>
      <c r="N15" s="22" t="s">
        <v>125</v>
      </c>
      <c r="O15" s="20" t="s">
        <v>126</v>
      </c>
      <c r="P15" s="20" t="s">
        <v>127</v>
      </c>
      <c r="Q15" s="20" t="s">
        <v>128</v>
      </c>
      <c r="R15" s="24"/>
      <c r="S15" s="24"/>
    </row>
    <row r="16" spans="1:24" ht="19.5">
      <c r="F16" s="22" t="s">
        <v>99</v>
      </c>
      <c r="G16" s="20" t="s">
        <v>100</v>
      </c>
      <c r="H16" s="20" t="s">
        <v>101</v>
      </c>
      <c r="I16" s="20" t="s">
        <v>102</v>
      </c>
      <c r="J16" s="28"/>
      <c r="K16" s="24"/>
      <c r="L16" s="24"/>
      <c r="N16" s="22" t="s">
        <v>131</v>
      </c>
      <c r="O16" s="20" t="s">
        <v>126</v>
      </c>
      <c r="P16" s="20" t="s">
        <v>132</v>
      </c>
      <c r="Q16" s="20" t="s">
        <v>133</v>
      </c>
      <c r="R16" s="24"/>
      <c r="S16" s="24"/>
    </row>
    <row r="17" spans="3:22" ht="19.5">
      <c r="F17" s="22" t="s">
        <v>103</v>
      </c>
      <c r="G17" s="20" t="s">
        <v>104</v>
      </c>
      <c r="H17" s="20" t="s">
        <v>105</v>
      </c>
      <c r="I17" s="20" t="s">
        <v>106</v>
      </c>
      <c r="J17" s="28"/>
      <c r="K17" s="24"/>
      <c r="L17" s="24"/>
      <c r="N17" s="22" t="s">
        <v>134</v>
      </c>
      <c r="O17" s="20" t="s">
        <v>119</v>
      </c>
      <c r="P17" s="20" t="s">
        <v>135</v>
      </c>
      <c r="Q17" s="20" t="s">
        <v>25</v>
      </c>
      <c r="R17" s="24"/>
      <c r="S17" s="24"/>
    </row>
    <row r="18" spans="3:22" ht="19.5">
      <c r="C18" s="33"/>
      <c r="F18" s="22" t="s">
        <v>141</v>
      </c>
      <c r="G18" s="20" t="s">
        <v>9</v>
      </c>
      <c r="H18" s="20" t="s">
        <v>142</v>
      </c>
      <c r="I18" s="20" t="s">
        <v>124</v>
      </c>
      <c r="J18" s="28"/>
      <c r="K18" s="24"/>
      <c r="L18" s="24"/>
      <c r="N18" s="22" t="s">
        <v>136</v>
      </c>
      <c r="O18" s="20" t="s">
        <v>137</v>
      </c>
      <c r="P18" s="20" t="s">
        <v>138</v>
      </c>
      <c r="Q18" s="20" t="s">
        <v>68</v>
      </c>
      <c r="R18" s="24"/>
      <c r="S18" s="24"/>
    </row>
    <row r="19" spans="3:22" ht="18.75">
      <c r="F19" s="22" t="s">
        <v>152</v>
      </c>
      <c r="G19" s="20" t="s">
        <v>5</v>
      </c>
      <c r="H19" s="20" t="s">
        <v>153</v>
      </c>
      <c r="I19" s="20" t="s">
        <v>154</v>
      </c>
      <c r="J19" s="26">
        <v>80000</v>
      </c>
      <c r="K19" s="27" t="s">
        <v>307</v>
      </c>
      <c r="L19" s="24"/>
      <c r="N19" s="22" t="s">
        <v>139</v>
      </c>
      <c r="O19" s="20" t="s">
        <v>27</v>
      </c>
      <c r="P19" s="20" t="s">
        <v>140</v>
      </c>
      <c r="Q19" s="20" t="s">
        <v>56</v>
      </c>
      <c r="R19" s="24"/>
      <c r="S19" s="24"/>
    </row>
    <row r="20" spans="3:22" ht="19.5">
      <c r="F20" s="22" t="s">
        <v>155</v>
      </c>
      <c r="G20" s="20" t="s">
        <v>156</v>
      </c>
      <c r="H20" s="20" t="s">
        <v>157</v>
      </c>
      <c r="I20" s="20" t="s">
        <v>158</v>
      </c>
      <c r="J20" s="28"/>
      <c r="K20" s="24"/>
      <c r="L20" s="24"/>
      <c r="N20" s="22" t="s">
        <v>146</v>
      </c>
      <c r="O20" s="20" t="s">
        <v>147</v>
      </c>
      <c r="P20" s="20" t="s">
        <v>148</v>
      </c>
      <c r="Q20" s="20" t="s">
        <v>109</v>
      </c>
      <c r="R20" s="24"/>
      <c r="S20" s="24"/>
    </row>
    <row r="21" spans="3:22" ht="19.5">
      <c r="F21" s="22" t="s">
        <v>159</v>
      </c>
      <c r="G21" s="20" t="s">
        <v>9</v>
      </c>
      <c r="H21" s="20" t="s">
        <v>160</v>
      </c>
      <c r="I21" s="20" t="s">
        <v>17</v>
      </c>
      <c r="J21" s="28"/>
      <c r="K21" s="24"/>
      <c r="L21" s="24"/>
      <c r="N21" s="22" t="s">
        <v>161</v>
      </c>
      <c r="O21" s="20" t="s">
        <v>137</v>
      </c>
      <c r="P21" s="20" t="s">
        <v>162</v>
      </c>
      <c r="Q21" s="20" t="s">
        <v>163</v>
      </c>
      <c r="R21" s="24"/>
      <c r="S21" s="24"/>
    </row>
    <row r="22" spans="3:22" ht="19.5">
      <c r="F22" s="22" t="s">
        <v>164</v>
      </c>
      <c r="G22" s="20" t="s">
        <v>15</v>
      </c>
      <c r="H22" s="20" t="s">
        <v>165</v>
      </c>
      <c r="I22" s="20" t="s">
        <v>124</v>
      </c>
      <c r="J22" s="28"/>
      <c r="K22" s="24"/>
      <c r="L22" s="24"/>
      <c r="N22" s="22" t="s">
        <v>201</v>
      </c>
      <c r="O22" s="20" t="s">
        <v>137</v>
      </c>
      <c r="P22" s="20" t="s">
        <v>202</v>
      </c>
      <c r="Q22" s="20" t="s">
        <v>203</v>
      </c>
      <c r="R22" s="34">
        <v>125000</v>
      </c>
      <c r="S22" s="25" t="s">
        <v>307</v>
      </c>
      <c r="V22" s="35"/>
    </row>
    <row r="23" spans="3:22" ht="19.5">
      <c r="F23" s="22" t="s">
        <v>166</v>
      </c>
      <c r="G23" s="20" t="s">
        <v>156</v>
      </c>
      <c r="H23" s="20" t="s">
        <v>167</v>
      </c>
      <c r="I23" s="20" t="s">
        <v>168</v>
      </c>
      <c r="J23" s="28"/>
      <c r="K23" s="24"/>
      <c r="L23" s="24"/>
      <c r="N23" s="22" t="s">
        <v>210</v>
      </c>
      <c r="O23" s="20" t="s">
        <v>27</v>
      </c>
      <c r="P23" s="20" t="s">
        <v>211</v>
      </c>
      <c r="Q23" s="20" t="s">
        <v>212</v>
      </c>
      <c r="R23" s="24"/>
      <c r="S23" s="24"/>
    </row>
    <row r="24" spans="3:22" ht="19.5">
      <c r="F24" s="22" t="s">
        <v>169</v>
      </c>
      <c r="G24" s="20" t="s">
        <v>5</v>
      </c>
      <c r="H24" s="20" t="s">
        <v>170</v>
      </c>
      <c r="I24" s="20" t="s">
        <v>163</v>
      </c>
      <c r="J24" s="28"/>
      <c r="K24" s="24"/>
      <c r="L24" s="24"/>
      <c r="N24" s="22" t="s">
        <v>213</v>
      </c>
      <c r="O24" s="20" t="s">
        <v>214</v>
      </c>
      <c r="P24" s="20" t="s">
        <v>215</v>
      </c>
      <c r="Q24" s="20" t="s">
        <v>216</v>
      </c>
      <c r="R24" s="24"/>
      <c r="S24" s="24"/>
    </row>
    <row r="25" spans="3:22" ht="19.5">
      <c r="F25" s="22" t="s">
        <v>175</v>
      </c>
      <c r="G25" s="20" t="s">
        <v>35</v>
      </c>
      <c r="H25" s="20" t="s">
        <v>176</v>
      </c>
      <c r="I25" s="20" t="s">
        <v>177</v>
      </c>
      <c r="J25" s="28"/>
      <c r="K25" s="24"/>
      <c r="L25" s="27" t="s">
        <v>307</v>
      </c>
      <c r="N25" s="22" t="s">
        <v>224</v>
      </c>
      <c r="O25" s="20" t="s">
        <v>27</v>
      </c>
      <c r="P25" s="20" t="s">
        <v>225</v>
      </c>
      <c r="Q25" s="20" t="s">
        <v>226</v>
      </c>
      <c r="R25" s="24"/>
      <c r="S25" s="24"/>
    </row>
    <row r="26" spans="3:22" ht="19.5">
      <c r="F26" s="22" t="s">
        <v>181</v>
      </c>
      <c r="G26" s="20" t="s">
        <v>93</v>
      </c>
      <c r="H26" s="20" t="s">
        <v>182</v>
      </c>
      <c r="I26" s="20" t="s">
        <v>183</v>
      </c>
      <c r="J26" s="28"/>
      <c r="K26" s="24"/>
      <c r="L26" s="24"/>
      <c r="N26" s="22" t="s">
        <v>232</v>
      </c>
      <c r="O26" s="20" t="s">
        <v>27</v>
      </c>
      <c r="P26" s="20" t="s">
        <v>233</v>
      </c>
      <c r="Q26" s="20" t="s">
        <v>21</v>
      </c>
      <c r="R26" s="24"/>
      <c r="S26" s="24"/>
    </row>
    <row r="27" spans="3:22" ht="19.5">
      <c r="F27" s="22" t="s">
        <v>184</v>
      </c>
      <c r="G27" s="20" t="s">
        <v>15</v>
      </c>
      <c r="H27" s="20" t="s">
        <v>185</v>
      </c>
      <c r="I27" s="20" t="s">
        <v>78</v>
      </c>
      <c r="J27" s="28"/>
      <c r="K27" s="24"/>
      <c r="L27" s="24"/>
      <c r="N27" s="22" t="s">
        <v>239</v>
      </c>
      <c r="O27" s="20" t="s">
        <v>27</v>
      </c>
      <c r="P27" s="20" t="s">
        <v>240</v>
      </c>
      <c r="Q27" s="20" t="s">
        <v>241</v>
      </c>
      <c r="R27" s="24"/>
      <c r="S27" s="24"/>
    </row>
    <row r="28" spans="3:22" ht="19.5">
      <c r="F28" s="22" t="s">
        <v>186</v>
      </c>
      <c r="G28" s="20" t="s">
        <v>104</v>
      </c>
      <c r="H28" s="20" t="s">
        <v>187</v>
      </c>
      <c r="I28" s="20" t="s">
        <v>17</v>
      </c>
      <c r="J28" s="28"/>
      <c r="K28" s="24"/>
      <c r="L28" s="24"/>
      <c r="N28" s="22" t="s">
        <v>242</v>
      </c>
      <c r="O28" s="20" t="s">
        <v>86</v>
      </c>
      <c r="P28" s="20" t="s">
        <v>243</v>
      </c>
      <c r="Q28" s="20" t="s">
        <v>109</v>
      </c>
      <c r="R28" s="24"/>
      <c r="S28" s="24"/>
    </row>
    <row r="29" spans="3:22" ht="19.5">
      <c r="F29" s="22" t="s">
        <v>188</v>
      </c>
      <c r="G29" s="20" t="s">
        <v>15</v>
      </c>
      <c r="H29" s="20" t="s">
        <v>189</v>
      </c>
      <c r="I29" s="20" t="s">
        <v>43</v>
      </c>
      <c r="J29" s="28"/>
      <c r="K29" s="24"/>
      <c r="L29" s="24"/>
      <c r="N29" s="22" t="s">
        <v>245</v>
      </c>
      <c r="O29" s="20" t="s">
        <v>246</v>
      </c>
      <c r="P29" s="20" t="s">
        <v>247</v>
      </c>
      <c r="Q29" s="20" t="s">
        <v>203</v>
      </c>
      <c r="R29" s="24"/>
      <c r="S29" s="24"/>
    </row>
    <row r="30" spans="3:22" ht="19.5">
      <c r="F30" s="22" t="s">
        <v>198</v>
      </c>
      <c r="G30" s="20" t="s">
        <v>93</v>
      </c>
      <c r="H30" s="20" t="s">
        <v>199</v>
      </c>
      <c r="I30" s="20" t="s">
        <v>200</v>
      </c>
      <c r="J30" s="28"/>
      <c r="K30" s="24"/>
      <c r="L30" s="24"/>
      <c r="N30" s="22" t="s">
        <v>254</v>
      </c>
      <c r="O30" s="20" t="s">
        <v>90</v>
      </c>
      <c r="P30" s="20" t="s">
        <v>255</v>
      </c>
      <c r="Q30" s="20" t="s">
        <v>88</v>
      </c>
      <c r="R30" s="24"/>
      <c r="S30" s="24"/>
    </row>
    <row r="31" spans="3:22" ht="19.5">
      <c r="F31" s="22" t="s">
        <v>208</v>
      </c>
      <c r="G31" s="20" t="s">
        <v>15</v>
      </c>
      <c r="H31" s="20" t="s">
        <v>209</v>
      </c>
      <c r="I31" s="20" t="s">
        <v>59</v>
      </c>
      <c r="J31" s="28"/>
      <c r="K31" s="24"/>
      <c r="L31" s="24"/>
      <c r="N31" s="22" t="s">
        <v>256</v>
      </c>
      <c r="O31" s="20" t="s">
        <v>83</v>
      </c>
      <c r="P31" s="20" t="s">
        <v>257</v>
      </c>
      <c r="Q31" s="20" t="s">
        <v>33</v>
      </c>
      <c r="R31" s="24"/>
      <c r="S31" s="24"/>
    </row>
    <row r="32" spans="3:22" ht="19.5">
      <c r="F32" s="22" t="s">
        <v>217</v>
      </c>
      <c r="G32" s="20" t="s">
        <v>104</v>
      </c>
      <c r="H32" s="20" t="s">
        <v>218</v>
      </c>
      <c r="I32" s="20" t="s">
        <v>17</v>
      </c>
      <c r="J32" s="28"/>
      <c r="K32" s="24"/>
      <c r="L32" s="24"/>
      <c r="N32" s="22" t="s">
        <v>258</v>
      </c>
      <c r="O32" s="20" t="s">
        <v>119</v>
      </c>
      <c r="P32" s="20" t="s">
        <v>259</v>
      </c>
      <c r="Q32" s="20" t="s">
        <v>43</v>
      </c>
      <c r="R32" s="24"/>
      <c r="S32" s="24"/>
    </row>
    <row r="33" spans="6:19" ht="19.5">
      <c r="F33" s="22" t="s">
        <v>219</v>
      </c>
      <c r="G33" s="20" t="s">
        <v>5</v>
      </c>
      <c r="H33" s="20" t="s">
        <v>220</v>
      </c>
      <c r="I33" s="20" t="s">
        <v>203</v>
      </c>
      <c r="J33" s="28"/>
      <c r="K33" s="24"/>
      <c r="L33" s="24"/>
      <c r="N33" s="22" t="s">
        <v>263</v>
      </c>
      <c r="O33" s="20" t="s">
        <v>39</v>
      </c>
      <c r="P33" s="20" t="s">
        <v>264</v>
      </c>
      <c r="Q33" s="20" t="s">
        <v>68</v>
      </c>
      <c r="R33" s="24"/>
      <c r="S33" s="24"/>
    </row>
    <row r="34" spans="6:19" ht="19.5">
      <c r="F34" s="22" t="s">
        <v>230</v>
      </c>
      <c r="G34" s="20" t="s">
        <v>9</v>
      </c>
      <c r="H34" s="20" t="s">
        <v>231</v>
      </c>
      <c r="I34" s="20" t="s">
        <v>17</v>
      </c>
      <c r="J34" s="28"/>
      <c r="K34" s="24"/>
      <c r="L34" s="24"/>
      <c r="N34" s="22" t="s">
        <v>268</v>
      </c>
      <c r="O34" s="20" t="s">
        <v>45</v>
      </c>
      <c r="P34" s="20" t="s">
        <v>269</v>
      </c>
      <c r="Q34" s="20" t="s">
        <v>43</v>
      </c>
      <c r="R34" s="24"/>
      <c r="S34" s="24"/>
    </row>
    <row r="35" spans="6:19" ht="19.5">
      <c r="F35" s="22" t="s">
        <v>234</v>
      </c>
      <c r="G35" s="20" t="s">
        <v>9</v>
      </c>
      <c r="H35" s="20" t="s">
        <v>46</v>
      </c>
      <c r="I35" s="20" t="s">
        <v>17</v>
      </c>
      <c r="J35" s="28"/>
      <c r="K35" s="24"/>
      <c r="L35" s="24"/>
      <c r="N35" s="22" t="s">
        <v>270</v>
      </c>
      <c r="O35" s="20" t="s">
        <v>214</v>
      </c>
      <c r="P35" s="20" t="s">
        <v>271</v>
      </c>
      <c r="Q35" s="20" t="s">
        <v>43</v>
      </c>
      <c r="R35" s="24"/>
      <c r="S35" s="24"/>
    </row>
    <row r="36" spans="6:19" ht="19.5">
      <c r="F36" s="22" t="s">
        <v>235</v>
      </c>
      <c r="G36" s="20" t="s">
        <v>9</v>
      </c>
      <c r="H36" s="20" t="s">
        <v>236</v>
      </c>
      <c r="I36" s="20" t="s">
        <v>17</v>
      </c>
      <c r="J36" s="28"/>
      <c r="K36" s="24"/>
      <c r="L36" s="24"/>
      <c r="N36" s="22" t="s">
        <v>289</v>
      </c>
      <c r="O36" s="20" t="s">
        <v>27</v>
      </c>
      <c r="P36" s="20" t="s">
        <v>290</v>
      </c>
      <c r="Q36" s="20" t="s">
        <v>291</v>
      </c>
      <c r="R36" s="24"/>
      <c r="S36" s="24"/>
    </row>
    <row r="37" spans="6:19" ht="19.5">
      <c r="F37" s="22" t="s">
        <v>237</v>
      </c>
      <c r="G37" s="20" t="s">
        <v>5</v>
      </c>
      <c r="H37" s="20" t="s">
        <v>238</v>
      </c>
      <c r="I37" s="20" t="s">
        <v>11</v>
      </c>
      <c r="J37" s="28"/>
      <c r="K37" s="24"/>
      <c r="L37" s="24"/>
      <c r="N37" s="22" t="s">
        <v>292</v>
      </c>
      <c r="O37" s="20" t="s">
        <v>86</v>
      </c>
      <c r="P37" s="20" t="s">
        <v>293</v>
      </c>
      <c r="Q37" s="20" t="s">
        <v>294</v>
      </c>
      <c r="R37" s="24"/>
      <c r="S37" s="24"/>
    </row>
    <row r="38" spans="6:19" ht="19.5">
      <c r="F38" s="22" t="s">
        <v>244</v>
      </c>
      <c r="G38" s="20" t="s">
        <v>15</v>
      </c>
      <c r="H38" s="20" t="s">
        <v>16</v>
      </c>
      <c r="I38" s="20" t="s">
        <v>17</v>
      </c>
      <c r="J38" s="28"/>
      <c r="K38" s="24"/>
      <c r="L38" s="24"/>
      <c r="N38" s="22" t="s">
        <v>295</v>
      </c>
      <c r="O38" s="20" t="s">
        <v>90</v>
      </c>
      <c r="P38" s="20" t="s">
        <v>296</v>
      </c>
      <c r="Q38" s="20" t="s">
        <v>297</v>
      </c>
      <c r="R38" s="24"/>
      <c r="S38" s="24"/>
    </row>
    <row r="39" spans="6:19" ht="19.5">
      <c r="F39" s="22" t="s">
        <v>260</v>
      </c>
      <c r="G39" s="20" t="s">
        <v>5</v>
      </c>
      <c r="H39" s="20" t="s">
        <v>261</v>
      </c>
      <c r="I39" s="20" t="s">
        <v>262</v>
      </c>
      <c r="J39" s="28"/>
      <c r="K39" s="24"/>
      <c r="L39" s="24"/>
    </row>
    <row r="40" spans="6:19" ht="19.5">
      <c r="F40" s="22" t="s">
        <v>265</v>
      </c>
      <c r="G40" s="20" t="s">
        <v>100</v>
      </c>
      <c r="H40" s="20" t="s">
        <v>266</v>
      </c>
      <c r="I40" s="20" t="s">
        <v>267</v>
      </c>
      <c r="J40" s="28"/>
      <c r="K40" s="24"/>
      <c r="L40" s="24"/>
    </row>
    <row r="41" spans="6:19" ht="19.5">
      <c r="F41" s="22" t="s">
        <v>272</v>
      </c>
      <c r="G41" s="20" t="s">
        <v>100</v>
      </c>
      <c r="H41" s="20" t="s">
        <v>273</v>
      </c>
      <c r="I41" s="20" t="s">
        <v>21</v>
      </c>
      <c r="J41" s="28"/>
      <c r="K41" s="24"/>
      <c r="L41" s="24"/>
    </row>
    <row r="42" spans="6:19" ht="19.5">
      <c r="F42" s="22" t="s">
        <v>274</v>
      </c>
      <c r="G42" s="20" t="s">
        <v>9</v>
      </c>
      <c r="H42" s="20" t="s">
        <v>275</v>
      </c>
      <c r="I42" s="20" t="s">
        <v>124</v>
      </c>
      <c r="J42" s="28"/>
      <c r="K42" s="24"/>
      <c r="L42" s="24"/>
    </row>
    <row r="43" spans="6:19" ht="19.5">
      <c r="F43" s="22" t="s">
        <v>278</v>
      </c>
      <c r="G43" s="20" t="s">
        <v>9</v>
      </c>
      <c r="H43" s="20" t="s">
        <v>279</v>
      </c>
      <c r="I43" s="20" t="s">
        <v>280</v>
      </c>
      <c r="J43" s="28"/>
      <c r="K43" s="24"/>
      <c r="L43" s="24"/>
    </row>
    <row r="44" spans="6:19" ht="19.5">
      <c r="F44" s="22" t="s">
        <v>281</v>
      </c>
      <c r="G44" s="20" t="s">
        <v>9</v>
      </c>
      <c r="H44" s="20" t="s">
        <v>282</v>
      </c>
      <c r="I44" s="20" t="s">
        <v>203</v>
      </c>
      <c r="J44" s="28"/>
      <c r="K44" s="24"/>
      <c r="L44" s="24"/>
    </row>
    <row r="45" spans="6:19" ht="18">
      <c r="J45" s="36"/>
    </row>
    <row r="46" spans="6:19" ht="18">
      <c r="I46" s="37"/>
      <c r="J46" s="36"/>
    </row>
  </sheetData>
  <hyperlinks>
    <hyperlink ref="A2" r:id="rId1" display="http://www.biodieselmagazine.com/plants/listplants/USA/page:1/sort:name/direction:desc" xr:uid="{BD2DF327-89A1-444B-94C7-581AB3B891EC}"/>
    <hyperlink ref="B2" r:id="rId2" display="http://www.biodieselmagazine.com/plants/listplants/USA/page:1/sort:state/direction:asc" xr:uid="{D9BA7324-20DF-4688-9648-AF8388DABE79}"/>
    <hyperlink ref="C2" r:id="rId3" display="http://www.biodieselmagazine.com/plants/listplants/USA/page:1/sort:city/direction:asc" xr:uid="{6FBAA277-C367-4F88-A50A-3B9037B9F16B}"/>
    <hyperlink ref="D2" r:id="rId4" display="http://www.biodieselmagazine.com/plants/listplants/USA/page:1/sort:capacity/direction:asc" xr:uid="{F2D297B4-8F3F-4C15-8270-E7087518A5D0}"/>
    <hyperlink ref="A3" r:id="rId5" display="http://www.biodieselmagazine.com/plants/view/5244" xr:uid="{89606AD7-54CD-4DC1-B1D0-091890D4A3F8}"/>
    <hyperlink ref="A4" r:id="rId6" display="http://www.biodieselmagazine.com/plants/view/5057" xr:uid="{725A3936-00F7-4E4B-8C81-F571FFD37137}"/>
    <hyperlink ref="A5" r:id="rId7" display="http://www.biodieselmagazine.com/plants/view/5291" xr:uid="{80720598-D9E1-4AD7-9BB6-6CCFC430E6B7}"/>
    <hyperlink ref="A6" r:id="rId8" display="http://www.biodieselmagazine.com/plants/view/5065" xr:uid="{DA4F8C6D-5875-405F-938B-EEC5E6CDA8C8}"/>
    <hyperlink ref="A7" r:id="rId9" display="http://www.biodieselmagazine.com/plants/view/5090" xr:uid="{E134BD28-FB9E-4760-B83C-FB1660077784}"/>
    <hyperlink ref="A8" r:id="rId10" display="http://www.biodieselmagazine.com/plants/view/5254" xr:uid="{74B5B567-FDEA-435B-8245-233397C7EEA3}"/>
    <hyperlink ref="A9" r:id="rId11" display="http://www.biodieselmagazine.com/plants/view/5106" xr:uid="{A11B8649-C493-4F8E-8E5A-B4507D1DEDDB}"/>
    <hyperlink ref="A10" r:id="rId12" display="http://www.biodieselmagazine.com/plants/view/5131" xr:uid="{D5BE7D98-0526-413A-829C-FCC15564B5C7}"/>
    <hyperlink ref="A11" r:id="rId13" display="http://www.biodieselmagazine.com/plants/view/5165" xr:uid="{F6AE35C0-0607-4E44-A963-0A640FCF8A9C}"/>
    <hyperlink ref="A12" r:id="rId14" display="http://www.biodieselmagazine.com/plants/view/5262" xr:uid="{8D3864CB-0525-4468-89C1-7A80D5BFB8D1}"/>
    <hyperlink ref="A13" r:id="rId15" display="http://www.biodieselmagazine.com/plants/view/5181" xr:uid="{13451CDB-914D-4CFD-95EF-DD11FCED2D34}"/>
    <hyperlink ref="A14" r:id="rId16" display="http://www.biodieselmagazine.com/plants/view/5237" xr:uid="{1304C05C-2BF1-4923-83EA-A7BBC713661B}"/>
    <hyperlink ref="F2" r:id="rId17" display="http://www.biodieselmagazine.com/plants/listplants/USA/page:1/sort:name/direction:desc" xr:uid="{AD045ADE-0025-4D47-8F36-65BB995A2B65}"/>
    <hyperlink ref="G2" r:id="rId18" display="http://www.biodieselmagazine.com/plants/listplants/USA/page:1/sort:state/direction:asc" xr:uid="{CAA3204D-521E-453E-BFDB-607D28FEA53A}"/>
    <hyperlink ref="H2" r:id="rId19" display="http://www.biodieselmagazine.com/plants/listplants/USA/page:1/sort:city/direction:asc" xr:uid="{94A854D1-478D-4FB5-ACE9-0A4D6297083B}"/>
    <hyperlink ref="I2" r:id="rId20" display="http://www.biodieselmagazine.com/plants/listplants/USA/page:1/sort:capacity/direction:asc" xr:uid="{E7768315-A059-4602-9155-8A05D95181F6}"/>
    <hyperlink ref="F3" r:id="rId21" display="http://www.biodieselmagazine.com/plants/view/5024" xr:uid="{055CA736-FF81-46D5-856A-7FC0BAADE793}"/>
    <hyperlink ref="F4" r:id="rId22" display="http://www.biodieselmagazine.com/plants/view/5241" xr:uid="{3F07E820-901C-4995-81EA-E38AD7833090}"/>
    <hyperlink ref="F5" r:id="rId23" display="http://www.biodieselmagazine.com/plants/view/5242" xr:uid="{60E99617-7280-4D7B-B54A-952ECAC78976}"/>
    <hyperlink ref="F6" r:id="rId24" display="http://www.biodieselmagazine.com/plants/view/5243" xr:uid="{10F8386C-AC92-47FC-8858-51102D0FBA94}"/>
    <hyperlink ref="F7" r:id="rId25" display="http://www.biodieselmagazine.com/plants/view/5039" xr:uid="{E3A3324C-5673-43BB-BFB2-3924503F1D81}"/>
    <hyperlink ref="F8" r:id="rId26" display="http://www.biodieselmagazine.com/plants/view/5051" xr:uid="{190BDC60-17CC-4D27-81E3-1199BA6EE4D1}"/>
    <hyperlink ref="F9" r:id="rId27" display="http://www.biodieselmagazine.com/plants/view/5247" xr:uid="{FECC577E-846E-4652-8B11-DBBB64F95147}"/>
    <hyperlink ref="F10" r:id="rId28" display="http://www.biodieselmagazine.com/plants/view/5248" xr:uid="{48CA1418-F009-49D3-BC2B-C226100123D6}"/>
    <hyperlink ref="F11" r:id="rId29" display="http://www.biodieselmagazine.com/plants/view/5292" xr:uid="{D19A0D3E-467B-4E8F-B558-CF26BAC71BD4}"/>
    <hyperlink ref="F12" r:id="rId30" display="http://www.biodieselmagazine.com/plants/view/5063" xr:uid="{F3641E4B-835B-494C-861A-7786BDC7FD68}"/>
    <hyperlink ref="F13" r:id="rId31" display="http://www.biodieselmagazine.com/plants/view/5069" xr:uid="{C2D268B3-92CA-4A6A-A5B7-65735297BDFF}"/>
    <hyperlink ref="F14" r:id="rId32" display="http://www.biodieselmagazine.com/plants/view/5293" xr:uid="{C778D221-F0AD-4233-9F7A-8C4A0C709DCC}"/>
    <hyperlink ref="F15" r:id="rId33" display="http://www.biodieselmagazine.com/plants/view/5308" xr:uid="{FAD30787-BB17-4B28-8D6E-BF6097F88447}"/>
    <hyperlink ref="F16" r:id="rId34" display="http://www.biodieselmagazine.com/plants/view/5251" xr:uid="{62240DE9-4569-4784-97AB-0E9A695AB66C}"/>
    <hyperlink ref="F17" r:id="rId35" display="http://www.biodieselmagazine.com/plants/view/5082" xr:uid="{A7FF111A-89B7-4B4D-8F8D-D680762C66FF}"/>
    <hyperlink ref="F18" r:id="rId36" display="http://www.biodieselmagazine.com/plants/view/5295" xr:uid="{7AA44A18-79D1-4F4C-8888-75692BC795B2}"/>
    <hyperlink ref="F19" r:id="rId37" display="http://www.biodieselmagazine.com/plants/view/5107" xr:uid="{ED82BE26-29FA-45B6-9228-2F71F30CD29F}"/>
    <hyperlink ref="F20" r:id="rId38" display="http://www.biodieselmagazine.com/plants/view/5258" xr:uid="{277666A8-45C2-4CCC-BAE2-094D641438DD}"/>
    <hyperlink ref="F21" r:id="rId39" display="http://www.biodieselmagazine.com/plants/view/5110" xr:uid="{9DF7520C-1074-4E8B-8700-B9BC458C1E9E}"/>
    <hyperlink ref="F22" r:id="rId40" display="http://www.biodieselmagazine.com/plants/view/5113" xr:uid="{27EDF0D3-A5FB-4B72-BAF3-81020D5A7881}"/>
    <hyperlink ref="F23" r:id="rId41" display="http://www.biodieselmagazine.com/plants/view/5114" xr:uid="{1E68147F-E6E2-4ED4-B66D-B644A0D3F0E7}"/>
    <hyperlink ref="F24" r:id="rId42" display="http://www.biodieselmagazine.com/plants/view/5232" xr:uid="{EB1488A8-0F6C-45D2-B128-82E281F8D0F8}"/>
    <hyperlink ref="F25" r:id="rId43" display="http://www.biodieselmagazine.com/plants/view/5312" xr:uid="{D9072980-FD6A-44A2-81CF-C332DFF3899F}"/>
    <hyperlink ref="F26" r:id="rId44" display="http://www.biodieselmagazine.com/plants/view/5299" xr:uid="{219B0E99-D1D5-4409-8616-853BEBE005F2}"/>
    <hyperlink ref="F27" r:id="rId45" display="http://www.biodieselmagazine.com/plants/view/5123" xr:uid="{DEA0BA64-442D-42B1-82AD-1CADE9C3F6D8}"/>
    <hyperlink ref="F28" r:id="rId46" display="http://www.biodieselmagazine.com/plants/view/5127" xr:uid="{D0986AD9-C736-44CA-9FD7-44B363634080}"/>
    <hyperlink ref="F29" r:id="rId47" display="http://www.biodieselmagazine.com/plants/view/5130" xr:uid="{D9B26C7B-99B4-42FD-9854-2143234B3535}"/>
    <hyperlink ref="F30" r:id="rId48" display="http://www.biodieselmagazine.com/plants/view/5141" xr:uid="{A62A32CA-5E9A-4334-A9A7-39BF75C51F4F}"/>
    <hyperlink ref="F31" r:id="rId49" display="http://www.biodieselmagazine.com/plants/view/5145" xr:uid="{DF72A544-D8A2-4049-9FE3-D12F5C92635E}"/>
    <hyperlink ref="F32" r:id="rId50" display="http://www.biodieselmagazine.com/plants/view/5159" xr:uid="{813729C3-0951-4462-9E52-076CBB4BEEE5}"/>
    <hyperlink ref="F33" r:id="rId51" display="http://www.biodieselmagazine.com/plants/view/5162" xr:uid="{15C59E10-5F99-4820-A56A-C42240E2A436}"/>
    <hyperlink ref="F34" r:id="rId52" display="http://www.biodieselmagazine.com/plants/view/5168" xr:uid="{3AA08092-0913-4E17-99BC-1335CAC094AB}"/>
    <hyperlink ref="F35" r:id="rId53" display="http://www.biodieselmagazine.com/plants/view/5236" xr:uid="{C4C95FBD-6664-41CF-BE6F-968AC5E649CE}"/>
    <hyperlink ref="F36" r:id="rId54" display="http://www.biodieselmagazine.com/plants/view/5172" xr:uid="{6F8C16D2-7934-4CE8-A4A2-79AE67596099}"/>
    <hyperlink ref="F37" r:id="rId55" display="http://www.biodieselmagazine.com/plants/view/5173" xr:uid="{251AC752-A984-41B2-AC78-92DD493222B0}"/>
    <hyperlink ref="F38" r:id="rId56" display="http://www.biodieselmagazine.com/plants/view/5260" xr:uid="{D9C2C85A-6233-4C7F-8493-80E7CD313468}"/>
    <hyperlink ref="F39" r:id="rId57" display="http://www.biodieselmagazine.com/plants/view/5265" xr:uid="{C9159E64-E92E-4C66-B668-D83A95ED7651}"/>
    <hyperlink ref="F40" r:id="rId58" display="http://www.biodieselmagazine.com/plants/view/5194" xr:uid="{95434A43-661D-4EF2-89C3-EC2008F74FFB}"/>
    <hyperlink ref="F41" r:id="rId59" display="http://www.biodieselmagazine.com/plants/view/5203" xr:uid="{8EDFF80F-3659-40B0-828A-1F4315D3AF80}"/>
    <hyperlink ref="F42" r:id="rId60" display="http://www.biodieselmagazine.com/plants/view/5267" xr:uid="{F8BA4130-E092-487E-B118-B5E3D25EC3B0}"/>
    <hyperlink ref="F43" r:id="rId61" display="http://www.biodieselmagazine.com/plants/view/5207" xr:uid="{BAA074D6-BB66-49F8-B042-A4305FFB80BF}"/>
    <hyperlink ref="F44" r:id="rId62" display="http://www.biodieselmagazine.com/plants/view/5208" xr:uid="{423BA564-3170-4F76-9682-AB344A59B640}"/>
    <hyperlink ref="N2" r:id="rId63" display="http://www.biodieselmagazine.com/plants/listplants/USA/page:1/sort:name/direction:desc" xr:uid="{69CEFCD8-6A39-418C-8890-D00DC6D16CC4}"/>
    <hyperlink ref="O2" r:id="rId64" display="http://www.biodieselmagazine.com/plants/listplants/USA/page:1/sort:state/direction:asc" xr:uid="{5660AB07-F3E0-4A14-A9BE-19B2BBB8559B}"/>
    <hyperlink ref="P2" r:id="rId65" display="http://www.biodieselmagazine.com/plants/listplants/USA/page:1/sort:city/direction:asc" xr:uid="{85124626-E8EA-4FDD-96CB-B76ED67C8309}"/>
    <hyperlink ref="Q2" r:id="rId66" display="http://www.biodieselmagazine.com/plants/listplants/USA/page:1/sort:capacity/direction:asc" xr:uid="{DBEA0E4D-D900-4FB7-8830-7A181A4C01DE}"/>
    <hyperlink ref="N3" r:id="rId67" display="http://www.biodieselmagazine.com/plants/view/5245" xr:uid="{8A07942D-DE0C-4DE3-8C85-8088BCD38882}"/>
    <hyperlink ref="N4" r:id="rId68" display="http://www.biodieselmagazine.com/plants/view/5048" xr:uid="{27CAEEAD-C09F-42F6-958A-1F4CF3130506}"/>
    <hyperlink ref="N5" r:id="rId69" display="http://www.biodieselmagazine.com/plants/view/5290" xr:uid="{06513C01-6A86-4B0E-94BF-93535FA0FF5A}"/>
    <hyperlink ref="N6" r:id="rId70" display="http://www.biodieselmagazine.com/plants/view/5227" xr:uid="{BB3FC918-C233-46BF-AB88-BAA98D39763E}"/>
    <hyperlink ref="N7" r:id="rId71" display="http://www.biodieselmagazine.com/plants/view/5228" xr:uid="{213B5398-965A-4ED9-9D0F-6E6FB80385B0}"/>
    <hyperlink ref="N8" r:id="rId72" display="http://www.biodieselmagazine.com/plants/view/5249" xr:uid="{26C0DA79-49A1-4C58-83F3-3399CE2C6451}"/>
    <hyperlink ref="N9" r:id="rId73" display="http://www.biodieselmagazine.com/plants/view/5250" xr:uid="{45219D16-B876-46EA-9078-354F07DFC5F8}"/>
    <hyperlink ref="N10" r:id="rId74" display="http://www.biodieselmagazine.com/plants/view/5077" xr:uid="{3132AA46-EC76-4CC7-892B-2F629DB8C33A}"/>
    <hyperlink ref="N11" r:id="rId75" display="http://www.biodieselmagazine.com/plants/view/5294" xr:uid="{23E9258C-91DC-486D-A10E-72EB8FF45730}"/>
    <hyperlink ref="N12" r:id="rId76" display="http://www.biodieselmagazine.com/plants/view/5089" xr:uid="{04545C41-B029-4CEC-8A61-2998B5BDB391}"/>
    <hyperlink ref="N13" r:id="rId77" display="http://www.biodieselmagazine.com/plants/view/5252" xr:uid="{82236519-6499-4D7D-8876-918A3E1F112B}"/>
    <hyperlink ref="N14" r:id="rId78" display="http://www.biodieselmagazine.com/plants/view/5253" xr:uid="{F5CA0EC6-5FC2-4A54-A6AF-6E81F45A7DC0}"/>
    <hyperlink ref="N15" r:id="rId79" display="http://www.biodieselmagazine.com/plants/view/5091" xr:uid="{77AF1596-D6CA-42EF-B9A1-626C228DCCD1}"/>
    <hyperlink ref="N16" r:id="rId80" display="http://www.biodieselmagazine.com/plants/view/5096" xr:uid="{1CEE9F75-2243-41E0-8DE3-28E584F43871}"/>
    <hyperlink ref="N17" r:id="rId81" display="http://www.biodieselmagazine.com/plants/view/5255" xr:uid="{3E2BBFC8-786B-4B14-963B-0AA3BC890213}"/>
    <hyperlink ref="N18" r:id="rId82" display="http://www.biodieselmagazine.com/plants/view/5099" xr:uid="{6C3FFE3F-AFFE-45A2-B734-0F2EE5A5B43A}"/>
    <hyperlink ref="N19" r:id="rId83" display="http://www.biodieselmagazine.com/plants/view/5100" xr:uid="{F3290EDF-2F88-4C7B-A2E4-466065FDE234}"/>
    <hyperlink ref="N20" r:id="rId84" display="http://www.biodieselmagazine.com/plants/view/5297" xr:uid="{7A3E99F3-4B5F-4EE2-98DD-276230D72FFD}"/>
    <hyperlink ref="N21" r:id="rId85" display="http://www.biodieselmagazine.com/plants/view/5112" xr:uid="{B153C7B6-3C44-4AF9-834C-6FB7CB0EC8DB}"/>
    <hyperlink ref="N22" r:id="rId86" display="http://www.biodieselmagazine.com/plants/view/5143" xr:uid="{DDA7AFDA-BDB4-409E-BB56-3798C9D317A7}"/>
    <hyperlink ref="N23" r:id="rId87" display="http://www.biodieselmagazine.com/plants/view/5300" xr:uid="{0C098476-3128-42C4-BDD7-8443C8B1B332}"/>
    <hyperlink ref="N24" r:id="rId88" display="http://www.biodieselmagazine.com/plants/view/5157" xr:uid="{3110AF8D-6918-4071-8E05-A8A908C8A412}"/>
    <hyperlink ref="N25" r:id="rId89" display="http://www.biodieselmagazine.com/plants/view/5166" xr:uid="{0E2EDC5E-DDFA-4A85-9CA2-5F84022BB484}"/>
    <hyperlink ref="N26" r:id="rId90" display="http://www.biodieselmagazine.com/plants/view/5169" xr:uid="{9284213F-F6C0-48BE-A02A-A18019966B42}"/>
    <hyperlink ref="N27" r:id="rId91" display="http://www.biodieselmagazine.com/plants/view/5175" xr:uid="{99D4EC85-DE9E-44A5-A1CA-A10EF97D0D3F}"/>
    <hyperlink ref="N28" r:id="rId92" display="http://www.biodieselmagazine.com/plants/view/5301" xr:uid="{160DFA25-5C31-49F5-BEF3-733F8C00CBF7}"/>
    <hyperlink ref="N29" r:id="rId93" display="http://www.biodieselmagazine.com/plants/view/5261" xr:uid="{6663A789-2D00-42E1-A741-F06EB54D1FDC}"/>
    <hyperlink ref="N30" r:id="rId94" display="http://www.biodieselmagazine.com/plants/view/5263" xr:uid="{6C850F8E-2A42-4B14-9FFB-B67EAC8503EE}"/>
    <hyperlink ref="N31" r:id="rId95" display="http://www.biodieselmagazine.com/plants/view/5302" xr:uid="{30A1078A-A21C-4F75-83D6-AB30E20429A6}"/>
    <hyperlink ref="N32" r:id="rId96" display="http://www.biodieselmagazine.com/plants/view/5264" xr:uid="{99F84A53-1244-468F-9C0A-3D1F1FFFDF02}"/>
    <hyperlink ref="N33" r:id="rId97" display="http://www.biodieselmagazine.com/plants/view/5186" xr:uid="{224B88ED-CDD1-450C-A414-FC860FC9607F}"/>
    <hyperlink ref="N34" r:id="rId98" display="http://www.biodieselmagazine.com/plants/view/5195" xr:uid="{3D0109BA-A72D-432F-B86F-566A8364326C}"/>
    <hyperlink ref="N35" r:id="rId99" display="http://www.biodieselmagazine.com/plants/view/5201" xr:uid="{8BB05EB5-D6A9-495A-B7FB-F2711EF9F9E3}"/>
    <hyperlink ref="N36" r:id="rId100" display="http://www.biodieselmagazine.com/plants/view/5270" xr:uid="{759E520A-6D79-4223-97D0-E47FBE9CE934}"/>
    <hyperlink ref="N37" r:id="rId101" display="http://www.biodieselmagazine.com/plants/view/5213" xr:uid="{3049E119-6317-4D83-BF53-18C64D08D182}"/>
    <hyperlink ref="N38" r:id="rId102" display="http://www.biodieselmagazine.com/plants/view/5214" xr:uid="{063B0F66-646C-456D-8738-5E49BD6B9FA9}"/>
    <hyperlink ref="U2" r:id="rId103" display="http://www.biodieselmagazine.com/plants/listplants/USA/page:1/sort:name/direction:desc" xr:uid="{A367CDF1-DD0F-4F5D-87C4-1C35E8A1CA17}"/>
    <hyperlink ref="V2" r:id="rId104" display="http://www.biodieselmagazine.com/plants/listplants/USA/page:1/sort:state/direction:asc" xr:uid="{9DA231EB-AB07-4D3A-A3ED-A86EC6961137}"/>
    <hyperlink ref="W2" r:id="rId105" display="http://www.biodieselmagazine.com/plants/listplants/USA/page:1/sort:city/direction:asc" xr:uid="{6902A801-DA49-4EC1-8843-800F813D05DE}"/>
    <hyperlink ref="X2" r:id="rId106" display="http://www.biodieselmagazine.com/plants/listplants/USA/page:1/sort:capacity/direction:asc" xr:uid="{723E8A76-2AFC-44BE-8567-2E0FED073161}"/>
    <hyperlink ref="U3" r:id="rId107" display="http://www.biodieselmagazine.com/plants/view/5219" xr:uid="{AEBB0ED7-DB7E-4662-A647-1D82CCE0C386}"/>
    <hyperlink ref="U4" r:id="rId108" display="http://www.biodieselmagazine.com/plants/view/5223" xr:uid="{BC1EBB0E-45A6-4BC3-B3C8-96EC58B92AD7}"/>
    <hyperlink ref="U5" r:id="rId109" display="http://www.biodieselmagazine.com/plants/view/5088" xr:uid="{8EE76CA7-DD46-4F4F-B9C0-666204053FD0}"/>
    <hyperlink ref="U6" r:id="rId110" display="http://www.biodieselmagazine.com/plants/view/5296" xr:uid="{786F76A9-D77E-4C8F-98F6-498C77435B23}"/>
    <hyperlink ref="U7" r:id="rId111" display="http://www.biodieselmagazine.com/plants/view/5298" xr:uid="{4FFA118F-4E00-405F-964C-A91FCD68B78F}"/>
    <hyperlink ref="U8" r:id="rId112" display="http://www.biodieselmagazine.com/plants/view/5119" xr:uid="{CF1AC4FC-A075-440C-A0FB-CCDA7CAD0E8A}"/>
    <hyperlink ref="U9" r:id="rId113" display="http://www.biodieselmagazine.com/plants/view/5132" xr:uid="{CD7D56AB-4457-40EE-A2FC-BEC11CB07582}"/>
    <hyperlink ref="U10" r:id="rId114" display="http://www.biodieselmagazine.com/plants/view/5135" xr:uid="{1D5D9AC8-DEB4-4546-8C75-9AAE5FC48131}"/>
    <hyperlink ref="U11" r:id="rId115" display="http://www.biodieselmagazine.com/plants/view/5209" xr:uid="{8780239C-D3CB-42F5-8394-C6BD916BDECA}"/>
    <hyperlink ref="U12" r:id="rId116" display="http://www.biodieselmagazine.com/plants/view/5269" xr:uid="{5E8FF982-7B5F-4315-A1B4-45ED074DAE9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6EB4-EED4-466F-8455-712EA8FE8274}">
  <dimension ref="A1:AR16"/>
  <sheetViews>
    <sheetView workbookViewId="0">
      <selection activeCell="A26" sqref="A26:XFD26"/>
    </sheetView>
  </sheetViews>
  <sheetFormatPr defaultColWidth="11" defaultRowHeight="15.75"/>
  <cols>
    <col min="1" max="1" width="16.875" bestFit="1" customWidth="1"/>
    <col min="2" max="2" width="15.125" bestFit="1" customWidth="1"/>
    <col min="4" max="4" width="13" bestFit="1" customWidth="1"/>
    <col min="5" max="5" width="15" bestFit="1" customWidth="1"/>
    <col min="6" max="6" width="15.125" bestFit="1" customWidth="1"/>
    <col min="7" max="7" width="15" bestFit="1" customWidth="1"/>
    <col min="8" max="9" width="14" bestFit="1" customWidth="1"/>
    <col min="13" max="13" width="12.5" bestFit="1" customWidth="1"/>
    <col min="17" max="17" width="13" bestFit="1" customWidth="1"/>
    <col min="20" max="20" width="14" bestFit="1" customWidth="1"/>
    <col min="21" max="21" width="15" bestFit="1" customWidth="1"/>
  </cols>
  <sheetData>
    <row r="1" spans="1:44" ht="51">
      <c r="A1" s="38" t="s">
        <v>308</v>
      </c>
      <c r="B1" s="39" t="s">
        <v>309</v>
      </c>
      <c r="C1" s="40" t="s">
        <v>310</v>
      </c>
      <c r="D1" s="41" t="s">
        <v>311</v>
      </c>
      <c r="E1" s="40" t="s">
        <v>312</v>
      </c>
      <c r="F1" s="39" t="s">
        <v>313</v>
      </c>
      <c r="G1" s="40" t="s">
        <v>314</v>
      </c>
      <c r="H1" s="42" t="s">
        <v>315</v>
      </c>
      <c r="I1" s="42" t="s">
        <v>316</v>
      </c>
      <c r="J1" s="40" t="s">
        <v>317</v>
      </c>
      <c r="K1" s="40" t="s">
        <v>318</v>
      </c>
      <c r="L1" s="40" t="s">
        <v>319</v>
      </c>
      <c r="M1" s="41" t="s">
        <v>320</v>
      </c>
      <c r="N1" s="40" t="s">
        <v>321</v>
      </c>
      <c r="O1" s="40" t="s">
        <v>322</v>
      </c>
      <c r="P1" s="40" t="s">
        <v>323</v>
      </c>
      <c r="Q1" s="41" t="s">
        <v>324</v>
      </c>
      <c r="R1" s="42" t="s">
        <v>325</v>
      </c>
      <c r="S1" s="40" t="s">
        <v>326</v>
      </c>
      <c r="T1" s="39" t="s">
        <v>327</v>
      </c>
      <c r="U1" s="40" t="s">
        <v>328</v>
      </c>
    </row>
    <row r="2" spans="1:44">
      <c r="A2" s="43">
        <v>44197</v>
      </c>
      <c r="B2" s="44">
        <v>275000000</v>
      </c>
      <c r="C2" s="44"/>
      <c r="D2" s="44">
        <v>4500000</v>
      </c>
      <c r="E2" s="44"/>
      <c r="F2" s="44">
        <v>75000000</v>
      </c>
      <c r="G2" s="44"/>
      <c r="H2" s="44">
        <v>40000000</v>
      </c>
      <c r="I2" s="44">
        <v>100000000</v>
      </c>
      <c r="J2" s="45"/>
      <c r="K2" s="45"/>
      <c r="L2" s="44"/>
      <c r="M2" s="44">
        <v>138000000</v>
      </c>
      <c r="N2" s="44"/>
      <c r="O2" s="44"/>
      <c r="P2" s="44"/>
      <c r="Q2" s="44">
        <v>8500000</v>
      </c>
      <c r="R2" s="44">
        <v>2800000</v>
      </c>
      <c r="S2" s="44"/>
      <c r="T2" s="44">
        <v>30000000</v>
      </c>
      <c r="U2" s="46">
        <f>SUM(B2:T2)</f>
        <v>673800000</v>
      </c>
    </row>
    <row r="4" spans="1:44">
      <c r="A4" s="38" t="s">
        <v>329</v>
      </c>
    </row>
    <row r="5" spans="1:44">
      <c r="A5" t="s">
        <v>330</v>
      </c>
    </row>
    <row r="6" spans="1:44">
      <c r="A6" s="47">
        <v>44197</v>
      </c>
      <c r="B6" s="48">
        <v>198000000</v>
      </c>
      <c r="C6" s="48"/>
      <c r="D6" s="48">
        <v>3000000</v>
      </c>
      <c r="E6" s="48"/>
      <c r="F6" s="48">
        <v>58000000</v>
      </c>
      <c r="G6" s="48"/>
      <c r="H6" s="48">
        <v>31000000</v>
      </c>
      <c r="I6" s="48">
        <v>63000000</v>
      </c>
      <c r="J6" s="48"/>
      <c r="K6" s="48"/>
      <c r="L6" s="48"/>
      <c r="M6" s="48">
        <v>160000000</v>
      </c>
      <c r="N6" s="48"/>
      <c r="O6" s="48"/>
      <c r="P6" s="48"/>
      <c r="Q6" s="48">
        <v>7000000</v>
      </c>
      <c r="R6" s="48"/>
      <c r="S6" s="48"/>
      <c r="T6" s="48">
        <v>20000000</v>
      </c>
      <c r="U6" s="48">
        <f>SUM(B6:T6)</f>
        <v>540000000</v>
      </c>
    </row>
    <row r="9" spans="1:44">
      <c r="E9" s="49" t="s">
        <v>331</v>
      </c>
      <c r="F9" s="50" t="s">
        <v>302</v>
      </c>
      <c r="G9" s="51" t="s">
        <v>332</v>
      </c>
    </row>
    <row r="10" spans="1:44">
      <c r="C10" t="s">
        <v>333</v>
      </c>
      <c r="E10" s="48">
        <f>SUM(H2:I2,R2)</f>
        <v>142800000</v>
      </c>
      <c r="F10" s="48">
        <f>SUM(B2,F2,T2)</f>
        <v>380000000</v>
      </c>
      <c r="G10" s="48">
        <f>SUM(D2,M2,Q2)</f>
        <v>151000000</v>
      </c>
    </row>
    <row r="11" spans="1:44">
      <c r="C11" t="s">
        <v>334</v>
      </c>
      <c r="E11" s="52">
        <f>SUM(H6:I6)</f>
        <v>94000000</v>
      </c>
      <c r="F11" s="52">
        <f>SUM(B6,F6,T6)</f>
        <v>276000000</v>
      </c>
      <c r="G11" s="52">
        <f>SUM(D6,Q6,M6)</f>
        <v>170000000</v>
      </c>
    </row>
    <row r="13" spans="1:44">
      <c r="C13" t="s">
        <v>335</v>
      </c>
      <c r="E13" s="53">
        <f>E10*8/2204.62</f>
        <v>518184.53973927483</v>
      </c>
      <c r="F13" s="53">
        <f>F10*8/2204.62</f>
        <v>1378922.4446843448</v>
      </c>
      <c r="G13" s="53">
        <f>G10*8/2204.62</f>
        <v>547940.23459825281</v>
      </c>
    </row>
    <row r="14" spans="1:44">
      <c r="C14" t="s">
        <v>336</v>
      </c>
      <c r="E14" s="52">
        <f>E11/2204.62</f>
        <v>42637.733486950136</v>
      </c>
      <c r="F14" s="52">
        <f>F11/2204.62</f>
        <v>125191.64300423657</v>
      </c>
      <c r="G14" s="52">
        <f>G11/2204.62</f>
        <v>77110.794604058756</v>
      </c>
    </row>
    <row r="16" spans="1:44">
      <c r="Y16" s="46"/>
      <c r="Z16" s="46"/>
      <c r="AA16" s="46"/>
      <c r="AB16" s="46"/>
      <c r="AC16" s="46"/>
      <c r="AD16" s="46"/>
      <c r="AE16" s="46"/>
      <c r="AF16" s="46"/>
      <c r="AG16" s="54"/>
      <c r="AH16" s="54"/>
      <c r="AI16" s="46"/>
      <c r="AJ16" s="46"/>
      <c r="AK16" s="46"/>
      <c r="AL16" s="46"/>
      <c r="AM16" s="46"/>
      <c r="AN16" s="46"/>
      <c r="AO16" s="46"/>
      <c r="AP16" s="46"/>
      <c r="AQ16" s="46"/>
      <c r="AR16" s="4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AB08-1763-43B6-833B-7D893C117298}">
  <dimension ref="A1:O20"/>
  <sheetViews>
    <sheetView zoomScale="93" workbookViewId="0">
      <selection activeCell="A26" sqref="A26:XFD26"/>
    </sheetView>
  </sheetViews>
  <sheetFormatPr defaultColWidth="11" defaultRowHeight="15.75"/>
  <cols>
    <col min="2" max="2" width="30.375" bestFit="1" customWidth="1"/>
    <col min="3" max="3" width="13" bestFit="1" customWidth="1"/>
    <col min="4" max="4" width="14.625" bestFit="1" customWidth="1"/>
    <col min="5" max="5" width="13" bestFit="1" customWidth="1"/>
    <col min="7" max="7" width="22.5" bestFit="1" customWidth="1"/>
    <col min="8" max="8" width="13" style="57" bestFit="1" customWidth="1"/>
    <col min="9" max="9" width="14.625" bestFit="1" customWidth="1"/>
    <col min="10" max="10" width="13" bestFit="1" customWidth="1"/>
    <col min="12" max="12" width="19.625" bestFit="1" customWidth="1"/>
    <col min="13" max="13" width="13.75" style="57" bestFit="1" customWidth="1"/>
    <col min="14" max="14" width="14.625" bestFit="1" customWidth="1"/>
    <col min="15" max="15" width="14" bestFit="1" customWidth="1"/>
  </cols>
  <sheetData>
    <row r="1" spans="1:15" ht="16.5" thickBot="1">
      <c r="A1" t="s">
        <v>337</v>
      </c>
      <c r="B1" s="55" t="s">
        <v>300</v>
      </c>
      <c r="C1" s="56" t="s">
        <v>338</v>
      </c>
      <c r="D1" s="56" t="s">
        <v>339</v>
      </c>
      <c r="E1" s="56" t="s">
        <v>340</v>
      </c>
      <c r="F1" s="57"/>
      <c r="G1" s="55" t="s">
        <v>341</v>
      </c>
      <c r="H1" s="56" t="s">
        <v>338</v>
      </c>
      <c r="I1" s="56" t="s">
        <v>339</v>
      </c>
      <c r="J1" s="56" t="s">
        <v>340</v>
      </c>
      <c r="K1" s="57"/>
      <c r="L1" s="55" t="s">
        <v>302</v>
      </c>
      <c r="M1" s="56" t="s">
        <v>338</v>
      </c>
      <c r="N1" s="56" t="s">
        <v>339</v>
      </c>
      <c r="O1" s="56" t="s">
        <v>340</v>
      </c>
    </row>
    <row r="2" spans="1:15">
      <c r="B2" t="s">
        <v>342</v>
      </c>
      <c r="C2" s="48">
        <v>40000000</v>
      </c>
      <c r="D2" s="53">
        <f>C2*8</f>
        <v>320000000</v>
      </c>
      <c r="E2" s="58">
        <f>D2/2204.622</f>
        <v>145149.59934174657</v>
      </c>
      <c r="F2" s="57"/>
      <c r="G2" t="s">
        <v>343</v>
      </c>
      <c r="H2" s="59">
        <f>184000000/12*9</f>
        <v>138000000</v>
      </c>
      <c r="I2" s="53">
        <f>H2*8</f>
        <v>1104000000</v>
      </c>
      <c r="J2" s="58">
        <f>I2/2204.622</f>
        <v>500766.11772902572</v>
      </c>
      <c r="K2" s="57"/>
      <c r="L2" t="s">
        <v>344</v>
      </c>
      <c r="M2" s="59">
        <v>290000000</v>
      </c>
      <c r="N2" s="52">
        <f>M2*8</f>
        <v>2320000000</v>
      </c>
      <c r="O2" s="60">
        <f>N2/2204.622</f>
        <v>1052334.5952276627</v>
      </c>
    </row>
    <row r="3" spans="1:15">
      <c r="B3" t="s">
        <v>345</v>
      </c>
      <c r="C3" s="48">
        <v>100000000</v>
      </c>
      <c r="D3" s="53">
        <f>C3*8</f>
        <v>800000000</v>
      </c>
      <c r="E3" s="58">
        <f>D3/2204.622</f>
        <v>362873.99835436646</v>
      </c>
      <c r="G3" s="61" t="s">
        <v>346</v>
      </c>
      <c r="H3" s="59">
        <v>34000000</v>
      </c>
      <c r="I3" s="53">
        <f>H3*8</f>
        <v>272000000</v>
      </c>
      <c r="J3" s="58">
        <f>I3/2204.622</f>
        <v>123377.1594404846</v>
      </c>
      <c r="L3" t="s">
        <v>347</v>
      </c>
      <c r="M3" s="59">
        <v>75000000</v>
      </c>
      <c r="N3" s="52">
        <f>M3*8</f>
        <v>600000000</v>
      </c>
      <c r="O3" s="60">
        <f>N3/2204.622</f>
        <v>272155.49876577483</v>
      </c>
    </row>
    <row r="4" spans="1:15">
      <c r="B4" s="61" t="s">
        <v>348</v>
      </c>
      <c r="C4" s="48">
        <v>5500000</v>
      </c>
      <c r="D4" s="53">
        <f>C4*8</f>
        <v>44000000</v>
      </c>
      <c r="E4" s="58">
        <f>D4/2204.622</f>
        <v>19958.069909490154</v>
      </c>
      <c r="G4" t="s">
        <v>349</v>
      </c>
      <c r="H4" s="62">
        <v>4500000</v>
      </c>
      <c r="I4" s="53">
        <f>H4*8</f>
        <v>36000000</v>
      </c>
      <c r="J4" s="58">
        <f>I4/2204.622</f>
        <v>16329.329925946489</v>
      </c>
      <c r="L4" t="s">
        <v>350</v>
      </c>
      <c r="M4" s="59">
        <v>10000000</v>
      </c>
      <c r="N4" s="52">
        <f>M4*8</f>
        <v>80000000</v>
      </c>
      <c r="O4" s="60">
        <f>N4/2204.622</f>
        <v>36287.399835436641</v>
      </c>
    </row>
    <row r="5" spans="1:15">
      <c r="B5" s="61" t="s">
        <v>351</v>
      </c>
      <c r="C5" s="48">
        <v>60000000</v>
      </c>
      <c r="D5" s="53">
        <f>C5*8</f>
        <v>480000000</v>
      </c>
      <c r="E5" s="58">
        <f>D5/2204.622</f>
        <v>217724.39901261986</v>
      </c>
      <c r="L5" s="61" t="s">
        <v>352</v>
      </c>
      <c r="M5" s="59">
        <f>100000000*0.7</f>
        <v>70000000</v>
      </c>
      <c r="N5" s="52">
        <f>M5*8</f>
        <v>560000000</v>
      </c>
      <c r="O5" s="60">
        <f>N5/2204.622</f>
        <v>254011.7988480565</v>
      </c>
    </row>
    <row r="6" spans="1:15" ht="16.5" thickBot="1"/>
    <row r="7" spans="1:15" ht="16.5" thickBot="1">
      <c r="B7" s="63" t="s">
        <v>353</v>
      </c>
      <c r="C7" s="64">
        <f>SUM(C2:C5)</f>
        <v>205500000</v>
      </c>
      <c r="D7" s="64">
        <f>SUM(D2:D5)</f>
        <v>1644000000</v>
      </c>
      <c r="E7" s="65">
        <f>SUM(E2:E5)</f>
        <v>745706.06661822309</v>
      </c>
      <c r="G7" s="63" t="s">
        <v>353</v>
      </c>
      <c r="H7" s="66">
        <f>SUM(H2:H4)</f>
        <v>176500000</v>
      </c>
      <c r="I7" s="66">
        <f>SUM(I2:I4)</f>
        <v>1412000000</v>
      </c>
      <c r="J7" s="65">
        <f>SUM(J2:J4)</f>
        <v>640472.6070954568</v>
      </c>
      <c r="L7" s="63" t="s">
        <v>353</v>
      </c>
      <c r="M7" s="66">
        <f>SUM(M2:M5)</f>
        <v>445000000</v>
      </c>
      <c r="N7" s="66">
        <f>SUM(N2:N5)</f>
        <v>3560000000</v>
      </c>
      <c r="O7" s="65">
        <f>SUM(O2:O5)</f>
        <v>1614789.2926769305</v>
      </c>
    </row>
    <row r="8" spans="1:15" ht="16.5" thickBot="1"/>
    <row r="9" spans="1:15" ht="16.5" thickBot="1">
      <c r="D9" s="67" t="s">
        <v>354</v>
      </c>
      <c r="E9" s="68">
        <f>E7*7.8</f>
        <v>5816507.3196221404</v>
      </c>
      <c r="I9" s="67" t="s">
        <v>354</v>
      </c>
      <c r="J9" s="68">
        <f>J7*8.5</f>
        <v>5444017.1603113832</v>
      </c>
      <c r="N9" s="67" t="s">
        <v>354</v>
      </c>
      <c r="O9" s="68">
        <f>O7*8.5</f>
        <v>13725708.987753909</v>
      </c>
    </row>
    <row r="16" spans="1:15">
      <c r="M16" s="53">
        <f>M7+H7+C7</f>
        <v>827000000</v>
      </c>
    </row>
    <row r="17" spans="13:13">
      <c r="M17" s="58">
        <f>M16/12</f>
        <v>68916666.666666672</v>
      </c>
    </row>
    <row r="20" spans="13:13">
      <c r="M20" s="58">
        <f>M17*0.9</f>
        <v>62025000.000000007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1C84-0B55-43D3-837A-0AD6AD636963}">
  <dimension ref="A1:F25"/>
  <sheetViews>
    <sheetView zoomScale="125" zoomScaleNormal="221" workbookViewId="0">
      <selection activeCell="A26" sqref="A26:XFD26"/>
    </sheetView>
  </sheetViews>
  <sheetFormatPr defaultColWidth="11" defaultRowHeight="15.75"/>
  <cols>
    <col min="5" max="5" width="11.5" hidden="1" customWidth="1"/>
    <col min="6" max="6" width="13.875" bestFit="1" customWidth="1"/>
  </cols>
  <sheetData>
    <row r="1" spans="1:6">
      <c r="A1" t="s">
        <v>355</v>
      </c>
      <c r="B1" s="69" t="s">
        <v>356</v>
      </c>
      <c r="C1" s="69" t="s">
        <v>357</v>
      </c>
      <c r="D1" s="69" t="s">
        <v>358</v>
      </c>
      <c r="E1" s="69" t="s">
        <v>359</v>
      </c>
      <c r="F1" s="69" t="s">
        <v>360</v>
      </c>
    </row>
    <row r="2" spans="1:6">
      <c r="A2" s="70">
        <v>43831</v>
      </c>
      <c r="B2" s="71">
        <v>862.56700000000001</v>
      </c>
      <c r="C2" s="71">
        <v>467.76400000000001</v>
      </c>
      <c r="D2" s="71">
        <v>658.83299999999997</v>
      </c>
      <c r="E2" s="71">
        <v>1989.164</v>
      </c>
      <c r="F2" s="71">
        <v>362.303</v>
      </c>
    </row>
    <row r="3" spans="1:6">
      <c r="A3" s="70">
        <v>43862</v>
      </c>
      <c r="B3" s="71">
        <v>947.48500000000001</v>
      </c>
      <c r="C3" s="71">
        <v>463.06799999999998</v>
      </c>
      <c r="D3" s="71">
        <v>586.19399999999996</v>
      </c>
      <c r="E3" s="71">
        <v>1996.7470000000001</v>
      </c>
      <c r="F3" s="71">
        <v>380.702</v>
      </c>
    </row>
    <row r="4" spans="1:6">
      <c r="A4" s="70">
        <v>43891</v>
      </c>
      <c r="B4" s="71">
        <v>856.12400000000002</v>
      </c>
      <c r="C4" s="71">
        <v>407.46499999999997</v>
      </c>
      <c r="D4" s="71">
        <v>670.05899999999997</v>
      </c>
      <c r="E4" s="71">
        <v>1933.6479999999999</v>
      </c>
      <c r="F4" s="71">
        <v>393.94299999999998</v>
      </c>
    </row>
    <row r="5" spans="1:6">
      <c r="A5" s="70">
        <v>43922</v>
      </c>
      <c r="B5" s="71">
        <v>939.327</v>
      </c>
      <c r="C5" s="71">
        <v>443.76100000000002</v>
      </c>
      <c r="D5" s="71">
        <v>840.91899999999998</v>
      </c>
      <c r="E5" s="71">
        <v>2224.0070000000001</v>
      </c>
      <c r="F5" s="71">
        <v>377.964</v>
      </c>
    </row>
    <row r="6" spans="1:6">
      <c r="A6" s="70">
        <v>43952</v>
      </c>
      <c r="B6" s="71">
        <v>875.58399999999995</v>
      </c>
      <c r="C6" s="71">
        <v>431.34500000000003</v>
      </c>
      <c r="D6" s="71">
        <v>742.06299999999999</v>
      </c>
      <c r="E6" s="71">
        <v>2048.9920000000002</v>
      </c>
      <c r="F6" s="71">
        <v>398.25599999999997</v>
      </c>
    </row>
    <row r="7" spans="1:6">
      <c r="A7" s="70">
        <v>43983</v>
      </c>
      <c r="B7" s="71">
        <v>773.16099999999994</v>
      </c>
      <c r="C7" s="71">
        <v>450.97699999999998</v>
      </c>
      <c r="D7" s="71">
        <v>701.44500000000005</v>
      </c>
      <c r="E7" s="71">
        <v>1925.5830000000001</v>
      </c>
      <c r="F7" s="71">
        <v>345.08300000000003</v>
      </c>
    </row>
    <row r="8" spans="1:6">
      <c r="A8" s="70">
        <v>44013</v>
      </c>
      <c r="B8" s="71">
        <v>729.22799999999995</v>
      </c>
      <c r="C8" s="71">
        <v>380.94</v>
      </c>
      <c r="D8" s="71">
        <v>666.14599999999996</v>
      </c>
      <c r="E8" s="71">
        <v>1776.3140000000001</v>
      </c>
      <c r="F8" s="71">
        <v>346.76400000000001</v>
      </c>
    </row>
    <row r="9" spans="1:6">
      <c r="A9" s="70">
        <v>44044</v>
      </c>
      <c r="B9" s="71">
        <v>653.15700000000004</v>
      </c>
      <c r="C9" s="71">
        <v>322.52800000000002</v>
      </c>
      <c r="D9" s="71">
        <v>596.798</v>
      </c>
      <c r="E9" s="71">
        <v>1572.4829999999999</v>
      </c>
      <c r="F9" s="71">
        <v>369.47899999999998</v>
      </c>
    </row>
    <row r="10" spans="1:6">
      <c r="A10" s="70">
        <v>44075</v>
      </c>
      <c r="B10" s="71">
        <v>600.80600000000004</v>
      </c>
      <c r="C10" s="71">
        <v>328.13600000000002</v>
      </c>
      <c r="D10" s="71">
        <v>574.40200000000004</v>
      </c>
      <c r="E10" s="71">
        <v>1503.3440000000001</v>
      </c>
      <c r="F10" s="71">
        <v>345.18599999999998</v>
      </c>
    </row>
    <row r="11" spans="1:6">
      <c r="A11" s="70">
        <v>44105</v>
      </c>
      <c r="B11" s="71">
        <v>689.02499999999998</v>
      </c>
      <c r="C11" s="71">
        <v>288.339</v>
      </c>
      <c r="D11" s="71">
        <v>586.95500000000004</v>
      </c>
      <c r="E11" s="71">
        <v>1564.319</v>
      </c>
      <c r="F11" s="71">
        <v>399.54700000000003</v>
      </c>
    </row>
    <row r="12" spans="1:6">
      <c r="A12" s="70">
        <v>44136</v>
      </c>
      <c r="B12" s="71">
        <v>760.16499999999996</v>
      </c>
      <c r="C12" s="71">
        <v>267.25299999999999</v>
      </c>
      <c r="D12" s="71">
        <v>657.71299999999997</v>
      </c>
      <c r="E12" s="71">
        <v>1685.1310000000001</v>
      </c>
      <c r="F12" s="71">
        <v>432.56200000000001</v>
      </c>
    </row>
    <row r="13" spans="1:6">
      <c r="A13" s="70">
        <v>44166</v>
      </c>
      <c r="B13" s="71">
        <v>781.38099999999997</v>
      </c>
      <c r="C13" s="71">
        <v>277.49</v>
      </c>
      <c r="D13" s="71">
        <v>658.43399999999997</v>
      </c>
      <c r="E13" s="71">
        <v>1717.3050000000001</v>
      </c>
      <c r="F13" s="71">
        <v>393.48099999999999</v>
      </c>
    </row>
    <row r="14" spans="1:6">
      <c r="A14" s="70">
        <v>44197</v>
      </c>
      <c r="B14" s="71">
        <v>915.44399999999996</v>
      </c>
      <c r="C14" s="71">
        <v>287.88900000000001</v>
      </c>
      <c r="D14" s="71">
        <v>678.73599999999999</v>
      </c>
      <c r="E14" s="71">
        <v>1882.069</v>
      </c>
      <c r="F14" s="71">
        <v>423.92200000000003</v>
      </c>
    </row>
    <row r="15" spans="1:6">
      <c r="A15" s="70">
        <v>44228</v>
      </c>
      <c r="B15" s="71">
        <v>953.46400000000006</v>
      </c>
      <c r="C15" s="71">
        <v>293.65600000000001</v>
      </c>
      <c r="D15" s="71">
        <v>623.70500000000004</v>
      </c>
      <c r="E15" s="71">
        <v>1870.825</v>
      </c>
      <c r="F15" s="71">
        <v>435.16300000000001</v>
      </c>
    </row>
    <row r="17" spans="2:2">
      <c r="B17" s="72"/>
    </row>
    <row r="18" spans="2:2">
      <c r="B18" s="72"/>
    </row>
    <row r="19" spans="2:2">
      <c r="B19" s="72"/>
    </row>
    <row r="20" spans="2:2">
      <c r="B20" s="72"/>
    </row>
    <row r="21" spans="2:2">
      <c r="B21" s="72"/>
    </row>
    <row r="22" spans="2:2">
      <c r="B22" s="72"/>
    </row>
    <row r="23" spans="2:2">
      <c r="B23" s="72"/>
    </row>
    <row r="24" spans="2:2">
      <c r="B24" s="72"/>
    </row>
    <row r="25" spans="2:2">
      <c r="B25" s="7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8A95-011E-4BCB-9A33-AF7F2B43C160}">
  <dimension ref="A1:D214"/>
  <sheetViews>
    <sheetView zoomScale="111" workbookViewId="0">
      <pane xSplit="1" ySplit="1" topLeftCell="B2" activePane="bottomRight" state="frozen"/>
      <selection activeCell="A26" sqref="A26:XFD26"/>
      <selection pane="topRight" activeCell="A26" sqref="A26:XFD26"/>
      <selection pane="bottomLeft" activeCell="A26" sqref="A26:XFD26"/>
      <selection pane="bottomRight" activeCell="A26" sqref="A26:XFD26"/>
    </sheetView>
  </sheetViews>
  <sheetFormatPr defaultColWidth="11" defaultRowHeight="15.75"/>
  <cols>
    <col min="2" max="2" width="39.375" bestFit="1" customWidth="1"/>
    <col min="3" max="3" width="27.5" bestFit="1" customWidth="1"/>
    <col min="4" max="4" width="10.125" style="57" bestFit="1" customWidth="1"/>
  </cols>
  <sheetData>
    <row r="1" spans="1:4">
      <c r="A1" s="73" t="s">
        <v>361</v>
      </c>
      <c r="B1" s="74" t="s">
        <v>362</v>
      </c>
      <c r="C1" s="75" t="s">
        <v>363</v>
      </c>
      <c r="D1" s="74" t="s">
        <v>364</v>
      </c>
    </row>
    <row r="2" spans="1:4">
      <c r="A2" s="76">
        <v>37987</v>
      </c>
      <c r="B2" s="77">
        <v>31.001000000000001</v>
      </c>
      <c r="C2" s="77">
        <v>35.913499999999999</v>
      </c>
      <c r="D2" s="77">
        <f t="shared" ref="D2:D65" si="0">C2-B2</f>
        <v>4.9124999999999979</v>
      </c>
    </row>
    <row r="3" spans="1:4">
      <c r="A3" s="76">
        <v>38018</v>
      </c>
      <c r="B3" s="77">
        <v>33.717300000000002</v>
      </c>
      <c r="C3" s="77">
        <v>38.44</v>
      </c>
      <c r="D3" s="77">
        <f t="shared" si="0"/>
        <v>4.7226999999999961</v>
      </c>
    </row>
    <row r="4" spans="1:4">
      <c r="A4" s="76">
        <v>38047</v>
      </c>
      <c r="B4" s="77">
        <v>34.973199999999999</v>
      </c>
      <c r="C4" s="77">
        <v>39.865600000000001</v>
      </c>
      <c r="D4" s="77">
        <f t="shared" si="0"/>
        <v>4.8924000000000021</v>
      </c>
    </row>
    <row r="5" spans="1:4">
      <c r="A5" s="76">
        <v>38078</v>
      </c>
      <c r="B5" s="77">
        <v>34.127600000000001</v>
      </c>
      <c r="C5" s="77">
        <v>39.403300000000002</v>
      </c>
      <c r="D5" s="77">
        <f t="shared" si="0"/>
        <v>5.2757000000000005</v>
      </c>
    </row>
    <row r="6" spans="1:4">
      <c r="A6" s="76">
        <v>38108</v>
      </c>
      <c r="B6" s="77">
        <v>32.732500000000002</v>
      </c>
      <c r="C6" s="77">
        <v>37.982500000000002</v>
      </c>
      <c r="D6" s="77">
        <f t="shared" si="0"/>
        <v>5.25</v>
      </c>
    </row>
    <row r="7" spans="1:4">
      <c r="A7" s="76">
        <v>38139</v>
      </c>
      <c r="B7" s="77">
        <v>30.426100000000002</v>
      </c>
      <c r="C7" s="77">
        <v>35.838000000000001</v>
      </c>
      <c r="D7" s="77">
        <f t="shared" si="0"/>
        <v>5.4118999999999993</v>
      </c>
    </row>
    <row r="8" spans="1:4">
      <c r="A8" s="76">
        <v>38169</v>
      </c>
      <c r="B8" s="77">
        <v>29.1004</v>
      </c>
      <c r="C8" s="77">
        <v>34.119500000000002</v>
      </c>
      <c r="D8" s="77">
        <f t="shared" si="0"/>
        <v>5.0191000000000017</v>
      </c>
    </row>
    <row r="9" spans="1:4">
      <c r="A9" s="76">
        <v>38200</v>
      </c>
      <c r="B9" s="77">
        <v>26.617699999999999</v>
      </c>
      <c r="C9" s="77">
        <v>31.6586</v>
      </c>
      <c r="D9" s="77">
        <f t="shared" si="0"/>
        <v>5.0409000000000006</v>
      </c>
    </row>
    <row r="10" spans="1:4">
      <c r="A10" s="76">
        <v>38231</v>
      </c>
      <c r="B10" s="77">
        <v>26.321400000000001</v>
      </c>
      <c r="C10" s="77">
        <v>32.369</v>
      </c>
      <c r="D10" s="77">
        <f t="shared" si="0"/>
        <v>6.0475999999999992</v>
      </c>
    </row>
    <row r="11" spans="1:4">
      <c r="A11" s="76">
        <v>38261</v>
      </c>
      <c r="B11" s="77">
        <v>23.790400000000002</v>
      </c>
      <c r="C11" s="77">
        <v>28.790400000000002</v>
      </c>
      <c r="D11" s="77">
        <f t="shared" si="0"/>
        <v>5</v>
      </c>
    </row>
    <row r="12" spans="1:4">
      <c r="A12" s="76">
        <v>38292</v>
      </c>
      <c r="B12" s="77">
        <v>23.616</v>
      </c>
      <c r="C12" s="77">
        <v>28.616</v>
      </c>
      <c r="D12" s="77">
        <f t="shared" si="0"/>
        <v>5</v>
      </c>
    </row>
    <row r="13" spans="1:4">
      <c r="A13" s="76">
        <v>38322</v>
      </c>
      <c r="B13" s="77">
        <v>22.8004</v>
      </c>
      <c r="C13" s="77">
        <v>27.8004</v>
      </c>
      <c r="D13" s="77">
        <f t="shared" si="0"/>
        <v>5</v>
      </c>
    </row>
    <row r="14" spans="1:4">
      <c r="A14" s="76">
        <v>38353</v>
      </c>
      <c r="B14" s="77">
        <v>21.3202</v>
      </c>
      <c r="C14" s="77">
        <v>26.3202</v>
      </c>
      <c r="D14" s="77">
        <f t="shared" si="0"/>
        <v>5</v>
      </c>
    </row>
    <row r="15" spans="1:4">
      <c r="A15" s="76">
        <v>38384</v>
      </c>
      <c r="B15" s="77">
        <v>21.3215</v>
      </c>
      <c r="C15" s="77">
        <v>26.3215</v>
      </c>
      <c r="D15" s="77">
        <f t="shared" si="0"/>
        <v>5</v>
      </c>
    </row>
    <row r="16" spans="1:4">
      <c r="A16" s="76">
        <v>38412</v>
      </c>
      <c r="B16" s="77">
        <v>24.710899999999999</v>
      </c>
      <c r="C16" s="77">
        <v>29.710899999999999</v>
      </c>
      <c r="D16" s="77">
        <f t="shared" si="0"/>
        <v>5</v>
      </c>
    </row>
    <row r="17" spans="1:4">
      <c r="A17" s="76">
        <v>38443</v>
      </c>
      <c r="B17" s="77">
        <v>24.117100000000001</v>
      </c>
      <c r="C17" s="77">
        <v>29.117100000000001</v>
      </c>
      <c r="D17" s="77">
        <f t="shared" si="0"/>
        <v>5</v>
      </c>
    </row>
    <row r="18" spans="1:4">
      <c r="A18" s="76">
        <v>38473</v>
      </c>
      <c r="B18" s="77">
        <v>24.2895</v>
      </c>
      <c r="C18" s="77">
        <v>29.2895</v>
      </c>
      <c r="D18" s="77">
        <f t="shared" si="0"/>
        <v>5</v>
      </c>
    </row>
    <row r="19" spans="1:4">
      <c r="A19" s="76">
        <v>38504</v>
      </c>
      <c r="B19" s="77">
        <v>25.426300000000001</v>
      </c>
      <c r="C19" s="77">
        <v>30.426300000000001</v>
      </c>
      <c r="D19" s="77">
        <f t="shared" si="0"/>
        <v>5</v>
      </c>
    </row>
    <row r="20" spans="1:4">
      <c r="A20" s="76">
        <v>38534</v>
      </c>
      <c r="B20" s="77">
        <v>26.109000000000002</v>
      </c>
      <c r="C20" s="77">
        <v>31.109000000000002</v>
      </c>
      <c r="D20" s="77">
        <f t="shared" si="0"/>
        <v>5</v>
      </c>
    </row>
    <row r="21" spans="1:4">
      <c r="A21" s="76">
        <v>38565</v>
      </c>
      <c r="B21" s="77">
        <v>24.320399999999999</v>
      </c>
      <c r="C21" s="77">
        <v>29.320399999999999</v>
      </c>
      <c r="D21" s="77">
        <f t="shared" si="0"/>
        <v>5</v>
      </c>
    </row>
    <row r="22" spans="1:4">
      <c r="A22" s="76">
        <v>38596</v>
      </c>
      <c r="B22" s="77">
        <v>23.98</v>
      </c>
      <c r="C22" s="77">
        <v>28.98</v>
      </c>
      <c r="D22" s="77">
        <f t="shared" si="0"/>
        <v>5</v>
      </c>
    </row>
    <row r="23" spans="1:4">
      <c r="A23" s="76">
        <v>38626</v>
      </c>
      <c r="B23" s="77">
        <v>25.0838</v>
      </c>
      <c r="C23" s="77">
        <v>30.0838</v>
      </c>
      <c r="D23" s="77">
        <f t="shared" si="0"/>
        <v>5</v>
      </c>
    </row>
    <row r="24" spans="1:4">
      <c r="A24" s="76">
        <v>38657</v>
      </c>
      <c r="B24" s="77">
        <v>23.339500000000001</v>
      </c>
      <c r="C24" s="77">
        <v>28.339500000000001</v>
      </c>
      <c r="D24" s="77">
        <f t="shared" si="0"/>
        <v>5</v>
      </c>
    </row>
    <row r="25" spans="1:4">
      <c r="A25" s="76">
        <v>38687</v>
      </c>
      <c r="B25" s="77">
        <v>21.624500000000001</v>
      </c>
      <c r="C25" s="77">
        <v>26.624500000000001</v>
      </c>
      <c r="D25" s="77">
        <f t="shared" si="0"/>
        <v>5</v>
      </c>
    </row>
    <row r="26" spans="1:4">
      <c r="A26" s="76">
        <v>38718</v>
      </c>
      <c r="B26" s="77">
        <v>21.944500000000001</v>
      </c>
      <c r="C26" s="77">
        <v>26.944500000000001</v>
      </c>
      <c r="D26" s="77">
        <f t="shared" si="0"/>
        <v>5</v>
      </c>
    </row>
    <row r="27" spans="1:4">
      <c r="A27" s="76">
        <v>38749</v>
      </c>
      <c r="B27" s="77">
        <v>22.109400000000001</v>
      </c>
      <c r="C27" s="77">
        <v>26.583100000000002</v>
      </c>
      <c r="D27" s="77">
        <f t="shared" si="0"/>
        <v>4.4737000000000009</v>
      </c>
    </row>
    <row r="28" spans="1:4">
      <c r="A28" s="76">
        <v>38777</v>
      </c>
      <c r="B28" s="77">
        <v>22.050799999999999</v>
      </c>
      <c r="C28" s="77">
        <v>25.7895</v>
      </c>
      <c r="D28" s="77">
        <f t="shared" si="0"/>
        <v>3.7387000000000015</v>
      </c>
    </row>
    <row r="29" spans="1:4">
      <c r="A29" s="76">
        <v>38808</v>
      </c>
      <c r="B29" s="77">
        <v>21.936800000000002</v>
      </c>
      <c r="C29" s="77">
        <v>25.581499999999998</v>
      </c>
      <c r="D29" s="77">
        <f t="shared" si="0"/>
        <v>3.6446999999999967</v>
      </c>
    </row>
    <row r="30" spans="1:4">
      <c r="A30" s="76">
        <v>38838</v>
      </c>
      <c r="B30" s="77">
        <v>23.943999999999999</v>
      </c>
      <c r="C30" s="77">
        <v>27.344000000000001</v>
      </c>
      <c r="D30" s="77">
        <f t="shared" si="0"/>
        <v>3.4000000000000021</v>
      </c>
    </row>
    <row r="31" spans="1:4">
      <c r="A31" s="76">
        <v>38869</v>
      </c>
      <c r="B31" s="77">
        <v>24.203099999999999</v>
      </c>
      <c r="C31" s="77">
        <v>27.203099999999999</v>
      </c>
      <c r="D31" s="77">
        <f t="shared" si="0"/>
        <v>3</v>
      </c>
    </row>
    <row r="32" spans="1:4">
      <c r="A32" s="76">
        <v>38899</v>
      </c>
      <c r="B32" s="77">
        <v>25.632000000000001</v>
      </c>
      <c r="C32" s="77">
        <v>28.882000000000001</v>
      </c>
      <c r="D32" s="77">
        <f t="shared" si="0"/>
        <v>3.25</v>
      </c>
    </row>
    <row r="33" spans="1:4">
      <c r="A33" s="76">
        <v>38930</v>
      </c>
      <c r="B33" s="77">
        <v>24.098199999999999</v>
      </c>
      <c r="C33" s="77">
        <v>27.305599999999998</v>
      </c>
      <c r="D33" s="77">
        <f t="shared" si="0"/>
        <v>3.2073999999999998</v>
      </c>
    </row>
    <row r="34" spans="1:4">
      <c r="A34" s="76">
        <v>38961</v>
      </c>
      <c r="B34" s="77">
        <v>25.096699999999998</v>
      </c>
      <c r="C34" s="77">
        <v>28.0105</v>
      </c>
      <c r="D34" s="77">
        <f t="shared" si="0"/>
        <v>2.9138000000000019</v>
      </c>
    </row>
    <row r="35" spans="1:4">
      <c r="A35" s="76">
        <v>38991</v>
      </c>
      <c r="B35" s="77">
        <v>27.559699999999999</v>
      </c>
      <c r="C35" s="77">
        <v>31.093800000000002</v>
      </c>
      <c r="D35" s="77">
        <f t="shared" si="0"/>
        <v>3.5341000000000022</v>
      </c>
    </row>
    <row r="36" spans="1:4">
      <c r="A36" s="76">
        <v>39022</v>
      </c>
      <c r="B36" s="77">
        <v>29.593499999999999</v>
      </c>
      <c r="C36" s="77">
        <v>33.213500000000003</v>
      </c>
      <c r="D36" s="77">
        <f t="shared" si="0"/>
        <v>3.6200000000000045</v>
      </c>
    </row>
    <row r="37" spans="1:4">
      <c r="A37" s="76">
        <v>39052</v>
      </c>
      <c r="B37" s="77">
        <v>29.618200000000002</v>
      </c>
      <c r="C37" s="77">
        <v>32.731999999999999</v>
      </c>
      <c r="D37" s="77">
        <f t="shared" si="0"/>
        <v>3.1137999999999977</v>
      </c>
    </row>
    <row r="38" spans="1:4">
      <c r="A38" s="76">
        <v>39083</v>
      </c>
      <c r="B38" s="77">
        <v>28.135200000000001</v>
      </c>
      <c r="C38" s="77">
        <v>30.901499999999999</v>
      </c>
      <c r="D38" s="77">
        <f t="shared" si="0"/>
        <v>2.7662999999999975</v>
      </c>
    </row>
    <row r="39" spans="1:4">
      <c r="A39" s="76">
        <v>39114</v>
      </c>
      <c r="B39" s="77">
        <v>28.140699999999999</v>
      </c>
      <c r="C39" s="77">
        <v>31.207799999999999</v>
      </c>
      <c r="D39" s="77">
        <f t="shared" si="0"/>
        <v>3.0670999999999999</v>
      </c>
    </row>
    <row r="40" spans="1:4">
      <c r="A40" s="76">
        <v>39142</v>
      </c>
      <c r="B40" s="77">
        <v>29.5686</v>
      </c>
      <c r="C40" s="77">
        <v>32.393599999999999</v>
      </c>
      <c r="D40" s="77">
        <f t="shared" si="0"/>
        <v>2.8249999999999993</v>
      </c>
    </row>
    <row r="41" spans="1:4">
      <c r="A41" s="76">
        <v>39173</v>
      </c>
      <c r="B41" s="77">
        <v>31.185199999999998</v>
      </c>
      <c r="C41" s="77">
        <v>34.120699999999999</v>
      </c>
      <c r="D41" s="77">
        <f t="shared" si="0"/>
        <v>2.9355000000000011</v>
      </c>
    </row>
    <row r="42" spans="1:4">
      <c r="A42" s="76">
        <v>39203</v>
      </c>
      <c r="B42" s="77">
        <v>33.0486</v>
      </c>
      <c r="C42" s="77">
        <v>36.6509</v>
      </c>
      <c r="D42" s="77">
        <f t="shared" si="0"/>
        <v>3.6022999999999996</v>
      </c>
    </row>
    <row r="43" spans="1:4">
      <c r="A43" s="76">
        <v>39234</v>
      </c>
      <c r="B43" s="77">
        <v>34.396099999999997</v>
      </c>
      <c r="C43" s="77">
        <v>37.953299999999999</v>
      </c>
      <c r="D43" s="77">
        <f t="shared" si="0"/>
        <v>3.5572000000000017</v>
      </c>
    </row>
    <row r="44" spans="1:4">
      <c r="A44" s="76">
        <v>39264</v>
      </c>
      <c r="B44" s="77">
        <v>35.831899999999997</v>
      </c>
      <c r="C44" s="77">
        <v>39.008000000000003</v>
      </c>
      <c r="D44" s="77">
        <f t="shared" si="0"/>
        <v>3.1761000000000053</v>
      </c>
    </row>
    <row r="45" spans="1:4">
      <c r="A45" s="76">
        <v>39295</v>
      </c>
      <c r="B45" s="77">
        <v>35.686</v>
      </c>
      <c r="C45" s="77">
        <v>38.61</v>
      </c>
      <c r="D45" s="77">
        <f t="shared" si="0"/>
        <v>2.9239999999999995</v>
      </c>
    </row>
    <row r="46" spans="1:4">
      <c r="A46" s="76">
        <v>39326</v>
      </c>
      <c r="B46" s="77">
        <v>39.362099999999998</v>
      </c>
      <c r="C46" s="77">
        <v>41.862099999999998</v>
      </c>
      <c r="D46" s="77">
        <f t="shared" si="0"/>
        <v>2.5</v>
      </c>
    </row>
    <row r="47" spans="1:4">
      <c r="A47" s="76">
        <v>39356</v>
      </c>
      <c r="B47" s="77">
        <v>39.899099999999997</v>
      </c>
      <c r="C47" s="77">
        <v>42.746899999999997</v>
      </c>
      <c r="D47" s="77">
        <f t="shared" si="0"/>
        <v>2.8477999999999994</v>
      </c>
    </row>
    <row r="48" spans="1:4">
      <c r="A48" s="76">
        <v>39387</v>
      </c>
      <c r="B48" s="77">
        <v>43.920499999999997</v>
      </c>
      <c r="C48" s="77">
        <v>47.295499999999997</v>
      </c>
      <c r="D48" s="77">
        <f t="shared" si="0"/>
        <v>3.375</v>
      </c>
    </row>
    <row r="49" spans="1:4">
      <c r="A49" s="76">
        <v>39417</v>
      </c>
      <c r="B49" s="77">
        <v>45.820999999999998</v>
      </c>
      <c r="C49" s="77">
        <v>48.494500000000002</v>
      </c>
      <c r="D49" s="77">
        <f t="shared" si="0"/>
        <v>2.6735000000000042</v>
      </c>
    </row>
    <row r="50" spans="1:4">
      <c r="A50" s="76">
        <v>39448</v>
      </c>
      <c r="B50" s="77">
        <v>50.387099999999997</v>
      </c>
      <c r="C50" s="77">
        <v>53.327599999999997</v>
      </c>
      <c r="D50" s="77">
        <f t="shared" si="0"/>
        <v>2.9405000000000001</v>
      </c>
    </row>
    <row r="51" spans="1:4">
      <c r="A51" s="76">
        <v>39479</v>
      </c>
      <c r="B51" s="77">
        <v>56.743499999999997</v>
      </c>
      <c r="C51" s="77">
        <v>60.968499999999999</v>
      </c>
      <c r="D51" s="77">
        <f t="shared" si="0"/>
        <v>4.2250000000000014</v>
      </c>
    </row>
    <row r="52" spans="1:4">
      <c r="A52" s="76">
        <v>39508</v>
      </c>
      <c r="B52" s="77">
        <v>57.828000000000003</v>
      </c>
      <c r="C52" s="77">
        <v>63.777999999999999</v>
      </c>
      <c r="D52" s="77">
        <f t="shared" si="0"/>
        <v>5.9499999999999957</v>
      </c>
    </row>
    <row r="53" spans="1:4">
      <c r="A53" s="76">
        <v>39539</v>
      </c>
      <c r="B53" s="77">
        <v>56.948599999999999</v>
      </c>
      <c r="C53" s="77">
        <v>61.948599999999999</v>
      </c>
      <c r="D53" s="77">
        <f t="shared" si="0"/>
        <v>5</v>
      </c>
    </row>
    <row r="54" spans="1:4">
      <c r="A54" s="76">
        <v>39569</v>
      </c>
      <c r="B54" s="77">
        <v>59.425699999999999</v>
      </c>
      <c r="C54" s="77">
        <v>64.878</v>
      </c>
      <c r="D54" s="77">
        <f t="shared" si="0"/>
        <v>5.452300000000001</v>
      </c>
    </row>
    <row r="55" spans="1:4">
      <c r="A55" s="76">
        <v>39600</v>
      </c>
      <c r="B55" s="77">
        <v>63.537999999999997</v>
      </c>
      <c r="C55" s="77">
        <v>69.037999999999997</v>
      </c>
      <c r="D55" s="77">
        <f t="shared" si="0"/>
        <v>5.5</v>
      </c>
    </row>
    <row r="56" spans="1:4">
      <c r="A56" s="76">
        <v>39630</v>
      </c>
      <c r="B56" s="77">
        <v>60.8354</v>
      </c>
      <c r="C56" s="77">
        <v>66.426299999999998</v>
      </c>
      <c r="D56" s="77">
        <f t="shared" si="0"/>
        <v>5.5908999999999978</v>
      </c>
    </row>
    <row r="57" spans="1:4">
      <c r="A57" s="76">
        <v>39661</v>
      </c>
      <c r="B57" s="77">
        <v>50.959000000000003</v>
      </c>
      <c r="C57" s="77">
        <v>56.447099999999999</v>
      </c>
      <c r="D57" s="77">
        <f t="shared" si="0"/>
        <v>5.4880999999999958</v>
      </c>
    </row>
    <row r="58" spans="1:4">
      <c r="A58" s="76">
        <v>39692</v>
      </c>
      <c r="B58" s="77">
        <v>46.264699999999998</v>
      </c>
      <c r="C58" s="77">
        <v>51.740900000000003</v>
      </c>
      <c r="D58" s="77">
        <f t="shared" si="0"/>
        <v>5.4762000000000057</v>
      </c>
    </row>
    <row r="59" spans="1:4">
      <c r="A59" s="76">
        <v>39722</v>
      </c>
      <c r="B59" s="77">
        <v>35.857799999999997</v>
      </c>
      <c r="C59" s="77">
        <v>40.857799999999997</v>
      </c>
      <c r="D59" s="77">
        <f t="shared" si="0"/>
        <v>5</v>
      </c>
    </row>
    <row r="60" spans="1:4">
      <c r="A60" s="76">
        <v>39753</v>
      </c>
      <c r="B60" s="77">
        <v>32.045200000000001</v>
      </c>
      <c r="C60" s="77">
        <v>36.5715</v>
      </c>
      <c r="D60" s="77">
        <f t="shared" si="0"/>
        <v>4.5262999999999991</v>
      </c>
    </row>
    <row r="61" spans="1:4">
      <c r="A61" s="76">
        <v>39783</v>
      </c>
      <c r="B61" s="77">
        <v>29.66</v>
      </c>
      <c r="C61" s="77">
        <v>33.659999999999997</v>
      </c>
      <c r="D61" s="77">
        <f t="shared" si="0"/>
        <v>3.9999999999999964</v>
      </c>
    </row>
    <row r="62" spans="1:4">
      <c r="A62" s="76">
        <v>39814</v>
      </c>
      <c r="B62" s="77">
        <v>32.347999999999999</v>
      </c>
      <c r="C62" s="77">
        <v>36.347999999999999</v>
      </c>
      <c r="D62" s="77">
        <f t="shared" si="0"/>
        <v>4</v>
      </c>
    </row>
    <row r="63" spans="1:4">
      <c r="A63" s="76">
        <v>39845</v>
      </c>
      <c r="B63" s="77">
        <v>29.296800000000001</v>
      </c>
      <c r="C63" s="77">
        <v>32.678400000000003</v>
      </c>
      <c r="D63" s="77">
        <f t="shared" si="0"/>
        <v>3.3816000000000024</v>
      </c>
    </row>
    <row r="64" spans="1:4">
      <c r="A64" s="76">
        <v>39873</v>
      </c>
      <c r="B64" s="77">
        <v>28.515899999999998</v>
      </c>
      <c r="C64" s="77">
        <v>31.515899999999998</v>
      </c>
      <c r="D64" s="77">
        <f t="shared" si="0"/>
        <v>3</v>
      </c>
    </row>
    <row r="65" spans="1:4">
      <c r="A65" s="76">
        <v>39904</v>
      </c>
      <c r="B65" s="77">
        <v>32.925699999999999</v>
      </c>
      <c r="C65" s="77">
        <v>35.711399999999998</v>
      </c>
      <c r="D65" s="77">
        <f t="shared" si="0"/>
        <v>2.7856999999999985</v>
      </c>
    </row>
    <row r="66" spans="1:4">
      <c r="A66" s="76">
        <v>39934</v>
      </c>
      <c r="B66" s="77">
        <v>36.154000000000003</v>
      </c>
      <c r="C66" s="77">
        <v>39.154000000000003</v>
      </c>
      <c r="D66" s="77">
        <f t="shared" ref="D66:D129" si="1">C66-B66</f>
        <v>3</v>
      </c>
    </row>
    <row r="67" spans="1:4">
      <c r="A67" s="76">
        <v>39965</v>
      </c>
      <c r="B67" s="77">
        <v>35.725900000000003</v>
      </c>
      <c r="C67" s="77">
        <v>38.725900000000003</v>
      </c>
      <c r="D67" s="77">
        <f t="shared" si="1"/>
        <v>3</v>
      </c>
    </row>
    <row r="68" spans="1:4">
      <c r="A68" s="76">
        <v>39995</v>
      </c>
      <c r="B68" s="77">
        <v>31.801300000000001</v>
      </c>
      <c r="C68" s="77">
        <v>34.801299999999998</v>
      </c>
      <c r="D68" s="77">
        <f t="shared" si="1"/>
        <v>2.9999999999999964</v>
      </c>
    </row>
    <row r="69" spans="1:4">
      <c r="A69" s="76">
        <v>40026</v>
      </c>
      <c r="B69" s="77">
        <v>33.726100000000002</v>
      </c>
      <c r="C69" s="77">
        <v>36.726100000000002</v>
      </c>
      <c r="D69" s="77">
        <f t="shared" si="1"/>
        <v>3</v>
      </c>
    </row>
    <row r="70" spans="1:4">
      <c r="A70" s="76">
        <v>40057</v>
      </c>
      <c r="B70" s="77">
        <v>31.0519</v>
      </c>
      <c r="C70" s="77">
        <v>34.051900000000003</v>
      </c>
      <c r="D70" s="77">
        <f t="shared" si="1"/>
        <v>3.0000000000000036</v>
      </c>
    </row>
    <row r="71" spans="1:4">
      <c r="A71" s="76">
        <v>40087</v>
      </c>
      <c r="B71" s="77">
        <v>33.159999999999997</v>
      </c>
      <c r="C71" s="77">
        <v>36.159999999999997</v>
      </c>
      <c r="D71" s="77">
        <f t="shared" si="1"/>
        <v>3</v>
      </c>
    </row>
    <row r="72" spans="1:4">
      <c r="A72" s="76">
        <v>40118</v>
      </c>
      <c r="B72" s="77">
        <v>36.672499999999999</v>
      </c>
      <c r="C72" s="77">
        <v>39.672499999999999</v>
      </c>
      <c r="D72" s="77">
        <f t="shared" si="1"/>
        <v>3</v>
      </c>
    </row>
    <row r="73" spans="1:4">
      <c r="A73" s="76">
        <v>40148</v>
      </c>
      <c r="B73" s="77">
        <v>36.9345</v>
      </c>
      <c r="C73" s="77">
        <v>39.752699999999997</v>
      </c>
      <c r="D73" s="77">
        <f t="shared" si="1"/>
        <v>2.8181999999999974</v>
      </c>
    </row>
    <row r="74" spans="1:4">
      <c r="A74" s="76">
        <v>40179</v>
      </c>
      <c r="B74" s="77">
        <v>34.955199999999998</v>
      </c>
      <c r="C74" s="77">
        <v>36.955199999999998</v>
      </c>
      <c r="D74" s="77">
        <f t="shared" si="1"/>
        <v>2</v>
      </c>
    </row>
    <row r="75" spans="1:4">
      <c r="A75" s="76">
        <v>40210</v>
      </c>
      <c r="B75" s="77">
        <v>34.646299999999997</v>
      </c>
      <c r="C75" s="77">
        <v>36.646299999999997</v>
      </c>
      <c r="D75" s="77">
        <f t="shared" si="1"/>
        <v>2</v>
      </c>
    </row>
    <row r="76" spans="1:4">
      <c r="A76" s="76">
        <v>40238</v>
      </c>
      <c r="B76" s="77">
        <v>36.312100000000001</v>
      </c>
      <c r="C76" s="77">
        <v>38.312100000000001</v>
      </c>
      <c r="D76" s="77">
        <f t="shared" si="1"/>
        <v>2</v>
      </c>
    </row>
    <row r="77" spans="1:4">
      <c r="A77" s="76">
        <v>40269</v>
      </c>
      <c r="B77" s="77">
        <v>37.2057</v>
      </c>
      <c r="C77" s="77">
        <v>39.2057</v>
      </c>
      <c r="D77" s="77">
        <f t="shared" si="1"/>
        <v>2</v>
      </c>
    </row>
    <row r="78" spans="1:4">
      <c r="A78" s="76">
        <v>40299</v>
      </c>
      <c r="B78" s="77">
        <v>35.6205</v>
      </c>
      <c r="C78" s="77">
        <v>37.6205</v>
      </c>
      <c r="D78" s="77">
        <f t="shared" si="1"/>
        <v>2</v>
      </c>
    </row>
    <row r="79" spans="1:4">
      <c r="A79" s="76">
        <v>40330</v>
      </c>
      <c r="B79" s="77">
        <v>34.671300000000002</v>
      </c>
      <c r="C79" s="77">
        <v>36.671300000000002</v>
      </c>
      <c r="D79" s="77">
        <f t="shared" si="1"/>
        <v>2</v>
      </c>
    </row>
    <row r="80" spans="1:4">
      <c r="A80" s="76">
        <v>40360</v>
      </c>
      <c r="B80" s="77">
        <v>35.252299999999998</v>
      </c>
      <c r="C80" s="77">
        <v>37.252299999999998</v>
      </c>
      <c r="D80" s="77">
        <f t="shared" si="1"/>
        <v>2</v>
      </c>
    </row>
    <row r="81" spans="1:4">
      <c r="A81" s="76">
        <v>40391</v>
      </c>
      <c r="B81" s="77">
        <v>37.667700000000004</v>
      </c>
      <c r="C81" s="77">
        <v>39.667700000000004</v>
      </c>
      <c r="D81" s="77">
        <f t="shared" si="1"/>
        <v>2</v>
      </c>
    </row>
    <row r="82" spans="1:4">
      <c r="A82" s="76">
        <v>40422</v>
      </c>
      <c r="B82" s="77">
        <v>39.183300000000003</v>
      </c>
      <c r="C82" s="77">
        <v>42.183300000000003</v>
      </c>
      <c r="D82" s="77">
        <f t="shared" si="1"/>
        <v>3</v>
      </c>
    </row>
    <row r="83" spans="1:4">
      <c r="A83" s="76">
        <v>40452</v>
      </c>
      <c r="B83" s="77">
        <v>44.077100000000002</v>
      </c>
      <c r="C83" s="77">
        <v>47.577100000000002</v>
      </c>
      <c r="D83" s="77">
        <f t="shared" si="1"/>
        <v>3.5</v>
      </c>
    </row>
    <row r="84" spans="1:4">
      <c r="A84" s="76">
        <v>40483</v>
      </c>
      <c r="B84" s="77">
        <v>47.570900000000002</v>
      </c>
      <c r="C84" s="77">
        <v>51.070900000000002</v>
      </c>
      <c r="D84" s="77">
        <f t="shared" si="1"/>
        <v>3.5</v>
      </c>
    </row>
    <row r="85" spans="1:4">
      <c r="A85" s="76">
        <v>40513</v>
      </c>
      <c r="B85" s="77">
        <v>51.527700000000003</v>
      </c>
      <c r="C85" s="77">
        <v>55.027700000000003</v>
      </c>
      <c r="D85" s="77">
        <f t="shared" si="1"/>
        <v>3.5</v>
      </c>
    </row>
    <row r="86" spans="1:4">
      <c r="A86" s="76">
        <v>40544</v>
      </c>
      <c r="B86" s="77">
        <v>53.770499999999998</v>
      </c>
      <c r="C86" s="77">
        <v>58.070500000000003</v>
      </c>
      <c r="D86" s="77">
        <f t="shared" si="1"/>
        <v>4.3000000000000043</v>
      </c>
    </row>
    <row r="87" spans="1:4">
      <c r="A87" s="76">
        <v>40575</v>
      </c>
      <c r="B87" s="77">
        <v>54.136800000000001</v>
      </c>
      <c r="C87" s="77">
        <v>59.636800000000001</v>
      </c>
      <c r="D87" s="77">
        <f t="shared" si="1"/>
        <v>5.5</v>
      </c>
    </row>
    <row r="88" spans="1:4">
      <c r="A88" s="76">
        <v>40603</v>
      </c>
      <c r="B88" s="77">
        <v>53.965200000000003</v>
      </c>
      <c r="C88" s="77">
        <v>59.595599999999997</v>
      </c>
      <c r="D88" s="77">
        <f t="shared" si="1"/>
        <v>5.6303999999999945</v>
      </c>
    </row>
    <row r="89" spans="1:4">
      <c r="A89" s="76">
        <v>40634</v>
      </c>
      <c r="B89" s="77">
        <v>56.638500000000001</v>
      </c>
      <c r="C89" s="77">
        <v>63.063499999999998</v>
      </c>
      <c r="D89" s="77">
        <f t="shared" si="1"/>
        <v>6.4249999999999972</v>
      </c>
    </row>
    <row r="90" spans="1:4">
      <c r="A90" s="76">
        <v>40664</v>
      </c>
      <c r="B90" s="77">
        <v>56.079500000000003</v>
      </c>
      <c r="C90" s="77">
        <v>62.579500000000003</v>
      </c>
      <c r="D90" s="77">
        <f t="shared" si="1"/>
        <v>6.5</v>
      </c>
    </row>
    <row r="91" spans="1:4">
      <c r="A91" s="76">
        <v>40695</v>
      </c>
      <c r="B91" s="77">
        <v>55.728999999999999</v>
      </c>
      <c r="C91" s="77">
        <v>62.228999999999999</v>
      </c>
      <c r="D91" s="77">
        <f t="shared" si="1"/>
        <v>6.5</v>
      </c>
    </row>
    <row r="92" spans="1:4">
      <c r="A92" s="76">
        <v>40725</v>
      </c>
      <c r="B92" s="77">
        <v>55.262</v>
      </c>
      <c r="C92" s="77">
        <v>61.762</v>
      </c>
      <c r="D92" s="77">
        <f t="shared" si="1"/>
        <v>6.5</v>
      </c>
    </row>
    <row r="93" spans="1:4">
      <c r="A93" s="76">
        <v>40756</v>
      </c>
      <c r="B93" s="77">
        <v>54.3504</v>
      </c>
      <c r="C93" s="77">
        <v>60.8504</v>
      </c>
      <c r="D93" s="77">
        <f t="shared" si="1"/>
        <v>6.5</v>
      </c>
    </row>
    <row r="94" spans="1:4">
      <c r="A94" s="76">
        <v>40787</v>
      </c>
      <c r="B94" s="77">
        <v>54.9619</v>
      </c>
      <c r="C94" s="77">
        <v>61.4619</v>
      </c>
      <c r="D94" s="77">
        <f t="shared" si="1"/>
        <v>6.5</v>
      </c>
    </row>
    <row r="95" spans="1:4">
      <c r="A95" s="76">
        <v>40817</v>
      </c>
      <c r="B95" s="77">
        <v>51.9923</v>
      </c>
      <c r="C95" s="77">
        <v>58.4923</v>
      </c>
      <c r="D95" s="77">
        <f t="shared" si="1"/>
        <v>6.5</v>
      </c>
    </row>
    <row r="96" spans="1:4">
      <c r="A96" s="76">
        <v>40848</v>
      </c>
      <c r="B96" s="77">
        <v>51.777999999999999</v>
      </c>
      <c r="C96" s="77">
        <v>58.226100000000002</v>
      </c>
      <c r="D96" s="77">
        <f t="shared" si="1"/>
        <v>6.4481000000000037</v>
      </c>
    </row>
    <row r="97" spans="1:4">
      <c r="A97" s="76">
        <v>40878</v>
      </c>
      <c r="B97" s="77">
        <v>50.292299999999997</v>
      </c>
      <c r="C97" s="77">
        <v>56.792299999999997</v>
      </c>
      <c r="D97" s="77">
        <f t="shared" si="1"/>
        <v>6.5</v>
      </c>
    </row>
    <row r="98" spans="1:4">
      <c r="A98" s="76">
        <v>40909</v>
      </c>
      <c r="B98" s="77">
        <v>51.107500000000002</v>
      </c>
      <c r="C98" s="77">
        <v>57.607500000000002</v>
      </c>
      <c r="D98" s="77">
        <f t="shared" si="1"/>
        <v>6.5</v>
      </c>
    </row>
    <row r="99" spans="1:4">
      <c r="A99" s="76">
        <v>40940</v>
      </c>
      <c r="B99" s="77">
        <v>52.405500000000004</v>
      </c>
      <c r="C99" s="77">
        <v>58.905500000000004</v>
      </c>
      <c r="D99" s="77">
        <f t="shared" si="1"/>
        <v>6.5</v>
      </c>
    </row>
    <row r="100" spans="1:4">
      <c r="A100" s="76">
        <v>40969</v>
      </c>
      <c r="B100" s="77">
        <v>53.419499999999999</v>
      </c>
      <c r="C100" s="77">
        <v>59.919499999999999</v>
      </c>
      <c r="D100" s="77">
        <f t="shared" si="1"/>
        <v>6.5</v>
      </c>
    </row>
    <row r="101" spans="1:4">
      <c r="A101" s="76">
        <v>41000</v>
      </c>
      <c r="B101" s="77">
        <v>54.942</v>
      </c>
      <c r="C101" s="77">
        <v>61.591999999999999</v>
      </c>
      <c r="D101" s="77">
        <f t="shared" si="1"/>
        <v>6.6499999999999986</v>
      </c>
    </row>
    <row r="102" spans="1:4">
      <c r="A102" s="76">
        <v>41030</v>
      </c>
      <c r="B102" s="77">
        <v>50.7714</v>
      </c>
      <c r="C102" s="77">
        <v>57.7714</v>
      </c>
      <c r="D102" s="77">
        <f t="shared" si="1"/>
        <v>7</v>
      </c>
    </row>
    <row r="103" spans="1:4">
      <c r="A103" s="76">
        <v>41061</v>
      </c>
      <c r="B103" s="77">
        <v>49.552399999999999</v>
      </c>
      <c r="C103" s="77">
        <v>55.795200000000001</v>
      </c>
      <c r="D103" s="77">
        <f t="shared" si="1"/>
        <v>6.2428000000000026</v>
      </c>
    </row>
    <row r="104" spans="1:4">
      <c r="A104" s="76">
        <v>41091</v>
      </c>
      <c r="B104" s="77">
        <v>53.4193</v>
      </c>
      <c r="C104" s="77">
        <v>59.119300000000003</v>
      </c>
      <c r="D104" s="77">
        <f t="shared" si="1"/>
        <v>5.7000000000000028</v>
      </c>
    </row>
    <row r="105" spans="1:4">
      <c r="A105" s="76">
        <v>41122</v>
      </c>
      <c r="B105" s="77">
        <v>52.329099999999997</v>
      </c>
      <c r="C105" s="77">
        <v>58.231299999999997</v>
      </c>
      <c r="D105" s="77">
        <f t="shared" si="1"/>
        <v>5.9022000000000006</v>
      </c>
    </row>
    <row r="106" spans="1:4">
      <c r="A106" s="76">
        <v>41153</v>
      </c>
      <c r="B106" s="77">
        <v>53.433199999999999</v>
      </c>
      <c r="C106" s="77">
        <v>58.656799999999997</v>
      </c>
      <c r="D106" s="77">
        <f t="shared" si="1"/>
        <v>5.2235999999999976</v>
      </c>
    </row>
    <row r="107" spans="1:4">
      <c r="A107" s="76">
        <v>41183</v>
      </c>
      <c r="B107" s="77">
        <v>50.186999999999998</v>
      </c>
      <c r="C107" s="77">
        <v>54.4</v>
      </c>
      <c r="D107" s="77">
        <f t="shared" si="1"/>
        <v>4.213000000000001</v>
      </c>
    </row>
    <row r="108" spans="1:4">
      <c r="A108" s="76">
        <v>41214</v>
      </c>
      <c r="B108" s="77">
        <v>48.317300000000003</v>
      </c>
      <c r="C108" s="77">
        <v>51.296799999999998</v>
      </c>
      <c r="D108" s="77">
        <f t="shared" si="1"/>
        <v>2.9794999999999945</v>
      </c>
    </row>
    <row r="109" spans="1:4">
      <c r="A109" s="76">
        <v>41244</v>
      </c>
      <c r="B109" s="77">
        <v>49.616999999999997</v>
      </c>
      <c r="C109" s="77">
        <v>52.616999999999997</v>
      </c>
      <c r="D109" s="77">
        <f t="shared" si="1"/>
        <v>3</v>
      </c>
    </row>
    <row r="110" spans="1:4">
      <c r="A110" s="76">
        <v>41275</v>
      </c>
      <c r="B110" s="77">
        <v>51.557099999999998</v>
      </c>
      <c r="C110" s="77">
        <v>54.557099999999998</v>
      </c>
      <c r="D110" s="77">
        <f t="shared" si="1"/>
        <v>3</v>
      </c>
    </row>
    <row r="111" spans="1:4">
      <c r="A111" s="76">
        <v>41306</v>
      </c>
      <c r="B111" s="77">
        <v>52.244199999999999</v>
      </c>
      <c r="C111" s="77">
        <v>55.244199999999999</v>
      </c>
      <c r="D111" s="77">
        <f t="shared" si="1"/>
        <v>3</v>
      </c>
    </row>
    <row r="112" spans="1:4">
      <c r="A112" s="76">
        <v>41334</v>
      </c>
      <c r="B112" s="77">
        <v>51.25</v>
      </c>
      <c r="C112" s="77">
        <v>54.25</v>
      </c>
      <c r="D112" s="77">
        <f t="shared" si="1"/>
        <v>3</v>
      </c>
    </row>
    <row r="113" spans="1:4">
      <c r="A113" s="76">
        <v>41365</v>
      </c>
      <c r="B113" s="77">
        <v>51.625500000000002</v>
      </c>
      <c r="C113" s="77">
        <v>54.625500000000002</v>
      </c>
      <c r="D113" s="77">
        <f t="shared" si="1"/>
        <v>3</v>
      </c>
    </row>
    <row r="114" spans="1:4">
      <c r="A114" s="76">
        <v>41395</v>
      </c>
      <c r="B114" s="77">
        <v>52.540500000000002</v>
      </c>
      <c r="C114" s="77">
        <v>55.540500000000002</v>
      </c>
      <c r="D114" s="77">
        <f t="shared" si="1"/>
        <v>3</v>
      </c>
    </row>
    <row r="115" spans="1:4">
      <c r="A115" s="76">
        <v>41426</v>
      </c>
      <c r="B115" s="77">
        <v>51.329500000000003</v>
      </c>
      <c r="C115" s="77">
        <v>54.329500000000003</v>
      </c>
      <c r="D115" s="77">
        <f t="shared" si="1"/>
        <v>3</v>
      </c>
    </row>
    <row r="116" spans="1:4">
      <c r="A116" s="76">
        <v>41456</v>
      </c>
      <c r="B116" s="77">
        <v>48.377000000000002</v>
      </c>
      <c r="C116" s="77">
        <v>51.377000000000002</v>
      </c>
      <c r="D116" s="77">
        <f t="shared" si="1"/>
        <v>3</v>
      </c>
    </row>
    <row r="117" spans="1:4">
      <c r="A117" s="76">
        <v>41487</v>
      </c>
      <c r="B117" s="77">
        <v>45.105899999999998</v>
      </c>
      <c r="C117" s="77">
        <v>48.105899999999998</v>
      </c>
      <c r="D117" s="77">
        <f t="shared" si="1"/>
        <v>3</v>
      </c>
    </row>
    <row r="118" spans="1:4">
      <c r="A118" s="76">
        <v>41518</v>
      </c>
      <c r="B118" s="77">
        <v>45.637999999999998</v>
      </c>
      <c r="C118" s="77">
        <v>48.637999999999998</v>
      </c>
      <c r="D118" s="77">
        <f t="shared" si="1"/>
        <v>3</v>
      </c>
    </row>
    <row r="119" spans="1:4">
      <c r="A119" s="76">
        <v>41548</v>
      </c>
      <c r="B119" s="77">
        <v>44.160899999999998</v>
      </c>
      <c r="C119" s="77">
        <v>47.160899999999998</v>
      </c>
      <c r="D119" s="77">
        <f t="shared" si="1"/>
        <v>3</v>
      </c>
    </row>
    <row r="120" spans="1:4">
      <c r="A120" s="76">
        <v>41579</v>
      </c>
      <c r="B120" s="77">
        <v>40.981499999999997</v>
      </c>
      <c r="C120" s="77">
        <v>43.981499999999997</v>
      </c>
      <c r="D120" s="77">
        <f t="shared" si="1"/>
        <v>3</v>
      </c>
    </row>
    <row r="121" spans="1:4">
      <c r="A121" s="76">
        <v>41609</v>
      </c>
      <c r="B121" s="77">
        <v>39.730499999999999</v>
      </c>
      <c r="C121" s="77">
        <v>42.730499999999999</v>
      </c>
      <c r="D121" s="77">
        <f t="shared" si="1"/>
        <v>3</v>
      </c>
    </row>
    <row r="122" spans="1:4">
      <c r="A122" s="76">
        <v>41640</v>
      </c>
      <c r="B122" s="77">
        <v>37.824300000000001</v>
      </c>
      <c r="C122" s="77">
        <v>40.824300000000001</v>
      </c>
      <c r="D122" s="77">
        <f t="shared" si="1"/>
        <v>3</v>
      </c>
    </row>
    <row r="123" spans="1:4">
      <c r="A123" s="76">
        <v>41671</v>
      </c>
      <c r="B123" s="77">
        <v>39.642600000000002</v>
      </c>
      <c r="C123" s="77">
        <v>42.642600000000002</v>
      </c>
      <c r="D123" s="77">
        <f t="shared" si="1"/>
        <v>3</v>
      </c>
    </row>
    <row r="124" spans="1:4">
      <c r="A124" s="76">
        <v>41699</v>
      </c>
      <c r="B124" s="77">
        <v>41.254300000000001</v>
      </c>
      <c r="C124" s="77">
        <v>44.147100000000002</v>
      </c>
      <c r="D124" s="77">
        <f t="shared" si="1"/>
        <v>2.8928000000000011</v>
      </c>
    </row>
    <row r="125" spans="1:4">
      <c r="A125" s="76">
        <v>41730</v>
      </c>
      <c r="B125" s="77">
        <v>42.012900000000002</v>
      </c>
      <c r="C125" s="77">
        <v>44.762900000000002</v>
      </c>
      <c r="D125" s="77">
        <f t="shared" si="1"/>
        <v>2.75</v>
      </c>
    </row>
    <row r="126" spans="1:4">
      <c r="A126" s="76">
        <v>41760</v>
      </c>
      <c r="B126" s="77">
        <v>41.364800000000002</v>
      </c>
      <c r="C126" s="77">
        <v>44.114800000000002</v>
      </c>
      <c r="D126" s="77">
        <f t="shared" si="1"/>
        <v>2.75</v>
      </c>
    </row>
    <row r="127" spans="1:4">
      <c r="A127" s="76">
        <v>41791</v>
      </c>
      <c r="B127" s="77">
        <v>40.8767</v>
      </c>
      <c r="C127" s="77">
        <v>43.6267</v>
      </c>
      <c r="D127" s="77">
        <f t="shared" si="1"/>
        <v>2.75</v>
      </c>
    </row>
    <row r="128" spans="1:4">
      <c r="A128" s="76">
        <v>41821</v>
      </c>
      <c r="B128" s="77">
        <v>39.006399999999999</v>
      </c>
      <c r="C128" s="77">
        <v>41.756399999999999</v>
      </c>
      <c r="D128" s="77">
        <f t="shared" si="1"/>
        <v>2.75</v>
      </c>
    </row>
    <row r="129" spans="1:4">
      <c r="A129" s="76">
        <v>41852</v>
      </c>
      <c r="B129" s="77">
        <v>36.390500000000003</v>
      </c>
      <c r="C129" s="77">
        <v>39.138599999999997</v>
      </c>
      <c r="D129" s="77">
        <f t="shared" si="1"/>
        <v>2.7480999999999938</v>
      </c>
    </row>
    <row r="130" spans="1:4">
      <c r="A130" s="76">
        <v>41883</v>
      </c>
      <c r="B130" s="77">
        <v>35.086199999999998</v>
      </c>
      <c r="C130" s="77">
        <v>37.836199999999998</v>
      </c>
      <c r="D130" s="77">
        <f t="shared" ref="D130:D193" si="2">C130-B130</f>
        <v>2.75</v>
      </c>
    </row>
    <row r="131" spans="1:4">
      <c r="A131" s="76">
        <v>41913</v>
      </c>
      <c r="B131" s="77">
        <v>35.61</v>
      </c>
      <c r="C131" s="77">
        <v>38.316499999999998</v>
      </c>
      <c r="D131" s="77">
        <f t="shared" si="2"/>
        <v>2.7064999999999984</v>
      </c>
    </row>
    <row r="132" spans="1:4">
      <c r="A132" s="76">
        <v>41944</v>
      </c>
      <c r="B132" s="77">
        <v>34.6432</v>
      </c>
      <c r="C132" s="77">
        <v>37.3932</v>
      </c>
      <c r="D132" s="77">
        <f t="shared" si="2"/>
        <v>2.75</v>
      </c>
    </row>
    <row r="133" spans="1:4">
      <c r="A133" s="76">
        <v>41974</v>
      </c>
      <c r="B133" s="77">
        <v>32.640500000000003</v>
      </c>
      <c r="C133" s="77">
        <v>35.390500000000003</v>
      </c>
      <c r="D133" s="77">
        <f t="shared" si="2"/>
        <v>2.75</v>
      </c>
    </row>
    <row r="134" spans="1:4">
      <c r="A134" s="76">
        <v>42005</v>
      </c>
      <c r="B134" s="77">
        <v>32.327500000000001</v>
      </c>
      <c r="C134" s="77">
        <v>35.077500000000001</v>
      </c>
      <c r="D134" s="77">
        <f t="shared" si="2"/>
        <v>2.75</v>
      </c>
    </row>
    <row r="135" spans="1:4">
      <c r="A135" s="76">
        <v>42036</v>
      </c>
      <c r="B135" s="77">
        <v>31.0395</v>
      </c>
      <c r="C135" s="77">
        <v>33.789499999999997</v>
      </c>
      <c r="D135" s="77">
        <f t="shared" si="2"/>
        <v>2.7499999999999964</v>
      </c>
    </row>
    <row r="136" spans="1:4">
      <c r="A136" s="76">
        <v>42064</v>
      </c>
      <c r="B136" s="77">
        <v>30.526800000000001</v>
      </c>
      <c r="C136" s="77">
        <v>33.247100000000003</v>
      </c>
      <c r="D136" s="77">
        <f t="shared" si="2"/>
        <v>2.7203000000000017</v>
      </c>
    </row>
    <row r="137" spans="1:4">
      <c r="A137" s="76">
        <v>42095</v>
      </c>
      <c r="B137" s="77">
        <v>31.492899999999999</v>
      </c>
      <c r="C137" s="77">
        <v>35.381100000000004</v>
      </c>
      <c r="D137" s="77">
        <f t="shared" si="2"/>
        <v>3.8882000000000048</v>
      </c>
    </row>
    <row r="138" spans="1:4">
      <c r="A138" s="76">
        <v>42125</v>
      </c>
      <c r="B138" s="77">
        <v>32.638599999999997</v>
      </c>
      <c r="C138" s="77">
        <v>35.650500000000001</v>
      </c>
      <c r="D138" s="77">
        <f t="shared" si="2"/>
        <v>3.0119000000000042</v>
      </c>
    </row>
    <row r="139" spans="1:4">
      <c r="A139" s="76">
        <v>42156</v>
      </c>
      <c r="B139" s="77">
        <v>33.787300000000002</v>
      </c>
      <c r="C139" s="77">
        <v>36.537300000000002</v>
      </c>
      <c r="D139" s="77">
        <f t="shared" si="2"/>
        <v>2.75</v>
      </c>
    </row>
    <row r="140" spans="1:4">
      <c r="A140" s="76">
        <v>42186</v>
      </c>
      <c r="B140" s="77">
        <v>31.863600000000002</v>
      </c>
      <c r="C140" s="77">
        <v>34.613599999999998</v>
      </c>
      <c r="D140" s="77">
        <f t="shared" si="2"/>
        <v>2.7499999999999964</v>
      </c>
    </row>
    <row r="141" spans="1:4">
      <c r="A141" s="76">
        <v>42217</v>
      </c>
      <c r="B141" s="77">
        <v>28.751000000000001</v>
      </c>
      <c r="C141" s="77">
        <v>31.4771</v>
      </c>
      <c r="D141" s="77">
        <f t="shared" si="2"/>
        <v>2.7260999999999989</v>
      </c>
    </row>
    <row r="142" spans="1:4">
      <c r="A142" s="76">
        <v>42248</v>
      </c>
      <c r="B142" s="77">
        <v>26.0471</v>
      </c>
      <c r="C142" s="77">
        <v>28.5471</v>
      </c>
      <c r="D142" s="77">
        <f t="shared" si="2"/>
        <v>2.5</v>
      </c>
    </row>
    <row r="143" spans="1:4">
      <c r="A143" s="76">
        <v>42278</v>
      </c>
      <c r="B143" s="77">
        <v>27.3005</v>
      </c>
      <c r="C143" s="77">
        <v>29.8005</v>
      </c>
      <c r="D143" s="77">
        <f t="shared" si="2"/>
        <v>2.5</v>
      </c>
    </row>
    <row r="144" spans="1:4">
      <c r="A144" s="76">
        <v>42309</v>
      </c>
      <c r="B144" s="77">
        <v>26.5715</v>
      </c>
      <c r="C144" s="77">
        <v>29.0715</v>
      </c>
      <c r="D144" s="77">
        <f t="shared" si="2"/>
        <v>2.5</v>
      </c>
    </row>
    <row r="145" spans="1:4">
      <c r="A145" s="76">
        <v>42339</v>
      </c>
      <c r="B145" s="77">
        <v>29.5136</v>
      </c>
      <c r="C145" s="77">
        <v>32.013599999999997</v>
      </c>
      <c r="D145" s="77">
        <f t="shared" si="2"/>
        <v>2.4999999999999964</v>
      </c>
    </row>
    <row r="146" spans="1:4">
      <c r="A146" s="76">
        <v>42370</v>
      </c>
      <c r="B146" s="77">
        <v>28.7942</v>
      </c>
      <c r="C146" s="77">
        <v>31.2942</v>
      </c>
      <c r="D146" s="77">
        <f t="shared" si="2"/>
        <v>2.5</v>
      </c>
    </row>
    <row r="147" spans="1:4">
      <c r="A147" s="76">
        <v>42401</v>
      </c>
      <c r="B147" s="77">
        <v>29.657499999999999</v>
      </c>
      <c r="C147" s="77">
        <v>32.157499999999999</v>
      </c>
      <c r="D147" s="77">
        <f t="shared" si="2"/>
        <v>2.5</v>
      </c>
    </row>
    <row r="148" spans="1:4">
      <c r="A148" s="76">
        <v>42430</v>
      </c>
      <c r="B148" s="77">
        <v>30.976400000000002</v>
      </c>
      <c r="C148" s="77">
        <v>33.476399999999998</v>
      </c>
      <c r="D148" s="77">
        <f t="shared" si="2"/>
        <v>2.4999999999999964</v>
      </c>
    </row>
    <row r="149" spans="1:4">
      <c r="A149" s="76">
        <v>42461</v>
      </c>
      <c r="B149" s="77">
        <v>32.441000000000003</v>
      </c>
      <c r="C149" s="77">
        <v>34.941000000000003</v>
      </c>
      <c r="D149" s="77">
        <f t="shared" si="2"/>
        <v>2.5</v>
      </c>
    </row>
    <row r="150" spans="1:4">
      <c r="A150" s="76">
        <v>42491</v>
      </c>
      <c r="B150" s="77">
        <v>30.578600000000002</v>
      </c>
      <c r="C150" s="77">
        <v>33.078600000000002</v>
      </c>
      <c r="D150" s="77">
        <f t="shared" si="2"/>
        <v>2.5</v>
      </c>
    </row>
    <row r="151" spans="1:4">
      <c r="A151" s="76">
        <v>42522</v>
      </c>
      <c r="B151" s="77">
        <v>30.517299999999999</v>
      </c>
      <c r="C151" s="77">
        <v>33.017299999999999</v>
      </c>
      <c r="D151" s="77">
        <f t="shared" si="2"/>
        <v>2.5</v>
      </c>
    </row>
    <row r="152" spans="1:4">
      <c r="A152" s="76">
        <v>42552</v>
      </c>
      <c r="B152" s="77">
        <v>29</v>
      </c>
      <c r="C152" s="77">
        <v>31.5</v>
      </c>
      <c r="D152" s="77">
        <f t="shared" si="2"/>
        <v>2.5</v>
      </c>
    </row>
    <row r="153" spans="1:4">
      <c r="A153" s="76">
        <v>42583</v>
      </c>
      <c r="B153" s="77">
        <v>31.555700000000002</v>
      </c>
      <c r="C153" s="77">
        <v>34.055700000000002</v>
      </c>
      <c r="D153" s="77">
        <f t="shared" si="2"/>
        <v>2.5</v>
      </c>
    </row>
    <row r="154" spans="1:4">
      <c r="A154" s="76">
        <v>42614</v>
      </c>
      <c r="B154" s="77">
        <v>32.965200000000003</v>
      </c>
      <c r="C154" s="77">
        <v>35.465200000000003</v>
      </c>
      <c r="D154" s="77">
        <f t="shared" si="2"/>
        <v>2.5</v>
      </c>
    </row>
    <row r="155" spans="1:4">
      <c r="A155" s="76">
        <v>42644</v>
      </c>
      <c r="B155" s="77">
        <v>33.634300000000003</v>
      </c>
      <c r="C155" s="77">
        <v>36.134300000000003</v>
      </c>
      <c r="D155" s="77">
        <f t="shared" si="2"/>
        <v>2.5</v>
      </c>
    </row>
    <row r="156" spans="1:4">
      <c r="A156" s="76">
        <v>42675</v>
      </c>
      <c r="B156" s="77">
        <v>34.286200000000001</v>
      </c>
      <c r="C156" s="77">
        <v>36.786200000000001</v>
      </c>
      <c r="D156" s="77">
        <f t="shared" si="2"/>
        <v>2.5</v>
      </c>
    </row>
    <row r="157" spans="1:4">
      <c r="A157" s="76">
        <v>42705</v>
      </c>
      <c r="B157" s="77">
        <v>35.348100000000002</v>
      </c>
      <c r="C157" s="77">
        <v>37.848100000000002</v>
      </c>
      <c r="D157" s="77">
        <f t="shared" si="2"/>
        <v>2.5</v>
      </c>
    </row>
    <row r="158" spans="1:4">
      <c r="A158" s="76">
        <v>42736</v>
      </c>
      <c r="B158" s="77">
        <v>33.611499999999999</v>
      </c>
      <c r="C158" s="77">
        <v>36.111499999999999</v>
      </c>
      <c r="D158" s="77">
        <f t="shared" si="2"/>
        <v>2.5</v>
      </c>
    </row>
    <row r="159" spans="1:4">
      <c r="A159" s="76">
        <v>42767</v>
      </c>
      <c r="B159" s="77">
        <v>32.282600000000002</v>
      </c>
      <c r="C159" s="77">
        <v>34.782600000000002</v>
      </c>
      <c r="D159" s="77">
        <f t="shared" si="2"/>
        <v>2.5</v>
      </c>
    </row>
    <row r="160" spans="1:4">
      <c r="A160" s="76">
        <v>42795</v>
      </c>
      <c r="B160" s="77">
        <v>30.862200000000001</v>
      </c>
      <c r="C160" s="77">
        <v>33.362200000000001</v>
      </c>
      <c r="D160" s="77">
        <f t="shared" si="2"/>
        <v>2.5</v>
      </c>
    </row>
    <row r="161" spans="1:4">
      <c r="A161" s="76">
        <v>42826</v>
      </c>
      <c r="B161" s="77">
        <v>29.6174</v>
      </c>
      <c r="C161" s="77">
        <v>32.117400000000004</v>
      </c>
      <c r="D161" s="77">
        <f t="shared" si="2"/>
        <v>2.5000000000000036</v>
      </c>
    </row>
    <row r="162" spans="1:4">
      <c r="A162" s="76">
        <v>42856</v>
      </c>
      <c r="B162" s="77">
        <v>30.7409</v>
      </c>
      <c r="C162" s="77">
        <v>33.204099999999997</v>
      </c>
      <c r="D162" s="77">
        <f t="shared" si="2"/>
        <v>2.4631999999999969</v>
      </c>
    </row>
    <row r="163" spans="1:4">
      <c r="A163" s="76">
        <v>42887</v>
      </c>
      <c r="B163" s="77">
        <v>30.7773</v>
      </c>
      <c r="C163" s="77">
        <v>33.277299999999997</v>
      </c>
      <c r="D163" s="77">
        <f t="shared" si="2"/>
        <v>2.4999999999999964</v>
      </c>
    </row>
    <row r="164" spans="1:4">
      <c r="A164" s="76">
        <v>42917</v>
      </c>
      <c r="B164" s="77">
        <v>32.71</v>
      </c>
      <c r="C164" s="77">
        <v>35.21</v>
      </c>
      <c r="D164" s="77">
        <f t="shared" si="2"/>
        <v>2.5</v>
      </c>
    </row>
    <row r="165" spans="1:4">
      <c r="A165" s="76">
        <v>42948</v>
      </c>
      <c r="B165" s="77">
        <v>33.159599999999998</v>
      </c>
      <c r="C165" s="77">
        <v>35.659599999999998</v>
      </c>
      <c r="D165" s="77">
        <f t="shared" si="2"/>
        <v>2.5</v>
      </c>
    </row>
    <row r="166" spans="1:4">
      <c r="A166" s="76">
        <v>42979</v>
      </c>
      <c r="B166" s="77">
        <v>33.292499999999997</v>
      </c>
      <c r="C166" s="77">
        <v>35.792499999999997</v>
      </c>
      <c r="D166" s="77">
        <f t="shared" si="2"/>
        <v>2.5</v>
      </c>
    </row>
    <row r="167" spans="1:4">
      <c r="A167" s="76">
        <v>43009</v>
      </c>
      <c r="B167" s="77">
        <v>32.137700000000002</v>
      </c>
      <c r="C167" s="77">
        <v>34.637700000000002</v>
      </c>
      <c r="D167" s="77">
        <f t="shared" si="2"/>
        <v>2.5</v>
      </c>
    </row>
    <row r="168" spans="1:4">
      <c r="A168" s="76">
        <v>43040</v>
      </c>
      <c r="B168" s="77">
        <v>33.315199999999997</v>
      </c>
      <c r="C168" s="77">
        <v>35.815199999999997</v>
      </c>
      <c r="D168" s="77">
        <f t="shared" si="2"/>
        <v>2.5</v>
      </c>
    </row>
    <row r="169" spans="1:4">
      <c r="A169" s="76">
        <v>43070</v>
      </c>
      <c r="B169" s="77">
        <v>32.183500000000002</v>
      </c>
      <c r="C169" s="77">
        <v>34.683500000000002</v>
      </c>
      <c r="D169" s="77">
        <f t="shared" si="2"/>
        <v>2.5</v>
      </c>
    </row>
    <row r="170" spans="1:4">
      <c r="A170" s="76">
        <v>43101</v>
      </c>
      <c r="B170" s="77">
        <v>31.826699999999999</v>
      </c>
      <c r="C170" s="77">
        <v>34.326700000000002</v>
      </c>
      <c r="D170" s="77">
        <f t="shared" si="2"/>
        <v>2.5000000000000036</v>
      </c>
    </row>
    <row r="171" spans="1:4">
      <c r="A171" s="76">
        <v>43132</v>
      </c>
      <c r="B171" s="77">
        <v>30.642600000000002</v>
      </c>
      <c r="C171" s="77">
        <v>33.142600000000002</v>
      </c>
      <c r="D171" s="77">
        <f t="shared" si="2"/>
        <v>2.5</v>
      </c>
    </row>
    <row r="172" spans="1:4">
      <c r="A172" s="76">
        <v>43160</v>
      </c>
      <c r="B172" s="77">
        <v>30.284800000000001</v>
      </c>
      <c r="C172" s="77">
        <v>32.784799999999997</v>
      </c>
      <c r="D172" s="77">
        <f t="shared" si="2"/>
        <v>2.4999999999999964</v>
      </c>
    </row>
    <row r="173" spans="1:4">
      <c r="A173" s="76">
        <v>43191</v>
      </c>
      <c r="B173" s="77">
        <v>29.698599999999999</v>
      </c>
      <c r="C173" s="77">
        <v>32.198599999999999</v>
      </c>
      <c r="D173" s="77">
        <f t="shared" si="2"/>
        <v>2.5</v>
      </c>
    </row>
    <row r="174" spans="1:4">
      <c r="A174" s="76">
        <v>43221</v>
      </c>
      <c r="B174" s="77">
        <v>29.436800000000002</v>
      </c>
      <c r="C174" s="77">
        <v>31.936800000000002</v>
      </c>
      <c r="D174" s="77">
        <f t="shared" si="2"/>
        <v>2.5</v>
      </c>
    </row>
    <row r="175" spans="1:4">
      <c r="A175" s="76">
        <v>43252</v>
      </c>
      <c r="B175" s="77">
        <v>28.221</v>
      </c>
      <c r="C175" s="77">
        <v>30.721</v>
      </c>
      <c r="D175" s="77">
        <f t="shared" si="2"/>
        <v>2.5</v>
      </c>
    </row>
    <row r="176" spans="1:4">
      <c r="A176" s="76">
        <v>43282</v>
      </c>
      <c r="B176" s="77">
        <v>27.185700000000001</v>
      </c>
      <c r="C176" s="77">
        <v>29.685700000000001</v>
      </c>
      <c r="D176" s="77">
        <f t="shared" si="2"/>
        <v>2.5</v>
      </c>
    </row>
    <row r="177" spans="1:4">
      <c r="A177" s="76">
        <v>43313</v>
      </c>
      <c r="B177" s="77">
        <v>27.67</v>
      </c>
      <c r="C177" s="77">
        <v>30.17</v>
      </c>
      <c r="D177" s="77">
        <f t="shared" si="2"/>
        <v>2.5</v>
      </c>
    </row>
    <row r="178" spans="1:4">
      <c r="A178" s="76">
        <v>43344</v>
      </c>
      <c r="B178" s="77">
        <v>27.776299999999999</v>
      </c>
      <c r="C178" s="77">
        <v>30.276299999999999</v>
      </c>
      <c r="D178" s="77">
        <f t="shared" si="2"/>
        <v>2.5</v>
      </c>
    </row>
    <row r="179" spans="1:4">
      <c r="A179" s="76">
        <v>43374</v>
      </c>
      <c r="B179" s="77">
        <v>28.938700000000001</v>
      </c>
      <c r="C179" s="77">
        <v>31.438700000000001</v>
      </c>
      <c r="D179" s="77">
        <f t="shared" si="2"/>
        <v>2.5</v>
      </c>
    </row>
    <row r="180" spans="1:4">
      <c r="A180" s="76">
        <v>43405</v>
      </c>
      <c r="B180" s="77">
        <v>27.491</v>
      </c>
      <c r="C180" s="77">
        <v>30.943300000000001</v>
      </c>
      <c r="D180" s="77">
        <f t="shared" si="2"/>
        <v>3.452300000000001</v>
      </c>
    </row>
    <row r="181" spans="1:4">
      <c r="A181" s="76">
        <v>43435</v>
      </c>
      <c r="B181" s="77">
        <v>28.122499999999999</v>
      </c>
      <c r="C181" s="77">
        <v>31.872499999999999</v>
      </c>
      <c r="D181" s="77">
        <f t="shared" si="2"/>
        <v>3.75</v>
      </c>
    </row>
    <row r="182" spans="1:4">
      <c r="A182" s="76">
        <v>43466</v>
      </c>
      <c r="B182" s="77">
        <v>28.567599999999999</v>
      </c>
      <c r="C182" s="77">
        <v>32.317599999999999</v>
      </c>
      <c r="D182" s="77">
        <f t="shared" si="2"/>
        <v>3.75</v>
      </c>
    </row>
    <row r="183" spans="1:4">
      <c r="A183" s="76">
        <v>43497</v>
      </c>
      <c r="B183" s="77">
        <v>29.575800000000001</v>
      </c>
      <c r="C183" s="77">
        <v>32.904699999999998</v>
      </c>
      <c r="D183" s="77">
        <f t="shared" si="2"/>
        <v>3.3288999999999973</v>
      </c>
    </row>
    <row r="184" spans="1:4">
      <c r="A184" s="76">
        <v>43525</v>
      </c>
      <c r="B184" s="77">
        <v>28.64</v>
      </c>
      <c r="C184" s="77">
        <v>31.79</v>
      </c>
      <c r="D184" s="77">
        <f t="shared" si="2"/>
        <v>3.1499999999999986</v>
      </c>
    </row>
    <row r="185" spans="1:4">
      <c r="A185" s="76">
        <v>43556</v>
      </c>
      <c r="B185" s="77">
        <v>27.8781</v>
      </c>
      <c r="C185" s="77">
        <v>31.028099999999998</v>
      </c>
      <c r="D185" s="77">
        <f t="shared" si="2"/>
        <v>3.1499999999999986</v>
      </c>
    </row>
    <row r="186" spans="1:4">
      <c r="A186" s="76">
        <v>43586</v>
      </c>
      <c r="B186" s="77">
        <v>26.981400000000001</v>
      </c>
      <c r="C186" s="77">
        <v>30.131399999999999</v>
      </c>
      <c r="D186" s="77">
        <f t="shared" si="2"/>
        <v>3.1499999999999986</v>
      </c>
    </row>
    <row r="187" spans="1:4">
      <c r="A187" s="76">
        <v>43617</v>
      </c>
      <c r="B187" s="77">
        <v>28.240500000000001</v>
      </c>
      <c r="C187" s="77">
        <v>31.390499999999999</v>
      </c>
      <c r="D187" s="77">
        <f t="shared" si="2"/>
        <v>3.1499999999999986</v>
      </c>
    </row>
    <row r="188" spans="1:4">
      <c r="A188" s="76">
        <v>43647</v>
      </c>
      <c r="B188" s="77">
        <v>28.273199999999999</v>
      </c>
      <c r="C188" s="77">
        <v>31.423200000000001</v>
      </c>
      <c r="D188" s="77">
        <f t="shared" si="2"/>
        <v>3.1500000000000021</v>
      </c>
    </row>
    <row r="189" spans="1:4">
      <c r="A189" s="76">
        <v>43678</v>
      </c>
      <c r="B189" s="77">
        <v>28.370899999999999</v>
      </c>
      <c r="C189" s="77">
        <v>31.520900000000001</v>
      </c>
      <c r="D189" s="77">
        <f t="shared" si="2"/>
        <v>3.1500000000000021</v>
      </c>
    </row>
    <row r="190" spans="1:4">
      <c r="A190" s="76">
        <v>43709</v>
      </c>
      <c r="B190" s="77">
        <v>28.812999999999999</v>
      </c>
      <c r="C190" s="77">
        <v>31.963000000000001</v>
      </c>
      <c r="D190" s="77">
        <f t="shared" si="2"/>
        <v>3.1500000000000021</v>
      </c>
    </row>
    <row r="191" spans="1:4">
      <c r="A191" s="76">
        <v>43739</v>
      </c>
      <c r="B191" s="77">
        <v>30.1191</v>
      </c>
      <c r="C191" s="77">
        <v>33.269100000000002</v>
      </c>
      <c r="D191" s="77">
        <f t="shared" si="2"/>
        <v>3.1500000000000021</v>
      </c>
    </row>
    <row r="192" spans="1:4">
      <c r="A192" s="76">
        <v>43770</v>
      </c>
      <c r="B192" s="77">
        <v>30.616499999999998</v>
      </c>
      <c r="C192" s="77">
        <v>33.766500000000001</v>
      </c>
      <c r="D192" s="77">
        <f t="shared" si="2"/>
        <v>3.1500000000000021</v>
      </c>
    </row>
    <row r="193" spans="1:4">
      <c r="A193" s="76">
        <v>43800</v>
      </c>
      <c r="B193" s="77">
        <v>32.232399999999998</v>
      </c>
      <c r="C193" s="77">
        <v>35.382399999999997</v>
      </c>
      <c r="D193" s="77">
        <f t="shared" si="2"/>
        <v>3.1499999999999986</v>
      </c>
    </row>
    <row r="194" spans="1:4">
      <c r="A194" s="76">
        <v>43831</v>
      </c>
      <c r="B194" s="77">
        <v>32.942900000000002</v>
      </c>
      <c r="C194" s="77">
        <v>36.0929</v>
      </c>
      <c r="D194" s="77">
        <f t="shared" ref="D194:D213" si="3">C194-B194</f>
        <v>3.1499999999999986</v>
      </c>
    </row>
    <row r="195" spans="1:4">
      <c r="A195" s="76">
        <v>43862</v>
      </c>
      <c r="B195" s="77">
        <v>30.282599999999999</v>
      </c>
      <c r="C195" s="77">
        <v>33.432600000000001</v>
      </c>
      <c r="D195" s="77">
        <f t="shared" si="3"/>
        <v>3.1500000000000021</v>
      </c>
    </row>
    <row r="196" spans="1:4">
      <c r="A196" s="76">
        <v>43891</v>
      </c>
      <c r="B196" s="77">
        <v>27.026800000000001</v>
      </c>
      <c r="C196" s="77">
        <v>30.1768</v>
      </c>
      <c r="D196" s="77">
        <f t="shared" si="3"/>
        <v>3.1499999999999986</v>
      </c>
    </row>
    <row r="197" spans="1:4">
      <c r="A197" s="76">
        <v>43922</v>
      </c>
      <c r="B197" s="77">
        <v>25.652899999999999</v>
      </c>
      <c r="C197" s="77">
        <v>28.802900000000001</v>
      </c>
      <c r="D197" s="77">
        <f t="shared" si="3"/>
        <v>3.1500000000000021</v>
      </c>
    </row>
    <row r="198" spans="1:4">
      <c r="A198" s="76">
        <v>43952</v>
      </c>
      <c r="B198" s="77">
        <v>25.2685</v>
      </c>
      <c r="C198" s="77">
        <v>28.418500000000002</v>
      </c>
      <c r="D198" s="77">
        <f t="shared" si="3"/>
        <v>3.1500000000000021</v>
      </c>
    </row>
    <row r="199" spans="1:4">
      <c r="A199" s="76">
        <v>43983</v>
      </c>
      <c r="B199" s="77">
        <v>26.614100000000001</v>
      </c>
      <c r="C199" s="77">
        <v>29.764099999999999</v>
      </c>
      <c r="D199" s="77">
        <f t="shared" si="3"/>
        <v>3.1499999999999986</v>
      </c>
    </row>
    <row r="200" spans="1:4">
      <c r="A200" s="76">
        <v>44013</v>
      </c>
      <c r="B200" s="77">
        <v>28.701799999999999</v>
      </c>
      <c r="C200" s="77">
        <v>31.8109</v>
      </c>
      <c r="D200" s="77">
        <f t="shared" si="3"/>
        <v>3.1091000000000015</v>
      </c>
    </row>
    <row r="201" spans="1:4">
      <c r="A201" s="76">
        <v>44044</v>
      </c>
      <c r="B201" s="77">
        <v>31.992899999999999</v>
      </c>
      <c r="C201" s="77">
        <v>35.142899999999997</v>
      </c>
      <c r="D201" s="77">
        <f t="shared" si="3"/>
        <v>3.1499999999999986</v>
      </c>
    </row>
    <row r="202" spans="1:4">
      <c r="A202" s="76">
        <v>44075</v>
      </c>
      <c r="B202" s="77">
        <v>34.067599999999999</v>
      </c>
      <c r="C202" s="77">
        <v>37.217599999999997</v>
      </c>
      <c r="D202" s="77">
        <f t="shared" si="3"/>
        <v>3.1499999999999986</v>
      </c>
    </row>
    <row r="203" spans="1:4">
      <c r="A203" s="76">
        <v>44105</v>
      </c>
      <c r="B203" s="77">
        <v>33.876800000000003</v>
      </c>
      <c r="C203" s="77">
        <v>37.026800000000001</v>
      </c>
      <c r="D203" s="77">
        <f t="shared" si="3"/>
        <v>3.1499999999999986</v>
      </c>
    </row>
    <row r="204" spans="1:4">
      <c r="A204" s="76">
        <v>44136</v>
      </c>
      <c r="B204" s="77">
        <v>37.952500000000001</v>
      </c>
      <c r="C204" s="77">
        <v>41.102499999999999</v>
      </c>
      <c r="D204" s="77">
        <f t="shared" si="3"/>
        <v>3.1499999999999986</v>
      </c>
    </row>
    <row r="205" spans="1:4">
      <c r="A205" s="76">
        <v>44166</v>
      </c>
      <c r="B205" s="77">
        <v>42.207700000000003</v>
      </c>
      <c r="C205" s="77">
        <v>45.719099999999997</v>
      </c>
      <c r="D205" s="77">
        <f t="shared" si="3"/>
        <v>3.5113999999999947</v>
      </c>
    </row>
    <row r="206" spans="1:4">
      <c r="A206" s="76">
        <v>44197</v>
      </c>
      <c r="B206" s="77">
        <v>46.417400000000001</v>
      </c>
      <c r="C206" s="77">
        <v>49.417400000000001</v>
      </c>
      <c r="D206" s="77">
        <f t="shared" si="3"/>
        <v>3</v>
      </c>
    </row>
    <row r="207" spans="1:4">
      <c r="A207" s="76">
        <v>44228</v>
      </c>
      <c r="B207" s="77">
        <v>50.4726</v>
      </c>
      <c r="C207" s="77">
        <v>52.604199999999999</v>
      </c>
      <c r="D207" s="77">
        <f t="shared" si="3"/>
        <v>2.1315999999999988</v>
      </c>
    </row>
    <row r="208" spans="1:4">
      <c r="A208" s="76">
        <v>44256</v>
      </c>
      <c r="B208" s="77">
        <v>60.130899999999997</v>
      </c>
      <c r="C208" s="77">
        <v>62.609099999999998</v>
      </c>
      <c r="D208" s="77">
        <f t="shared" si="3"/>
        <v>2.4782000000000011</v>
      </c>
    </row>
    <row r="209" spans="1:4">
      <c r="A209" s="76">
        <v>44287</v>
      </c>
      <c r="B209" s="77">
        <v>65.338099999999997</v>
      </c>
      <c r="C209" s="77">
        <v>71.7667</v>
      </c>
      <c r="D209" s="77">
        <f t="shared" si="3"/>
        <v>6.428600000000003</v>
      </c>
    </row>
    <row r="210" spans="1:4">
      <c r="A210" s="76">
        <v>44317</v>
      </c>
      <c r="B210" s="77">
        <v>77.164500000000004</v>
      </c>
      <c r="C210" s="77">
        <v>92.789500000000004</v>
      </c>
      <c r="D210" s="77">
        <f t="shared" si="3"/>
        <v>15.625</v>
      </c>
    </row>
    <row r="211" spans="1:4">
      <c r="A211" s="76">
        <v>44348</v>
      </c>
      <c r="B211" s="77">
        <v>76.834100000000007</v>
      </c>
      <c r="C211" s="77">
        <v>97.356800000000007</v>
      </c>
      <c r="D211" s="77">
        <f t="shared" si="3"/>
        <v>20.5227</v>
      </c>
    </row>
    <row r="212" spans="1:4">
      <c r="A212" s="76">
        <v>44378</v>
      </c>
      <c r="B212" s="77">
        <v>72.721900000000005</v>
      </c>
      <c r="C212" s="77">
        <v>92.793300000000002</v>
      </c>
      <c r="D212" s="77">
        <f t="shared" si="3"/>
        <v>20.071399999999997</v>
      </c>
    </row>
    <row r="213" spans="1:4">
      <c r="A213" s="76">
        <v>44409</v>
      </c>
      <c r="B213" s="77">
        <v>69.002941176470571</v>
      </c>
      <c r="C213" s="77">
        <v>83.885294117647049</v>
      </c>
      <c r="D213" s="77">
        <f t="shared" si="3"/>
        <v>14.882352941176478</v>
      </c>
    </row>
    <row r="214" spans="1:4">
      <c r="A214" s="7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F884-A213-4B63-A9E5-8014A0F8B834}">
  <dimension ref="C5:D9"/>
  <sheetViews>
    <sheetView topLeftCell="B4" zoomScale="131" workbookViewId="0">
      <selection activeCell="A26" sqref="A26:XFD26"/>
    </sheetView>
  </sheetViews>
  <sheetFormatPr defaultColWidth="11" defaultRowHeight="15.75"/>
  <cols>
    <col min="3" max="3" width="20.625" bestFit="1" customWidth="1"/>
  </cols>
  <sheetData>
    <row r="5" spans="3:4">
      <c r="D5" t="s">
        <v>365</v>
      </c>
    </row>
    <row r="6" spans="3:4">
      <c r="C6" s="78" t="s">
        <v>366</v>
      </c>
      <c r="D6" s="72">
        <v>7858</v>
      </c>
    </row>
    <row r="7" spans="3:4">
      <c r="C7" s="78" t="s">
        <v>306</v>
      </c>
      <c r="D7" s="72">
        <v>1462</v>
      </c>
    </row>
    <row r="8" spans="3:4">
      <c r="C8" s="78" t="s">
        <v>367</v>
      </c>
      <c r="D8">
        <v>15</v>
      </c>
    </row>
    <row r="9" spans="3:4">
      <c r="C9" s="78" t="s">
        <v>368</v>
      </c>
      <c r="D9" s="72">
        <v>12991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26F9-79F7-4601-BE97-BED0E1CAB145}">
  <dimension ref="A1:K39"/>
  <sheetViews>
    <sheetView zoomScale="84" zoomScaleNormal="96" workbookViewId="0">
      <selection activeCell="A26" sqref="A26:XFD26"/>
    </sheetView>
  </sheetViews>
  <sheetFormatPr defaultColWidth="11" defaultRowHeight="15.75"/>
  <cols>
    <col min="4" max="4" width="16" bestFit="1" customWidth="1"/>
    <col min="5" max="5" width="11.5" bestFit="1" customWidth="1"/>
    <col min="10" max="10" width="16" bestFit="1" customWidth="1"/>
    <col min="11" max="11" width="11.125" bestFit="1" customWidth="1"/>
  </cols>
  <sheetData>
    <row r="1" spans="1:11">
      <c r="B1" t="s">
        <v>369</v>
      </c>
      <c r="C1" t="s">
        <v>370</v>
      </c>
      <c r="D1" s="69" t="s">
        <v>371</v>
      </c>
      <c r="E1" t="s">
        <v>372</v>
      </c>
      <c r="F1" t="s">
        <v>373</v>
      </c>
      <c r="J1" s="69"/>
    </row>
    <row r="2" spans="1:11">
      <c r="A2" s="70">
        <v>43831</v>
      </c>
      <c r="B2" s="71">
        <v>2154.4270000000001</v>
      </c>
      <c r="C2" s="71">
        <v>1407.5029999999999</v>
      </c>
      <c r="D2" s="71">
        <v>1374.5050000000001</v>
      </c>
      <c r="E2" s="79">
        <f>(C2-D2)/C2</f>
        <v>2.3444355003150844E-2</v>
      </c>
      <c r="F2" s="72">
        <f>C2-D2</f>
        <v>32.99799999999982</v>
      </c>
      <c r="G2" s="70"/>
      <c r="H2" s="71"/>
      <c r="I2" s="71"/>
      <c r="J2" s="71"/>
      <c r="K2" s="79"/>
    </row>
    <row r="3" spans="1:11">
      <c r="A3" s="70">
        <v>43862</v>
      </c>
      <c r="B3" s="71">
        <v>1999.5239999999999</v>
      </c>
      <c r="C3" s="71">
        <v>1401.03</v>
      </c>
      <c r="D3" s="71">
        <v>1362.414</v>
      </c>
      <c r="E3" s="79">
        <f t="shared" ref="E3:E14" si="0">(C3-D3)/C3</f>
        <v>2.7562578959765306E-2</v>
      </c>
      <c r="F3" s="72">
        <f t="shared" ref="F3:F15" si="1">C3-D3</f>
        <v>38.615999999999985</v>
      </c>
      <c r="G3" s="70"/>
      <c r="H3" s="71"/>
      <c r="I3" s="71"/>
      <c r="J3" s="71"/>
      <c r="K3" s="79"/>
    </row>
    <row r="4" spans="1:11">
      <c r="A4" s="70">
        <v>43891</v>
      </c>
      <c r="B4" s="71">
        <v>2201.0680000000002</v>
      </c>
      <c r="C4" s="71">
        <v>1576.365</v>
      </c>
      <c r="D4" s="71">
        <v>1540.931</v>
      </c>
      <c r="E4" s="79">
        <f>(C4-D4)/C4</f>
        <v>2.2478296587402011E-2</v>
      </c>
      <c r="F4" s="72">
        <f t="shared" si="1"/>
        <v>35.433999999999969</v>
      </c>
      <c r="G4" s="70"/>
      <c r="H4" s="71"/>
      <c r="I4" s="71"/>
      <c r="J4" s="71"/>
      <c r="K4" s="79"/>
    </row>
    <row r="5" spans="1:11">
      <c r="A5" s="70">
        <v>43922</v>
      </c>
      <c r="B5" s="71">
        <v>2099.4650000000001</v>
      </c>
      <c r="C5" s="71">
        <v>1249.4670000000001</v>
      </c>
      <c r="D5" s="71">
        <v>1223.692</v>
      </c>
      <c r="E5" s="79">
        <f t="shared" si="0"/>
        <v>2.0628796118665069E-2</v>
      </c>
      <c r="F5" s="72">
        <f t="shared" si="1"/>
        <v>25.775000000000091</v>
      </c>
      <c r="G5" s="70"/>
      <c r="H5" s="71"/>
      <c r="I5" s="71"/>
      <c r="J5" s="71"/>
      <c r="K5" s="79"/>
    </row>
    <row r="6" spans="1:11">
      <c r="A6" s="70">
        <v>43952</v>
      </c>
      <c r="B6" s="71">
        <v>2057.6170000000002</v>
      </c>
      <c r="C6" s="71">
        <v>1489.672</v>
      </c>
      <c r="D6" s="71">
        <v>1455.183</v>
      </c>
      <c r="E6" s="79">
        <f t="shared" si="0"/>
        <v>2.3152076430247755E-2</v>
      </c>
      <c r="F6" s="72">
        <f t="shared" si="1"/>
        <v>34.489000000000033</v>
      </c>
      <c r="G6" s="70"/>
      <c r="H6" s="71"/>
      <c r="I6" s="71"/>
      <c r="J6" s="71"/>
      <c r="K6" s="79"/>
    </row>
    <row r="7" spans="1:11">
      <c r="A7" s="70">
        <v>43983</v>
      </c>
      <c r="B7" s="71">
        <v>2035.269</v>
      </c>
      <c r="C7" s="71">
        <v>1543.8420000000001</v>
      </c>
      <c r="D7" s="71">
        <v>1511.2650000000001</v>
      </c>
      <c r="E7" s="79">
        <f t="shared" si="0"/>
        <v>2.1101252589319372E-2</v>
      </c>
      <c r="F7" s="72">
        <f t="shared" si="1"/>
        <v>32.576999999999998</v>
      </c>
      <c r="G7" s="70"/>
      <c r="H7" s="71"/>
      <c r="I7" s="71"/>
      <c r="J7" s="71"/>
      <c r="K7" s="79"/>
    </row>
    <row r="8" spans="1:11">
      <c r="A8" s="70">
        <v>44013</v>
      </c>
      <c r="B8" s="71">
        <v>2123.2370000000001</v>
      </c>
      <c r="C8" s="71">
        <v>1626.856</v>
      </c>
      <c r="D8" s="71">
        <v>1582.5650000000001</v>
      </c>
      <c r="E8" s="79">
        <f t="shared" si="0"/>
        <v>2.7224904970077218E-2</v>
      </c>
      <c r="F8" s="72">
        <f t="shared" si="1"/>
        <v>44.29099999999994</v>
      </c>
      <c r="G8" s="70"/>
      <c r="H8" s="71"/>
      <c r="I8" s="71"/>
      <c r="J8" s="71"/>
      <c r="K8" s="79"/>
    </row>
    <row r="9" spans="1:11">
      <c r="A9" s="70">
        <v>44044</v>
      </c>
      <c r="B9" s="71">
        <v>2012.8230000000001</v>
      </c>
      <c r="C9" s="71">
        <v>1595.92</v>
      </c>
      <c r="D9" s="71">
        <v>1555.4369999999999</v>
      </c>
      <c r="E9" s="79">
        <f t="shared" si="0"/>
        <v>2.5366559727304734E-2</v>
      </c>
      <c r="F9" s="72">
        <f t="shared" si="1"/>
        <v>40.483000000000175</v>
      </c>
      <c r="G9" s="70"/>
      <c r="H9" s="71"/>
      <c r="I9" s="71"/>
      <c r="J9" s="71"/>
      <c r="K9" s="79"/>
    </row>
    <row r="10" spans="1:11">
      <c r="A10" s="70">
        <v>44075</v>
      </c>
      <c r="B10" s="71">
        <v>1967.6210000000001</v>
      </c>
      <c r="C10" s="71">
        <v>1531.0740000000001</v>
      </c>
      <c r="D10" s="71">
        <v>1496.712</v>
      </c>
      <c r="E10" s="79">
        <f t="shared" si="0"/>
        <v>2.2443069374831051E-2</v>
      </c>
      <c r="F10" s="72">
        <f t="shared" si="1"/>
        <v>34.36200000000008</v>
      </c>
      <c r="G10" s="70"/>
      <c r="H10" s="71"/>
      <c r="I10" s="71"/>
      <c r="J10" s="71"/>
      <c r="K10" s="79"/>
    </row>
    <row r="11" spans="1:11">
      <c r="A11" s="70">
        <v>44105</v>
      </c>
      <c r="B11" s="71">
        <v>2282.471</v>
      </c>
      <c r="C11" s="71">
        <v>1629.3140000000001</v>
      </c>
      <c r="D11" s="71">
        <v>1589.296</v>
      </c>
      <c r="E11" s="79">
        <f t="shared" si="0"/>
        <v>2.4561257068925958E-2</v>
      </c>
      <c r="F11" s="72">
        <f t="shared" si="1"/>
        <v>40.018000000000029</v>
      </c>
      <c r="G11" s="70"/>
      <c r="H11" s="71"/>
      <c r="I11" s="71"/>
      <c r="J11" s="71"/>
      <c r="K11" s="79"/>
    </row>
    <row r="12" spans="1:11">
      <c r="A12" s="70">
        <v>44136</v>
      </c>
      <c r="B12" s="71">
        <v>2206.7919999999999</v>
      </c>
      <c r="C12" s="71">
        <v>1553.431</v>
      </c>
      <c r="D12" s="71">
        <v>1519.0170000000001</v>
      </c>
      <c r="E12" s="79">
        <f t="shared" si="0"/>
        <v>2.2153542706434971E-2</v>
      </c>
      <c r="F12" s="72">
        <f t="shared" si="1"/>
        <v>34.413999999999987</v>
      </c>
      <c r="G12" s="70"/>
      <c r="H12" s="71"/>
      <c r="I12" s="71"/>
      <c r="J12" s="71"/>
      <c r="K12" s="79"/>
    </row>
    <row r="13" spans="1:11">
      <c r="A13" s="70">
        <v>44166</v>
      </c>
      <c r="B13" s="71">
        <v>2233.4859999999999</v>
      </c>
      <c r="C13" s="71">
        <v>1614.33</v>
      </c>
      <c r="D13" s="71">
        <v>1576.008</v>
      </c>
      <c r="E13" s="79">
        <f t="shared" si="0"/>
        <v>2.3738640798349711E-2</v>
      </c>
      <c r="F13" s="72">
        <f t="shared" si="1"/>
        <v>38.321999999999889</v>
      </c>
      <c r="G13" s="70"/>
      <c r="H13" s="71"/>
      <c r="I13" s="71"/>
      <c r="J13" s="71"/>
      <c r="K13" s="79"/>
    </row>
    <row r="14" spans="1:11">
      <c r="A14" s="70">
        <v>44197</v>
      </c>
      <c r="B14" s="71">
        <v>2308.752</v>
      </c>
      <c r="C14" s="71">
        <v>1620.6780000000001</v>
      </c>
      <c r="D14" s="71">
        <v>1587.925</v>
      </c>
      <c r="E14" s="79">
        <f t="shared" si="0"/>
        <v>2.0209443208336359E-2</v>
      </c>
      <c r="F14" s="72">
        <f t="shared" si="1"/>
        <v>32.753000000000156</v>
      </c>
      <c r="G14" s="70"/>
      <c r="H14" s="71"/>
      <c r="I14" s="71"/>
      <c r="J14" s="71"/>
      <c r="K14" s="79"/>
    </row>
    <row r="15" spans="1:11">
      <c r="A15" s="70">
        <v>44228</v>
      </c>
      <c r="B15" s="71">
        <v>1929.799</v>
      </c>
      <c r="C15" s="71">
        <v>1473.7139999999999</v>
      </c>
      <c r="D15" s="71">
        <v>1444.5419999999999</v>
      </c>
      <c r="E15" s="79">
        <f>(C15-D15)/C15</f>
        <v>1.9794885574813043E-2</v>
      </c>
      <c r="F15" s="72">
        <f t="shared" si="1"/>
        <v>29.172000000000025</v>
      </c>
      <c r="G15" s="70"/>
      <c r="H15" s="71"/>
      <c r="I15" s="71"/>
      <c r="J15" s="71"/>
      <c r="K15" s="79"/>
    </row>
    <row r="16" spans="1:11">
      <c r="G16" s="70"/>
      <c r="H16" s="71"/>
      <c r="I16" s="71"/>
      <c r="J16" s="71"/>
      <c r="K16" s="79"/>
    </row>
    <row r="17" spans="7:11">
      <c r="G17" s="70"/>
      <c r="H17" s="71"/>
      <c r="I17" s="71"/>
      <c r="J17" s="71"/>
      <c r="K17" s="79"/>
    </row>
    <row r="18" spans="7:11">
      <c r="G18" s="70"/>
      <c r="H18" s="71"/>
      <c r="I18" s="71"/>
      <c r="J18" s="71"/>
      <c r="K18" s="79"/>
    </row>
    <row r="19" spans="7:11">
      <c r="G19" s="70"/>
      <c r="H19" s="71"/>
      <c r="I19" s="71"/>
      <c r="J19" s="71"/>
      <c r="K19" s="79"/>
    </row>
    <row r="20" spans="7:11">
      <c r="G20" s="70"/>
      <c r="H20" s="71"/>
      <c r="I20" s="71"/>
      <c r="J20" s="71"/>
      <c r="K20" s="79"/>
    </row>
    <row r="21" spans="7:11">
      <c r="G21" s="70"/>
      <c r="H21" s="71"/>
      <c r="I21" s="71"/>
      <c r="J21" s="71"/>
      <c r="K21" s="79"/>
    </row>
    <row r="22" spans="7:11">
      <c r="G22" s="70"/>
      <c r="H22" s="71"/>
      <c r="I22" s="71"/>
      <c r="J22" s="71"/>
      <c r="K22" s="79"/>
    </row>
    <row r="23" spans="7:11">
      <c r="G23" s="70"/>
      <c r="H23" s="71"/>
      <c r="I23" s="71"/>
      <c r="J23" s="71"/>
      <c r="K23" s="79"/>
    </row>
    <row r="24" spans="7:11">
      <c r="G24" s="70"/>
      <c r="H24" s="71"/>
      <c r="I24" s="71"/>
      <c r="J24" s="71"/>
      <c r="K24" s="79"/>
    </row>
    <row r="25" spans="7:11">
      <c r="G25" s="70"/>
      <c r="H25" s="71"/>
      <c r="I25" s="71"/>
      <c r="J25" s="71"/>
      <c r="K25" s="79"/>
    </row>
    <row r="26" spans="7:11">
      <c r="G26" s="70"/>
      <c r="H26" s="71"/>
      <c r="I26" s="71"/>
      <c r="J26" s="71"/>
      <c r="K26" s="79"/>
    </row>
    <row r="27" spans="7:11">
      <c r="G27" s="70"/>
      <c r="H27" s="71"/>
      <c r="I27" s="71"/>
      <c r="J27" s="71"/>
      <c r="K27" s="79"/>
    </row>
    <row r="28" spans="7:11">
      <c r="G28" s="70"/>
      <c r="H28" s="71"/>
      <c r="I28" s="71"/>
      <c r="J28" s="71"/>
      <c r="K28" s="79"/>
    </row>
    <row r="29" spans="7:11">
      <c r="G29" s="70"/>
      <c r="H29" s="71"/>
      <c r="I29" s="71"/>
      <c r="J29" s="71"/>
      <c r="K29" s="79"/>
    </row>
    <row r="30" spans="7:11">
      <c r="G30" s="70"/>
      <c r="H30" s="71"/>
      <c r="I30" s="71"/>
      <c r="J30" s="71"/>
      <c r="K30" s="79"/>
    </row>
    <row r="31" spans="7:11">
      <c r="G31" s="70"/>
      <c r="H31" s="71"/>
      <c r="I31" s="71"/>
      <c r="J31" s="71"/>
      <c r="K31" s="79"/>
    </row>
    <row r="32" spans="7:11">
      <c r="G32" s="70"/>
      <c r="H32" s="71"/>
      <c r="I32" s="71"/>
      <c r="J32" s="71"/>
      <c r="K32" s="79"/>
    </row>
    <row r="33" spans="7:11">
      <c r="G33" s="70"/>
      <c r="H33" s="71"/>
      <c r="I33" s="71"/>
      <c r="J33" s="71"/>
      <c r="K33" s="79"/>
    </row>
    <row r="34" spans="7:11">
      <c r="G34" s="70"/>
      <c r="H34" s="71"/>
      <c r="I34" s="71"/>
      <c r="J34" s="71"/>
      <c r="K34" s="79"/>
    </row>
    <row r="35" spans="7:11">
      <c r="G35" s="70"/>
      <c r="H35" s="71"/>
      <c r="I35" s="71"/>
      <c r="J35" s="71"/>
      <c r="K35" s="79"/>
    </row>
    <row r="36" spans="7:11">
      <c r="G36" s="70"/>
      <c r="H36" s="71"/>
      <c r="I36" s="71"/>
      <c r="J36" s="71"/>
      <c r="K36" s="79"/>
    </row>
    <row r="37" spans="7:11">
      <c r="G37" s="70"/>
      <c r="H37" s="71"/>
      <c r="I37" s="71"/>
      <c r="J37" s="71"/>
      <c r="K37" s="79"/>
    </row>
    <row r="38" spans="7:11">
      <c r="G38" s="70"/>
      <c r="H38" s="71"/>
      <c r="I38" s="71"/>
      <c r="J38" s="71"/>
      <c r="K38" s="79"/>
    </row>
    <row r="39" spans="7:11">
      <c r="G39" s="70"/>
      <c r="H39" s="71"/>
      <c r="I39" s="71"/>
      <c r="J39" s="71"/>
      <c r="K39" s="7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44BB-BC5C-464D-8C9E-F0372B185F66}">
  <dimension ref="A1:G17"/>
  <sheetViews>
    <sheetView zoomScaleNormal="100" workbookViewId="0">
      <selection activeCell="A26" sqref="A26:XFD26"/>
    </sheetView>
  </sheetViews>
  <sheetFormatPr defaultColWidth="11" defaultRowHeight="15.75"/>
  <cols>
    <col min="5" max="5" width="16" bestFit="1" customWidth="1"/>
    <col min="7" max="7" width="14.875" bestFit="1" customWidth="1"/>
  </cols>
  <sheetData>
    <row r="1" spans="1:7">
      <c r="B1" t="s">
        <v>369</v>
      </c>
      <c r="C1" t="s">
        <v>374</v>
      </c>
      <c r="D1" t="s">
        <v>375</v>
      </c>
      <c r="E1" s="69" t="s">
        <v>371</v>
      </c>
      <c r="F1" t="s">
        <v>373</v>
      </c>
    </row>
    <row r="2" spans="1:7">
      <c r="A2" s="70">
        <v>43831</v>
      </c>
      <c r="B2" s="71">
        <v>2154.4270000000001</v>
      </c>
      <c r="C2" s="71"/>
      <c r="D2" s="71"/>
      <c r="E2" s="71">
        <v>1374.5050000000001</v>
      </c>
      <c r="F2" s="72">
        <v>32.99799999999982</v>
      </c>
      <c r="G2" s="79"/>
    </row>
    <row r="3" spans="1:7">
      <c r="A3" s="70">
        <v>43862</v>
      </c>
      <c r="B3" s="71">
        <v>1999.5239999999999</v>
      </c>
      <c r="C3" s="71"/>
      <c r="D3" s="71"/>
      <c r="E3" s="71">
        <v>1362.414</v>
      </c>
      <c r="F3" s="72">
        <v>38.615999999999985</v>
      </c>
      <c r="G3" s="79"/>
    </row>
    <row r="4" spans="1:7">
      <c r="A4" s="70">
        <v>43891</v>
      </c>
      <c r="B4" s="71">
        <v>2201.0680000000002</v>
      </c>
      <c r="C4" s="71"/>
      <c r="D4" s="71"/>
      <c r="E4" s="71">
        <v>1540.931</v>
      </c>
      <c r="F4" s="72">
        <v>35.433999999999969</v>
      </c>
      <c r="G4" s="79"/>
    </row>
    <row r="5" spans="1:7">
      <c r="A5" s="70">
        <v>43922</v>
      </c>
      <c r="B5" s="71">
        <v>2099.4650000000001</v>
      </c>
      <c r="C5" s="71"/>
      <c r="D5" s="71"/>
      <c r="E5" s="71">
        <v>1223.692</v>
      </c>
      <c r="F5" s="72">
        <v>25.775000000000091</v>
      </c>
      <c r="G5" s="79"/>
    </row>
    <row r="6" spans="1:7">
      <c r="A6" s="70">
        <v>43952</v>
      </c>
      <c r="B6" s="71">
        <v>2057.6170000000002</v>
      </c>
      <c r="C6" s="71"/>
      <c r="D6" s="71"/>
      <c r="E6" s="71">
        <v>1455.183</v>
      </c>
      <c r="F6" s="72">
        <v>34.489000000000033</v>
      </c>
      <c r="G6" s="79"/>
    </row>
    <row r="7" spans="1:7">
      <c r="A7" s="70">
        <v>43983</v>
      </c>
      <c r="B7" s="71">
        <v>2035.269</v>
      </c>
      <c r="C7" s="71"/>
      <c r="D7" s="71"/>
      <c r="E7" s="71">
        <v>1511.2650000000001</v>
      </c>
      <c r="F7" s="72">
        <v>32.576999999999998</v>
      </c>
      <c r="G7" s="79"/>
    </row>
    <row r="8" spans="1:7">
      <c r="A8" s="70">
        <v>44013</v>
      </c>
      <c r="B8" s="71">
        <v>2123.2370000000001</v>
      </c>
      <c r="C8" s="71"/>
      <c r="D8" s="71"/>
      <c r="E8" s="71">
        <v>1582.5650000000001</v>
      </c>
      <c r="F8" s="72">
        <v>44.29099999999994</v>
      </c>
      <c r="G8" s="79"/>
    </row>
    <row r="9" spans="1:7">
      <c r="A9" s="70">
        <v>44044</v>
      </c>
      <c r="B9" s="71">
        <v>2012.8230000000001</v>
      </c>
      <c r="C9" s="71"/>
      <c r="D9" s="71"/>
      <c r="E9" s="71">
        <v>1555.4369999999999</v>
      </c>
      <c r="F9" s="72">
        <v>40.483000000000175</v>
      </c>
      <c r="G9" s="79"/>
    </row>
    <row r="10" spans="1:7">
      <c r="A10" s="70">
        <v>44075</v>
      </c>
      <c r="B10" s="71">
        <v>1967.6210000000001</v>
      </c>
      <c r="C10" s="71"/>
      <c r="D10" s="71"/>
      <c r="E10" s="71">
        <v>1496.712</v>
      </c>
      <c r="F10" s="72">
        <v>34.36200000000008</v>
      </c>
      <c r="G10" s="79"/>
    </row>
    <row r="11" spans="1:7">
      <c r="A11" s="70">
        <v>44105</v>
      </c>
      <c r="B11" s="71">
        <v>2282.471</v>
      </c>
      <c r="C11" s="71"/>
      <c r="D11" s="71"/>
      <c r="E11" s="71">
        <v>1589.296</v>
      </c>
      <c r="F11" s="72">
        <v>40.018000000000029</v>
      </c>
      <c r="G11" s="79"/>
    </row>
    <row r="12" spans="1:7">
      <c r="A12" s="70">
        <v>44136</v>
      </c>
      <c r="B12" s="71">
        <v>2206.7919999999999</v>
      </c>
      <c r="C12" s="71"/>
      <c r="D12" s="71"/>
      <c r="E12" s="71">
        <v>1519.0170000000001</v>
      </c>
      <c r="F12" s="72">
        <v>34.413999999999987</v>
      </c>
      <c r="G12" s="79"/>
    </row>
    <row r="13" spans="1:7">
      <c r="A13" s="70">
        <v>44166</v>
      </c>
      <c r="B13" s="71">
        <v>2233.4859999999999</v>
      </c>
      <c r="C13" s="71"/>
      <c r="D13" s="71"/>
      <c r="E13" s="71">
        <v>1576.008</v>
      </c>
      <c r="F13" s="72">
        <v>38.321999999999889</v>
      </c>
      <c r="G13" s="79"/>
    </row>
    <row r="14" spans="1:7">
      <c r="A14" s="70">
        <v>44197</v>
      </c>
      <c r="B14" s="71">
        <v>2308.752</v>
      </c>
      <c r="C14" s="71"/>
      <c r="D14" s="71"/>
      <c r="E14" s="71">
        <v>1587.925</v>
      </c>
      <c r="F14" s="72">
        <v>32.753000000000156</v>
      </c>
      <c r="G14" s="79"/>
    </row>
    <row r="15" spans="1:7">
      <c r="A15" s="70">
        <v>44228</v>
      </c>
      <c r="B15" s="71">
        <v>1929.799</v>
      </c>
      <c r="C15" s="71"/>
      <c r="D15" s="71"/>
      <c r="E15" s="71">
        <v>1444.5419999999999</v>
      </c>
      <c r="F15" s="72">
        <v>29.172000000000025</v>
      </c>
      <c r="G15" s="79"/>
    </row>
    <row r="17" spans="7:7">
      <c r="G17" s="80">
        <v>2.3132832794115956E-2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BC7A-FE44-4154-8B9C-CDDCB5A26305}">
  <dimension ref="A1:P29"/>
  <sheetViews>
    <sheetView zoomScale="110" zoomScaleNormal="110" workbookViewId="0">
      <selection activeCell="A26" sqref="A26:XFD26"/>
    </sheetView>
  </sheetViews>
  <sheetFormatPr defaultColWidth="7.5" defaultRowHeight="13.5"/>
  <cols>
    <col min="1" max="1" width="16.375" style="54" customWidth="1"/>
    <col min="2" max="2" width="9.5" style="81" bestFit="1" customWidth="1"/>
    <col min="3" max="3" width="7.875" style="81" bestFit="1" customWidth="1"/>
    <col min="4" max="4" width="7.875" style="54" bestFit="1" customWidth="1"/>
    <col min="5" max="5" width="10.625" style="54" bestFit="1" customWidth="1"/>
    <col min="6" max="6" width="15.375" style="54" bestFit="1" customWidth="1"/>
    <col min="7" max="7" width="8.625" style="127" bestFit="1" customWidth="1"/>
    <col min="8" max="8" width="8.625" style="54" bestFit="1" customWidth="1"/>
    <col min="9" max="10" width="14.125" style="54" bestFit="1" customWidth="1"/>
    <col min="11" max="11" width="7.5" style="54"/>
    <col min="12" max="12" width="14.125" style="54" bestFit="1" customWidth="1"/>
    <col min="13" max="14" width="7.5" style="54"/>
    <col min="15" max="15" width="14.125" style="54" bestFit="1" customWidth="1"/>
    <col min="16" max="16384" width="7.5" style="54"/>
  </cols>
  <sheetData>
    <row r="1" spans="1:16">
      <c r="B1" s="81" t="s">
        <v>376</v>
      </c>
      <c r="C1" s="81" t="s">
        <v>377</v>
      </c>
      <c r="G1" s="81" t="s">
        <v>376</v>
      </c>
      <c r="J1" s="82" t="s">
        <v>377</v>
      </c>
      <c r="L1" s="83" t="s">
        <v>365</v>
      </c>
      <c r="M1" s="84"/>
      <c r="O1" s="83" t="s">
        <v>378</v>
      </c>
      <c r="P1" s="85"/>
    </row>
    <row r="2" spans="1:16">
      <c r="A2" s="54" t="s">
        <v>379</v>
      </c>
      <c r="B2" s="86">
        <f>'[2]Soy Complex'!$BI$289</f>
        <v>0</v>
      </c>
      <c r="C2" s="86">
        <v>26186</v>
      </c>
      <c r="F2" s="87" t="s">
        <v>380</v>
      </c>
      <c r="G2" s="81">
        <v>385.7</v>
      </c>
      <c r="I2" s="87" t="s">
        <v>380</v>
      </c>
      <c r="J2" s="88">
        <v>326.89903591483198</v>
      </c>
      <c r="L2" s="89" t="s">
        <v>380</v>
      </c>
      <c r="M2" s="90">
        <v>385.7</v>
      </c>
      <c r="O2" s="89" t="s">
        <v>380</v>
      </c>
      <c r="P2" s="90">
        <v>326.89999999999998</v>
      </c>
    </row>
    <row r="3" spans="1:16">
      <c r="A3" s="54" t="s">
        <v>371</v>
      </c>
      <c r="B3" s="86">
        <f>SUM('[3]NASS Crush'!$X$58:$X$69)</f>
        <v>17934.800999999999</v>
      </c>
      <c r="C3" s="91">
        <f>C2*0.69821772639692</f>
        <v>18283.529383429748</v>
      </c>
      <c r="F3" s="92" t="s">
        <v>381</v>
      </c>
      <c r="G3" s="86">
        <f>'[2]Soy Complex'!$BI$401</f>
        <v>0</v>
      </c>
      <c r="I3" s="92" t="s">
        <v>381</v>
      </c>
      <c r="J3" s="86">
        <v>8068</v>
      </c>
      <c r="L3" s="93" t="s">
        <v>381</v>
      </c>
      <c r="M3" s="94">
        <v>7858</v>
      </c>
      <c r="O3" s="95" t="s">
        <v>381</v>
      </c>
      <c r="P3" s="96">
        <v>8068</v>
      </c>
    </row>
    <row r="4" spans="1:16">
      <c r="A4" s="54" t="s">
        <v>382</v>
      </c>
      <c r="B4" s="97">
        <f>SUM(B5:B6)</f>
        <v>2831.7</v>
      </c>
      <c r="C4" s="86">
        <v>2400</v>
      </c>
      <c r="F4" s="92" t="s">
        <v>306</v>
      </c>
      <c r="G4" s="86">
        <f>'[2]Soy Complex'!$BI$417</f>
        <v>0</v>
      </c>
      <c r="I4" s="92" t="s">
        <v>306</v>
      </c>
      <c r="J4" s="86">
        <v>2712</v>
      </c>
      <c r="L4" s="98" t="s">
        <v>306</v>
      </c>
      <c r="M4" s="99">
        <v>1462</v>
      </c>
      <c r="O4" s="100" t="s">
        <v>306</v>
      </c>
      <c r="P4" s="101">
        <v>2712</v>
      </c>
    </row>
    <row r="5" spans="1:16">
      <c r="A5" s="92" t="s">
        <v>383</v>
      </c>
      <c r="B5" s="102">
        <v>385.7</v>
      </c>
      <c r="C5" s="88">
        <v>326.89903591483198</v>
      </c>
      <c r="F5" s="92" t="s">
        <v>367</v>
      </c>
      <c r="G5" s="103">
        <f>'[2]Soy Complex'!$BI$433</f>
        <v>0</v>
      </c>
      <c r="I5" s="92" t="s">
        <v>367</v>
      </c>
      <c r="J5" s="81">
        <v>374</v>
      </c>
      <c r="L5" s="104" t="s">
        <v>367</v>
      </c>
      <c r="M5" s="105">
        <v>15</v>
      </c>
      <c r="O5" s="106" t="s">
        <v>367</v>
      </c>
      <c r="P5" s="107">
        <v>374</v>
      </c>
    </row>
    <row r="6" spans="1:16">
      <c r="A6" s="92" t="s">
        <v>384</v>
      </c>
      <c r="B6" s="108">
        <v>2446</v>
      </c>
      <c r="C6" s="109">
        <f>C4*0.86379206836882</f>
        <v>2073.100964085168</v>
      </c>
      <c r="D6" s="110"/>
      <c r="F6" s="92" t="s">
        <v>385</v>
      </c>
      <c r="G6" s="111">
        <v>7939.3018236199096</v>
      </c>
      <c r="I6" s="92" t="s">
        <v>385</v>
      </c>
      <c r="J6" s="112">
        <v>7176.8</v>
      </c>
      <c r="L6" s="113" t="s">
        <v>385</v>
      </c>
      <c r="M6" s="114">
        <v>7939</v>
      </c>
      <c r="O6" s="113" t="s">
        <v>385</v>
      </c>
      <c r="P6" s="114">
        <v>7177</v>
      </c>
    </row>
    <row r="7" spans="1:16">
      <c r="A7" s="87" t="s">
        <v>386</v>
      </c>
      <c r="B7" s="115">
        <f>'[2]Soy Complex'!$BI$337</f>
        <v>0</v>
      </c>
      <c r="C7" s="81">
        <v>450</v>
      </c>
      <c r="F7" s="92" t="s">
        <v>387</v>
      </c>
      <c r="G7" s="116">
        <v>2446</v>
      </c>
      <c r="I7" s="92" t="s">
        <v>387</v>
      </c>
      <c r="J7" s="109">
        <v>2073.1</v>
      </c>
      <c r="L7" s="117" t="s">
        <v>387</v>
      </c>
      <c r="M7" s="118">
        <v>2446</v>
      </c>
      <c r="O7" s="117" t="s">
        <v>387</v>
      </c>
      <c r="P7" s="118">
        <v>2073</v>
      </c>
    </row>
    <row r="8" spans="1:16">
      <c r="A8" s="92" t="s">
        <v>383</v>
      </c>
      <c r="B8" s="115">
        <v>265.60000000000002</v>
      </c>
      <c r="C8" s="81">
        <f>C7*0.83148888478432</f>
        <v>374.169998152944</v>
      </c>
      <c r="E8" s="119"/>
      <c r="F8" s="92" t="s">
        <v>388</v>
      </c>
      <c r="G8" s="112">
        <v>5125.1510000000017</v>
      </c>
      <c r="I8" s="92" t="s">
        <v>388</v>
      </c>
      <c r="J8" s="112">
        <v>5905.19</v>
      </c>
      <c r="L8" s="120" t="s">
        <v>388</v>
      </c>
      <c r="M8" s="121">
        <v>5125</v>
      </c>
      <c r="O8" s="120" t="s">
        <v>388</v>
      </c>
      <c r="P8" s="121">
        <v>5905</v>
      </c>
    </row>
    <row r="9" spans="1:16" ht="14.25" thickBot="1">
      <c r="A9" s="92" t="s">
        <v>384</v>
      </c>
      <c r="B9" s="81">
        <v>54</v>
      </c>
      <c r="C9" s="122">
        <v>75.830001847055996</v>
      </c>
      <c r="F9" s="92" t="s">
        <v>389</v>
      </c>
      <c r="G9" s="123">
        <v>5125.1510000000017</v>
      </c>
      <c r="I9" s="92" t="s">
        <v>389</v>
      </c>
      <c r="J9" s="112">
        <v>5905.19</v>
      </c>
      <c r="L9" s="124" t="s">
        <v>390</v>
      </c>
      <c r="M9" s="125">
        <v>5125</v>
      </c>
      <c r="O9" s="124" t="s">
        <v>390</v>
      </c>
      <c r="P9" s="125">
        <v>5905</v>
      </c>
    </row>
    <row r="11" spans="1:16">
      <c r="A11" s="54" t="s">
        <v>388</v>
      </c>
      <c r="B11" s="126">
        <f>B2-B3-B6+B9</f>
        <v>-20326.800999999999</v>
      </c>
      <c r="C11" s="126">
        <f>C2-C3-C6+C9</f>
        <v>5905.1996543321402</v>
      </c>
    </row>
    <row r="12" spans="1:16">
      <c r="A12" s="54" t="s">
        <v>391</v>
      </c>
      <c r="B12" s="86">
        <f>B3-B5+B8</f>
        <v>17814.700999999997</v>
      </c>
      <c r="C12" s="86">
        <f>C3-C5+C8</f>
        <v>18330.800345667863</v>
      </c>
    </row>
    <row r="14" spans="1:16">
      <c r="A14" s="54" t="s">
        <v>392</v>
      </c>
      <c r="B14" s="86">
        <f>SUM(B15:B17)</f>
        <v>0</v>
      </c>
      <c r="C14" s="86">
        <f>SUM(C15:C17)</f>
        <v>11154</v>
      </c>
    </row>
    <row r="15" spans="1:16">
      <c r="A15" s="54" t="s">
        <v>381</v>
      </c>
      <c r="B15" s="128">
        <f>'[2]Soy Complex'!$BI$401</f>
        <v>0</v>
      </c>
      <c r="C15" s="86">
        <v>8068</v>
      </c>
    </row>
    <row r="16" spans="1:16">
      <c r="A16" s="54" t="s">
        <v>306</v>
      </c>
      <c r="B16" s="129">
        <f>'[2]Soy Complex'!$BI$417</f>
        <v>0</v>
      </c>
      <c r="C16" s="86">
        <v>2712</v>
      </c>
    </row>
    <row r="17" spans="1:3">
      <c r="A17" s="54" t="s">
        <v>367</v>
      </c>
      <c r="B17" s="130">
        <f>'[2]Soy Complex'!$BI$433</f>
        <v>0</v>
      </c>
      <c r="C17" s="81">
        <v>374</v>
      </c>
    </row>
    <row r="19" spans="1:3">
      <c r="A19" s="54" t="s">
        <v>393</v>
      </c>
      <c r="B19" s="86">
        <f>'[2]Soy Complex'!$BI$449</f>
        <v>0</v>
      </c>
      <c r="C19" s="86">
        <v>13250</v>
      </c>
    </row>
    <row r="20" spans="1:3">
      <c r="A20" s="54" t="s">
        <v>385</v>
      </c>
      <c r="B20" s="131">
        <f>B12-B14</f>
        <v>17814.700999999997</v>
      </c>
      <c r="C20" s="131">
        <f>C12-C14</f>
        <v>7176.8003456678634</v>
      </c>
    </row>
    <row r="21" spans="1:3">
      <c r="A21" s="54" t="s">
        <v>389</v>
      </c>
      <c r="B21" s="132">
        <f>B11</f>
        <v>-20326.800999999999</v>
      </c>
      <c r="C21" s="132">
        <f>C11</f>
        <v>5905.1996543321402</v>
      </c>
    </row>
    <row r="23" spans="1:3">
      <c r="A23" s="54" t="s">
        <v>394</v>
      </c>
      <c r="B23" s="86">
        <f>'[3]NASS Crush'!$N$57+'[3]NASS Crush'!$Q$57</f>
        <v>1692.6990000000001</v>
      </c>
      <c r="C23" s="133">
        <v>2560.8049999999998</v>
      </c>
    </row>
    <row r="24" spans="1:3">
      <c r="A24" s="54" t="s">
        <v>395</v>
      </c>
      <c r="B24" s="86">
        <f>'[3]NASS Crush'!$N$68+'[3]NASS Crush'!$Q$68</f>
        <v>2172.4259999999999</v>
      </c>
      <c r="C24" s="112">
        <v>2494.5300000000002</v>
      </c>
    </row>
    <row r="25" spans="1:3">
      <c r="A25" s="54" t="s">
        <v>396</v>
      </c>
      <c r="B25" s="134">
        <f>B24-B23</f>
        <v>479.72699999999986</v>
      </c>
      <c r="C25" s="134">
        <f>C24-C23</f>
        <v>-66.274999999999636</v>
      </c>
    </row>
    <row r="27" spans="1:3">
      <c r="A27" s="54" t="s">
        <v>397</v>
      </c>
      <c r="B27" s="86">
        <f>'[3]NASS Crush'!$R$57</f>
        <v>374.74700000000001</v>
      </c>
      <c r="C27" s="81">
        <v>424</v>
      </c>
    </row>
    <row r="28" spans="1:3">
      <c r="A28" s="54" t="s">
        <v>398</v>
      </c>
      <c r="B28" s="86">
        <f>'[3]NASS Crush'!$R$68</f>
        <v>369.47899999999998</v>
      </c>
      <c r="C28" s="81">
        <v>435</v>
      </c>
    </row>
    <row r="29" spans="1:3">
      <c r="A29" s="54" t="s">
        <v>399</v>
      </c>
      <c r="B29" s="131">
        <f>B28-B27</f>
        <v>-5.2680000000000291</v>
      </c>
      <c r="C29" s="131">
        <f>C28-C27</f>
        <v>11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06FF-BD29-4147-A38E-77963F0A02D2}">
  <dimension ref="A1:V136"/>
  <sheetViews>
    <sheetView topLeftCell="A94" zoomScale="85" zoomScaleNormal="85" workbookViewId="0">
      <selection activeCell="A26" sqref="A26:XFD26"/>
    </sheetView>
  </sheetViews>
  <sheetFormatPr defaultColWidth="11" defaultRowHeight="15.75"/>
  <cols>
    <col min="1" max="1" width="25.125" customWidth="1"/>
    <col min="2" max="7" width="15.625" customWidth="1"/>
    <col min="8" max="8" width="41.125" bestFit="1" customWidth="1"/>
    <col min="9" max="20" width="15" customWidth="1"/>
    <col min="21" max="21" width="15.375" bestFit="1" customWidth="1"/>
    <col min="22" max="22" width="11.625" bestFit="1" customWidth="1"/>
  </cols>
  <sheetData>
    <row r="1" spans="1:22" ht="16.5" thickBot="1">
      <c r="A1" s="54"/>
      <c r="B1" s="81"/>
      <c r="C1" s="54"/>
      <c r="D1" s="54"/>
      <c r="E1" s="82"/>
      <c r="V1" s="135" t="s">
        <v>400</v>
      </c>
    </row>
    <row r="2" spans="1:22">
      <c r="A2" s="87"/>
      <c r="B2" s="81"/>
      <c r="C2" s="54"/>
      <c r="D2" s="87"/>
      <c r="E2" s="88"/>
      <c r="I2" s="136">
        <v>43739</v>
      </c>
      <c r="J2" s="136">
        <v>43770</v>
      </c>
      <c r="K2" s="136">
        <v>43800</v>
      </c>
      <c r="L2" s="136">
        <v>43831</v>
      </c>
      <c r="M2" s="136">
        <v>43862</v>
      </c>
      <c r="N2" s="136">
        <v>43891</v>
      </c>
      <c r="O2" s="136">
        <v>43922</v>
      </c>
      <c r="P2" s="136">
        <v>43952</v>
      </c>
      <c r="Q2" s="136">
        <v>43983</v>
      </c>
      <c r="R2" s="136">
        <v>44013</v>
      </c>
      <c r="S2" s="136">
        <v>44044</v>
      </c>
      <c r="T2" s="136">
        <v>44075</v>
      </c>
      <c r="V2" s="137" t="s">
        <v>384</v>
      </c>
    </row>
    <row r="3" spans="1:22" ht="16.5" thickBot="1">
      <c r="A3" s="92"/>
      <c r="B3" s="86"/>
      <c r="C3" s="54"/>
      <c r="D3" s="92"/>
      <c r="E3" s="86"/>
      <c r="G3" s="138" t="s">
        <v>401</v>
      </c>
      <c r="H3" t="s">
        <v>402</v>
      </c>
      <c r="I3" s="139">
        <v>110000</v>
      </c>
      <c r="J3" s="59">
        <v>106331</v>
      </c>
      <c r="K3" s="59">
        <v>112132</v>
      </c>
      <c r="L3" s="59">
        <v>95472</v>
      </c>
      <c r="M3" s="59">
        <v>86466</v>
      </c>
      <c r="N3" s="59">
        <v>107897</v>
      </c>
      <c r="O3" s="59">
        <v>117421</v>
      </c>
      <c r="P3" s="139">
        <v>110000</v>
      </c>
      <c r="Q3" s="139">
        <v>110000</v>
      </c>
      <c r="R3" s="59">
        <v>116577</v>
      </c>
      <c r="S3" s="59">
        <v>119840</v>
      </c>
      <c r="T3" s="59">
        <v>134972</v>
      </c>
      <c r="V3" s="140">
        <f>SUM(I3:T3)</f>
        <v>1327108</v>
      </c>
    </row>
    <row r="4" spans="1:22">
      <c r="A4" s="92"/>
      <c r="B4" s="86"/>
      <c r="C4" s="54"/>
      <c r="D4" s="92"/>
      <c r="E4" s="86"/>
      <c r="G4" s="141" t="s">
        <v>383</v>
      </c>
      <c r="H4" s="142" t="s">
        <v>403</v>
      </c>
      <c r="I4" s="143">
        <v>1137516</v>
      </c>
      <c r="J4" s="143">
        <v>1013344</v>
      </c>
      <c r="K4" s="143">
        <v>1018050</v>
      </c>
      <c r="L4" s="143">
        <v>1086568</v>
      </c>
      <c r="M4" s="143">
        <v>1085193</v>
      </c>
      <c r="N4" s="143">
        <v>1182312</v>
      </c>
      <c r="O4" s="143">
        <v>924937</v>
      </c>
      <c r="P4" s="143">
        <v>1073872</v>
      </c>
      <c r="Q4" s="143">
        <v>1169175</v>
      </c>
      <c r="R4" s="143">
        <v>1186887</v>
      </c>
      <c r="S4" s="143">
        <v>1137884</v>
      </c>
      <c r="T4" s="143">
        <v>1111465</v>
      </c>
      <c r="V4" s="137" t="s">
        <v>383</v>
      </c>
    </row>
    <row r="5" spans="1:22">
      <c r="A5" s="92"/>
      <c r="B5" s="103"/>
      <c r="C5" s="54"/>
      <c r="D5" s="92"/>
      <c r="E5" s="81"/>
      <c r="H5" t="s">
        <v>404</v>
      </c>
      <c r="I5" s="144">
        <v>487476</v>
      </c>
      <c r="J5" s="144">
        <v>387057</v>
      </c>
      <c r="K5" s="144">
        <v>389010</v>
      </c>
      <c r="L5" s="144">
        <v>341896</v>
      </c>
      <c r="M5" s="144">
        <v>324842</v>
      </c>
      <c r="N5" s="144">
        <v>401147</v>
      </c>
      <c r="O5" s="144">
        <v>352131</v>
      </c>
      <c r="P5" s="144">
        <v>439245</v>
      </c>
      <c r="Q5" s="144">
        <v>453019</v>
      </c>
      <c r="R5" s="144">
        <v>480809</v>
      </c>
      <c r="S5" s="144">
        <v>472137</v>
      </c>
      <c r="T5" s="144">
        <v>453209</v>
      </c>
      <c r="V5" s="145">
        <f>SUM(I4:T4)</f>
        <v>13127203</v>
      </c>
    </row>
    <row r="6" spans="1:22" ht="16.5" thickBot="1">
      <c r="A6" s="92"/>
      <c r="B6" s="111"/>
      <c r="C6" s="54"/>
      <c r="D6" s="92"/>
      <c r="E6" s="112"/>
      <c r="V6" s="140">
        <f>SUM(I5:T5)</f>
        <v>4981978</v>
      </c>
    </row>
    <row r="7" spans="1:22">
      <c r="A7" s="92"/>
      <c r="B7" s="116"/>
      <c r="C7" s="54"/>
      <c r="D7" s="92"/>
      <c r="E7" s="109"/>
      <c r="V7" s="52">
        <f>SUM(V5:V6)</f>
        <v>18109181</v>
      </c>
    </row>
    <row r="8" spans="1:22">
      <c r="A8" s="92"/>
      <c r="B8" s="123"/>
      <c r="C8" s="54"/>
      <c r="D8" s="92"/>
      <c r="E8" s="112"/>
    </row>
    <row r="9" spans="1:22">
      <c r="A9" s="146"/>
      <c r="B9" s="123"/>
    </row>
    <row r="10" spans="1:22">
      <c r="J10" s="52"/>
      <c r="R10" s="72">
        <v>18109181000</v>
      </c>
    </row>
    <row r="11" spans="1:22">
      <c r="K11" s="72"/>
    </row>
    <row r="12" spans="1:22">
      <c r="K12" s="52"/>
      <c r="T12" t="s">
        <v>405</v>
      </c>
      <c r="U12" s="52"/>
    </row>
    <row r="13" spans="1:22">
      <c r="R13" s="48">
        <v>7939000000</v>
      </c>
      <c r="T13" s="52">
        <f>R10-R13</f>
        <v>10170181000</v>
      </c>
    </row>
    <row r="14" spans="1:22">
      <c r="L14" s="72"/>
    </row>
    <row r="16" spans="1:22">
      <c r="D16" s="52"/>
      <c r="L16" s="52"/>
    </row>
    <row r="17" spans="1:13">
      <c r="L17" s="52"/>
    </row>
    <row r="18" spans="1:13">
      <c r="M18" s="52"/>
    </row>
    <row r="19" spans="1:13">
      <c r="A19" s="147" t="s">
        <v>406</v>
      </c>
      <c r="B19" s="72">
        <v>18109</v>
      </c>
      <c r="L19" s="52"/>
    </row>
    <row r="20" spans="1:13">
      <c r="C20" s="52"/>
      <c r="D20" s="48"/>
    </row>
    <row r="21" spans="1:13">
      <c r="A21" s="147" t="s">
        <v>407</v>
      </c>
      <c r="B21" s="148">
        <v>10170</v>
      </c>
    </row>
    <row r="22" spans="1:13">
      <c r="C22" s="149"/>
    </row>
    <row r="23" spans="1:13">
      <c r="B23" s="52"/>
    </row>
    <row r="24" spans="1:13">
      <c r="B24" s="81" t="s">
        <v>376</v>
      </c>
    </row>
    <row r="25" spans="1:13">
      <c r="A25" s="54"/>
      <c r="C25" s="54"/>
      <c r="D25" s="54"/>
      <c r="E25" s="82" t="s">
        <v>377</v>
      </c>
    </row>
    <row r="30" spans="1:13">
      <c r="A30" s="150" t="s">
        <v>381</v>
      </c>
      <c r="B30" s="151">
        <f>B70</f>
        <v>7857.82</v>
      </c>
      <c r="C30" s="54"/>
      <c r="D30" s="150" t="s">
        <v>381</v>
      </c>
      <c r="E30" s="151">
        <f>F70</f>
        <v>6597.5815917071213</v>
      </c>
    </row>
    <row r="31" spans="1:13">
      <c r="A31" s="150" t="s">
        <v>306</v>
      </c>
      <c r="B31" s="151">
        <f>B71</f>
        <v>1424.0832194533459</v>
      </c>
      <c r="C31" s="54"/>
      <c r="D31" s="150" t="s">
        <v>306</v>
      </c>
      <c r="E31" s="152">
        <f>F71</f>
        <v>8093.8165298902195</v>
      </c>
    </row>
    <row r="32" spans="1:13">
      <c r="A32" s="150" t="s">
        <v>367</v>
      </c>
      <c r="B32" s="153">
        <f>B72</f>
        <v>14.877988255617979</v>
      </c>
      <c r="C32" s="54"/>
      <c r="D32" s="150" t="s">
        <v>367</v>
      </c>
      <c r="E32" s="154">
        <f>F72</f>
        <v>299.3658667948917</v>
      </c>
    </row>
    <row r="33" spans="1:9">
      <c r="A33" s="155" t="s">
        <v>393</v>
      </c>
      <c r="B33" s="156">
        <f>B73</f>
        <v>13024.916335535307</v>
      </c>
      <c r="C33" s="54"/>
      <c r="D33" s="155" t="s">
        <v>393</v>
      </c>
      <c r="E33" s="157">
        <f>F73</f>
        <v>12250</v>
      </c>
    </row>
    <row r="34" spans="1:9">
      <c r="A34" s="155" t="s">
        <v>382</v>
      </c>
      <c r="B34" s="158">
        <f>B64</f>
        <v>2832.2140233623118</v>
      </c>
      <c r="C34" s="54"/>
      <c r="D34" s="155" t="s">
        <v>382</v>
      </c>
      <c r="E34" s="159">
        <f>F64</f>
        <v>1000</v>
      </c>
    </row>
    <row r="38" spans="1:9">
      <c r="A38" s="160" t="s">
        <v>407</v>
      </c>
      <c r="B38" s="161">
        <v>4128</v>
      </c>
    </row>
    <row r="39" spans="1:9">
      <c r="B39" s="162" t="s">
        <v>376</v>
      </c>
      <c r="C39" s="162"/>
      <c r="D39" s="162"/>
      <c r="E39" s="162"/>
      <c r="F39" s="162" t="s">
        <v>377</v>
      </c>
      <c r="G39" s="162"/>
    </row>
    <row r="40" spans="1:9">
      <c r="B40" s="57" t="s">
        <v>408</v>
      </c>
      <c r="C40" s="57" t="s">
        <v>409</v>
      </c>
      <c r="D40" s="57" t="s">
        <v>384</v>
      </c>
      <c r="E40" s="57" t="s">
        <v>383</v>
      </c>
      <c r="F40" s="57" t="s">
        <v>408</v>
      </c>
      <c r="G40" s="57" t="s">
        <v>409</v>
      </c>
      <c r="H40" s="57" t="s">
        <v>384</v>
      </c>
      <c r="I40" s="57" t="s">
        <v>383</v>
      </c>
    </row>
    <row r="41" spans="1:9">
      <c r="A41" t="s">
        <v>410</v>
      </c>
      <c r="B41" s="163">
        <f>'[2]Soy Complex'!$BH$463</f>
        <v>1775.316</v>
      </c>
      <c r="C41" s="164">
        <f>C42+C43</f>
        <v>1775.316</v>
      </c>
      <c r="D41" s="164">
        <f>C42</f>
        <v>1400.569</v>
      </c>
      <c r="E41" s="164">
        <f>C43</f>
        <v>374.74700000000001</v>
      </c>
      <c r="F41" s="163">
        <f>'[2]Soy Complex'!$BJ$463</f>
        <v>2091.3154403406115</v>
      </c>
      <c r="G41" s="164">
        <f>G42+G43</f>
        <v>2091.3154403406115</v>
      </c>
      <c r="H41" s="165">
        <f>G42</f>
        <v>1649.8649113523506</v>
      </c>
      <c r="I41" s="165">
        <f>G43</f>
        <v>441.45052898826088</v>
      </c>
    </row>
    <row r="42" spans="1:9">
      <c r="A42" t="s">
        <v>411</v>
      </c>
      <c r="C42" s="165">
        <f>'[3]NASS Crush'!$N$57</f>
        <v>1400.569</v>
      </c>
      <c r="D42" s="165"/>
      <c r="E42" s="165"/>
      <c r="G42" s="165">
        <f>C42/C41*F41</f>
        <v>1649.8649113523506</v>
      </c>
    </row>
    <row r="43" spans="1:9">
      <c r="A43" t="s">
        <v>412</v>
      </c>
      <c r="C43" s="165">
        <f>'[3]NASS Crush'!$R$57</f>
        <v>374.74700000000001</v>
      </c>
      <c r="D43" s="165"/>
      <c r="E43" s="165"/>
      <c r="G43" s="165">
        <f>F41-G42</f>
        <v>441.45052898826088</v>
      </c>
    </row>
    <row r="45" spans="1:9">
      <c r="A45" t="s">
        <v>413</v>
      </c>
      <c r="B45" s="163">
        <f>'[2]Soy Complex'!$BI$288</f>
        <v>24911.125000000004</v>
      </c>
      <c r="C45" s="164">
        <f>SUM(C51:C53)</f>
        <v>24911.125000000004</v>
      </c>
      <c r="D45" s="164">
        <f>SUM('[3]NASS Crush'!$M$58:$M$69)</f>
        <v>24911.125000000004</v>
      </c>
      <c r="E45" s="164">
        <f>C52</f>
        <v>17934.800999999999</v>
      </c>
      <c r="F45" s="163">
        <f>'[2]Soy Complex'!$BK$288</f>
        <v>26334.275000000001</v>
      </c>
      <c r="G45" s="164">
        <f>G51+G52+G53</f>
        <v>26334.275000000001</v>
      </c>
      <c r="H45" s="165">
        <f>G45</f>
        <v>26334.275000000001</v>
      </c>
      <c r="I45" s="165">
        <f>G48</f>
        <v>18959.39993092544</v>
      </c>
    </row>
    <row r="46" spans="1:9">
      <c r="A46" t="s">
        <v>383</v>
      </c>
      <c r="B46" s="163"/>
      <c r="C46" s="164">
        <f>SUM('[3]NASS Crush'!$W$58:$W$69)</f>
        <v>18377.331000000002</v>
      </c>
      <c r="D46" s="164"/>
      <c r="E46" s="164"/>
      <c r="F46" s="163"/>
      <c r="G46" s="164">
        <f>C46/C45*G45</f>
        <v>19427.211268861804</v>
      </c>
    </row>
    <row r="47" spans="1:9">
      <c r="A47" t="s">
        <v>414</v>
      </c>
      <c r="B47" s="163"/>
      <c r="C47" s="164">
        <f>C45-C46</f>
        <v>6533.7940000000017</v>
      </c>
      <c r="D47" s="164"/>
      <c r="E47" s="164"/>
      <c r="F47" s="163"/>
      <c r="G47" s="164">
        <f>G45-G46</f>
        <v>6907.0637311381979</v>
      </c>
    </row>
    <row r="48" spans="1:9">
      <c r="A48" t="s">
        <v>415</v>
      </c>
      <c r="B48" s="163"/>
      <c r="C48" s="164">
        <f>SUM('[3]NASS Crush'!$X$58:$X$69)</f>
        <v>17934.800999999999</v>
      </c>
      <c r="D48" s="164"/>
      <c r="E48" s="164"/>
      <c r="F48" s="163"/>
      <c r="G48" s="164">
        <f>C48/C46*G46</f>
        <v>18959.39993092544</v>
      </c>
    </row>
    <row r="49" spans="1:11">
      <c r="A49" t="s">
        <v>416</v>
      </c>
      <c r="B49" s="163"/>
      <c r="C49" s="164">
        <f>C45-C47-C48</f>
        <v>442.53000000000247</v>
      </c>
      <c r="D49" s="164"/>
      <c r="E49" s="164"/>
      <c r="F49" s="163"/>
      <c r="G49" s="164">
        <f>G46-G48</f>
        <v>467.811337936364</v>
      </c>
    </row>
    <row r="50" spans="1:11">
      <c r="B50" s="163"/>
      <c r="C50" s="164"/>
      <c r="D50" s="164"/>
      <c r="E50" s="164"/>
      <c r="F50" s="163"/>
      <c r="G50" s="164"/>
    </row>
    <row r="51" spans="1:11">
      <c r="A51" t="s">
        <v>417</v>
      </c>
      <c r="C51" s="165">
        <f>SUM('[3]NASS Crush'!$M$58:$M$69)-SUM('[3]NASS Crush'!$W$58:$W$69)</f>
        <v>6533.7940000000017</v>
      </c>
      <c r="D51" s="165"/>
      <c r="E51" s="165"/>
      <c r="G51" s="165">
        <f>C51/C45*F45</f>
        <v>6907.0637311381979</v>
      </c>
      <c r="H51" s="165"/>
    </row>
    <row r="52" spans="1:11">
      <c r="A52" t="s">
        <v>412</v>
      </c>
      <c r="C52" s="165">
        <f>SUM('[3]NASS Crush'!$X$58:$X$69)</f>
        <v>17934.800999999999</v>
      </c>
      <c r="D52" s="165"/>
      <c r="E52" s="165"/>
      <c r="G52" s="165">
        <f>C52/C45*F45</f>
        <v>18959.399930925436</v>
      </c>
    </row>
    <row r="53" spans="1:11">
      <c r="A53" t="s">
        <v>416</v>
      </c>
      <c r="C53" s="165">
        <f>SUM('[3]NASS Crush'!$W$58:$W$69)-SUM('[3]NASS Crush'!$X$58:$X$69)</f>
        <v>442.53000000000247</v>
      </c>
      <c r="D53" s="165"/>
      <c r="E53" s="165"/>
      <c r="G53" s="165">
        <f>F45-G51-G52</f>
        <v>467.81133793636764</v>
      </c>
    </row>
    <row r="55" spans="1:11">
      <c r="A55" t="s">
        <v>386</v>
      </c>
      <c r="B55" s="163">
        <f>'[2]Soy Complex'!$BI$336</f>
        <v>320.14556660657996</v>
      </c>
      <c r="C55" s="164">
        <f>C56+C57</f>
        <v>319.66843000000006</v>
      </c>
      <c r="D55" s="164">
        <f>C56</f>
        <v>54.024776000000003</v>
      </c>
      <c r="E55" s="164">
        <f>C57</f>
        <v>265.64365400000003</v>
      </c>
      <c r="F55" s="163">
        <f>'[2]Soy Complex'!$BK$336</f>
        <v>1250</v>
      </c>
      <c r="G55" s="164">
        <f>'[2]Soy Complex'!$BK$336</f>
        <v>1250</v>
      </c>
      <c r="H55" s="165">
        <f>G56</f>
        <v>211.25317254506513</v>
      </c>
      <c r="I55" s="165">
        <f>G57</f>
        <v>1038.7468274549349</v>
      </c>
    </row>
    <row r="56" spans="1:11">
      <c r="A56" t="s">
        <v>417</v>
      </c>
      <c r="C56" s="165">
        <v>54.024776000000003</v>
      </c>
      <c r="D56" s="165"/>
      <c r="E56" s="165"/>
      <c r="G56" s="165">
        <f>F55-G57</f>
        <v>211.25317254506513</v>
      </c>
    </row>
    <row r="57" spans="1:11">
      <c r="A57" t="s">
        <v>412</v>
      </c>
      <c r="C57" s="165">
        <v>265.64365400000003</v>
      </c>
      <c r="D57" s="165"/>
      <c r="E57" s="165"/>
      <c r="G57" s="165">
        <f>C57/C55*F55</f>
        <v>1038.7468274549349</v>
      </c>
    </row>
    <row r="59" spans="1:11">
      <c r="A59" t="s">
        <v>418</v>
      </c>
      <c r="B59" s="163">
        <f>SUM(B41:B55)</f>
        <v>27006.586566606584</v>
      </c>
      <c r="C59" s="164">
        <f>C60+C61</f>
        <v>26563.579429999998</v>
      </c>
      <c r="D59" s="164">
        <f>D55+D45+D41</f>
        <v>26365.718776000002</v>
      </c>
      <c r="E59" s="164">
        <f>E55+E45+E41</f>
        <v>18575.191653999998</v>
      </c>
      <c r="F59" s="163">
        <f>F55+F45+F41</f>
        <v>29675.590440340613</v>
      </c>
      <c r="G59" s="164">
        <f>G60+G61</f>
        <v>29207.779102404245</v>
      </c>
      <c r="H59" s="164">
        <f>H55+H45+H41</f>
        <v>28195.393083897416</v>
      </c>
      <c r="I59" s="164">
        <f>I55+I45+I41</f>
        <v>20439.597287368637</v>
      </c>
    </row>
    <row r="60" spans="1:11">
      <c r="A60" t="s">
        <v>411</v>
      </c>
      <c r="C60" s="165">
        <f>C42+C51+C56</f>
        <v>7988.3877760000014</v>
      </c>
      <c r="D60" s="165"/>
      <c r="E60" s="165"/>
      <c r="G60" s="165">
        <f>G42+G51+G56</f>
        <v>8768.1818150356121</v>
      </c>
    </row>
    <row r="61" spans="1:11">
      <c r="A61" t="s">
        <v>412</v>
      </c>
      <c r="C61" s="165">
        <f>C43+C52+C57</f>
        <v>18575.191653999998</v>
      </c>
      <c r="D61" s="165"/>
      <c r="E61" s="165"/>
      <c r="G61" s="165">
        <f>G43+G52+G57</f>
        <v>20439.597287368633</v>
      </c>
    </row>
    <row r="64" spans="1:11">
      <c r="A64" t="s">
        <v>419</v>
      </c>
      <c r="B64" s="163">
        <f>'[2]Soy Complex'!$BI$352</f>
        <v>2832.2140233623118</v>
      </c>
      <c r="C64" s="164">
        <f>B64</f>
        <v>2832.2140233623118</v>
      </c>
      <c r="D64" s="164">
        <f>C65</f>
        <v>2446.0940000000001</v>
      </c>
      <c r="E64" s="164">
        <f>C66</f>
        <v>385.66500000000002</v>
      </c>
      <c r="F64" s="163">
        <f>'[2]Soy Complex'!$BK$352</f>
        <v>1000</v>
      </c>
      <c r="G64" s="164">
        <f>G65+G66</f>
        <v>1000</v>
      </c>
      <c r="H64" s="165">
        <f>G65</f>
        <v>863.66848685258515</v>
      </c>
      <c r="I64" s="165">
        <f>G66</f>
        <v>136.33151314741485</v>
      </c>
      <c r="K64" s="166" t="s">
        <v>420</v>
      </c>
    </row>
    <row r="65" spans="1:11">
      <c r="A65" t="s">
        <v>411</v>
      </c>
      <c r="C65" s="165">
        <v>2446.0940000000001</v>
      </c>
      <c r="D65" s="165"/>
      <c r="E65" s="165"/>
      <c r="G65" s="165">
        <f>C65/C64*F64</f>
        <v>863.66848685258515</v>
      </c>
      <c r="K65" s="166" t="s">
        <v>421</v>
      </c>
    </row>
    <row r="66" spans="1:11">
      <c r="A66" t="s">
        <v>412</v>
      </c>
      <c r="C66" s="165">
        <v>385.66500000000002</v>
      </c>
      <c r="D66" s="165"/>
      <c r="E66" s="165"/>
      <c r="G66" s="165">
        <f>F64-G65</f>
        <v>136.33151314741485</v>
      </c>
      <c r="K66" s="150" t="s">
        <v>385</v>
      </c>
    </row>
    <row r="67" spans="1:11">
      <c r="K67" s="150" t="s">
        <v>380</v>
      </c>
    </row>
    <row r="68" spans="1:11">
      <c r="A68" t="s">
        <v>422</v>
      </c>
      <c r="B68" s="163">
        <f>B69+B73</f>
        <v>22321.69754324427</v>
      </c>
      <c r="C68" s="164">
        <f>C77+C80</f>
        <v>21701.549776</v>
      </c>
      <c r="D68" s="165"/>
      <c r="E68" s="164"/>
      <c r="F68" s="163">
        <f>'[2]Soy Complex'!$BK$368</f>
        <v>27240.763988392231</v>
      </c>
      <c r="G68" s="164">
        <f>C68/B68*F68</f>
        <v>26483.953314262191</v>
      </c>
      <c r="H68" s="165"/>
      <c r="I68" s="164"/>
      <c r="K68" s="150" t="s">
        <v>381</v>
      </c>
    </row>
    <row r="69" spans="1:11">
      <c r="A69" t="s">
        <v>392</v>
      </c>
      <c r="B69" s="163">
        <f>SUM(B70:B72)</f>
        <v>9296.7812077089638</v>
      </c>
      <c r="F69" s="163">
        <f>SUM(F70:F72)</f>
        <v>14990.763988392231</v>
      </c>
      <c r="K69" s="150" t="s">
        <v>306</v>
      </c>
    </row>
    <row r="70" spans="1:11">
      <c r="A70" t="s">
        <v>423</v>
      </c>
      <c r="B70" s="163">
        <f>'[2]Soy Complex'!$BI$400</f>
        <v>7857.82</v>
      </c>
      <c r="F70" s="163">
        <f>'[2]Soy Complex'!$BK$40</f>
        <v>6597.5815917071213</v>
      </c>
      <c r="K70" s="150" t="s">
        <v>367</v>
      </c>
    </row>
    <row r="71" spans="1:11">
      <c r="A71" t="s">
        <v>424</v>
      </c>
      <c r="B71" s="163">
        <f>'[2]Soy Complex'!$BI$416</f>
        <v>1424.0832194533459</v>
      </c>
      <c r="F71" s="163">
        <f>'[2]Soy Complex'!$BK$41</f>
        <v>8093.8165298902195</v>
      </c>
      <c r="K71" s="155" t="s">
        <v>387</v>
      </c>
    </row>
    <row r="72" spans="1:11">
      <c r="A72" t="s">
        <v>425</v>
      </c>
      <c r="B72" s="163">
        <f>'[2]Soy Complex'!$BI$432</f>
        <v>14.877988255617979</v>
      </c>
      <c r="F72" s="163">
        <f>'[2]Soy Complex'!$BK$42</f>
        <v>299.3658667948917</v>
      </c>
      <c r="K72" s="155" t="s">
        <v>389</v>
      </c>
    </row>
    <row r="73" spans="1:11">
      <c r="A73" t="s">
        <v>393</v>
      </c>
      <c r="B73" s="163">
        <f>'[2]Soy Complex'!$BI$448</f>
        <v>13024.916335535307</v>
      </c>
      <c r="F73" s="163">
        <f>'[2]Soy Complex'!$BK$448</f>
        <v>12250</v>
      </c>
      <c r="K73" s="167" t="s">
        <v>421</v>
      </c>
    </row>
    <row r="74" spans="1:11">
      <c r="B74" s="163"/>
      <c r="F74" s="163"/>
      <c r="K74" s="167"/>
    </row>
    <row r="75" spans="1:11">
      <c r="A75" t="s">
        <v>426</v>
      </c>
      <c r="B75" s="163"/>
      <c r="D75" s="165">
        <f>SUM('[3]NASS Crush'!$W$58:$W$69)</f>
        <v>18377.331000000002</v>
      </c>
      <c r="F75" s="163"/>
      <c r="G75" s="165">
        <f>G46</f>
        <v>19427.211268861804</v>
      </c>
      <c r="H75" s="165">
        <f>G46</f>
        <v>19427.211268861804</v>
      </c>
      <c r="K75" s="167"/>
    </row>
    <row r="76" spans="1:11">
      <c r="A76" t="s">
        <v>427</v>
      </c>
      <c r="D76" s="165">
        <f>SUM('[3]NASS Crush'!$W$58:$W$69)-SUM('[3]NASS Crush'!$X$58:$X$69)</f>
        <v>442.53000000000247</v>
      </c>
      <c r="G76" s="165">
        <f>G49</f>
        <v>467.811337936364</v>
      </c>
      <c r="H76" s="165">
        <f>G49</f>
        <v>467.811337936364</v>
      </c>
      <c r="K76" s="160" t="s">
        <v>407</v>
      </c>
    </row>
    <row r="77" spans="1:11">
      <c r="A77" t="s">
        <v>428</v>
      </c>
      <c r="C77" s="164">
        <f>C78+C79</f>
        <v>6309.0860000000002</v>
      </c>
      <c r="D77" s="164">
        <f>C78</f>
        <v>1327.1079999999999</v>
      </c>
      <c r="E77" s="164">
        <f>V6/1000</f>
        <v>4981.9780000000001</v>
      </c>
      <c r="G77" s="164">
        <f>G78+G79</f>
        <v>11938.6776964862</v>
      </c>
      <c r="H77" s="165">
        <f>G78</f>
        <v>1456.654904403614</v>
      </c>
      <c r="I77" s="165">
        <f>G79</f>
        <v>10482.022792082586</v>
      </c>
    </row>
    <row r="78" spans="1:11">
      <c r="A78" t="s">
        <v>429</v>
      </c>
      <c r="C78" s="165">
        <f>V3/1000</f>
        <v>1327.1079999999999</v>
      </c>
      <c r="D78" s="165"/>
      <c r="E78" s="165"/>
      <c r="G78" s="165">
        <f>C78/C60*G60</f>
        <v>1456.654904403614</v>
      </c>
    </row>
    <row r="79" spans="1:11">
      <c r="A79" t="s">
        <v>430</v>
      </c>
      <c r="C79" s="165">
        <f>V6/1000</f>
        <v>4981.9780000000001</v>
      </c>
      <c r="D79" s="165"/>
      <c r="E79" s="165"/>
      <c r="G79" s="165">
        <f>C79/C61*G61+5000</f>
        <v>10482.022792082586</v>
      </c>
    </row>
    <row r="80" spans="1:11">
      <c r="A80" t="s">
        <v>431</v>
      </c>
      <c r="C80" s="164">
        <f>C81+C82</f>
        <v>15392.463775999999</v>
      </c>
      <c r="D80" s="164">
        <f>C81</f>
        <v>2265.2607759999992</v>
      </c>
      <c r="E80" s="164">
        <f>V5/1000</f>
        <v>13127.203</v>
      </c>
      <c r="F80" s="165"/>
      <c r="G80" s="164">
        <f>G81+G82</f>
        <v>11931.176361783106</v>
      </c>
      <c r="H80" s="165">
        <f>H84-H77-H76-H75-H64</f>
        <v>4812.5540861419604</v>
      </c>
      <c r="I80" s="165">
        <f>G82</f>
        <v>9444.7900095694695</v>
      </c>
    </row>
    <row r="81" spans="1:10">
      <c r="A81" t="s">
        <v>429</v>
      </c>
      <c r="B81" s="165"/>
      <c r="C81" s="165">
        <v>2265.2607759999992</v>
      </c>
      <c r="D81" s="165"/>
      <c r="E81" s="165"/>
      <c r="G81" s="165">
        <f>C81/C60*G60</f>
        <v>2486.3863522136367</v>
      </c>
    </row>
    <row r="82" spans="1:10">
      <c r="A82" t="s">
        <v>430</v>
      </c>
      <c r="C82" s="165">
        <f>V5/1000</f>
        <v>13127.203</v>
      </c>
      <c r="D82" s="165"/>
      <c r="E82" s="165"/>
      <c r="G82" s="165">
        <f>C82/C61*G61-5000</f>
        <v>9444.7900095694695</v>
      </c>
    </row>
    <row r="83" spans="1:10">
      <c r="A83" t="s">
        <v>432</v>
      </c>
      <c r="C83" s="165"/>
      <c r="D83" s="165"/>
      <c r="E83" s="165">
        <v>-265</v>
      </c>
      <c r="G83" s="165"/>
      <c r="H83" s="165"/>
      <c r="I83" s="165">
        <v>134</v>
      </c>
      <c r="J83" s="165"/>
    </row>
    <row r="84" spans="1:10">
      <c r="A84" t="s">
        <v>433</v>
      </c>
      <c r="C84" s="164">
        <f>C85+C86+C87</f>
        <v>24975.838776000004</v>
      </c>
      <c r="D84" s="164">
        <f>D80+D77+D64+D76+D75</f>
        <v>24858.323776000005</v>
      </c>
      <c r="E84" s="164">
        <f>E80+E77+E64+E83</f>
        <v>18229.846000000001</v>
      </c>
      <c r="G84" s="164">
        <f>G85+G86+G87+G64</f>
        <v>26337.665396205677</v>
      </c>
      <c r="H84" s="164">
        <f>H59-H89</f>
        <v>27027.900084196328</v>
      </c>
      <c r="I84" s="164">
        <f>I59-I89</f>
        <v>20172.263835121343</v>
      </c>
      <c r="J84" s="165"/>
    </row>
    <row r="85" spans="1:10">
      <c r="A85" t="s">
        <v>411</v>
      </c>
      <c r="C85" s="165">
        <f>C78+C81+C65</f>
        <v>6038.4627759999994</v>
      </c>
      <c r="D85" s="165"/>
      <c r="E85" s="165"/>
      <c r="G85" s="165">
        <f>G78+G81+G65</f>
        <v>4806.7097434698362</v>
      </c>
      <c r="H85" s="165"/>
    </row>
    <row r="86" spans="1:10">
      <c r="A86" t="s">
        <v>412</v>
      </c>
      <c r="C86" s="165">
        <f>C82+C79+C66</f>
        <v>18494.846000000001</v>
      </c>
      <c r="D86" s="165"/>
      <c r="E86" s="165"/>
      <c r="G86" s="165">
        <f>G82+G79+G66</f>
        <v>20063.144314799472</v>
      </c>
    </row>
    <row r="87" spans="1:10">
      <c r="A87" t="s">
        <v>416</v>
      </c>
      <c r="C87" s="165">
        <f>C53</f>
        <v>442.53000000000247</v>
      </c>
      <c r="D87" s="165"/>
      <c r="E87" s="165"/>
      <c r="G87" s="165">
        <f>G53</f>
        <v>467.81133793636764</v>
      </c>
    </row>
    <row r="89" spans="1:10">
      <c r="A89" t="s">
        <v>434</v>
      </c>
      <c r="B89" s="163">
        <f>'[2]Soy Complex'!$BI$463</f>
        <v>1852.675</v>
      </c>
      <c r="C89" s="164">
        <f>C90+C91</f>
        <v>1852.675</v>
      </c>
      <c r="D89" s="164">
        <f>C90</f>
        <v>1507.489</v>
      </c>
      <c r="E89" s="164">
        <f>C91</f>
        <v>345.18599999999998</v>
      </c>
      <c r="F89" s="163">
        <f>'[2]Soy Complex'!$BK$46</f>
        <v>1434.8264519483823</v>
      </c>
      <c r="G89" s="164">
        <f>G90+G91</f>
        <v>1434.8264519483823</v>
      </c>
      <c r="H89" s="165">
        <f>G90</f>
        <v>1167.492999701089</v>
      </c>
      <c r="I89" s="165">
        <f>G91</f>
        <v>267.33345224729328</v>
      </c>
    </row>
    <row r="90" spans="1:10">
      <c r="A90" t="s">
        <v>429</v>
      </c>
      <c r="C90" s="165">
        <f>'[3]NASS Crush'!$N$69</f>
        <v>1507.489</v>
      </c>
      <c r="D90" s="165"/>
      <c r="E90" s="165"/>
      <c r="G90" s="165">
        <f>C90/C89*F89</f>
        <v>1167.492999701089</v>
      </c>
    </row>
    <row r="91" spans="1:10">
      <c r="A91" t="s">
        <v>430</v>
      </c>
      <c r="C91" s="165">
        <f>'[3]NASS Crush'!$R$69</f>
        <v>345.18599999999998</v>
      </c>
      <c r="D91" s="165"/>
      <c r="E91" s="165"/>
      <c r="G91" s="165">
        <f>F89-G90</f>
        <v>267.33345224729328</v>
      </c>
    </row>
    <row r="93" spans="1:10">
      <c r="A93" t="s">
        <v>435</v>
      </c>
      <c r="B93" s="165">
        <f>B59-B64-B68-B89</f>
        <v>2.9558577807620168E-12</v>
      </c>
      <c r="C93" s="165">
        <f>C59-C84-C89</f>
        <v>-264.93434600000614</v>
      </c>
      <c r="D93" s="165">
        <f>D59-D84-D89</f>
        <v>-9.4000000003234163E-2</v>
      </c>
      <c r="E93" s="165">
        <f>E59-E84-E89</f>
        <v>0.15965399999703322</v>
      </c>
      <c r="G93" s="165">
        <f>G59-G84-G89</f>
        <v>1435.2872542501859</v>
      </c>
      <c r="H93" s="165">
        <f>H59-H84-H89</f>
        <v>0</v>
      </c>
      <c r="I93" s="165">
        <f>I59-I84-I89</f>
        <v>9.0949470177292824E-13</v>
      </c>
    </row>
    <row r="94" spans="1:10">
      <c r="I94" s="165">
        <f>H84-H83</f>
        <v>27027.900084196328</v>
      </c>
    </row>
    <row r="95" spans="1:10">
      <c r="C95" s="165">
        <f>C59-C84</f>
        <v>1587.7406539999938</v>
      </c>
      <c r="I95" s="165">
        <f>I94+I93</f>
        <v>27027.900084196328</v>
      </c>
    </row>
    <row r="96" spans="1:10">
      <c r="E96" s="165">
        <f>E59-E84</f>
        <v>345.34565399999701</v>
      </c>
    </row>
    <row r="97" spans="1:5">
      <c r="A97" s="24"/>
      <c r="B97" s="168"/>
      <c r="C97" s="168"/>
      <c r="D97" s="24"/>
      <c r="E97" s="72"/>
    </row>
    <row r="98" spans="1:5" ht="18.75" thickBot="1">
      <c r="A98" s="169" t="s">
        <v>436</v>
      </c>
      <c r="B98" s="169"/>
      <c r="C98" s="169"/>
      <c r="D98" s="24"/>
    </row>
    <row r="99" spans="1:5">
      <c r="A99" s="170" t="s">
        <v>437</v>
      </c>
      <c r="B99" s="171" t="s">
        <v>376</v>
      </c>
      <c r="C99" s="171" t="s">
        <v>377</v>
      </c>
      <c r="D99" s="24"/>
    </row>
    <row r="100" spans="1:5">
      <c r="A100" s="172" t="s">
        <v>410</v>
      </c>
      <c r="B100" s="173">
        <f>D41</f>
        <v>1400.569</v>
      </c>
      <c r="C100" s="173">
        <f>H41</f>
        <v>1649.8649113523506</v>
      </c>
      <c r="D100" s="24"/>
    </row>
    <row r="101" spans="1:5">
      <c r="A101" s="172" t="s">
        <v>369</v>
      </c>
      <c r="B101" s="173">
        <f>D45</f>
        <v>24911.125000000004</v>
      </c>
      <c r="C101" s="173">
        <f>H45</f>
        <v>26334.275000000001</v>
      </c>
      <c r="D101" s="24"/>
    </row>
    <row r="102" spans="1:5">
      <c r="A102" s="172" t="s">
        <v>386</v>
      </c>
      <c r="B102" s="173">
        <f>D55</f>
        <v>54.024776000000003</v>
      </c>
      <c r="C102" s="173">
        <f>H55</f>
        <v>211.25317254506513</v>
      </c>
      <c r="D102" s="24"/>
    </row>
    <row r="103" spans="1:5">
      <c r="A103" s="174" t="s">
        <v>438</v>
      </c>
      <c r="B103" s="175">
        <f>SUM(B100:B102)</f>
        <v>26365.718776000002</v>
      </c>
      <c r="C103" s="175">
        <f>SUM(C100:C102)</f>
        <v>28195.393083897416</v>
      </c>
      <c r="D103" s="24"/>
    </row>
    <row r="104" spans="1:5" ht="3.75" customHeight="1">
      <c r="A104" s="172"/>
      <c r="B104" s="173"/>
      <c r="C104" s="173"/>
      <c r="D104" s="24"/>
    </row>
    <row r="105" spans="1:5">
      <c r="A105" s="172" t="s">
        <v>422</v>
      </c>
      <c r="B105" s="173">
        <f>SUM(B106:B109)</f>
        <v>22412.229776000004</v>
      </c>
      <c r="C105" s="173">
        <f>SUM(C106:C109)</f>
        <v>26164.231597343743</v>
      </c>
      <c r="D105" s="24"/>
    </row>
    <row r="106" spans="1:5">
      <c r="A106" s="172" t="s">
        <v>439</v>
      </c>
      <c r="B106" s="173">
        <f>D75</f>
        <v>18377.331000000002</v>
      </c>
      <c r="C106" s="173">
        <f>H75</f>
        <v>19427.211268861804</v>
      </c>
      <c r="D106" s="24"/>
    </row>
    <row r="107" spans="1:5">
      <c r="A107" s="172" t="s">
        <v>416</v>
      </c>
      <c r="B107" s="173">
        <f>D76</f>
        <v>442.53000000000247</v>
      </c>
      <c r="C107" s="173">
        <f>H76</f>
        <v>467.811337936364</v>
      </c>
      <c r="D107" s="24"/>
    </row>
    <row r="108" spans="1:5">
      <c r="A108" s="172" t="s">
        <v>428</v>
      </c>
      <c r="B108" s="173">
        <f>D77</f>
        <v>1327.1079999999999</v>
      </c>
      <c r="C108" s="173">
        <f>H77</f>
        <v>1456.654904403614</v>
      </c>
      <c r="D108" s="24"/>
    </row>
    <row r="109" spans="1:5">
      <c r="A109" s="172" t="s">
        <v>431</v>
      </c>
      <c r="B109" s="173">
        <f>D80</f>
        <v>2265.2607759999992</v>
      </c>
      <c r="C109" s="173">
        <f>H80</f>
        <v>4812.5540861419604</v>
      </c>
      <c r="D109" s="24"/>
    </row>
    <row r="110" spans="1:5">
      <c r="A110" s="172" t="s">
        <v>382</v>
      </c>
      <c r="B110" s="173">
        <f>D64</f>
        <v>2446.0940000000001</v>
      </c>
      <c r="C110" s="173">
        <f>H64</f>
        <v>863.66848685258515</v>
      </c>
      <c r="D110" s="24"/>
    </row>
    <row r="111" spans="1:5">
      <c r="A111" s="174" t="s">
        <v>440</v>
      </c>
      <c r="B111" s="175">
        <f>B110+B105</f>
        <v>24858.323776000005</v>
      </c>
      <c r="C111" s="175">
        <f>C105+C110</f>
        <v>27027.900084196328</v>
      </c>
      <c r="D111" s="24"/>
    </row>
    <row r="112" spans="1:5" ht="3.75" customHeight="1">
      <c r="A112" s="172"/>
      <c r="B112" s="173"/>
      <c r="C112" s="173"/>
      <c r="D112" s="24"/>
    </row>
    <row r="113" spans="1:4" ht="16.5" thickBot="1">
      <c r="A113" s="176" t="s">
        <v>434</v>
      </c>
      <c r="B113" s="177">
        <f>B103-B111</f>
        <v>1507.3949999999968</v>
      </c>
      <c r="C113" s="177">
        <f>C103-C111</f>
        <v>1167.4929997010877</v>
      </c>
      <c r="D113" s="24"/>
    </row>
    <row r="114" spans="1:4" ht="15" customHeight="1">
      <c r="A114" s="178" t="s">
        <v>441</v>
      </c>
      <c r="B114" s="179"/>
      <c r="C114" s="179"/>
      <c r="D114" s="24"/>
    </row>
    <row r="115" spans="1:4">
      <c r="A115" s="172" t="s">
        <v>435</v>
      </c>
      <c r="B115" s="173">
        <f>B103-B111-B113</f>
        <v>0</v>
      </c>
      <c r="C115" s="173">
        <f>C103-C111-C113</f>
        <v>0</v>
      </c>
      <c r="D115" s="24"/>
    </row>
    <row r="116" spans="1:4">
      <c r="A116" s="172"/>
      <c r="B116" s="172"/>
      <c r="C116" s="172"/>
      <c r="D116" s="24"/>
    </row>
    <row r="117" spans="1:4">
      <c r="A117" s="172"/>
      <c r="B117" s="172"/>
      <c r="C117" s="172"/>
      <c r="D117" s="24"/>
    </row>
    <row r="118" spans="1:4" ht="18.75" thickBot="1">
      <c r="A118" s="169" t="s">
        <v>442</v>
      </c>
      <c r="B118" s="169"/>
      <c r="C118" s="169"/>
      <c r="D118" s="24"/>
    </row>
    <row r="119" spans="1:4">
      <c r="A119" s="170" t="s">
        <v>437</v>
      </c>
      <c r="B119" s="171" t="s">
        <v>376</v>
      </c>
      <c r="C119" s="171" t="s">
        <v>377</v>
      </c>
      <c r="D119" s="24"/>
    </row>
    <row r="120" spans="1:4">
      <c r="A120" s="172" t="s">
        <v>410</v>
      </c>
      <c r="B120" s="180">
        <f>E41</f>
        <v>374.74700000000001</v>
      </c>
      <c r="C120" s="180">
        <f>I41</f>
        <v>441.45052898826088</v>
      </c>
      <c r="D120" s="24"/>
    </row>
    <row r="121" spans="1:4">
      <c r="A121" s="172" t="s">
        <v>369</v>
      </c>
      <c r="B121" s="180">
        <f>E45</f>
        <v>17934.800999999999</v>
      </c>
      <c r="C121" s="180">
        <f>I45</f>
        <v>18959.39993092544</v>
      </c>
      <c r="D121" s="24"/>
    </row>
    <row r="122" spans="1:4">
      <c r="A122" s="172" t="s">
        <v>386</v>
      </c>
      <c r="B122" s="180">
        <f>E55</f>
        <v>265.64365400000003</v>
      </c>
      <c r="C122" s="180">
        <f>I55</f>
        <v>1038.7468274549349</v>
      </c>
      <c r="D122" s="24"/>
    </row>
    <row r="123" spans="1:4">
      <c r="A123" s="174" t="s">
        <v>438</v>
      </c>
      <c r="B123" s="181">
        <f>SUM(B120:B122)</f>
        <v>18575.191653999998</v>
      </c>
      <c r="C123" s="181">
        <f>SUM(C120:C122)</f>
        <v>20439.597287368637</v>
      </c>
      <c r="D123" s="24"/>
    </row>
    <row r="124" spans="1:4" ht="3.75" customHeight="1">
      <c r="A124" s="172"/>
      <c r="B124" s="180"/>
      <c r="C124" s="180"/>
      <c r="D124" s="24"/>
    </row>
    <row r="125" spans="1:4">
      <c r="A125" s="172" t="s">
        <v>422</v>
      </c>
      <c r="B125" s="180">
        <f>B126+B127+B128</f>
        <v>17844.181</v>
      </c>
      <c r="C125" s="180">
        <f>C126+C127+C128</f>
        <v>20060.812801652057</v>
      </c>
      <c r="D125" s="24"/>
    </row>
    <row r="126" spans="1:4">
      <c r="A126" s="172" t="s">
        <v>428</v>
      </c>
      <c r="B126" s="180">
        <f>E77</f>
        <v>4981.9780000000001</v>
      </c>
      <c r="C126" s="180">
        <f>I77</f>
        <v>10482.022792082586</v>
      </c>
      <c r="D126" s="24"/>
    </row>
    <row r="127" spans="1:4">
      <c r="A127" s="172" t="s">
        <v>443</v>
      </c>
      <c r="B127" s="180">
        <f>E80</f>
        <v>13127.203</v>
      </c>
      <c r="C127" s="180">
        <f>I80</f>
        <v>9444.7900095694695</v>
      </c>
      <c r="D127" s="24"/>
    </row>
    <row r="128" spans="1:4">
      <c r="A128" s="172" t="s">
        <v>444</v>
      </c>
      <c r="B128" s="180">
        <f>E83</f>
        <v>-265</v>
      </c>
      <c r="C128" s="180">
        <f>I83</f>
        <v>134</v>
      </c>
      <c r="D128" s="24"/>
    </row>
    <row r="129" spans="1:4">
      <c r="A129" s="172" t="s">
        <v>382</v>
      </c>
      <c r="B129" s="180">
        <f>E64</f>
        <v>385.66500000000002</v>
      </c>
      <c r="C129" s="180">
        <f>I64</f>
        <v>136.33151314741485</v>
      </c>
      <c r="D129" s="24"/>
    </row>
    <row r="130" spans="1:4">
      <c r="A130" s="174" t="s">
        <v>440</v>
      </c>
      <c r="B130" s="181">
        <f>B129+B125</f>
        <v>18229.846000000001</v>
      </c>
      <c r="C130" s="181">
        <f>C129+C125</f>
        <v>20197.144314799472</v>
      </c>
      <c r="D130" s="24"/>
    </row>
    <row r="131" spans="1:4" ht="3.75" customHeight="1">
      <c r="A131" s="172"/>
      <c r="B131" s="180"/>
      <c r="C131" s="180"/>
      <c r="D131" s="24"/>
    </row>
    <row r="132" spans="1:4" ht="16.5" thickBot="1">
      <c r="A132" s="176" t="s">
        <v>434</v>
      </c>
      <c r="B132" s="182">
        <f>B123-B130</f>
        <v>345.34565399999701</v>
      </c>
      <c r="C132" s="182">
        <f>C123-C130</f>
        <v>242.45297256916456</v>
      </c>
      <c r="D132" s="24"/>
    </row>
    <row r="133" spans="1:4" ht="15" customHeight="1">
      <c r="A133" s="178" t="s">
        <v>441</v>
      </c>
      <c r="B133" s="179"/>
      <c r="C133" s="179"/>
      <c r="D133" s="24"/>
    </row>
    <row r="134" spans="1:4">
      <c r="A134" s="172" t="s">
        <v>435</v>
      </c>
      <c r="B134" s="173">
        <f>B123-B130-B132</f>
        <v>0</v>
      </c>
      <c r="C134" s="173">
        <f>C123-C130-C132</f>
        <v>0</v>
      </c>
      <c r="D134" s="24"/>
    </row>
    <row r="135" spans="1:4">
      <c r="A135" s="24"/>
      <c r="B135" s="24"/>
      <c r="C135" s="24"/>
      <c r="D135" s="24"/>
    </row>
    <row r="136" spans="1:4">
      <c r="A136" s="24"/>
      <c r="B136" s="24"/>
      <c r="C136" s="24"/>
      <c r="D136" s="24"/>
    </row>
  </sheetData>
  <mergeCells count="4">
    <mergeCell ref="B39:E39"/>
    <mergeCell ref="F39:G39"/>
    <mergeCell ref="A98:C98"/>
    <mergeCell ref="A118:C1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1F76-3206-4F92-AA1D-8A41E9D02AEB}">
  <dimension ref="A1:P35"/>
  <sheetViews>
    <sheetView topLeftCell="B9" workbookViewId="0">
      <selection activeCell="A26" sqref="A26:XFD26"/>
    </sheetView>
  </sheetViews>
  <sheetFormatPr defaultRowHeight="15.75"/>
  <cols>
    <col min="1" max="1" width="16.75" customWidth="1"/>
  </cols>
  <sheetData>
    <row r="1" spans="1:16">
      <c r="B1" t="s">
        <v>445</v>
      </c>
      <c r="C1" t="s">
        <v>446</v>
      </c>
      <c r="D1" t="s">
        <v>447</v>
      </c>
      <c r="E1" t="s">
        <v>448</v>
      </c>
      <c r="F1" t="s">
        <v>449</v>
      </c>
      <c r="G1" t="s">
        <v>450</v>
      </c>
      <c r="H1" t="s">
        <v>451</v>
      </c>
      <c r="I1" t="s">
        <v>452</v>
      </c>
      <c r="J1" t="s">
        <v>453</v>
      </c>
      <c r="K1" t="s">
        <v>454</v>
      </c>
      <c r="L1" t="s">
        <v>455</v>
      </c>
      <c r="M1" t="s">
        <v>456</v>
      </c>
      <c r="O1" t="s">
        <v>376</v>
      </c>
      <c r="P1" t="s">
        <v>377</v>
      </c>
    </row>
    <row r="2" spans="1:16">
      <c r="A2" s="138" t="s">
        <v>457</v>
      </c>
    </row>
    <row r="3" spans="1:16">
      <c r="A3" t="s">
        <v>410</v>
      </c>
      <c r="B3" s="165">
        <f>'[3]NASS Crush'!$N$57</f>
        <v>1400.569</v>
      </c>
      <c r="C3" s="165">
        <f>B16</f>
        <v>1471.9290000000001</v>
      </c>
      <c r="D3" s="165">
        <f t="shared" ref="D3:M3" si="0">C16</f>
        <v>1522.923</v>
      </c>
      <c r="E3" s="165">
        <f t="shared" si="0"/>
        <v>1749.423</v>
      </c>
      <c r="F3" s="165">
        <f t="shared" si="0"/>
        <v>1989.164</v>
      </c>
      <c r="G3" s="165">
        <f t="shared" si="0"/>
        <v>1996.7470000000001</v>
      </c>
      <c r="H3" s="165">
        <f t="shared" si="0"/>
        <v>1933.6479999999999</v>
      </c>
      <c r="I3" s="165">
        <f t="shared" si="0"/>
        <v>2223.538</v>
      </c>
      <c r="J3" s="165">
        <f t="shared" si="0"/>
        <v>2048.9380000000001</v>
      </c>
      <c r="K3" s="165">
        <f t="shared" si="0"/>
        <v>1925.7280000000001</v>
      </c>
      <c r="L3" s="165">
        <f t="shared" si="0"/>
        <v>1776.46</v>
      </c>
      <c r="M3" s="165">
        <f t="shared" si="0"/>
        <v>1575.6279999999999</v>
      </c>
      <c r="O3" s="165">
        <f>B3</f>
        <v>1400.569</v>
      </c>
    </row>
    <row r="4" spans="1:16">
      <c r="A4" t="s">
        <v>369</v>
      </c>
      <c r="B4" s="165">
        <v>2149.9690000000001</v>
      </c>
      <c r="C4" s="165">
        <v>1999.6479999999999</v>
      </c>
      <c r="D4" s="165">
        <v>2110.9360000000001</v>
      </c>
      <c r="E4" s="165">
        <v>2154.4270000000001</v>
      </c>
      <c r="F4" s="165">
        <v>1999.5239999999999</v>
      </c>
      <c r="G4" s="165">
        <v>2201.0680000000002</v>
      </c>
      <c r="H4" s="165">
        <v>2099.4650000000001</v>
      </c>
      <c r="I4" s="165">
        <v>2057.6170000000002</v>
      </c>
      <c r="J4" s="165">
        <v>2035.269</v>
      </c>
      <c r="K4" s="165">
        <v>2122.7579999999998</v>
      </c>
      <c r="L4" s="165">
        <v>2012.8230000000001</v>
      </c>
      <c r="M4" s="165">
        <v>1967.6210000000001</v>
      </c>
      <c r="O4" s="165">
        <f>SUM(B4:M4)</f>
        <v>24911.125000000004</v>
      </c>
    </row>
    <row r="5" spans="1:16">
      <c r="A5" t="s">
        <v>386</v>
      </c>
      <c r="B5" s="165">
        <v>1.9999450000000001</v>
      </c>
      <c r="C5" s="165">
        <v>2.013671</v>
      </c>
      <c r="D5" s="165">
        <v>3.3448579999999999</v>
      </c>
      <c r="E5" s="165">
        <v>4.6882229999999998</v>
      </c>
      <c r="F5" s="165">
        <v>5.2028400000000001</v>
      </c>
      <c r="G5" s="165">
        <v>3.3110560000000002</v>
      </c>
      <c r="H5" s="165">
        <v>13.107599</v>
      </c>
      <c r="I5" s="165">
        <v>6.9088029999999998</v>
      </c>
      <c r="J5" s="165">
        <v>5.5366540000000004</v>
      </c>
      <c r="K5" s="165">
        <v>3.1687669999999999</v>
      </c>
      <c r="L5" s="165">
        <v>1.721222</v>
      </c>
      <c r="M5" s="165">
        <v>3.0211380000000001</v>
      </c>
      <c r="O5" s="165">
        <f>SUM(B5:M5)</f>
        <v>54.024775999999996</v>
      </c>
    </row>
    <row r="6" spans="1:16">
      <c r="A6" t="s">
        <v>418</v>
      </c>
      <c r="B6" s="165">
        <f>SUM(B3:B5)</f>
        <v>3552.537945</v>
      </c>
      <c r="C6" s="165">
        <f t="shared" ref="C6:M6" si="1">SUM(C3:C5)</f>
        <v>3473.5906710000004</v>
      </c>
      <c r="D6" s="165">
        <f t="shared" si="1"/>
        <v>3637.2038580000003</v>
      </c>
      <c r="E6" s="165">
        <f t="shared" si="1"/>
        <v>3908.5382230000005</v>
      </c>
      <c r="F6" s="165">
        <f t="shared" si="1"/>
        <v>3993.89084</v>
      </c>
      <c r="G6" s="165">
        <f t="shared" si="1"/>
        <v>4201.1260560000001</v>
      </c>
      <c r="H6" s="165">
        <f t="shared" si="1"/>
        <v>4046.2205990000002</v>
      </c>
      <c r="I6" s="165">
        <f t="shared" si="1"/>
        <v>4288.0638030000009</v>
      </c>
      <c r="J6" s="165">
        <f t="shared" si="1"/>
        <v>4089.7436540000003</v>
      </c>
      <c r="K6" s="165">
        <f t="shared" si="1"/>
        <v>4051.654767</v>
      </c>
      <c r="L6" s="165">
        <f t="shared" si="1"/>
        <v>3791.0042220000005</v>
      </c>
      <c r="M6" s="165">
        <f t="shared" si="1"/>
        <v>3546.2701379999999</v>
      </c>
      <c r="O6" s="165">
        <f>O5+O4+O3</f>
        <v>26365.718776000002</v>
      </c>
    </row>
    <row r="8" spans="1:16">
      <c r="A8" t="s">
        <v>422</v>
      </c>
      <c r="B8" s="165">
        <f>B10+B11+B12+B13</f>
        <v>1855.837757</v>
      </c>
      <c r="C8" s="165">
        <f t="shared" ref="C8:M8" si="2">C10+C11+C12+C13</f>
        <v>1734.0573690000003</v>
      </c>
      <c r="D8" s="165">
        <f t="shared" si="2"/>
        <v>1748.1447880000003</v>
      </c>
      <c r="E8" s="165">
        <f t="shared" si="2"/>
        <v>1820.6235100000006</v>
      </c>
      <c r="F8" s="165">
        <f t="shared" si="2"/>
        <v>1637.6851389999999</v>
      </c>
      <c r="G8" s="165">
        <f t="shared" si="2"/>
        <v>1980.0665259999998</v>
      </c>
      <c r="H8" s="165">
        <f t="shared" si="2"/>
        <v>1629.3465890000002</v>
      </c>
      <c r="I8" s="165">
        <f t="shared" si="2"/>
        <v>1916.6257480000008</v>
      </c>
      <c r="J8" s="165">
        <f t="shared" si="2"/>
        <v>2022.7378300000003</v>
      </c>
      <c r="K8" s="165">
        <f t="shared" si="2"/>
        <v>2133.3847139999998</v>
      </c>
      <c r="L8" s="165">
        <f t="shared" si="2"/>
        <v>2046.3957070000008</v>
      </c>
      <c r="M8" s="165">
        <f t="shared" si="2"/>
        <v>1887.2294239999999</v>
      </c>
      <c r="O8" s="165">
        <f>O10+O11+O12+O13</f>
        <v>22412.135101000003</v>
      </c>
    </row>
    <row r="9" spans="1:16">
      <c r="A9" t="s">
        <v>382</v>
      </c>
      <c r="B9" s="165">
        <v>224.771188</v>
      </c>
      <c r="C9" s="165">
        <v>216.61030199999999</v>
      </c>
      <c r="D9" s="165">
        <v>139.63606999999999</v>
      </c>
      <c r="E9" s="165">
        <v>98.750713000000005</v>
      </c>
      <c r="F9" s="165">
        <v>359.45870100000002</v>
      </c>
      <c r="G9" s="165">
        <v>287.41153000000003</v>
      </c>
      <c r="H9" s="165">
        <v>193.33600999999999</v>
      </c>
      <c r="I9" s="165">
        <v>322.50005499999997</v>
      </c>
      <c r="J9" s="165">
        <v>141.27782400000001</v>
      </c>
      <c r="K9" s="165">
        <v>141.81005300000001</v>
      </c>
      <c r="L9" s="165">
        <v>168.980515</v>
      </c>
      <c r="M9" s="165">
        <v>151.551714</v>
      </c>
      <c r="O9" s="165">
        <f>SUM(B9:M9)</f>
        <v>2446.0946750000007</v>
      </c>
    </row>
    <row r="10" spans="1:16">
      <c r="A10" t="s">
        <v>383</v>
      </c>
      <c r="B10" s="165">
        <v>1610.8679999999999</v>
      </c>
      <c r="C10" s="165">
        <v>1397.17</v>
      </c>
      <c r="D10" s="165">
        <v>1389.8720000000001</v>
      </c>
      <c r="E10" s="165">
        <v>1442.6420000000001</v>
      </c>
      <c r="F10" s="165">
        <v>1469.241</v>
      </c>
      <c r="G10" s="165">
        <v>1634.117</v>
      </c>
      <c r="H10" s="165">
        <v>1288.7550000000001</v>
      </c>
      <c r="I10" s="165">
        <v>1570.271</v>
      </c>
      <c r="J10" s="165">
        <v>1602.0119999999999</v>
      </c>
      <c r="K10" s="165">
        <v>1712.925</v>
      </c>
      <c r="L10" s="165">
        <v>1682.55</v>
      </c>
      <c r="M10" s="165">
        <v>1576.9079999999999</v>
      </c>
      <c r="O10" s="165">
        <f>SUM(B10:M10)</f>
        <v>18377.331000000002</v>
      </c>
    </row>
    <row r="11" spans="1:16">
      <c r="A11" t="s">
        <v>427</v>
      </c>
      <c r="B11" s="165">
        <f>B10-B20</f>
        <v>44.865000000000009</v>
      </c>
      <c r="C11" s="165">
        <f t="shared" ref="C11:M11" si="3">C10-C20</f>
        <v>34.826999999999998</v>
      </c>
      <c r="D11" s="165">
        <f t="shared" si="3"/>
        <v>26.469000000000051</v>
      </c>
      <c r="E11" s="165">
        <f t="shared" si="3"/>
        <v>34.507000000000062</v>
      </c>
      <c r="F11" s="165">
        <f t="shared" si="3"/>
        <v>40.718000000000075</v>
      </c>
      <c r="G11" s="165">
        <f t="shared" si="3"/>
        <v>37.378999999999905</v>
      </c>
      <c r="H11" s="165">
        <f t="shared" si="3"/>
        <v>27.340000000000146</v>
      </c>
      <c r="I11" s="165">
        <f t="shared" si="3"/>
        <v>37.51299999999992</v>
      </c>
      <c r="J11" s="165">
        <f t="shared" si="3"/>
        <v>34.435999999999922</v>
      </c>
      <c r="K11" s="165">
        <f t="shared" si="3"/>
        <v>45.374000000000024</v>
      </c>
      <c r="L11" s="165">
        <f t="shared" si="3"/>
        <v>43.002999999999929</v>
      </c>
      <c r="M11" s="165">
        <f t="shared" si="3"/>
        <v>36.098999999999933</v>
      </c>
      <c r="O11" s="165">
        <f>SUM(B11:M11)</f>
        <v>442.53</v>
      </c>
    </row>
    <row r="12" spans="1:16">
      <c r="A12" t="s">
        <v>421</v>
      </c>
      <c r="B12" s="165">
        <f>'Pie Chart Crude Refined'!I3/1000</f>
        <v>110</v>
      </c>
      <c r="C12" s="165">
        <f>'Pie Chart Crude Refined'!J3/1000</f>
        <v>106.331</v>
      </c>
      <c r="D12" s="165">
        <f>'Pie Chart Crude Refined'!K3/1000</f>
        <v>112.13200000000001</v>
      </c>
      <c r="E12" s="165">
        <f>'Pie Chart Crude Refined'!L3/1000</f>
        <v>95.471999999999994</v>
      </c>
      <c r="F12" s="165">
        <f>'Pie Chart Crude Refined'!M3/1000</f>
        <v>86.465999999999994</v>
      </c>
      <c r="G12" s="165">
        <f>'Pie Chart Crude Refined'!N3/1000</f>
        <v>107.89700000000001</v>
      </c>
      <c r="H12" s="165">
        <f>'Pie Chart Crude Refined'!O3/1000</f>
        <v>117.42100000000001</v>
      </c>
      <c r="I12" s="165">
        <f>'Pie Chart Crude Refined'!P3/1000</f>
        <v>110</v>
      </c>
      <c r="J12" s="165">
        <f>'Pie Chart Crude Refined'!Q3/1000</f>
        <v>110</v>
      </c>
      <c r="K12" s="165">
        <f>'Pie Chart Crude Refined'!R3/1000</f>
        <v>116.577</v>
      </c>
      <c r="L12" s="165">
        <f>'Pie Chart Crude Refined'!S3/1000</f>
        <v>119.84</v>
      </c>
      <c r="M12" s="165">
        <f>'Pie Chart Crude Refined'!T3/1000</f>
        <v>134.97200000000001</v>
      </c>
      <c r="O12" s="165">
        <f>SUM(B12:M12)</f>
        <v>1327.1079999999999</v>
      </c>
    </row>
    <row r="13" spans="1:16">
      <c r="A13" t="s">
        <v>420</v>
      </c>
      <c r="B13" s="165">
        <v>90.104757000000063</v>
      </c>
      <c r="C13" s="165">
        <v>195.72936900000036</v>
      </c>
      <c r="D13" s="165">
        <v>219.67178800000011</v>
      </c>
      <c r="E13" s="165">
        <v>248.00251000000048</v>
      </c>
      <c r="F13" s="165">
        <v>41.260138999999981</v>
      </c>
      <c r="G13" s="165">
        <v>200.67352600000004</v>
      </c>
      <c r="H13" s="165">
        <v>195.83058899999992</v>
      </c>
      <c r="I13" s="165">
        <v>198.84174800000096</v>
      </c>
      <c r="J13" s="165">
        <v>276.28983000000039</v>
      </c>
      <c r="K13" s="165">
        <v>258.50871399999983</v>
      </c>
      <c r="L13" s="165">
        <v>201.00270700000101</v>
      </c>
      <c r="M13" s="165">
        <v>139.25042400000007</v>
      </c>
      <c r="O13" s="165">
        <f>SUM(B13:M13)</f>
        <v>2265.1661010000034</v>
      </c>
    </row>
    <row r="15" spans="1:16">
      <c r="A15" t="s">
        <v>433</v>
      </c>
      <c r="B15" s="165">
        <f>B6-B16</f>
        <v>2080.6089449999999</v>
      </c>
      <c r="C15" s="165">
        <f t="shared" ref="C15:M15" si="4">C6-C16</f>
        <v>1950.6676710000004</v>
      </c>
      <c r="D15" s="165">
        <f t="shared" si="4"/>
        <v>1887.7808580000003</v>
      </c>
      <c r="E15" s="165">
        <f t="shared" si="4"/>
        <v>1919.3742230000005</v>
      </c>
      <c r="F15" s="165">
        <f t="shared" si="4"/>
        <v>1997.14384</v>
      </c>
      <c r="G15" s="165">
        <f t="shared" si="4"/>
        <v>2267.4780559999999</v>
      </c>
      <c r="H15" s="165">
        <f t="shared" si="4"/>
        <v>1822.6825990000002</v>
      </c>
      <c r="I15" s="165">
        <f t="shared" si="4"/>
        <v>2239.1258030000008</v>
      </c>
      <c r="J15" s="165">
        <f t="shared" si="4"/>
        <v>2164.0156540000003</v>
      </c>
      <c r="K15" s="165">
        <f t="shared" si="4"/>
        <v>2275.194767</v>
      </c>
      <c r="L15" s="165">
        <f t="shared" si="4"/>
        <v>2215.3762220000008</v>
      </c>
      <c r="M15" s="165">
        <f t="shared" si="4"/>
        <v>2038.7811379999998</v>
      </c>
      <c r="O15" s="165">
        <f>O8+O9</f>
        <v>24858.229776000004</v>
      </c>
    </row>
    <row r="16" spans="1:16">
      <c r="A16" t="s">
        <v>434</v>
      </c>
      <c r="B16" s="165">
        <v>1471.9290000000001</v>
      </c>
      <c r="C16" s="165">
        <v>1522.923</v>
      </c>
      <c r="D16" s="165">
        <v>1749.423</v>
      </c>
      <c r="E16" s="165">
        <v>1989.164</v>
      </c>
      <c r="F16" s="165">
        <v>1996.7470000000001</v>
      </c>
      <c r="G16" s="165">
        <v>1933.6479999999999</v>
      </c>
      <c r="H16" s="165">
        <v>2223.538</v>
      </c>
      <c r="I16" s="165">
        <v>2048.9380000000001</v>
      </c>
      <c r="J16" s="165">
        <v>1925.7280000000001</v>
      </c>
      <c r="K16" s="165">
        <v>1776.46</v>
      </c>
      <c r="L16" s="165">
        <v>1575.6279999999999</v>
      </c>
      <c r="M16" s="165">
        <v>1507.489</v>
      </c>
      <c r="O16" s="165">
        <f>O6-O15</f>
        <v>1507.4889999999978</v>
      </c>
    </row>
    <row r="17" spans="1:15"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</row>
    <row r="18" spans="1:15">
      <c r="A18" s="138" t="s">
        <v>458</v>
      </c>
    </row>
    <row r="19" spans="1:15">
      <c r="A19" t="s">
        <v>410</v>
      </c>
      <c r="B19" s="165">
        <f>'[3]NASS Crush'!$R$57</f>
        <v>374.74700000000001</v>
      </c>
      <c r="C19" s="165">
        <f>B29</f>
        <v>349.029</v>
      </c>
      <c r="D19" s="165">
        <f t="shared" ref="D19:M19" si="5">C29</f>
        <v>357.435</v>
      </c>
      <c r="E19" s="165">
        <f t="shared" si="5"/>
        <v>384.64100000000002</v>
      </c>
      <c r="F19" s="165">
        <f t="shared" si="5"/>
        <v>366.733</v>
      </c>
      <c r="G19" s="165">
        <f t="shared" si="5"/>
        <v>380.05099999999999</v>
      </c>
      <c r="H19" s="165">
        <f t="shared" si="5"/>
        <v>392.94600000000003</v>
      </c>
      <c r="I19" s="165">
        <f t="shared" si="5"/>
        <v>377.06299999999999</v>
      </c>
      <c r="J19" s="165">
        <f t="shared" si="5"/>
        <v>396.47699999999998</v>
      </c>
      <c r="K19" s="165">
        <f t="shared" si="5"/>
        <v>345.08300000000003</v>
      </c>
      <c r="L19" s="165">
        <f t="shared" si="5"/>
        <v>346.76400000000001</v>
      </c>
      <c r="M19" s="165">
        <f t="shared" si="5"/>
        <v>369.47899999999998</v>
      </c>
      <c r="O19" s="165">
        <f>B19</f>
        <v>374.74700000000001</v>
      </c>
    </row>
    <row r="20" spans="1:15">
      <c r="A20" t="s">
        <v>369</v>
      </c>
      <c r="B20" s="165">
        <v>1566.0029999999999</v>
      </c>
      <c r="C20" s="165">
        <v>1362.3430000000001</v>
      </c>
      <c r="D20" s="165">
        <v>1363.403</v>
      </c>
      <c r="E20" s="165">
        <v>1408.135</v>
      </c>
      <c r="F20" s="165">
        <v>1428.5229999999999</v>
      </c>
      <c r="G20" s="165">
        <v>1596.7380000000001</v>
      </c>
      <c r="H20" s="165">
        <v>1261.415</v>
      </c>
      <c r="I20" s="165">
        <v>1532.758</v>
      </c>
      <c r="J20" s="165">
        <v>1567.576</v>
      </c>
      <c r="K20" s="165">
        <v>1667.5509999999999</v>
      </c>
      <c r="L20" s="165">
        <v>1639.547</v>
      </c>
      <c r="M20" s="165">
        <v>1540.809</v>
      </c>
      <c r="O20" s="165">
        <f>SUM(B20:M20)</f>
        <v>17934.800999999999</v>
      </c>
    </row>
    <row r="21" spans="1:15">
      <c r="A21" t="s">
        <v>386</v>
      </c>
      <c r="B21" s="165">
        <v>28.449639999999999</v>
      </c>
      <c r="C21" s="165">
        <v>22.476571</v>
      </c>
      <c r="D21" s="165">
        <v>32.039928000000003</v>
      </c>
      <c r="E21" s="165">
        <v>27.940895999999999</v>
      </c>
      <c r="F21" s="165">
        <v>22.850432999999999</v>
      </c>
      <c r="G21" s="165">
        <v>20.519131999999999</v>
      </c>
      <c r="H21" s="165">
        <v>11.311056000000001</v>
      </c>
      <c r="I21" s="165">
        <v>17.448608</v>
      </c>
      <c r="J21" s="165">
        <v>19.654464999999998</v>
      </c>
      <c r="K21" s="165">
        <v>24.516276999999999</v>
      </c>
      <c r="L21" s="165">
        <v>20.718418</v>
      </c>
      <c r="M21" s="165">
        <v>17.718229999999998</v>
      </c>
      <c r="O21" s="165">
        <f>SUM(B21:M21)</f>
        <v>265.64365399999997</v>
      </c>
    </row>
    <row r="22" spans="1:15">
      <c r="A22" t="s">
        <v>418</v>
      </c>
      <c r="B22" s="165">
        <f>SUM(B19:B21)</f>
        <v>1969.19964</v>
      </c>
      <c r="C22" s="165">
        <f t="shared" ref="C22:M22" si="6">SUM(C19:C21)</f>
        <v>1733.848571</v>
      </c>
      <c r="D22" s="165">
        <f t="shared" si="6"/>
        <v>1752.8779279999999</v>
      </c>
      <c r="E22" s="165">
        <f t="shared" si="6"/>
        <v>1820.7168960000001</v>
      </c>
      <c r="F22" s="165">
        <f t="shared" si="6"/>
        <v>1818.1064329999999</v>
      </c>
      <c r="G22" s="165">
        <f t="shared" si="6"/>
        <v>1997.3081319999999</v>
      </c>
      <c r="H22" s="165">
        <f t="shared" si="6"/>
        <v>1665.6720559999999</v>
      </c>
      <c r="I22" s="165">
        <f t="shared" si="6"/>
        <v>1927.2696079999998</v>
      </c>
      <c r="J22" s="165">
        <f t="shared" si="6"/>
        <v>1983.707465</v>
      </c>
      <c r="K22" s="165">
        <f t="shared" si="6"/>
        <v>2037.150277</v>
      </c>
      <c r="L22" s="165">
        <f t="shared" si="6"/>
        <v>2007.0294180000001</v>
      </c>
      <c r="M22" s="165">
        <f t="shared" si="6"/>
        <v>1928.00623</v>
      </c>
      <c r="O22" s="165">
        <f>SUM(O19:O21)</f>
        <v>18575.191653999998</v>
      </c>
    </row>
    <row r="23" spans="1:15">
      <c r="A23" t="s">
        <v>422</v>
      </c>
      <c r="B23" s="165">
        <f t="shared" ref="B23:M23" si="7">B24+B25+B27</f>
        <v>1592.859465</v>
      </c>
      <c r="C23" s="165">
        <f t="shared" si="7"/>
        <v>1335.7924</v>
      </c>
      <c r="D23" s="165">
        <f t="shared" si="7"/>
        <v>1323.9190639999997</v>
      </c>
      <c r="E23" s="165">
        <f t="shared" si="7"/>
        <v>1428.1405240000001</v>
      </c>
      <c r="F23" s="165">
        <f t="shared" si="7"/>
        <v>1401.9019599999997</v>
      </c>
      <c r="G23" s="165">
        <f t="shared" si="7"/>
        <v>1571.9941499999998</v>
      </c>
      <c r="H23" s="165">
        <f t="shared" si="7"/>
        <v>1252.2499369999998</v>
      </c>
      <c r="I23" s="165">
        <f t="shared" si="7"/>
        <v>1496.1664569999998</v>
      </c>
      <c r="J23" s="165">
        <f t="shared" si="7"/>
        <v>1613.0768539999999</v>
      </c>
      <c r="K23" s="165">
        <f t="shared" si="7"/>
        <v>1667.9804390000002</v>
      </c>
      <c r="L23" s="165">
        <f t="shared" si="7"/>
        <v>1605.173937</v>
      </c>
      <c r="M23" s="165">
        <f t="shared" si="7"/>
        <v>1555.0853730000001</v>
      </c>
      <c r="O23" s="165">
        <f>SUM(O24:O27)</f>
        <v>18230.005653999997</v>
      </c>
    </row>
    <row r="24" spans="1:15">
      <c r="A24" t="s">
        <v>421</v>
      </c>
      <c r="B24" s="165">
        <f>'Pie Chart Crude Refined'!I5/1000</f>
        <v>487.476</v>
      </c>
      <c r="C24" s="165">
        <f>'Pie Chart Crude Refined'!J5/1000</f>
        <v>387.05700000000002</v>
      </c>
      <c r="D24" s="165">
        <f>'Pie Chart Crude Refined'!K5/1000</f>
        <v>389.01</v>
      </c>
      <c r="E24" s="165">
        <f>'Pie Chart Crude Refined'!L5/1000</f>
        <v>341.89600000000002</v>
      </c>
      <c r="F24" s="165">
        <f>'Pie Chart Crude Refined'!M5/1000</f>
        <v>324.84199999999998</v>
      </c>
      <c r="G24" s="165">
        <f>'Pie Chart Crude Refined'!N5/1000</f>
        <v>401.14699999999999</v>
      </c>
      <c r="H24" s="165">
        <f>'Pie Chart Crude Refined'!O5/1000</f>
        <v>352.13099999999997</v>
      </c>
      <c r="I24" s="165">
        <f>'Pie Chart Crude Refined'!P5/1000</f>
        <v>439.245</v>
      </c>
      <c r="J24" s="165">
        <f>'Pie Chart Crude Refined'!Q5/1000</f>
        <v>453.01900000000001</v>
      </c>
      <c r="K24" s="165">
        <f>'Pie Chart Crude Refined'!R5/1000</f>
        <v>480.80900000000003</v>
      </c>
      <c r="L24" s="165">
        <f>'Pie Chart Crude Refined'!S5/1000</f>
        <v>472.137</v>
      </c>
      <c r="M24" s="165">
        <f>'Pie Chart Crude Refined'!T5/1000</f>
        <v>453.209</v>
      </c>
      <c r="O24" s="165">
        <f>SUM(B24:M24)</f>
        <v>4981.9779999999992</v>
      </c>
    </row>
    <row r="25" spans="1:15">
      <c r="A25" t="s">
        <v>420</v>
      </c>
      <c r="B25" s="165">
        <f>'Pie Chart Crude Refined'!I4/1000</f>
        <v>1137.5160000000001</v>
      </c>
      <c r="C25" s="165">
        <f>'Pie Chart Crude Refined'!J4/1000</f>
        <v>1013.3440000000001</v>
      </c>
      <c r="D25" s="165">
        <f>'Pie Chart Crude Refined'!K4/1000</f>
        <v>1018.05</v>
      </c>
      <c r="E25" s="165">
        <f>'Pie Chart Crude Refined'!L4/1000</f>
        <v>1086.568</v>
      </c>
      <c r="F25" s="165">
        <f>'Pie Chart Crude Refined'!M4/1000</f>
        <v>1085.193</v>
      </c>
      <c r="G25" s="165">
        <f>'Pie Chart Crude Refined'!N4/1000</f>
        <v>1182.3119999999999</v>
      </c>
      <c r="H25" s="165">
        <f>'Pie Chart Crude Refined'!O4/1000</f>
        <v>924.93700000000001</v>
      </c>
      <c r="I25" s="165">
        <f>'Pie Chart Crude Refined'!P4/1000</f>
        <v>1073.8720000000001</v>
      </c>
      <c r="J25" s="165">
        <f>'Pie Chart Crude Refined'!Q4/1000</f>
        <v>1169.175</v>
      </c>
      <c r="K25" s="165">
        <f>'Pie Chart Crude Refined'!R4/1000</f>
        <v>1186.8869999999999</v>
      </c>
      <c r="L25" s="165">
        <f>'Pie Chart Crude Refined'!S4/1000</f>
        <v>1137.884</v>
      </c>
      <c r="M25" s="165">
        <f>'Pie Chart Crude Refined'!T4/1000</f>
        <v>1111.4649999999999</v>
      </c>
      <c r="O25" s="165">
        <f>SUM(B25:M25)</f>
        <v>13127.203</v>
      </c>
    </row>
    <row r="26" spans="1:15">
      <c r="A26" t="s">
        <v>382</v>
      </c>
      <c r="B26" s="165">
        <v>27.311174999999999</v>
      </c>
      <c r="C26" s="165">
        <v>40.621170999999997</v>
      </c>
      <c r="D26" s="165">
        <v>44.317864</v>
      </c>
      <c r="E26" s="165">
        <v>25.843371999999999</v>
      </c>
      <c r="F26" s="165">
        <v>36.153472999999998</v>
      </c>
      <c r="G26" s="165">
        <v>32.367981999999998</v>
      </c>
      <c r="H26" s="165">
        <v>36.359119</v>
      </c>
      <c r="I26" s="165">
        <v>34.626151</v>
      </c>
      <c r="J26" s="165">
        <v>25.547611</v>
      </c>
      <c r="K26" s="165">
        <v>22.405837999999999</v>
      </c>
      <c r="L26" s="165">
        <v>32.376480999999998</v>
      </c>
      <c r="M26" s="165">
        <v>27.734857000000002</v>
      </c>
      <c r="O26" s="165">
        <f>SUM(B26:M26)</f>
        <v>385.66509400000001</v>
      </c>
    </row>
    <row r="27" spans="1:15">
      <c r="A27" t="s">
        <v>459</v>
      </c>
      <c r="B27" s="165">
        <f t="shared" ref="B27:M27" si="8">B28-B26-B25-B24</f>
        <v>-32.132535000000075</v>
      </c>
      <c r="C27" s="165">
        <f t="shared" si="8"/>
        <v>-64.608600000000024</v>
      </c>
      <c r="D27" s="165">
        <f t="shared" si="8"/>
        <v>-83.140936000000238</v>
      </c>
      <c r="E27" s="165">
        <f t="shared" si="8"/>
        <v>-0.32347599999985732</v>
      </c>
      <c r="F27" s="165">
        <f t="shared" si="8"/>
        <v>-8.1330400000000509</v>
      </c>
      <c r="G27" s="165">
        <f t="shared" si="8"/>
        <v>-11.464850000000126</v>
      </c>
      <c r="H27" s="165">
        <f t="shared" si="8"/>
        <v>-24.818063000000166</v>
      </c>
      <c r="I27" s="165">
        <f t="shared" si="8"/>
        <v>-16.950543000000266</v>
      </c>
      <c r="J27" s="165">
        <f t="shared" si="8"/>
        <v>-9.1171460000000479</v>
      </c>
      <c r="K27" s="165">
        <f t="shared" si="8"/>
        <v>0.28443900000019084</v>
      </c>
      <c r="L27" s="165">
        <f t="shared" si="8"/>
        <v>-4.8470629999999915</v>
      </c>
      <c r="M27" s="165">
        <f t="shared" si="8"/>
        <v>-9.5886269999998035</v>
      </c>
      <c r="O27" s="165">
        <f>SUM(B27:M27)</f>
        <v>-264.84044000000046</v>
      </c>
    </row>
    <row r="28" spans="1:15">
      <c r="A28" t="s">
        <v>433</v>
      </c>
      <c r="B28" s="165">
        <f t="shared" ref="B28:M28" si="9">B22-B29</f>
        <v>1620.17064</v>
      </c>
      <c r="C28" s="165">
        <f t="shared" si="9"/>
        <v>1376.413571</v>
      </c>
      <c r="D28" s="165">
        <f t="shared" si="9"/>
        <v>1368.2369279999998</v>
      </c>
      <c r="E28" s="165">
        <f t="shared" si="9"/>
        <v>1453.9838960000002</v>
      </c>
      <c r="F28" s="165">
        <f t="shared" si="9"/>
        <v>1438.055433</v>
      </c>
      <c r="G28" s="165">
        <f t="shared" si="9"/>
        <v>1604.3621319999997</v>
      </c>
      <c r="H28" s="165">
        <f t="shared" si="9"/>
        <v>1288.6090559999998</v>
      </c>
      <c r="I28" s="165">
        <f t="shared" si="9"/>
        <v>1530.7926079999997</v>
      </c>
      <c r="J28" s="165">
        <f t="shared" si="9"/>
        <v>1638.6244649999999</v>
      </c>
      <c r="K28" s="165">
        <f t="shared" si="9"/>
        <v>1690.3862770000001</v>
      </c>
      <c r="L28" s="165">
        <f t="shared" si="9"/>
        <v>1637.550418</v>
      </c>
      <c r="M28" s="165">
        <f t="shared" si="9"/>
        <v>1582.82023</v>
      </c>
      <c r="O28" s="165">
        <f>O26+O23</f>
        <v>18615.670747999997</v>
      </c>
    </row>
    <row r="29" spans="1:15">
      <c r="A29" t="s">
        <v>434</v>
      </c>
      <c r="B29" s="165">
        <v>349.029</v>
      </c>
      <c r="C29" s="165">
        <v>357.435</v>
      </c>
      <c r="D29" s="165">
        <v>384.64100000000002</v>
      </c>
      <c r="E29" s="165">
        <v>366.733</v>
      </c>
      <c r="F29" s="165">
        <v>380.05099999999999</v>
      </c>
      <c r="G29" s="165">
        <v>392.94600000000003</v>
      </c>
      <c r="H29" s="165">
        <v>377.06299999999999</v>
      </c>
      <c r="I29" s="165">
        <v>396.47699999999998</v>
      </c>
      <c r="J29" s="165">
        <v>345.08300000000003</v>
      </c>
      <c r="K29" s="165">
        <v>346.76400000000001</v>
      </c>
      <c r="L29" s="165">
        <v>369.47899999999998</v>
      </c>
      <c r="M29" s="165">
        <v>345.18599999999998</v>
      </c>
      <c r="O29" s="165">
        <f>O22-O28</f>
        <v>-40.47909399999844</v>
      </c>
    </row>
    <row r="30" spans="1:15"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</row>
    <row r="31" spans="1:15"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</row>
    <row r="32" spans="1:15">
      <c r="A32" s="138" t="s">
        <v>460</v>
      </c>
    </row>
    <row r="33" spans="1:15">
      <c r="A33" t="s">
        <v>431</v>
      </c>
      <c r="B33" s="165">
        <f t="shared" ref="B33:M33" si="10">B13+B25</f>
        <v>1227.6207570000001</v>
      </c>
      <c r="C33" s="165">
        <f t="shared" si="10"/>
        <v>1209.0733690000004</v>
      </c>
      <c r="D33" s="165">
        <f t="shared" si="10"/>
        <v>1237.7217880000001</v>
      </c>
      <c r="E33" s="165">
        <f t="shared" si="10"/>
        <v>1334.5705100000005</v>
      </c>
      <c r="F33" s="165">
        <f t="shared" si="10"/>
        <v>1126.453139</v>
      </c>
      <c r="G33" s="165">
        <f t="shared" si="10"/>
        <v>1382.9855259999999</v>
      </c>
      <c r="H33" s="165">
        <f t="shared" si="10"/>
        <v>1120.767589</v>
      </c>
      <c r="I33" s="165">
        <f t="shared" si="10"/>
        <v>1272.713748000001</v>
      </c>
      <c r="J33" s="165">
        <f t="shared" si="10"/>
        <v>1445.4648300000003</v>
      </c>
      <c r="K33" s="165">
        <f t="shared" si="10"/>
        <v>1445.3957139999998</v>
      </c>
      <c r="L33" s="165">
        <f t="shared" si="10"/>
        <v>1338.886707000001</v>
      </c>
      <c r="M33" s="165">
        <f t="shared" si="10"/>
        <v>1250.715424</v>
      </c>
      <c r="O33" s="165">
        <f>O13+O25</f>
        <v>15392.369101000004</v>
      </c>
    </row>
    <row r="34" spans="1:15">
      <c r="A34" t="s">
        <v>461</v>
      </c>
      <c r="B34" s="165">
        <f t="shared" ref="B34:M34" si="11">B12+B24</f>
        <v>597.476</v>
      </c>
      <c r="C34" s="165">
        <f t="shared" si="11"/>
        <v>493.38800000000003</v>
      </c>
      <c r="D34" s="165">
        <f t="shared" si="11"/>
        <v>501.142</v>
      </c>
      <c r="E34" s="165">
        <f t="shared" si="11"/>
        <v>437.36799999999999</v>
      </c>
      <c r="F34" s="165">
        <f t="shared" si="11"/>
        <v>411.30799999999999</v>
      </c>
      <c r="G34" s="165">
        <f t="shared" si="11"/>
        <v>509.04399999999998</v>
      </c>
      <c r="H34" s="165">
        <f t="shared" si="11"/>
        <v>469.55199999999996</v>
      </c>
      <c r="I34" s="165">
        <f t="shared" si="11"/>
        <v>549.245</v>
      </c>
      <c r="J34" s="165">
        <f t="shared" si="11"/>
        <v>563.01900000000001</v>
      </c>
      <c r="K34" s="165">
        <f t="shared" si="11"/>
        <v>597.38599999999997</v>
      </c>
      <c r="L34" s="165">
        <f t="shared" si="11"/>
        <v>591.97699999999998</v>
      </c>
      <c r="M34" s="165">
        <f t="shared" si="11"/>
        <v>588.18100000000004</v>
      </c>
      <c r="O34" s="165">
        <f>O12+O24</f>
        <v>6309.0859999999993</v>
      </c>
    </row>
    <row r="35" spans="1:15">
      <c r="D35" s="1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Charts</vt:lpstr>
      </vt:variant>
      <vt:variant>
        <vt:i4>7</vt:i4>
      </vt:variant>
    </vt:vector>
  </HeadingPairs>
  <TitlesOfParts>
    <vt:vector size="19" baseType="lpstr">
      <vt:lpstr>BD Plant</vt:lpstr>
      <vt:lpstr>BD List (region)</vt:lpstr>
      <vt:lpstr>RD Capacity (Region)</vt:lpstr>
      <vt:lpstr>RD Capacity bob (region)</vt:lpstr>
      <vt:lpstr>Stocks</vt:lpstr>
      <vt:lpstr>SB RBD v Crude</vt:lpstr>
      <vt:lpstr>Soybean Ussage</vt:lpstr>
      <vt:lpstr>Production Loss</vt:lpstr>
      <vt:lpstr>Production Loss 2</vt:lpstr>
      <vt:lpstr>SB Crude-Refined</vt:lpstr>
      <vt:lpstr>Pie Chart Crude Refined</vt:lpstr>
      <vt:lpstr>Sheet1</vt:lpstr>
      <vt:lpstr>RBD vs Crude</vt:lpstr>
      <vt:lpstr>2021-22 Demand</vt:lpstr>
      <vt:lpstr>2019-20 Demand</vt:lpstr>
      <vt:lpstr>2019-20 Breakout Crude</vt:lpstr>
      <vt:lpstr>2021-22 Breakout Crude</vt:lpstr>
      <vt:lpstr>2019-20 Breakout Refined</vt:lpstr>
      <vt:lpstr>2021-22 Breakout Refined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2025-07-17T08:49:59Z</dcterms:created>
  <dcterms:modified xsi:type="dcterms:W3CDTF">2025-07-17T08:50:44Z</dcterms:modified>
</cp:coreProperties>
</file>