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BF5690EE-5FDB-4B68-8BDB-51C2934B8CEB}" xr6:coauthVersionLast="47" xr6:coauthVersionMax="47" xr10:uidLastSave="{00000000-0000-0000-0000-000000000000}"/>
  <bookViews>
    <workbookView xWindow="810" yWindow="360" windowWidth="27240" windowHeight="14550" xr2:uid="{A6763FC6-3F7D-4BEA-9B0F-AE32617802E9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" i="2" l="1"/>
  <c r="L58" i="2"/>
  <c r="K58" i="2"/>
  <c r="J58" i="2"/>
  <c r="I58" i="2"/>
  <c r="H58" i="2"/>
  <c r="G58" i="2"/>
  <c r="F58" i="2"/>
  <c r="E58" i="2"/>
  <c r="D58" i="2"/>
  <c r="C58" i="2"/>
  <c r="B58" i="2"/>
  <c r="M31" i="2"/>
  <c r="L31" i="2"/>
  <c r="K31" i="2"/>
  <c r="J31" i="2"/>
  <c r="I31" i="2"/>
  <c r="H31" i="2"/>
  <c r="G31" i="2"/>
  <c r="F31" i="2"/>
  <c r="E31" i="2"/>
  <c r="D31" i="2"/>
  <c r="C31" i="2"/>
  <c r="B31" i="2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B134" i="1"/>
  <c r="B133" i="1"/>
</calcChain>
</file>

<file path=xl/sharedStrings.xml><?xml version="1.0" encoding="utf-8"?>
<sst xmlns="http://schemas.openxmlformats.org/spreadsheetml/2006/main" count="20" uniqueCount="18">
  <si>
    <t>Days of Coverage</t>
  </si>
  <si>
    <t>Average Futures</t>
  </si>
  <si>
    <t>December Futures Average</t>
  </si>
  <si>
    <t>Contract Year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</si>
  <si>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</si>
  <si>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</si>
  <si>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</si>
  <si>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</si>
  <si>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</si>
  <si>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</si>
  <si>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</si>
  <si>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</si>
  <si>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</si>
  <si>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</si>
  <si>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</si>
  <si>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</si>
  <si>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December Futures High</t>
  </si>
  <si>
    <t>December Futures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</si>
</sst>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\-yy;@"/>
  </numFmts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3" fontId="0" fillId="0" borderId="0" xfId="0" applyNumberFormat="1"/>
    <xf numFmtId="0" fontId="1" fillId="0" borderId="0" xfId="0" applyFont="1"/>
    <xf numFmtId="4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strRef>
                  <c:f>Sheet1!$A$2</c:f>
                  <c:strCache>
                    <c:ptCount val="1"/>
                    <c:pt idx="0">
                      <c:v>Jan-09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{BD306795-4E43-48C5-9CCE-4D94DF8A2005}</c15:txfldGUID>
                      <c15:f>Sheet1!$A$2</c15:f>
                      <c15:dlblFieldTableCache>
                        <c:ptCount val="1"/>
                        <c:pt idx="0">
                          <c:v>Jan-09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51BE-4E38-BCB4-DA22D351D218}"/>
                </c:ext>
              </c:extLst>
            </c:dLbl>
            <c:dLbl>
              <c:idx val="1"/>
              <c:tx>
                <c:strRef>
                  <c:f>Sheet1!$A$3</c:f>
                  <c:strCache>
                    <c:ptCount val="1"/>
                    <c:pt idx="0">
                      <c:v>Feb-09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{9A373F5A-D1B5-472F-A4B5-CB20A96C1A7A}</c15:txfldGUID>
                      <c15:f>Sheet1!$A$3</c15:f>
                      <c15:dlblFieldTableCache>
                        <c:ptCount val="1"/>
                        <c:pt idx="0">
                          <c:v>Feb-09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51BE-4E38-BCB4-DA22D351D218}"/>
                </c:ext>
              </c:extLst>
            </c:dLbl>
            <c:dLbl>
              <c:idx val="2"/>
              <c:tx>
                <c:strRef>
                  <c:f>Sheet1!$A$4</c:f>
                  <c:strCache>
                    <c:ptCount val="1"/>
                    <c:pt idx="0">
                      <c:v>Mar-09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{BA102F55-1166-4EC6-92B1-B3393DF6DDB8}</c15:txfldGUID>
                      <c15:f>Sheet1!$A$4</c15:f>
                      <c15:dlblFieldTableCache>
                        <c:ptCount val="1"/>
                        <c:pt idx="0">
                          <c:v>Mar-09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51BE-4E38-BCB4-DA22D351D218}"/>
                </c:ext>
              </c:extLst>
            </c:dLbl>
            <c:dLbl>
              <c:idx val="3"/>
              <c:tx>
                <c:strRef>
                  <c:f>Sheet1!$A$5</c:f>
                  <c:strCache>
                    <c:ptCount val="1"/>
                    <c:pt idx="0">
                      <c:v>Apr-09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{FE8D12C7-A637-4FE2-AD6B-C9D21037AF19}</c15:txfldGUID>
                      <c15:f>Sheet1!$A$5</c15:f>
                      <c15:dlblFieldTableCache>
                        <c:ptCount val="1"/>
                        <c:pt idx="0">
                          <c:v>Apr-09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51BE-4E38-BCB4-DA22D351D218}"/>
                </c:ext>
              </c:extLst>
            </c:dLbl>
            <c:dLbl>
              <c:idx val="4"/>
              <c:tx>
                <c:strRef>
                  <c:f>Sheet1!$A$6</c:f>
                  <c:strCache>
                    <c:ptCount val="1"/>
                    <c:pt idx="0">
                      <c:v>May-09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{8CCFC53A-F58F-4526-9C42-6FAC92279038}</c15:txfldGUID>
                      <c15:f>Sheet1!$A$6</c15:f>
                      <c15:dlblFieldTableCache>
                        <c:ptCount val="1"/>
                        <c:pt idx="0">
                          <c:v>May-09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1BE-4E38-BCB4-DA22D351D218}"/>
                </c:ext>
              </c:extLst>
            </c:dLbl>
            <c:dLbl>
              <c:idx val="5"/>
              <c:tx>
                <c:strRef>
                  <c:f>Sheet1!$A$7</c:f>
                  <c:strCache>
                    <c:ptCount val="1"/>
                    <c:pt idx="0">
                      <c:v>Jun-09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{30D95D6B-3C05-45B8-9A80-595203E260D6}</c15:txfldGUID>
                      <c15:f>Sheet1!$A$7</c15:f>
                      <c15:dlblFieldTableCache>
                        <c:ptCount val="1"/>
                        <c:pt idx="0">
                          <c:v>Jun-09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51BE-4E38-BCB4-DA22D351D218}"/>
                </c:ext>
              </c:extLst>
            </c:dLbl>
            <c:dLbl>
              <c:idx val="6"/>
              <c:tx>
                <c:strRef>
                  <c:f>Sheet1!$A$8</c:f>
                  <c:strCache>
                    <c:ptCount val="1"/>
                    <c:pt idx="0">
                      <c:v>Jul-09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{73448F14-4AA3-4808-89BE-CD38652D4C31}</c15:txfldGUID>
                      <c15:f>Sheet1!$A$8</c15:f>
                      <c15:dlblFieldTableCache>
                        <c:ptCount val="1"/>
                        <c:pt idx="0">
                          <c:v>Jul-09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1BE-4E38-BCB4-DA22D351D218}"/>
                </c:ext>
              </c:extLst>
            </c:dLbl>
            <c:dLbl>
              <c:idx val="7"/>
              <c:tx>
                <c:strRef>
                  <c:f>Sheet1!$A$9</c:f>
                  <c:strCache>
                    <c:ptCount val="1"/>
                    <c:pt idx="0">
                      <c:v>Aug-09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{CB523EE4-D1AE-4FFE-8179-9B6401C37DF6}</c15:txfldGUID>
                      <c15:f>Sheet1!$A$9</c15:f>
                      <c15:dlblFieldTableCache>
                        <c:ptCount val="1"/>
                        <c:pt idx="0">
                          <c:v>Aug-09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51BE-4E38-BCB4-DA22D351D218}"/>
                </c:ext>
              </c:extLst>
            </c:dLbl>
            <c:dLbl>
              <c:idx val="8"/>
              <c:tx>
                <c:strRef>
                  <c:f>Sheet1!$A$10</c:f>
                  <c:strCache>
                    <c:ptCount val="1"/>
                    <c:pt idx="0">
                      <c:v>Sep-09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{1BDAB950-A39B-4F1A-BEE8-5F82F92772FB}</c15:txfldGUID>
                      <c15:f>Sheet1!$A$10</c15:f>
                      <c15:dlblFieldTableCache>
                        <c:ptCount val="1"/>
                        <c:pt idx="0">
                          <c:v>Sep-09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1BE-4E38-BCB4-DA22D351D218}"/>
                </c:ext>
              </c:extLst>
            </c:dLbl>
            <c:dLbl>
              <c:idx val="9"/>
              <c:tx>
                <c:strRef>
                  <c:f>Sheet1!$A$11</c:f>
                  <c:strCache>
                    <c:ptCount val="1"/>
                    <c:pt idx="0">
                      <c:v>Oct-09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{7CCE7C98-2849-4FE0-B018-85B5565D1269}</c15:txfldGUID>
                      <c15:f>Sheet1!$A$11</c15:f>
                      <c15:dlblFieldTableCache>
                        <c:ptCount val="1"/>
                        <c:pt idx="0">
                          <c:v>Oct-09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51BE-4E38-BCB4-DA22D351D218}"/>
                </c:ext>
              </c:extLst>
            </c:dLbl>
            <c:dLbl>
              <c:idx val="10"/>
              <c:tx>
                <c:strRef>
                  <c:f>Sheet1!$A$12</c:f>
                  <c:strCache>
                    <c:ptCount val="1"/>
                    <c:pt idx="0">
                      <c:v>Nov-09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{7DB06922-289C-4E10-BD72-5BF8809D786F}</c15:txfldGUID>
                      <c15:f>Sheet1!$A$12</c15:f>
                      <c15:dlblFieldTableCache>
                        <c:ptCount val="1"/>
                        <c:pt idx="0">
                          <c:v>Nov-09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1BE-4E38-BCB4-DA22D351D218}"/>
                </c:ext>
              </c:extLst>
            </c:dLbl>
            <c:dLbl>
              <c:idx val="11"/>
              <c:tx>
                <c:strRef>
                  <c:f>Sheet1!$A$13</c:f>
                  <c:strCache>
                    <c:ptCount val="1"/>
                    <c:pt idx="0">
                      <c:v>Dec-09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{0E931388-C894-4CA8-88B0-07C0874F4AB7}</c15:txfldGUID>
                      <c15:f>Sheet1!$A$13</c15:f>
                      <c15:dlblFieldTableCache>
                        <c:ptCount val="1"/>
                        <c:pt idx="0">
                          <c:v>Dec-09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1BE-4E38-BCB4-DA22D351D218}"/>
                </c:ext>
              </c:extLst>
            </c:dLbl>
            <c:dLbl>
              <c:idx val="12"/>
              <c:tx>
                <c:strRef>
                  <c:f>Sheet1!$A$14</c:f>
                  <c:strCache>
                    <c:ptCount val="1"/>
                    <c:pt idx="0">
                      <c:v>Jan-10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{86DCECB8-D09C-47BD-800D-2CF4B78E394E}</c15:txfldGUID>
                      <c15:f>Sheet1!$A$14</c15:f>
                      <c15:dlblFieldTableCache>
                        <c:ptCount val="1"/>
                        <c:pt idx="0">
                          <c:v>Jan-10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1BE-4E38-BCB4-DA22D351D218}"/>
                </c:ext>
              </c:extLst>
            </c:dLbl>
            <c:dLbl>
              <c:idx val="13"/>
              <c:tx>
                <c:strRef>
                  <c:f>Sheet1!$A$15</c:f>
                  <c:strCache>
                    <c:ptCount val="1"/>
                    <c:pt idx="0">
                      <c:v>Feb-10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{499166A5-D83C-46EE-95F2-18B0F9C50B23}</c15:txfldGUID>
                      <c15:f>Sheet1!$A$15</c15:f>
                      <c15:dlblFieldTableCache>
                        <c:ptCount val="1"/>
                        <c:pt idx="0">
                          <c:v>Feb-10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51BE-4E38-BCB4-DA22D351D218}"/>
                </c:ext>
              </c:extLst>
            </c:dLbl>
            <c:dLbl>
              <c:idx val="14"/>
              <c:tx>
                <c:strRef>
                  <c:f>Sheet1!$A$16</c:f>
                  <c:strCache>
                    <c:ptCount val="1"/>
                    <c:pt idx="0">
                      <c:v>Mar-10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{472B926D-92AA-4FD2-8547-742C45F73DBF}</c15:txfldGUID>
                      <c15:f>Sheet1!$A$16</c15:f>
                      <c15:dlblFieldTableCache>
                        <c:ptCount val="1"/>
                        <c:pt idx="0">
                          <c:v>Mar-10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1BE-4E38-BCB4-DA22D351D218}"/>
                </c:ext>
              </c:extLst>
            </c:dLbl>
            <c:dLbl>
              <c:idx val="15"/>
              <c:tx>
                <c:strRef>
                  <c:f>Sheet1!$A$17</c:f>
                  <c:strCache>
                    <c:ptCount val="1"/>
                    <c:pt idx="0">
                      <c:v>Apr-10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{B244FD2A-7AF5-4B49-BB1A-7FA7CC6BEEA4}</c15:txfldGUID>
                      <c15:f>Sheet1!$A$17</c15:f>
                      <c15:dlblFieldTableCache>
                        <c:ptCount val="1"/>
                        <c:pt idx="0">
                          <c:v>Apr-10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51BE-4E38-BCB4-DA22D351D218}"/>
                </c:ext>
              </c:extLst>
            </c:dLbl>
            <c:dLbl>
              <c:idx val="16"/>
              <c:tx>
                <c:strRef>
                  <c:f>Sheet1!$A$18</c:f>
                  <c:strCache>
                    <c:ptCount val="1"/>
                    <c:pt idx="0">
                      <c:v>May-10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{68941313-810B-45EE-8106-5AB5E5AD6C75}</c15:txfldGUID>
                      <c15:f>Sheet1!$A$18</c15:f>
                      <c15:dlblFieldTableCache>
                        <c:ptCount val="1"/>
                        <c:pt idx="0">
                          <c:v>May-10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1BE-4E38-BCB4-DA22D351D218}"/>
                </c:ext>
              </c:extLst>
            </c:dLbl>
            <c:dLbl>
              <c:idx val="17"/>
              <c:tx>
                <c:strRef>
                  <c:f>Sheet1!$A$19</c:f>
                  <c:strCache>
                    <c:ptCount val="1"/>
                    <c:pt idx="0">
                      <c:v>Jun-10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{AB61C280-EDB3-4147-9799-78A149817DA3}</c15:txfldGUID>
                      <c15:f>Sheet1!$A$19</c15:f>
                      <c15:dlblFieldTableCache>
                        <c:ptCount val="1"/>
                        <c:pt idx="0">
                          <c:v>Jun-10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1BE-4E38-BCB4-DA22D351D218}"/>
                </c:ext>
              </c:extLst>
            </c:dLbl>
            <c:dLbl>
              <c:idx val="18"/>
              <c:tx>
                <c:strRef>
                  <c:f>Sheet1!$A$20</c:f>
                  <c:strCache>
                    <c:ptCount val="1"/>
                    <c:pt idx="0">
                      <c:v>Jul-10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{FE79ECF6-ED68-404E-B577-8010370F13B8}</c15:txfldGUID>
                      <c15:f>Sheet1!$A$20</c15:f>
                      <c15:dlblFieldTableCache>
                        <c:ptCount val="1"/>
                        <c:pt idx="0">
                          <c:v>Jul-10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1BE-4E38-BCB4-DA22D351D218}"/>
                </c:ext>
              </c:extLst>
            </c:dLbl>
            <c:dLbl>
              <c:idx val="19"/>
              <c:tx>
                <c:strRef>
                  <c:f>Sheet1!$A$21</c:f>
                  <c:strCache>
                    <c:ptCount val="1"/>
                    <c:pt idx="0">
                      <c:v>Aug-10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{A0D76285-D34A-40A1-B7A0-BF578B83F81A}</c15:txfldGUID>
                      <c15:f>Sheet1!$A$21</c15:f>
                      <c15:dlblFieldTableCache>
                        <c:ptCount val="1"/>
                        <c:pt idx="0">
                          <c:v>Aug-10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51BE-4E38-BCB4-DA22D351D218}"/>
                </c:ext>
              </c:extLst>
            </c:dLbl>
            <c:dLbl>
              <c:idx val="20"/>
              <c:tx>
                <c:strRef>
                  <c:f>Sheet1!$A$22</c:f>
                  <c:strCache>
                    <c:ptCount val="1"/>
                    <c:pt idx="0">
                      <c:v>Sep-10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{B06F70D3-CD6F-452E-8D24-40A0D7B06F1F}</c15:txfldGUID>
                      <c15:f>Sheet1!$A$22</c15:f>
                      <c15:dlblFieldTableCache>
                        <c:ptCount val="1"/>
                        <c:pt idx="0">
                          <c:v>Sep-10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51BE-4E38-BCB4-DA22D351D218}"/>
                </c:ext>
              </c:extLst>
            </c:dLbl>
            <c:dLbl>
              <c:idx val="21"/>
              <c:tx>
                <c:strRef>
                  <c:f>Sheet1!$A$23</c:f>
                  <c:strCache>
                    <c:ptCount val="1"/>
                    <c:pt idx="0">
                      <c:v>Oct-10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{C61AD064-4F45-42F3-A30A-E2E452CAA18B}</c15:txfldGUID>
                      <c15:f>Sheet1!$A$23</c15:f>
                      <c15:dlblFieldTableCache>
                        <c:ptCount val="1"/>
                        <c:pt idx="0">
                          <c:v>Oct-10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51BE-4E38-BCB4-DA22D351D218}"/>
                </c:ext>
              </c:extLst>
            </c:dLbl>
            <c:dLbl>
              <c:idx val="22"/>
              <c:tx>
                <c:strRef>
                  <c:f>Sheet1!$A$24</c:f>
                  <c:strCache>
                    <c:ptCount val="1"/>
                    <c:pt idx="0">
                      <c:v>Nov-10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{4E4A3B96-B39A-4415-AE8C-A2DB8DE68714}</c15:txfldGUID>
                      <c15:f>Sheet1!$A$24</c15:f>
                      <c15:dlblFieldTableCache>
                        <c:ptCount val="1"/>
                        <c:pt idx="0">
                          <c:v>Nov-10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51BE-4E38-BCB4-DA22D351D218}"/>
                </c:ext>
              </c:extLst>
            </c:dLbl>
            <c:dLbl>
              <c:idx val="23"/>
              <c:tx>
                <c:strRef>
                  <c:f>Sheet1!$A$25</c:f>
                  <c:strCache>
                    <c:ptCount val="1"/>
                    <c:pt idx="0">
                      <c:v>Dec-10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{C4FBB696-DDB6-4924-8487-409CCFA81485}</c15:txfldGUID>
                      <c15:f>Sheet1!$A$25</c15:f>
                      <c15:dlblFieldTableCache>
                        <c:ptCount val="1"/>
                        <c:pt idx="0">
                          <c:v>Dec-10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51BE-4E38-BCB4-DA22D351D218}"/>
                </c:ext>
              </c:extLst>
            </c:dLbl>
            <c:dLbl>
              <c:idx val="24"/>
              <c:tx>
                <c:strRef>
                  <c:f>Sheet1!$A$26</c:f>
                  <c:strCache>
                    <c:ptCount val="1"/>
                    <c:pt idx="0">
                      <c:v>Jan-11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{28D17CB8-9A58-4BE3-8F44-60157FB7E28A}</c15:txfldGUID>
                      <c15:f>Sheet1!$A$26</c15:f>
                      <c15:dlblFieldTableCache>
                        <c:ptCount val="1"/>
                        <c:pt idx="0">
                          <c:v>Jan-11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51BE-4E38-BCB4-DA22D351D218}"/>
                </c:ext>
              </c:extLst>
            </c:dLbl>
            <c:dLbl>
              <c:idx val="25"/>
              <c:tx>
                <c:strRef>
                  <c:f>Sheet1!$A$27</c:f>
                  <c:strCache>
                    <c:ptCount val="1"/>
                    <c:pt idx="0">
                      <c:v>Feb-11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{31E6B1AE-9D44-4318-97E7-CDA22F27F923}</c15:txfldGUID>
                      <c15:f>Sheet1!$A$27</c15:f>
                      <c15:dlblFieldTableCache>
                        <c:ptCount val="1"/>
                        <c:pt idx="0">
                          <c:v>Feb-11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51BE-4E38-BCB4-DA22D351D218}"/>
                </c:ext>
              </c:extLst>
            </c:dLbl>
            <c:dLbl>
              <c:idx val="26"/>
              <c:tx>
                <c:strRef>
                  <c:f>Sheet1!$A$28</c:f>
                  <c:strCache>
                    <c:ptCount val="1"/>
                    <c:pt idx="0">
                      <c:v>Mar-11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{620BD797-6B46-430A-98DA-A814FB462329}</c15:txfldGUID>
                      <c15:f>Sheet1!$A$28</c15:f>
                      <c15:dlblFieldTableCache>
                        <c:ptCount val="1"/>
                        <c:pt idx="0">
                          <c:v>Mar-11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51BE-4E38-BCB4-DA22D351D218}"/>
                </c:ext>
              </c:extLst>
            </c:dLbl>
            <c:dLbl>
              <c:idx val="27"/>
              <c:tx>
                <c:strRef>
                  <c:f>Sheet1!$A$29</c:f>
                  <c:strCache>
                    <c:ptCount val="1"/>
                    <c:pt idx="0">
                      <c:v>Apr-11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{17395334-C9A6-4606-B645-927D1231160B}</c15:txfldGUID>
                      <c15:f>Sheet1!$A$29</c15:f>
                      <c15:dlblFieldTableCache>
                        <c:ptCount val="1"/>
                        <c:pt idx="0">
                          <c:v>Apr-11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51BE-4E38-BCB4-DA22D351D218}"/>
                </c:ext>
              </c:extLst>
            </c:dLbl>
            <c:dLbl>
              <c:idx val="28"/>
              <c:tx>
                <c:strRef>
                  <c:f>Sheet1!$A$30</c:f>
                  <c:strCache>
                    <c:ptCount val="1"/>
                    <c:pt idx="0">
                      <c:v>May-11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{220D7156-5614-4150-B52D-4A619681D020}</c15:txfldGUID>
                      <c15:f>Sheet1!$A$30</c15:f>
                      <c15:dlblFieldTableCache>
                        <c:ptCount val="1"/>
                        <c:pt idx="0">
                          <c:v>May-11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51BE-4E38-BCB4-DA22D351D218}"/>
                </c:ext>
              </c:extLst>
            </c:dLbl>
            <c:dLbl>
              <c:idx val="29"/>
              <c:tx>
                <c:strRef>
                  <c:f>Sheet1!$A$31</c:f>
                  <c:strCache>
                    <c:ptCount val="1"/>
                    <c:pt idx="0">
                      <c:v>Jun-11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{507DE135-4371-4AC5-A5B5-B4F887D98858}</c15:txfldGUID>
                      <c15:f>Sheet1!$A$31</c15:f>
                      <c15:dlblFieldTableCache>
                        <c:ptCount val="1"/>
                        <c:pt idx="0">
                          <c:v>Jun-11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51BE-4E38-BCB4-DA22D351D218}"/>
                </c:ext>
              </c:extLst>
            </c:dLbl>
            <c:dLbl>
              <c:idx val="30"/>
              <c:tx>
                <c:strRef>
                  <c:f>Sheet1!$A$32</c:f>
                  <c:strCache>
                    <c:ptCount val="1"/>
                    <c:pt idx="0">
                      <c:v>Jul-11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{442E080C-6958-4094-BE56-0DCED499BC50}</c15:txfldGUID>
                      <c15:f>Sheet1!$A$32</c15:f>
                      <c15:dlblFieldTableCache>
                        <c:ptCount val="1"/>
                        <c:pt idx="0">
                          <c:v>Jul-11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51BE-4E38-BCB4-DA22D351D218}"/>
                </c:ext>
              </c:extLst>
            </c:dLbl>
            <c:dLbl>
              <c:idx val="31"/>
              <c:tx>
                <c:strRef>
                  <c:f>Sheet1!$A$33</c:f>
                  <c:strCache>
                    <c:ptCount val="1"/>
                    <c:pt idx="0">
                      <c:v>Aug-11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{73BBE80B-116D-46EF-A607-FB80BA89A1A4}</c15:txfldGUID>
                      <c15:f>Sheet1!$A$33</c15:f>
                      <c15:dlblFieldTableCache>
                        <c:ptCount val="1"/>
                        <c:pt idx="0">
                          <c:v>Aug-11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51BE-4E38-BCB4-DA22D351D218}"/>
                </c:ext>
              </c:extLst>
            </c:dLbl>
            <c:dLbl>
              <c:idx val="32"/>
              <c:tx>
                <c:strRef>
                  <c:f>Sheet1!$A$34</c:f>
                  <c:strCache>
                    <c:ptCount val="1"/>
                    <c:pt idx="0">
                      <c:v>Sep-11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{31ACA81B-F92B-44CD-A7DD-BEA10F201873}</c15:txfldGUID>
                      <c15:f>Sheet1!$A$34</c15:f>
                      <c15:dlblFieldTableCache>
                        <c:ptCount val="1"/>
                        <c:pt idx="0">
                          <c:v>Sep-11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51BE-4E38-BCB4-DA22D351D218}"/>
                </c:ext>
              </c:extLst>
            </c:dLbl>
            <c:dLbl>
              <c:idx val="33"/>
              <c:tx>
                <c:strRef>
                  <c:f>Sheet1!$A$35</c:f>
                  <c:strCache>
                    <c:ptCount val="1"/>
                    <c:pt idx="0">
                      <c:v>Oct-11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{C4BA6FC3-591B-4A75-8C0F-8FB4EC6546D5}</c15:txfldGUID>
                      <c15:f>Sheet1!$A$35</c15:f>
                      <c15:dlblFieldTableCache>
                        <c:ptCount val="1"/>
                        <c:pt idx="0">
                          <c:v>Oct-11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51BE-4E38-BCB4-DA22D351D218}"/>
                </c:ext>
              </c:extLst>
            </c:dLbl>
            <c:dLbl>
              <c:idx val="34"/>
              <c:tx>
                <c:strRef>
                  <c:f>Sheet1!$A$36</c:f>
                  <c:strCache>
                    <c:ptCount val="1"/>
                    <c:pt idx="0">
                      <c:v>Nov-11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{A9FF84A5-49B3-46F4-BAEF-9A3CE50C5BF4}</c15:txfldGUID>
                      <c15:f>Sheet1!$A$36</c15:f>
                      <c15:dlblFieldTableCache>
                        <c:ptCount val="1"/>
                        <c:pt idx="0">
                          <c:v>Nov-11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51BE-4E38-BCB4-DA22D351D218}"/>
                </c:ext>
              </c:extLst>
            </c:dLbl>
            <c:dLbl>
              <c:idx val="35"/>
              <c:tx>
                <c:strRef>
                  <c:f>Sheet1!$A$37</c:f>
                  <c:strCache>
                    <c:ptCount val="1"/>
                    <c:pt idx="0">
                      <c:v>Dec-11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{B0881F02-9D3E-46E0-926C-19F5309FB33E}</c15:txfldGUID>
                      <c15:f>Sheet1!$A$37</c15:f>
                      <c15:dlblFieldTableCache>
                        <c:ptCount val="1"/>
                        <c:pt idx="0">
                          <c:v>Dec-11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51BE-4E38-BCB4-DA22D351D218}"/>
                </c:ext>
              </c:extLst>
            </c:dLbl>
            <c:dLbl>
              <c:idx val="36"/>
              <c:tx>
                <c:strRef>
                  <c:f>Sheet1!$A$38</c:f>
                  <c:strCache>
                    <c:ptCount val="1"/>
                    <c:pt idx="0">
                      <c:v>Jan-12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{AFA1D0EB-EF39-4BFD-B355-7B4DA2F4D440}</c15:txfldGUID>
                      <c15:f>Sheet1!$A$38</c15:f>
                      <c15:dlblFieldTableCache>
                        <c:ptCount val="1"/>
                        <c:pt idx="0">
                          <c:v>Jan-12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51BE-4E38-BCB4-DA22D351D218}"/>
                </c:ext>
              </c:extLst>
            </c:dLbl>
            <c:dLbl>
              <c:idx val="37"/>
              <c:tx>
                <c:strRef>
                  <c:f>Sheet1!$A$39</c:f>
                  <c:strCache>
                    <c:ptCount val="1"/>
                    <c:pt idx="0">
                      <c:v>Feb-12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{0F01CF72-F01C-4D66-BFDA-38E466C83201}</c15:txfldGUID>
                      <c15:f>Sheet1!$A$39</c15:f>
                      <c15:dlblFieldTableCache>
                        <c:ptCount val="1"/>
                        <c:pt idx="0">
                          <c:v>Feb-12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51BE-4E38-BCB4-DA22D351D218}"/>
                </c:ext>
              </c:extLst>
            </c:dLbl>
            <c:dLbl>
              <c:idx val="38"/>
              <c:tx>
                <c:strRef>
                  <c:f>Sheet1!$A$40</c:f>
                  <c:strCache>
                    <c:ptCount val="1"/>
                    <c:pt idx="0">
                      <c:v>Mar-12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{F2CD8BF8-5A0D-4879-92EF-13CA5CA00526}</c15:txfldGUID>
                      <c15:f>Sheet1!$A$40</c15:f>
                      <c15:dlblFieldTableCache>
                        <c:ptCount val="1"/>
                        <c:pt idx="0">
                          <c:v>Mar-12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51BE-4E38-BCB4-DA22D351D218}"/>
                </c:ext>
              </c:extLst>
            </c:dLbl>
            <c:dLbl>
              <c:idx val="39"/>
              <c:tx>
                <c:strRef>
                  <c:f>Sheet1!$A$41</c:f>
                  <c:strCache>
                    <c:ptCount val="1"/>
                    <c:pt idx="0">
                      <c:v>Apr-12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{C1F368BD-BD4D-45FF-A395-9EA36E6DB8DE}</c15:txfldGUID>
                      <c15:f>Sheet1!$A$41</c15:f>
                      <c15:dlblFieldTableCache>
                        <c:ptCount val="1"/>
                        <c:pt idx="0">
                          <c:v>Apr-12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51BE-4E38-BCB4-DA22D351D218}"/>
                </c:ext>
              </c:extLst>
            </c:dLbl>
            <c:dLbl>
              <c:idx val="40"/>
              <c:tx>
                <c:strRef>
                  <c:f>Sheet1!$A$42</c:f>
                  <c:strCache>
                    <c:ptCount val="1"/>
                    <c:pt idx="0">
                      <c:v>May-12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{4855E77D-D6C3-42E0-9313-D4F0A43D5887}</c15:txfldGUID>
                      <c15:f>Sheet1!$A$42</c15:f>
                      <c15:dlblFieldTableCache>
                        <c:ptCount val="1"/>
                        <c:pt idx="0">
                          <c:v>May-12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51BE-4E38-BCB4-DA22D351D218}"/>
                </c:ext>
              </c:extLst>
            </c:dLbl>
            <c:dLbl>
              <c:idx val="41"/>
              <c:tx>
                <c:strRef>
                  <c:f>Sheet1!$A$43</c:f>
                  <c:strCache>
                    <c:ptCount val="1"/>
                    <c:pt idx="0">
                      <c:v>Jun-12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{0E26B25B-D504-4649-B8BA-D34DB7613CC6}</c15:txfldGUID>
                      <c15:f>Sheet1!$A$43</c15:f>
                      <c15:dlblFieldTableCache>
                        <c:ptCount val="1"/>
                        <c:pt idx="0">
                          <c:v>Jun-12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51BE-4E38-BCB4-DA22D351D218}"/>
                </c:ext>
              </c:extLst>
            </c:dLbl>
            <c:dLbl>
              <c:idx val="42"/>
              <c:tx>
                <c:strRef>
                  <c:f>Sheet1!$A$44</c:f>
                  <c:strCache>
                    <c:ptCount val="1"/>
                    <c:pt idx="0">
                      <c:v>Jul-12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{8F04CFB4-370A-4F64-A565-25EBA8DB905F}</c15:txfldGUID>
                      <c15:f>Sheet1!$A$44</c15:f>
                      <c15:dlblFieldTableCache>
                        <c:ptCount val="1"/>
                        <c:pt idx="0">
                          <c:v>Jul-12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51BE-4E38-BCB4-DA22D351D218}"/>
                </c:ext>
              </c:extLst>
            </c:dLbl>
            <c:dLbl>
              <c:idx val="43"/>
              <c:tx>
                <c:strRef>
                  <c:f>Sheet1!$A$45</c:f>
                  <c:strCache>
                    <c:ptCount val="1"/>
                    <c:pt idx="0">
                      <c:v>Aug-12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{BDA9F6C2-4DC9-4664-8982-86D17835CD8D}</c15:txfldGUID>
                      <c15:f>Sheet1!$A$45</c15:f>
                      <c15:dlblFieldTableCache>
                        <c:ptCount val="1"/>
                        <c:pt idx="0">
                          <c:v>Aug-12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51BE-4E38-BCB4-DA22D351D218}"/>
                </c:ext>
              </c:extLst>
            </c:dLbl>
            <c:dLbl>
              <c:idx val="44"/>
              <c:tx>
                <c:strRef>
                  <c:f>Sheet1!$A$46</c:f>
                  <c:strCache>
                    <c:ptCount val="1"/>
                    <c:pt idx="0">
                      <c:v>Sep-12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{8698D965-3C14-4E9D-8CE9-5D17902AECF9}</c15:txfldGUID>
                      <c15:f>Sheet1!$A$46</c15:f>
                      <c15:dlblFieldTableCache>
                        <c:ptCount val="1"/>
                        <c:pt idx="0">
                          <c:v>Sep-12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51BE-4E38-BCB4-DA22D351D218}"/>
                </c:ext>
              </c:extLst>
            </c:dLbl>
            <c:dLbl>
              <c:idx val="45"/>
              <c:tx>
                <c:strRef>
                  <c:f>Sheet1!$A$47</c:f>
                  <c:strCache>
                    <c:ptCount val="1"/>
                    <c:pt idx="0">
                      <c:v>Oct-12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{C2030248-1E39-4E15-87F1-8AF84FB32BD6}</c15:txfldGUID>
                      <c15:f>Sheet1!$A$47</c15:f>
                      <c15:dlblFieldTableCache>
                        <c:ptCount val="1"/>
                        <c:pt idx="0">
                          <c:v>Oct-12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51BE-4E38-BCB4-DA22D351D218}"/>
                </c:ext>
              </c:extLst>
            </c:dLbl>
            <c:dLbl>
              <c:idx val="46"/>
              <c:tx>
                <c:strRef>
                  <c:f>Sheet1!$A$48</c:f>
                  <c:strCache>
                    <c:ptCount val="1"/>
                    <c:pt idx="0">
                      <c:v>Nov-12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{0CF30878-EA4B-4264-8300-B1005BE3CD54}</c15:txfldGUID>
                      <c15:f>Sheet1!$A$48</c15:f>
                      <c15:dlblFieldTableCache>
                        <c:ptCount val="1"/>
                        <c:pt idx="0">
                          <c:v>Nov-12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51BE-4E38-BCB4-DA22D351D218}"/>
                </c:ext>
              </c:extLst>
            </c:dLbl>
            <c:dLbl>
              <c:idx val="47"/>
              <c:tx>
                <c:strRef>
                  <c:f>Sheet1!$A$49</c:f>
                  <c:strCache>
                    <c:ptCount val="1"/>
                    <c:pt idx="0">
                      <c:v>Dec-12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{42970F31-8E19-496B-B0F0-6B70D7CC71AB}</c15:txfldGUID>
                      <c15:f>Sheet1!$A$49</c15:f>
                      <c15:dlblFieldTableCache>
                        <c:ptCount val="1"/>
                        <c:pt idx="0">
                          <c:v>Dec-12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51BE-4E38-BCB4-DA22D351D218}"/>
                </c:ext>
              </c:extLst>
            </c:dLbl>
            <c:dLbl>
              <c:idx val="48"/>
              <c:tx>
                <c:strRef>
                  <c:f>Sheet1!$A$50</c:f>
                  <c:strCache>
                    <c:ptCount val="1"/>
                    <c:pt idx="0">
                      <c:v>Jan-13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{CE1ABB4E-51A0-41D9-8C19-730A3480481D}</c15:txfldGUID>
                      <c15:f>Sheet1!$A$50</c15:f>
                      <c15:dlblFieldTableCache>
                        <c:ptCount val="1"/>
                        <c:pt idx="0">
                          <c:v>Jan-13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51BE-4E38-BCB4-DA22D351D218}"/>
                </c:ext>
              </c:extLst>
            </c:dLbl>
            <c:dLbl>
              <c:idx val="49"/>
              <c:tx>
                <c:strRef>
                  <c:f>Sheet1!$A$51</c:f>
                  <c:strCache>
                    <c:ptCount val="1"/>
                    <c:pt idx="0">
                      <c:v>Feb-13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{333271C8-AAC9-4E54-9C89-1E19E3ACF63F}</c15:txfldGUID>
                      <c15:f>Sheet1!$A$51</c15:f>
                      <c15:dlblFieldTableCache>
                        <c:ptCount val="1"/>
                        <c:pt idx="0">
                          <c:v>Feb-13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51BE-4E38-BCB4-DA22D351D218}"/>
                </c:ext>
              </c:extLst>
            </c:dLbl>
            <c:dLbl>
              <c:idx val="50"/>
              <c:tx>
                <c:strRef>
                  <c:f>Sheet1!$A$52</c:f>
                  <c:strCache>
                    <c:ptCount val="1"/>
                    <c:pt idx="0">
                      <c:v>Mar-13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{2D3238D3-F641-44C0-B417-A7BD575BD9AC}</c15:txfldGUID>
                      <c15:f>Sheet1!$A$52</c15:f>
                      <c15:dlblFieldTableCache>
                        <c:ptCount val="1"/>
                        <c:pt idx="0">
                          <c:v>Mar-13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51BE-4E38-BCB4-DA22D351D218}"/>
                </c:ext>
              </c:extLst>
            </c:dLbl>
            <c:dLbl>
              <c:idx val="51"/>
              <c:tx>
                <c:strRef>
                  <c:f>Sheet1!$A$53</c:f>
                  <c:strCache>
                    <c:ptCount val="1"/>
                    <c:pt idx="0">
                      <c:v>Apr-13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{09B3AA37-2B48-4BCF-9E91-AEC4329E29BE}</c15:txfldGUID>
                      <c15:f>Sheet1!$A$53</c15:f>
                      <c15:dlblFieldTableCache>
                        <c:ptCount val="1"/>
                        <c:pt idx="0">
                          <c:v>Apr-13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51BE-4E38-BCB4-DA22D351D218}"/>
                </c:ext>
              </c:extLst>
            </c:dLbl>
            <c:dLbl>
              <c:idx val="52"/>
              <c:tx>
                <c:strRef>
                  <c:f>Sheet1!$A$54</c:f>
                  <c:strCache>
                    <c:ptCount val="1"/>
                    <c:pt idx="0">
                      <c:v>May-13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{B6AA2301-0022-4528-A1AC-1D8CD8830965}</c15:txfldGUID>
                      <c15:f>Sheet1!$A$54</c15:f>
                      <c15:dlblFieldTableCache>
                        <c:ptCount val="1"/>
                        <c:pt idx="0">
                          <c:v>May-13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51BE-4E38-BCB4-DA22D351D218}"/>
                </c:ext>
              </c:extLst>
            </c:dLbl>
            <c:dLbl>
              <c:idx val="53"/>
              <c:tx>
                <c:strRef>
                  <c:f>Sheet1!$A$55</c:f>
                  <c:strCache>
                    <c:ptCount val="1"/>
                    <c:pt idx="0">
                      <c:v>Jun-13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{A796057A-777B-423D-AD02-2B3423F2E3DB}</c15:txfldGUID>
                      <c15:f>Sheet1!$A$55</c15:f>
                      <c15:dlblFieldTableCache>
                        <c:ptCount val="1"/>
                        <c:pt idx="0">
                          <c:v>Jun-13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51BE-4E38-BCB4-DA22D351D218}"/>
                </c:ext>
              </c:extLst>
            </c:dLbl>
            <c:dLbl>
              <c:idx val="54"/>
              <c:tx>
                <c:strRef>
                  <c:f>Sheet1!$A$56</c:f>
                  <c:strCache>
                    <c:ptCount val="1"/>
                    <c:pt idx="0">
                      <c:v>Jul-13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{18937A16-4771-4233-889D-D3D39D0A7E9F}</c15:txfldGUID>
                      <c15:f>Sheet1!$A$56</c15:f>
                      <c15:dlblFieldTableCache>
                        <c:ptCount val="1"/>
                        <c:pt idx="0">
                          <c:v>Jul-13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51BE-4E38-BCB4-DA22D351D218}"/>
                </c:ext>
              </c:extLst>
            </c:dLbl>
            <c:dLbl>
              <c:idx val="55"/>
              <c:tx>
                <c:strRef>
                  <c:f>Sheet1!$A$57</c:f>
                  <c:strCache>
                    <c:ptCount val="1"/>
                    <c:pt idx="0">
                      <c:v>Aug-13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{565CA1DC-6A41-497F-8990-967E972D015E}</c15:txfldGUID>
                      <c15:f>Sheet1!$A$57</c15:f>
                      <c15:dlblFieldTableCache>
                        <c:ptCount val="1"/>
                        <c:pt idx="0">
                          <c:v>Aug-13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51BE-4E38-BCB4-DA22D351D218}"/>
                </c:ext>
              </c:extLst>
            </c:dLbl>
            <c:dLbl>
              <c:idx val="56"/>
              <c:tx>
                <c:strRef>
                  <c:f>Sheet1!$A$58</c:f>
                  <c:strCache>
                    <c:ptCount val="1"/>
                    <c:pt idx="0">
                      <c:v>Sep-13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{C8856344-E3A9-48BE-B061-61BD85CA600C}</c15:txfldGUID>
                      <c15:f>Sheet1!$A$58</c15:f>
                      <c15:dlblFieldTableCache>
                        <c:ptCount val="1"/>
                        <c:pt idx="0">
                          <c:v>Sep-13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51BE-4E38-BCB4-DA22D351D218}"/>
                </c:ext>
              </c:extLst>
            </c:dLbl>
            <c:dLbl>
              <c:idx val="57"/>
              <c:tx>
                <c:strRef>
                  <c:f>Sheet1!$A$59</c:f>
                  <c:strCache>
                    <c:ptCount val="1"/>
                    <c:pt idx="0">
                      <c:v>Oct-13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{4A3DE1EF-344E-433B-952D-C77841BA80CC}</c15:txfldGUID>
                      <c15:f>Sheet1!$A$59</c15:f>
                      <c15:dlblFieldTableCache>
                        <c:ptCount val="1"/>
                        <c:pt idx="0">
                          <c:v>Oct-13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51BE-4E38-BCB4-DA22D351D218}"/>
                </c:ext>
              </c:extLst>
            </c:dLbl>
            <c:dLbl>
              <c:idx val="58"/>
              <c:tx>
                <c:strRef>
                  <c:f>Sheet1!$A$60</c:f>
                  <c:strCache>
                    <c:ptCount val="1"/>
                    <c:pt idx="0">
                      <c:v>Nov-13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{B379FFEF-C356-451E-8AEE-AA898319EC56}</c15:txfldGUID>
                      <c15:f>Sheet1!$A$60</c15:f>
                      <c15:dlblFieldTableCache>
                        <c:ptCount val="1"/>
                        <c:pt idx="0">
                          <c:v>Nov-13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51BE-4E38-BCB4-DA22D351D218}"/>
                </c:ext>
              </c:extLst>
            </c:dLbl>
            <c:dLbl>
              <c:idx val="59"/>
              <c:tx>
                <c:strRef>
                  <c:f>Sheet1!$A$61</c:f>
                  <c:strCache>
                    <c:ptCount val="1"/>
                    <c:pt idx="0">
                      <c:v>Dec-13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{AD7F12BC-FA1B-4561-93DA-5A3BF873E992}</c15:txfldGUID>
                      <c15:f>Sheet1!$A$61</c15:f>
                      <c15:dlblFieldTableCache>
                        <c:ptCount val="1"/>
                        <c:pt idx="0">
                          <c:v>Dec-13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51BE-4E38-BCB4-DA22D351D218}"/>
                </c:ext>
              </c:extLst>
            </c:dLbl>
            <c:dLbl>
              <c:idx val="60"/>
              <c:tx>
                <c:strRef>
                  <c:f>Sheet1!$A$62</c:f>
                  <c:strCache>
                    <c:ptCount val="1"/>
                    <c:pt idx="0">
                      <c:v>Jan-14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{3214237A-8C81-435F-BE42-475C8635C611}</c15:txfldGUID>
                      <c15:f>Sheet1!$A$62</c15:f>
                      <c15:dlblFieldTableCache>
                        <c:ptCount val="1"/>
                        <c:pt idx="0">
                          <c:v>Jan-14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51BE-4E38-BCB4-DA22D351D218}"/>
                </c:ext>
              </c:extLst>
            </c:dLbl>
            <c:dLbl>
              <c:idx val="61"/>
              <c:tx>
                <c:strRef>
                  <c:f>Sheet1!$A$63</c:f>
                  <c:strCache>
                    <c:ptCount val="1"/>
                    <c:pt idx="0">
                      <c:v>Feb-14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{BCC2E882-0A46-4C3C-901A-64C619678020}</c15:txfldGUID>
                      <c15:f>Sheet1!$A$63</c15:f>
                      <c15:dlblFieldTableCache>
                        <c:ptCount val="1"/>
                        <c:pt idx="0">
                          <c:v>Feb-14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51BE-4E38-BCB4-DA22D351D218}"/>
                </c:ext>
              </c:extLst>
            </c:dLbl>
            <c:dLbl>
              <c:idx val="62"/>
              <c:tx>
                <c:strRef>
                  <c:f>Sheet1!$A$64</c:f>
                  <c:strCache>
                    <c:ptCount val="1"/>
                    <c:pt idx="0">
                      <c:v>Mar-14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{59C4277E-5693-4D7C-AEDE-876D14D99D91}</c15:txfldGUID>
                      <c15:f>Sheet1!$A$64</c15:f>
                      <c15:dlblFieldTableCache>
                        <c:ptCount val="1"/>
                        <c:pt idx="0">
                          <c:v>Mar-14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51BE-4E38-BCB4-DA22D351D218}"/>
                </c:ext>
              </c:extLst>
            </c:dLbl>
            <c:dLbl>
              <c:idx val="63"/>
              <c:tx>
                <c:strRef>
                  <c:f>Sheet1!$A$65</c:f>
                  <c:strCache>
                    <c:ptCount val="1"/>
                    <c:pt idx="0">
                      <c:v>Apr-14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{F16EB522-9BA9-41C8-B993-D864A958B6E8}</c15:txfldGUID>
                      <c15:f>Sheet1!$A$65</c15:f>
                      <c15:dlblFieldTableCache>
                        <c:ptCount val="1"/>
                        <c:pt idx="0">
                          <c:v>Apr-14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51BE-4E38-BCB4-DA22D351D218}"/>
                </c:ext>
              </c:extLst>
            </c:dLbl>
            <c:dLbl>
              <c:idx val="64"/>
              <c:tx>
                <c:strRef>
                  <c:f>Sheet1!$A$66</c:f>
                  <c:strCache>
                    <c:ptCount val="1"/>
                    <c:pt idx="0">
                      <c:v>May-14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{28745DF9-3C97-4FD8-AE50-82759F564B20}</c15:txfldGUID>
                      <c15:f>Sheet1!$A$66</c15:f>
                      <c15:dlblFieldTableCache>
                        <c:ptCount val="1"/>
                        <c:pt idx="0">
                          <c:v>May-14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51BE-4E38-BCB4-DA22D351D218}"/>
                </c:ext>
              </c:extLst>
            </c:dLbl>
            <c:dLbl>
              <c:idx val="65"/>
              <c:tx>
                <c:strRef>
                  <c:f>Sheet1!$A$67</c:f>
                  <c:strCache>
                    <c:ptCount val="1"/>
                    <c:pt idx="0">
                      <c:v>Jun-14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{2B72AD14-119B-4E7F-B842-81B33F267DFE}</c15:txfldGUID>
                      <c15:f>Sheet1!$A$67</c15:f>
                      <c15:dlblFieldTableCache>
                        <c:ptCount val="1"/>
                        <c:pt idx="0">
                          <c:v>Jun-14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51BE-4E38-BCB4-DA22D351D218}"/>
                </c:ext>
              </c:extLst>
            </c:dLbl>
            <c:dLbl>
              <c:idx val="66"/>
              <c:tx>
                <c:strRef>
                  <c:f>Sheet1!$A$68</c:f>
                  <c:strCache>
                    <c:ptCount val="1"/>
                    <c:pt idx="0">
                      <c:v>Jul-14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{29D7A0FD-752E-48C8-9DEE-AE247290813E}</c15:txfldGUID>
                      <c15:f>Sheet1!$A$68</c15:f>
                      <c15:dlblFieldTableCache>
                        <c:ptCount val="1"/>
                        <c:pt idx="0">
                          <c:v>Jul-14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51BE-4E38-BCB4-DA22D351D218}"/>
                </c:ext>
              </c:extLst>
            </c:dLbl>
            <c:dLbl>
              <c:idx val="67"/>
              <c:tx>
                <c:strRef>
                  <c:f>Sheet1!$A$69</c:f>
                  <c:strCache>
                    <c:ptCount val="1"/>
                    <c:pt idx="0">
                      <c:v>Aug-14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{CE7342B8-1137-4576-AD5F-90D83159420D}</c15:txfldGUID>
                      <c15:f>Sheet1!$A$69</c15:f>
                      <c15:dlblFieldTableCache>
                        <c:ptCount val="1"/>
                        <c:pt idx="0">
                          <c:v>Aug-14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51BE-4E38-BCB4-DA22D351D218}"/>
                </c:ext>
              </c:extLst>
            </c:dLbl>
            <c:dLbl>
              <c:idx val="68"/>
              <c:tx>
                <c:strRef>
                  <c:f>Sheet1!$A$70</c:f>
                  <c:strCache>
                    <c:ptCount val="1"/>
                    <c:pt idx="0">
                      <c:v>Sep-14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{4AF52912-426C-46B5-B578-D2386835C1F3}</c15:txfldGUID>
                      <c15:f>Sheet1!$A$70</c15:f>
                      <c15:dlblFieldTableCache>
                        <c:ptCount val="1"/>
                        <c:pt idx="0">
                          <c:v>Sep-14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51BE-4E38-BCB4-DA22D351D218}"/>
                </c:ext>
              </c:extLst>
            </c:dLbl>
            <c:dLbl>
              <c:idx val="69"/>
              <c:tx>
                <c:strRef>
                  <c:f>Sheet1!$A$71</c:f>
                  <c:strCache>
                    <c:ptCount val="1"/>
                    <c:pt idx="0">
                      <c:v>Oct-14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{E54A93C5-8924-4986-95E7-631803E3DB38}</c15:txfldGUID>
                      <c15:f>Sheet1!$A$71</c15:f>
                      <c15:dlblFieldTableCache>
                        <c:ptCount val="1"/>
                        <c:pt idx="0">
                          <c:v>Oct-14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51BE-4E38-BCB4-DA22D351D218}"/>
                </c:ext>
              </c:extLst>
            </c:dLbl>
            <c:dLbl>
              <c:idx val="70"/>
              <c:tx>
                <c:strRef>
                  <c:f>Sheet1!$A$72</c:f>
                  <c:strCache>
                    <c:ptCount val="1"/>
                    <c:pt idx="0">
                      <c:v>Nov-14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{5605BE84-C019-4C1C-A3EA-922B30649DAA}</c15:txfldGUID>
                      <c15:f>Sheet1!$A$72</c15:f>
                      <c15:dlblFieldTableCache>
                        <c:ptCount val="1"/>
                        <c:pt idx="0">
                          <c:v>Nov-14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51BE-4E38-BCB4-DA22D351D218}"/>
                </c:ext>
              </c:extLst>
            </c:dLbl>
            <c:dLbl>
              <c:idx val="71"/>
              <c:tx>
                <c:strRef>
                  <c:f>Sheet1!$A$73</c:f>
                  <c:strCache>
                    <c:ptCount val="1"/>
                    <c:pt idx="0">
                      <c:v>Dec-14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{5AD21F47-1493-41F5-8E02-74F825C86D0A}</c15:txfldGUID>
                      <c15:f>Sheet1!$A$73</c15:f>
                      <c15:dlblFieldTableCache>
                        <c:ptCount val="1"/>
                        <c:pt idx="0">
                          <c:v>Dec-14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51BE-4E38-BCB4-DA22D351D218}"/>
                </c:ext>
              </c:extLst>
            </c:dLbl>
            <c:dLbl>
              <c:idx val="72"/>
              <c:tx>
                <c:strRef>
                  <c:f>Sheet1!$A$74</c:f>
                  <c:strCache>
                    <c:ptCount val="1"/>
                    <c:pt idx="0">
                      <c:v>Jan-15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{741190CB-BA2B-4CD5-8B6E-59E373EA62C0}</c15:txfldGUID>
                      <c15:f>Sheet1!$A$74</c15:f>
                      <c15:dlblFieldTableCache>
                        <c:ptCount val="1"/>
                        <c:pt idx="0">
                          <c:v>Jan-15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51BE-4E38-BCB4-DA22D351D218}"/>
                </c:ext>
              </c:extLst>
            </c:dLbl>
            <c:dLbl>
              <c:idx val="73"/>
              <c:tx>
                <c:strRef>
                  <c:f>Sheet1!$A$75</c:f>
                  <c:strCache>
                    <c:ptCount val="1"/>
                    <c:pt idx="0">
                      <c:v>Feb-15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{FB26EF99-5227-4BAD-879C-45AF3808C936}</c15:txfldGUID>
                      <c15:f>Sheet1!$A$75</c15:f>
                      <c15:dlblFieldTableCache>
                        <c:ptCount val="1"/>
                        <c:pt idx="0">
                          <c:v>Feb-15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51BE-4E38-BCB4-DA22D351D218}"/>
                </c:ext>
              </c:extLst>
            </c:dLbl>
            <c:dLbl>
              <c:idx val="74"/>
              <c:tx>
                <c:strRef>
                  <c:f>Sheet1!$A$76</c:f>
                  <c:strCache>
                    <c:ptCount val="1"/>
                    <c:pt idx="0">
                      <c:v>Mar-15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{70B4531F-01E7-4271-AB08-18253F79B3D3}</c15:txfldGUID>
                      <c15:f>Sheet1!$A$76</c15:f>
                      <c15:dlblFieldTableCache>
                        <c:ptCount val="1"/>
                        <c:pt idx="0">
                          <c:v>Mar-15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51BE-4E38-BCB4-DA22D351D218}"/>
                </c:ext>
              </c:extLst>
            </c:dLbl>
            <c:dLbl>
              <c:idx val="75"/>
              <c:tx>
                <c:strRef>
                  <c:f>Sheet1!$A$77</c:f>
                  <c:strCache>
                    <c:ptCount val="1"/>
                    <c:pt idx="0">
                      <c:v>Apr-15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{9D2211FC-7A38-43E5-866D-CD8C864BF715}</c15:txfldGUID>
                      <c15:f>Sheet1!$A$77</c15:f>
                      <c15:dlblFieldTableCache>
                        <c:ptCount val="1"/>
                        <c:pt idx="0">
                          <c:v>Apr-15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51BE-4E38-BCB4-DA22D351D218}"/>
                </c:ext>
              </c:extLst>
            </c:dLbl>
            <c:dLbl>
              <c:idx val="76"/>
              <c:tx>
                <c:strRef>
                  <c:f>Sheet1!$A$78</c:f>
                  <c:strCache>
                    <c:ptCount val="1"/>
                    <c:pt idx="0">
                      <c:v>May-15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{E50A3EF7-5987-4400-BF0D-14FFD82EC84D}</c15:txfldGUID>
                      <c15:f>Sheet1!$A$78</c15:f>
                      <c15:dlblFieldTableCache>
                        <c:ptCount val="1"/>
                        <c:pt idx="0">
                          <c:v>May-15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51BE-4E38-BCB4-DA22D351D218}"/>
                </c:ext>
              </c:extLst>
            </c:dLbl>
            <c:dLbl>
              <c:idx val="77"/>
              <c:tx>
                <c:strRef>
                  <c:f>Sheet1!$A$79</c:f>
                  <c:strCache>
                    <c:ptCount val="1"/>
                    <c:pt idx="0">
                      <c:v>Jun-15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{5DD5EF1D-EF4C-4A5E-BC27-4AB0B4896873}</c15:txfldGUID>
                      <c15:f>Sheet1!$A$79</c15:f>
                      <c15:dlblFieldTableCache>
                        <c:ptCount val="1"/>
                        <c:pt idx="0">
                          <c:v>Jun-15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51BE-4E38-BCB4-DA22D351D218}"/>
                </c:ext>
              </c:extLst>
            </c:dLbl>
            <c:dLbl>
              <c:idx val="78"/>
              <c:tx>
                <c:strRef>
                  <c:f>Sheet1!$A$80</c:f>
                  <c:strCache>
                    <c:ptCount val="1"/>
                    <c:pt idx="0">
                      <c:v>Jul-15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{FCD72980-9419-4D3C-BEDA-0A7D0AF38ACB}</c15:txfldGUID>
                      <c15:f>Sheet1!$A$80</c15:f>
                      <c15:dlblFieldTableCache>
                        <c:ptCount val="1"/>
                        <c:pt idx="0">
                          <c:v>Jul-15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51BE-4E38-BCB4-DA22D351D218}"/>
                </c:ext>
              </c:extLst>
            </c:dLbl>
            <c:dLbl>
              <c:idx val="79"/>
              <c:tx>
                <c:strRef>
                  <c:f>Sheet1!$A$81</c:f>
                  <c:strCache>
                    <c:ptCount val="1"/>
                    <c:pt idx="0">
                      <c:v>Aug-15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{8C3F4A46-2852-4C5E-ABF1-FF0BB06FB8C0}</c15:txfldGUID>
                      <c15:f>Sheet1!$A$81</c15:f>
                      <c15:dlblFieldTableCache>
                        <c:ptCount val="1"/>
                        <c:pt idx="0">
                          <c:v>Aug-15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51BE-4E38-BCB4-DA22D351D218}"/>
                </c:ext>
              </c:extLst>
            </c:dLbl>
            <c:dLbl>
              <c:idx val="80"/>
              <c:tx>
                <c:strRef>
                  <c:f>Sheet1!$A$82</c:f>
                  <c:strCache>
                    <c:ptCount val="1"/>
                    <c:pt idx="0">
                      <c:v>Sep-15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{68516F0C-BD63-4FAC-9373-04D7CDEEBC4D}</c15:txfldGUID>
                      <c15:f>Sheet1!$A$82</c15:f>
                      <c15:dlblFieldTableCache>
                        <c:ptCount val="1"/>
                        <c:pt idx="0">
                          <c:v>Sep-15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51BE-4E38-BCB4-DA22D351D218}"/>
                </c:ext>
              </c:extLst>
            </c:dLbl>
            <c:dLbl>
              <c:idx val="81"/>
              <c:tx>
                <c:strRef>
                  <c:f>Sheet1!$A$83</c:f>
                  <c:strCache>
                    <c:ptCount val="1"/>
                    <c:pt idx="0">
                      <c:v>Oct-15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{9319B264-33E2-4F8B-AF69-1E3455A61E07}</c15:txfldGUID>
                      <c15:f>Sheet1!$A$83</c15:f>
                      <c15:dlblFieldTableCache>
                        <c:ptCount val="1"/>
                        <c:pt idx="0">
                          <c:v>Oct-15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51BE-4E38-BCB4-DA22D351D218}"/>
                </c:ext>
              </c:extLst>
            </c:dLbl>
            <c:dLbl>
              <c:idx val="82"/>
              <c:tx>
                <c:strRef>
                  <c:f>Sheet1!$A$84</c:f>
                  <c:strCache>
                    <c:ptCount val="1"/>
                    <c:pt idx="0">
                      <c:v>Nov-15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{8B959064-D65E-4929-974A-A1D288742B3F}</c15:txfldGUID>
                      <c15:f>Sheet1!$A$84</c15:f>
                      <c15:dlblFieldTableCache>
                        <c:ptCount val="1"/>
                        <c:pt idx="0">
                          <c:v>Nov-15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51BE-4E38-BCB4-DA22D351D218}"/>
                </c:ext>
              </c:extLst>
            </c:dLbl>
            <c:dLbl>
              <c:idx val="83"/>
              <c:tx>
                <c:strRef>
                  <c:f>Sheet1!$A$85</c:f>
                  <c:strCache>
                    <c:ptCount val="1"/>
                    <c:pt idx="0">
                      <c:v>Dec-15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{FDD76477-B123-40B1-AE6D-58F062A6394D}</c15:txfldGUID>
                      <c15:f>Sheet1!$A$85</c15:f>
                      <c15:dlblFieldTableCache>
                        <c:ptCount val="1"/>
                        <c:pt idx="0">
                          <c:v>Dec-15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51BE-4E38-BCB4-DA22D351D218}"/>
                </c:ext>
              </c:extLst>
            </c:dLbl>
            <c:dLbl>
              <c:idx val="84"/>
              <c:tx>
                <c:strRef>
                  <c:f>Sheet1!$A$86</c:f>
                  <c:strCache>
                    <c:ptCount val="1"/>
                    <c:pt idx="0">
                      <c:v>Jan-16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{4DDE4FC6-B854-4BD1-B579-199BE0F9DC45}</c15:txfldGUID>
                      <c15:f>Sheet1!$A$86</c15:f>
                      <c15:dlblFieldTableCache>
                        <c:ptCount val="1"/>
                        <c:pt idx="0">
                          <c:v>Jan-16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51BE-4E38-BCB4-DA22D351D218}"/>
                </c:ext>
              </c:extLst>
            </c:dLbl>
            <c:dLbl>
              <c:idx val="85"/>
              <c:tx>
                <c:strRef>
                  <c:f>Sheet1!$A$87</c:f>
                  <c:strCache>
                    <c:ptCount val="1"/>
                    <c:pt idx="0">
                      <c:v>Feb-16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{FAEFAFC9-7ED9-4CB6-BB5B-5356558BAFFA}</c15:txfldGUID>
                      <c15:f>Sheet1!$A$87</c15:f>
                      <c15:dlblFieldTableCache>
                        <c:ptCount val="1"/>
                        <c:pt idx="0">
                          <c:v>Feb-16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51BE-4E38-BCB4-DA22D351D218}"/>
                </c:ext>
              </c:extLst>
            </c:dLbl>
            <c:dLbl>
              <c:idx val="86"/>
              <c:tx>
                <c:strRef>
                  <c:f>Sheet1!$A$88</c:f>
                  <c:strCache>
                    <c:ptCount val="1"/>
                    <c:pt idx="0">
                      <c:v>Mar-16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{25BE6DE6-299C-4CEB-8463-DA3DEBBD2401}</c15:txfldGUID>
                      <c15:f>Sheet1!$A$88</c15:f>
                      <c15:dlblFieldTableCache>
                        <c:ptCount val="1"/>
                        <c:pt idx="0">
                          <c:v>Mar-16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51BE-4E38-BCB4-DA22D351D218}"/>
                </c:ext>
              </c:extLst>
            </c:dLbl>
            <c:dLbl>
              <c:idx val="87"/>
              <c:tx>
                <c:strRef>
                  <c:f>Sheet1!$A$89</c:f>
                  <c:strCache>
                    <c:ptCount val="1"/>
                    <c:pt idx="0">
                      <c:v>Apr-16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{DB06405E-F95A-4B58-B4F5-AC9E12DAADF1}</c15:txfldGUID>
                      <c15:f>Sheet1!$A$89</c15:f>
                      <c15:dlblFieldTableCache>
                        <c:ptCount val="1"/>
                        <c:pt idx="0">
                          <c:v>Apr-16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51BE-4E38-BCB4-DA22D351D218}"/>
                </c:ext>
              </c:extLst>
            </c:dLbl>
            <c:dLbl>
              <c:idx val="88"/>
              <c:tx>
                <c:strRef>
                  <c:f>Sheet1!$A$90</c:f>
                  <c:strCache>
                    <c:ptCount val="1"/>
                    <c:pt idx="0">
                      <c:v>May-16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{F1446473-497B-4B6E-9CAA-5690808791D5}</c15:txfldGUID>
                      <c15:f>Sheet1!$A$90</c15:f>
                      <c15:dlblFieldTableCache>
                        <c:ptCount val="1"/>
                        <c:pt idx="0">
                          <c:v>May-16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51BE-4E38-BCB4-DA22D351D218}"/>
                </c:ext>
              </c:extLst>
            </c:dLbl>
            <c:dLbl>
              <c:idx val="89"/>
              <c:tx>
                <c:strRef>
                  <c:f>Sheet1!$A$91</c:f>
                  <c:strCache>
                    <c:ptCount val="1"/>
                    <c:pt idx="0">
                      <c:v>Jun-16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{FE9745B8-AA6D-4754-A2B7-BC5C63D92D17}</c15:txfldGUID>
                      <c15:f>Sheet1!$A$91</c15:f>
                      <c15:dlblFieldTableCache>
                        <c:ptCount val="1"/>
                        <c:pt idx="0">
                          <c:v>Jun-16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51BE-4E38-BCB4-DA22D351D218}"/>
                </c:ext>
              </c:extLst>
            </c:dLbl>
            <c:dLbl>
              <c:idx val="90"/>
              <c:tx>
                <c:strRef>
                  <c:f>Sheet1!$A$92</c:f>
                  <c:strCache>
                    <c:ptCount val="1"/>
                    <c:pt idx="0">
                      <c:v>Jul-16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{51A30813-8670-4C11-B6A6-DB074D8BE9FC}</c15:txfldGUID>
                      <c15:f>Sheet1!$A$92</c15:f>
                      <c15:dlblFieldTableCache>
                        <c:ptCount val="1"/>
                        <c:pt idx="0">
                          <c:v>Jul-16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51BE-4E38-BCB4-DA22D351D218}"/>
                </c:ext>
              </c:extLst>
            </c:dLbl>
            <c:dLbl>
              <c:idx val="91"/>
              <c:tx>
                <c:strRef>
                  <c:f>Sheet1!$A$93</c:f>
                  <c:strCache>
                    <c:ptCount val="1"/>
                    <c:pt idx="0">
                      <c:v>Aug-16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{E98CBD47-E14B-4427-AC01-AEEDDFF17220}</c15:txfldGUID>
                      <c15:f>Sheet1!$A$93</c15:f>
                      <c15:dlblFieldTableCache>
                        <c:ptCount val="1"/>
                        <c:pt idx="0">
                          <c:v>Aug-16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51BE-4E38-BCB4-DA22D351D218}"/>
                </c:ext>
              </c:extLst>
            </c:dLbl>
            <c:dLbl>
              <c:idx val="92"/>
              <c:tx>
                <c:strRef>
                  <c:f>Sheet1!$A$94</c:f>
                  <c:strCache>
                    <c:ptCount val="1"/>
                    <c:pt idx="0">
                      <c:v>Sep-16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{EB6FC6AA-EA17-4EDB-8170-0D044A5A4BB2}</c15:txfldGUID>
                      <c15:f>Sheet1!$A$94</c15:f>
                      <c15:dlblFieldTableCache>
                        <c:ptCount val="1"/>
                        <c:pt idx="0">
                          <c:v>Sep-16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51BE-4E38-BCB4-DA22D351D218}"/>
                </c:ext>
              </c:extLst>
            </c:dLbl>
            <c:dLbl>
              <c:idx val="93"/>
              <c:tx>
                <c:strRef>
                  <c:f>Sheet1!$A$95</c:f>
                  <c:strCache>
                    <c:ptCount val="1"/>
                    <c:pt idx="0">
                      <c:v>Oct-16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{501CE56A-C27E-43FE-BC38-64E942753D05}</c15:txfldGUID>
                      <c15:f>Sheet1!$A$95</c15:f>
                      <c15:dlblFieldTableCache>
                        <c:ptCount val="1"/>
                        <c:pt idx="0">
                          <c:v>Oct-16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51BE-4E38-BCB4-DA22D351D218}"/>
                </c:ext>
              </c:extLst>
            </c:dLbl>
            <c:dLbl>
              <c:idx val="94"/>
              <c:tx>
                <c:strRef>
                  <c:f>Sheet1!$A$96</c:f>
                  <c:strCache>
                    <c:ptCount val="1"/>
                    <c:pt idx="0">
                      <c:v>Nov-16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{15214C46-CAF2-46BA-B7F2-CA517176B41B}</c15:txfldGUID>
                      <c15:f>Sheet1!$A$96</c15:f>
                      <c15:dlblFieldTableCache>
                        <c:ptCount val="1"/>
                        <c:pt idx="0">
                          <c:v>Nov-16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51BE-4E38-BCB4-DA22D351D218}"/>
                </c:ext>
              </c:extLst>
            </c:dLbl>
            <c:dLbl>
              <c:idx val="95"/>
              <c:tx>
                <c:strRef>
                  <c:f>Sheet1!$A$97</c:f>
                  <c:strCache>
                    <c:ptCount val="1"/>
                    <c:pt idx="0">
                      <c:v>Dec-16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{ECD90B51-0C77-453F-B7E4-CAAD701010D1}</c15:txfldGUID>
                      <c15:f>Sheet1!$A$97</c15:f>
                      <c15:dlblFieldTableCache>
                        <c:ptCount val="1"/>
                        <c:pt idx="0">
                          <c:v>Dec-16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51BE-4E38-BCB4-DA22D351D218}"/>
                </c:ext>
              </c:extLst>
            </c:dLbl>
            <c:dLbl>
              <c:idx val="96"/>
              <c:tx>
                <c:strRef>
                  <c:f>Sheet1!$A$98</c:f>
                  <c:strCache>
                    <c:ptCount val="1"/>
                    <c:pt idx="0">
                      <c:v>Jan-17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{1F1232AB-5CE0-4506-8C72-B009E54AD9CE}</c15:txfldGUID>
                      <c15:f>Sheet1!$A$98</c15:f>
                      <c15:dlblFieldTableCache>
                        <c:ptCount val="1"/>
                        <c:pt idx="0">
                          <c:v>Jan-17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51BE-4E38-BCB4-DA22D351D218}"/>
                </c:ext>
              </c:extLst>
            </c:dLbl>
            <c:dLbl>
              <c:idx val="97"/>
              <c:tx>
                <c:strRef>
                  <c:f>Sheet1!$A$99</c:f>
                  <c:strCache>
                    <c:ptCount val="1"/>
                    <c:pt idx="0">
                      <c:v>Feb-17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{A33480A3-A319-435D-A511-8A1F6B05772F}</c15:txfldGUID>
                      <c15:f>Sheet1!$A$99</c15:f>
                      <c15:dlblFieldTableCache>
                        <c:ptCount val="1"/>
                        <c:pt idx="0">
                          <c:v>Feb-17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51BE-4E38-BCB4-DA22D351D218}"/>
                </c:ext>
              </c:extLst>
            </c:dLbl>
            <c:dLbl>
              <c:idx val="98"/>
              <c:tx>
                <c:strRef>
                  <c:f>Sheet1!$A$100</c:f>
                  <c:strCache>
                    <c:ptCount val="1"/>
                    <c:pt idx="0">
                      <c:v>Mar-17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{F9F3EDF0-4FA5-4B1C-A041-31592E21371C}</c15:txfldGUID>
                      <c15:f>Sheet1!$A$100</c15:f>
                      <c15:dlblFieldTableCache>
                        <c:ptCount val="1"/>
                        <c:pt idx="0">
                          <c:v>Mar-17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51BE-4E38-BCB4-DA22D351D218}"/>
                </c:ext>
              </c:extLst>
            </c:dLbl>
            <c:dLbl>
              <c:idx val="99"/>
              <c:tx>
                <c:strRef>
                  <c:f>Sheet1!$A$101</c:f>
                  <c:strCache>
                    <c:ptCount val="1"/>
                    <c:pt idx="0">
                      <c:v>Apr-17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{C4272B95-767A-405A-B9E5-3F68F379DD3A}</c15:txfldGUID>
                      <c15:f>Sheet1!$A$101</c15:f>
                      <c15:dlblFieldTableCache>
                        <c:ptCount val="1"/>
                        <c:pt idx="0">
                          <c:v>Apr-17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51BE-4E38-BCB4-DA22D351D218}"/>
                </c:ext>
              </c:extLst>
            </c:dLbl>
            <c:dLbl>
              <c:idx val="100"/>
              <c:tx>
                <c:strRef>
                  <c:f>Sheet1!$A$102</c:f>
                  <c:strCache>
                    <c:ptCount val="1"/>
                    <c:pt idx="0">
                      <c:v>May-17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{0F305DFC-88D2-4A05-AFCB-C2E742EE1AAE}</c15:txfldGUID>
                      <c15:f>Sheet1!$A$102</c15:f>
                      <c15:dlblFieldTableCache>
                        <c:ptCount val="1"/>
                        <c:pt idx="0">
                          <c:v>May-17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51BE-4E38-BCB4-DA22D351D218}"/>
                </c:ext>
              </c:extLst>
            </c:dLbl>
            <c:dLbl>
              <c:idx val="101"/>
              <c:tx>
                <c:strRef>
                  <c:f>Sheet1!$A$103</c:f>
                  <c:strCache>
                    <c:ptCount val="1"/>
                    <c:pt idx="0">
                      <c:v>Jun-17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{40E84235-05BA-4FF5-A763-E11179C7E5C6}</c15:txfldGUID>
                      <c15:f>Sheet1!$A$103</c15:f>
                      <c15:dlblFieldTableCache>
                        <c:ptCount val="1"/>
                        <c:pt idx="0">
                          <c:v>Jun-17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51BE-4E38-BCB4-DA22D351D218}"/>
                </c:ext>
              </c:extLst>
            </c:dLbl>
            <c:dLbl>
              <c:idx val="102"/>
              <c:tx>
                <c:strRef>
                  <c:f>Sheet1!$A$104</c:f>
                  <c:strCache>
                    <c:ptCount val="1"/>
                    <c:pt idx="0">
                      <c:v>Jul-17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{19B6CE5D-50B2-4779-84A6-CEF0DC0FB3FA}</c15:txfldGUID>
                      <c15:f>Sheet1!$A$104</c15:f>
                      <c15:dlblFieldTableCache>
                        <c:ptCount val="1"/>
                        <c:pt idx="0">
                          <c:v>Jul-17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51BE-4E38-BCB4-DA22D351D218}"/>
                </c:ext>
              </c:extLst>
            </c:dLbl>
            <c:dLbl>
              <c:idx val="103"/>
              <c:tx>
                <c:strRef>
                  <c:f>Sheet1!$A$105</c:f>
                  <c:strCache>
                    <c:ptCount val="1"/>
                    <c:pt idx="0">
                      <c:v>Aug-17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{DEFF7918-7C3B-4E6A-AB4F-903E48DFF537}</c15:txfldGUID>
                      <c15:f>Sheet1!$A$105</c15:f>
                      <c15:dlblFieldTableCache>
                        <c:ptCount val="1"/>
                        <c:pt idx="0">
                          <c:v>Aug-17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51BE-4E38-BCB4-DA22D351D218}"/>
                </c:ext>
              </c:extLst>
            </c:dLbl>
            <c:dLbl>
              <c:idx val="104"/>
              <c:tx>
                <c:strRef>
                  <c:f>Sheet1!$A$106</c:f>
                  <c:strCache>
                    <c:ptCount val="1"/>
                    <c:pt idx="0">
                      <c:v>Sep-17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{D45E738F-C60F-4DF1-8A49-B2FB8CE23D8D}</c15:txfldGUID>
                      <c15:f>Sheet1!$A$106</c15:f>
                      <c15:dlblFieldTableCache>
                        <c:ptCount val="1"/>
                        <c:pt idx="0">
                          <c:v>Sep-17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51BE-4E38-BCB4-DA22D351D218}"/>
                </c:ext>
              </c:extLst>
            </c:dLbl>
            <c:dLbl>
              <c:idx val="105"/>
              <c:tx>
                <c:strRef>
                  <c:f>Sheet1!$A$107</c:f>
                  <c:strCache>
                    <c:ptCount val="1"/>
                    <c:pt idx="0">
                      <c:v>Oct-17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{B103F662-17AB-452B-91D4-51DE132250D0}</c15:txfldGUID>
                      <c15:f>Sheet1!$A$107</c15:f>
                      <c15:dlblFieldTableCache>
                        <c:ptCount val="1"/>
                        <c:pt idx="0">
                          <c:v>Oct-17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51BE-4E38-BCB4-DA22D351D218}"/>
                </c:ext>
              </c:extLst>
            </c:dLbl>
            <c:dLbl>
              <c:idx val="106"/>
              <c:tx>
                <c:strRef>
                  <c:f>Sheet1!$A$108</c:f>
                  <c:strCache>
                    <c:ptCount val="1"/>
                    <c:pt idx="0">
                      <c:v>Nov-17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{25D485A1-000E-4D9A-8AEA-9AF5973BDF7F}</c15:txfldGUID>
                      <c15:f>Sheet1!$A$108</c15:f>
                      <c15:dlblFieldTableCache>
                        <c:ptCount val="1"/>
                        <c:pt idx="0">
                          <c:v>Nov-17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51BE-4E38-BCB4-DA22D351D218}"/>
                </c:ext>
              </c:extLst>
            </c:dLbl>
            <c:dLbl>
              <c:idx val="107"/>
              <c:tx>
                <c:strRef>
                  <c:f>Sheet1!$A$109</c:f>
                  <c:strCache>
                    <c:ptCount val="1"/>
                    <c:pt idx="0">
                      <c:v>Dec-17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{88189034-7F9A-465C-8832-A18B2BE05C5F}</c15:txfldGUID>
                      <c15:f>Sheet1!$A$109</c15:f>
                      <c15:dlblFieldTableCache>
                        <c:ptCount val="1"/>
                        <c:pt idx="0">
                          <c:v>Dec-17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51BE-4E38-BCB4-DA22D351D218}"/>
                </c:ext>
              </c:extLst>
            </c:dLbl>
            <c:dLbl>
              <c:idx val="108"/>
              <c:tx>
                <c:strRef>
                  <c:f>Sheet1!$A$110</c:f>
                  <c:strCache>
                    <c:ptCount val="1"/>
                    <c:pt idx="0">
                      <c:v>Jan-18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{7D2328BF-0487-4FE2-B9AA-6EA7FA049B12}</c15:txfldGUID>
                      <c15:f>Sheet1!$A$110</c15:f>
                      <c15:dlblFieldTableCache>
                        <c:ptCount val="1"/>
                        <c:pt idx="0">
                          <c:v>Jan-18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51BE-4E38-BCB4-DA22D351D218}"/>
                </c:ext>
              </c:extLst>
            </c:dLbl>
            <c:dLbl>
              <c:idx val="109"/>
              <c:tx>
                <c:strRef>
                  <c:f>Sheet1!$A$111</c:f>
                  <c:strCache>
                    <c:ptCount val="1"/>
                    <c:pt idx="0">
                      <c:v>Feb-18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{442D86E2-9655-47B0-A3EC-7A9CF44824F1}</c15:txfldGUID>
                      <c15:f>Sheet1!$A$111</c15:f>
                      <c15:dlblFieldTableCache>
                        <c:ptCount val="1"/>
                        <c:pt idx="0">
                          <c:v>Feb-18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51BE-4E38-BCB4-DA22D351D218}"/>
                </c:ext>
              </c:extLst>
            </c:dLbl>
            <c:dLbl>
              <c:idx val="110"/>
              <c:tx>
                <c:strRef>
                  <c:f>Sheet1!$A$112</c:f>
                  <c:strCache>
                    <c:ptCount val="1"/>
                    <c:pt idx="0">
                      <c:v>Mar-18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{25AEB42B-1D85-47CB-ADF0-15BF2CC079F1}</c15:txfldGUID>
                      <c15:f>Sheet1!$A$112</c15:f>
                      <c15:dlblFieldTableCache>
                        <c:ptCount val="1"/>
                        <c:pt idx="0">
                          <c:v>Mar-18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51BE-4E38-BCB4-DA22D351D218}"/>
                </c:ext>
              </c:extLst>
            </c:dLbl>
            <c:dLbl>
              <c:idx val="111"/>
              <c:tx>
                <c:strRef>
                  <c:f>Sheet1!$A$113</c:f>
                  <c:strCache>
                    <c:ptCount val="1"/>
                    <c:pt idx="0">
                      <c:v>Apr-18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{D9990718-F45D-4063-A22B-368D8892099E}</c15:txfldGUID>
                      <c15:f>Sheet1!$A$113</c15:f>
                      <c15:dlblFieldTableCache>
                        <c:ptCount val="1"/>
                        <c:pt idx="0">
                          <c:v>Apr-18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51BE-4E38-BCB4-DA22D351D218}"/>
                </c:ext>
              </c:extLst>
            </c:dLbl>
            <c:dLbl>
              <c:idx val="112"/>
              <c:tx>
                <c:strRef>
                  <c:f>Sheet1!$A$114</c:f>
                  <c:strCache>
                    <c:ptCount val="1"/>
                    <c:pt idx="0">
                      <c:v>May-18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{C6C04CD8-9BBD-48CD-BA17-51BB6D5AF5BC}</c15:txfldGUID>
                      <c15:f>Sheet1!$A$114</c15:f>
                      <c15:dlblFieldTableCache>
                        <c:ptCount val="1"/>
                        <c:pt idx="0">
                          <c:v>May-18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51BE-4E38-BCB4-DA22D351D218}"/>
                </c:ext>
              </c:extLst>
            </c:dLbl>
            <c:dLbl>
              <c:idx val="113"/>
              <c:tx>
                <c:strRef>
                  <c:f>Sheet1!$A$115</c:f>
                  <c:strCache>
                    <c:ptCount val="1"/>
                    <c:pt idx="0">
                      <c:v>Jun-18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{1909047D-87C2-4C57-913B-2A4ED2B8D98A}</c15:txfldGUID>
                      <c15:f>Sheet1!$A$115</c15:f>
                      <c15:dlblFieldTableCache>
                        <c:ptCount val="1"/>
                        <c:pt idx="0">
                          <c:v>Jun-18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51BE-4E38-BCB4-DA22D351D218}"/>
                </c:ext>
              </c:extLst>
            </c:dLbl>
            <c:dLbl>
              <c:idx val="114"/>
              <c:tx>
                <c:strRef>
                  <c:f>Sheet1!$A$116</c:f>
                  <c:strCache>
                    <c:ptCount val="1"/>
                    <c:pt idx="0">
                      <c:v>Jul-18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{A97ADAB9-27DC-4884-BDFB-94EA6B6E04A5}</c15:txfldGUID>
                      <c15:f>Sheet1!$A$116</c15:f>
                      <c15:dlblFieldTableCache>
                        <c:ptCount val="1"/>
                        <c:pt idx="0">
                          <c:v>Jul-18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51BE-4E38-BCB4-DA22D351D218}"/>
                </c:ext>
              </c:extLst>
            </c:dLbl>
            <c:dLbl>
              <c:idx val="115"/>
              <c:tx>
                <c:strRef>
                  <c:f>Sheet1!$A$117</c:f>
                  <c:strCache>
                    <c:ptCount val="1"/>
                    <c:pt idx="0">
                      <c:v>Aug-18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{52216CED-30CD-4807-90D5-F938FDABF72F}</c15:txfldGUID>
                      <c15:f>Sheet1!$A$117</c15:f>
                      <c15:dlblFieldTableCache>
                        <c:ptCount val="1"/>
                        <c:pt idx="0">
                          <c:v>Aug-18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3-51BE-4E38-BCB4-DA22D351D218}"/>
                </c:ext>
              </c:extLst>
            </c:dLbl>
            <c:dLbl>
              <c:idx val="116"/>
              <c:tx>
                <c:strRef>
                  <c:f>Sheet1!$A$118</c:f>
                  <c:strCache>
                    <c:ptCount val="1"/>
                    <c:pt idx="0">
                      <c:v>Sep-18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{D8293729-A398-42EE-9E8F-3310F2742239}</c15:txfldGUID>
                      <c15:f>Sheet1!$A$118</c15:f>
                      <c15:dlblFieldTableCache>
                        <c:ptCount val="1"/>
                        <c:pt idx="0">
                          <c:v>Sep-18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51BE-4E38-BCB4-DA22D351D218}"/>
                </c:ext>
              </c:extLst>
            </c:dLbl>
            <c:dLbl>
              <c:idx val="117"/>
              <c:tx>
                <c:strRef>
                  <c:f>Sheet1!$A$119</c:f>
                  <c:strCache>
                    <c:ptCount val="1"/>
                    <c:pt idx="0">
                      <c:v>Oct-18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{4A341998-D7A7-4F57-88BB-371955A1A641}</c15:txfldGUID>
                      <c15:f>Sheet1!$A$119</c15:f>
                      <c15:dlblFieldTableCache>
                        <c:ptCount val="1"/>
                        <c:pt idx="0">
                          <c:v>Oct-18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51BE-4E38-BCB4-DA22D351D218}"/>
                </c:ext>
              </c:extLst>
            </c:dLbl>
            <c:dLbl>
              <c:idx val="118"/>
              <c:tx>
                <c:strRef>
                  <c:f>Sheet1!$A$120</c:f>
                  <c:strCache>
                    <c:ptCount val="1"/>
                    <c:pt idx="0">
                      <c:v>Nov-18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{DA5C0CFA-BEEE-4BDC-AADB-A7D015AC9940}</c15:txfldGUID>
                      <c15:f>Sheet1!$A$120</c15:f>
                      <c15:dlblFieldTableCache>
                        <c:ptCount val="1"/>
                        <c:pt idx="0">
                          <c:v>Nov-18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51BE-4E38-BCB4-DA22D351D218}"/>
                </c:ext>
              </c:extLst>
            </c:dLbl>
            <c:dLbl>
              <c:idx val="119"/>
              <c:tx>
                <c:strRef>
                  <c:f>Sheet1!$A$121</c:f>
                  <c:strCache>
                    <c:ptCount val="1"/>
                    <c:pt idx="0">
                      <c:v>Dec-18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{C33D201A-805C-4820-BED2-A0D131B4DB5F}</c15:txfldGUID>
                      <c15:f>Sheet1!$A$121</c15:f>
                      <c15:dlblFieldTableCache>
                        <c:ptCount val="1"/>
                        <c:pt idx="0">
                          <c:v>Dec-18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51BE-4E38-BCB4-DA22D351D218}"/>
                </c:ext>
              </c:extLst>
            </c:dLbl>
            <c:dLbl>
              <c:idx val="120"/>
              <c:tx>
                <c:strRef>
                  <c:f>Sheet1!$A$122</c:f>
                  <c:strCache>
                    <c:ptCount val="1"/>
                    <c:pt idx="0">
                      <c:v>Jan-19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{ACEA2019-FAB9-4462-B7B4-E3558A63A641}</c15:txfldGUID>
                      <c15:f>Sheet1!$A$122</c15:f>
                      <c15:dlblFieldTableCache>
                        <c:ptCount val="1"/>
                        <c:pt idx="0">
                          <c:v>Jan-19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51BE-4E38-BCB4-DA22D351D218}"/>
                </c:ext>
              </c:extLst>
            </c:dLbl>
            <c:dLbl>
              <c:idx val="121"/>
              <c:tx>
                <c:strRef>
                  <c:f>Sheet1!$A$123</c:f>
                  <c:strCache>
                    <c:ptCount val="1"/>
                    <c:pt idx="0">
                      <c:v>Feb-19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{A5AF4B76-9B73-4B85-BBA2-5D436EFCCB49}</c15:txfldGUID>
                      <c15:f>Sheet1!$A$123</c15:f>
                      <c15:dlblFieldTableCache>
                        <c:ptCount val="1"/>
                        <c:pt idx="0">
                          <c:v>Feb-19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51BE-4E38-BCB4-DA22D351D218}"/>
                </c:ext>
              </c:extLst>
            </c:dLbl>
            <c:dLbl>
              <c:idx val="122"/>
              <c:tx>
                <c:strRef>
                  <c:f>Sheet1!$A$124</c:f>
                  <c:strCache>
                    <c:ptCount val="1"/>
                    <c:pt idx="0">
                      <c:v>Mar-19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{751F7D49-483A-4477-B42C-6BA61844FDDA}</c15:txfldGUID>
                      <c15:f>Sheet1!$A$124</c15:f>
                      <c15:dlblFieldTableCache>
                        <c:ptCount val="1"/>
                        <c:pt idx="0">
                          <c:v>Mar-19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51BE-4E38-BCB4-DA22D351D218}"/>
                </c:ext>
              </c:extLst>
            </c:dLbl>
            <c:dLbl>
              <c:idx val="123"/>
              <c:tx>
                <c:strRef>
                  <c:f>Sheet1!$A$125</c:f>
                  <c:strCache>
                    <c:ptCount val="1"/>
                    <c:pt idx="0">
                      <c:v>Apr-19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{A56707EF-4E51-4AFE-93EF-CC59F3BCDAAE}</c15:txfldGUID>
                      <c15:f>Sheet1!$A$125</c15:f>
                      <c15:dlblFieldTableCache>
                        <c:ptCount val="1"/>
                        <c:pt idx="0">
                          <c:v>Apr-19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51BE-4E38-BCB4-DA22D351D218}"/>
                </c:ext>
              </c:extLst>
            </c:dLbl>
            <c:dLbl>
              <c:idx val="124"/>
              <c:tx>
                <c:strRef>
                  <c:f>Sheet1!$A$126</c:f>
                  <c:strCache>
                    <c:ptCount val="1"/>
                    <c:pt idx="0">
                      <c:v>May-19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{F1499DB3-29C1-4F47-8B41-E66D15E736D4}</c15:txfldGUID>
                      <c15:f>Sheet1!$A$126</c15:f>
                      <c15:dlblFieldTableCache>
                        <c:ptCount val="1"/>
                        <c:pt idx="0">
                          <c:v>May-19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51BE-4E38-BCB4-DA22D351D218}"/>
                </c:ext>
              </c:extLst>
            </c:dLbl>
            <c:dLbl>
              <c:idx val="125"/>
              <c:tx>
                <c:strRef>
                  <c:f>Sheet1!$A$127</c:f>
                  <c:strCache>
                    <c:ptCount val="1"/>
                    <c:pt idx="0">
                      <c:v>Jun-19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{8658D515-7B8D-40CF-BC1A-A519C40D4E2C}</c15:txfldGUID>
                      <c15:f>Sheet1!$A$127</c15:f>
                      <c15:dlblFieldTableCache>
                        <c:ptCount val="1"/>
                        <c:pt idx="0">
                          <c:v>Jun-19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51BE-4E38-BCB4-DA22D351D218}"/>
                </c:ext>
              </c:extLst>
            </c:dLbl>
            <c:dLbl>
              <c:idx val="126"/>
              <c:tx>
                <c:strRef>
                  <c:f>Sheet1!$A$128</c:f>
                  <c:strCache>
                    <c:ptCount val="1"/>
                    <c:pt idx="0">
                      <c:v>Jul-19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{FA0B3409-FBBD-4C4A-A8AC-38A778BBB472}</c15:txfldGUID>
                      <c15:f>Sheet1!$A$128</c15:f>
                      <c15:dlblFieldTableCache>
                        <c:ptCount val="1"/>
                        <c:pt idx="0">
                          <c:v>Jul-19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51BE-4E38-BCB4-DA22D351D218}"/>
                </c:ext>
              </c:extLst>
            </c:dLbl>
            <c:dLbl>
              <c:idx val="127"/>
              <c:tx>
                <c:strRef>
                  <c:f>Sheet1!$A$129</c:f>
                  <c:strCache>
                    <c:ptCount val="1"/>
                    <c:pt idx="0">
                      <c:v>Aug-19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{8AC12752-1C9E-45A2-AD06-76A74BD856FD}</c15:txfldGUID>
                      <c15:f>Sheet1!$A$129</c15:f>
                      <c15:dlblFieldTableCache>
                        <c:ptCount val="1"/>
                        <c:pt idx="0">
                          <c:v>Aug-19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51BE-4E38-BCB4-DA22D351D218}"/>
                </c:ext>
              </c:extLst>
            </c:dLbl>
            <c:dLbl>
              <c:idx val="128"/>
              <c:tx>
                <c:strRef>
                  <c:f>Sheet1!$A$130</c:f>
                  <c:strCache>
                    <c:ptCount val="1"/>
                    <c:pt idx="0">
                      <c:v>Sep-19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{07B9EC87-1DE2-456F-8950-2096E57FD35B}</c15:txfldGUID>
                      <c15:f>Sheet1!$A$130</c15:f>
                      <c15:dlblFieldTableCache>
                        <c:ptCount val="1"/>
                        <c:pt idx="0">
                          <c:v>Sep-19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51BE-4E38-BCB4-DA22D351D218}"/>
                </c:ext>
              </c:extLst>
            </c:dLbl>
            <c:dLbl>
              <c:idx val="129"/>
              <c:tx>
                <c:strRef>
                  <c:f>Sheet1!$A$131</c:f>
                  <c:strCache>
                    <c:ptCount val="1"/>
                    <c:pt idx="0">
                      <c:v>Oct-19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{3A9271DC-ADCF-4291-AA7B-7050374FD8A8}</c15:txfldGUID>
                      <c15:f>Sheet1!$A$131</c15:f>
                      <c15:dlblFieldTableCache>
                        <c:ptCount val="1"/>
                        <c:pt idx="0">
                          <c:v>Oct-19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51BE-4E38-BCB4-DA22D351D218}"/>
                </c:ext>
              </c:extLst>
            </c:dLbl>
            <c:dLbl>
              <c:idx val="130"/>
              <c:tx>
                <c:strRef>
                  <c:f>Sheet1!$A$132</c:f>
                  <c:strCache>
                    <c:ptCount val="1"/>
                    <c:pt idx="0">
                      <c:v>Nov-19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{95384681-D8CA-4C80-828B-13DBC370206B}</c15:txfldGUID>
                      <c15:f>Sheet1!$A$132</c15:f>
                      <c15:dlblFieldTableCache>
                        <c:ptCount val="1"/>
                        <c:pt idx="0">
                          <c:v>Nov-19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51BE-4E38-BCB4-DA22D351D218}"/>
                </c:ext>
              </c:extLst>
            </c:dLbl>
            <c:dLbl>
              <c:idx val="131"/>
              <c:tx>
                <c:strRef>
                  <c:f>Sheet1!$A$133</c:f>
                  <c:strCache>
                    <c:ptCount val="1"/>
                    <c:pt idx="0">
                      <c:v>Dec-19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{99C113C3-7BD4-4ABC-B817-74885B4A0CEB}</c15:txfldGUID>
                      <c15:f>Sheet1!$A$133</c15:f>
                      <c15:dlblFieldTableCache>
                        <c:ptCount val="1"/>
                        <c:pt idx="0">
                          <c:v>Dec-19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51BE-4E38-BCB4-DA22D351D218}"/>
                </c:ext>
              </c:extLst>
            </c:dLbl>
            <c:dLbl>
              <c:idx val="132"/>
              <c:tx>
                <c:strRef>
                  <c:f>Sheet1!$A$134</c:f>
                  <c:strCache>
                    <c:ptCount val="1"/>
                    <c:pt idx="0">
                      <c:v>Jan-20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{79C93905-9A2B-41E7-B0A2-3FEC499D63C9}</c15:txfldGUID>
                      <c15:f>Sheet1!$A$134</c15:f>
                      <c15:dlblFieldTableCache>
                        <c:ptCount val="1"/>
                        <c:pt idx="0">
                          <c:v>Jan-20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51BE-4E38-BCB4-DA22D351D218}"/>
                </c:ext>
              </c:extLst>
            </c:dLbl>
            <c:dLbl>
              <c:idx val="133"/>
              <c:tx>
                <c:strRef>
                  <c:f>Sheet1!$A$135</c:f>
                  <c:strCache>
                    <c:ptCount val="1"/>
                    <c:pt idx="0">
                      <c:v>Feb-20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{B462B062-1E2C-4338-AF5F-20F166284BDF}</c15:txfldGUID>
                      <c15:f>Sheet1!$A$135</c15:f>
                      <c15:dlblFieldTableCache>
                        <c:ptCount val="1"/>
                        <c:pt idx="0">
                          <c:v>Feb-20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51BE-4E38-BCB4-DA22D351D218}"/>
                </c:ext>
              </c:extLst>
            </c:dLbl>
            <c:dLbl>
              <c:idx val="134"/>
              <c:tx>
                <c:strRef>
                  <c:f>Sheet1!$A$136</c:f>
                  <c:strCache>
                    <c:ptCount val="1"/>
                    <c:pt idx="0">
                      <c:v>Mar-20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{1F28A51D-3E93-4039-A0D9-384ED94CE19A}</c15:txfldGUID>
                      <c15:f>Sheet1!$A$136</c15:f>
                      <c15:dlblFieldTableCache>
                        <c:ptCount val="1"/>
                        <c:pt idx="0">
                          <c:v>Mar-20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51BE-4E38-BCB4-DA22D351D218}"/>
                </c:ext>
              </c:extLst>
            </c:dLbl>
            <c:dLbl>
              <c:idx val="135"/>
              <c:tx>
                <c:strRef>
                  <c:f>Sheet1!$A$137</c:f>
                  <c:strCache>
                    <c:ptCount val="1"/>
                    <c:pt idx="0">
                      <c:v>Apr-20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{36C0C55B-795D-4F3E-9EDC-4B0DA13994E0}</c15:txfldGUID>
                      <c15:f>Sheet1!$A$137</c15:f>
                      <c15:dlblFieldTableCache>
                        <c:ptCount val="1"/>
                        <c:pt idx="0">
                          <c:v>Apr-20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51BE-4E38-BCB4-DA22D351D218}"/>
                </c:ext>
              </c:extLst>
            </c:dLbl>
            <c:dLbl>
              <c:idx val="136"/>
              <c:tx>
                <c:strRef>
                  <c:f>Sheet1!$A$138</c:f>
                  <c:strCache>
                    <c:ptCount val="1"/>
                    <c:pt idx="0">
                      <c:v>May-20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{427C6DFD-AF14-4BC4-9ED2-DD8B2E72A398}</c15:txfldGUID>
                      <c15:f>Sheet1!$A$138</c15:f>
                      <c15:dlblFieldTableCache>
                        <c:ptCount val="1"/>
                        <c:pt idx="0">
                          <c:v>May-20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51BE-4E38-BCB4-DA22D351D218}"/>
                </c:ext>
              </c:extLst>
            </c:dLbl>
            <c:dLbl>
              <c:idx val="137"/>
              <c:tx>
                <c:strRef>
                  <c:f>Sheet1!$A$139</c:f>
                  <c:strCache>
                    <c:ptCount val="1"/>
                    <c:pt idx="0">
                      <c:v>Jun-20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{9048174E-40A3-41DC-B8C9-23862BFA0B90}</c15:txfldGUID>
                      <c15:f>Sheet1!$A$139</c15:f>
                      <c15:dlblFieldTableCache>
                        <c:ptCount val="1"/>
                        <c:pt idx="0">
                          <c:v>Jun-20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51BE-4E38-BCB4-DA22D351D218}"/>
                </c:ext>
              </c:extLst>
            </c:dLbl>
            <c:dLbl>
              <c:idx val="138"/>
              <c:tx>
                <c:strRef>
                  <c:f>Sheet1!$A$140</c:f>
                  <c:strCache>
                    <c:ptCount val="1"/>
                    <c:pt idx="0">
                      <c:v>Jul-20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{2206BF6A-85B9-4A50-8DB5-CA3125EE8CB5}</c15:txfldGUID>
                      <c15:f>Sheet1!$A$140</c15:f>
                      <c15:dlblFieldTableCache>
                        <c:ptCount val="1"/>
                        <c:pt idx="0">
                          <c:v>Jul-20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51BE-4E38-BCB4-DA22D351D218}"/>
                </c:ext>
              </c:extLst>
            </c:dLbl>
            <c:dLbl>
              <c:idx val="139"/>
              <c:tx>
                <c:strRef>
                  <c:f>Sheet1!$A$141</c:f>
                  <c:strCache>
                    <c:ptCount val="1"/>
                    <c:pt idx="0">
                      <c:v>Aug-20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{C4F65323-FF72-4D38-8EA3-7A531316E747}</c15:txfldGUID>
                      <c15:f>Sheet1!$A$141</c15:f>
                      <c15:dlblFieldTableCache>
                        <c:ptCount val="1"/>
                        <c:pt idx="0">
                          <c:v>Aug-20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51BE-4E38-BCB4-DA22D351D218}"/>
                </c:ext>
              </c:extLst>
            </c:dLbl>
            <c:dLbl>
              <c:idx val="140"/>
              <c:tx>
                <c:strRef>
                  <c:f>Sheet1!$A$142</c:f>
                  <c:strCache>
                    <c:ptCount val="1"/>
                    <c:pt idx="0">
                      <c:v>Sep-20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{0EC17E2F-62DE-41C4-8621-8690016101FA}</c15:txfldGUID>
                      <c15:f>Sheet1!$A$142</c15:f>
                      <c15:dlblFieldTableCache>
                        <c:ptCount val="1"/>
                        <c:pt idx="0">
                          <c:v>Sep-20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51BE-4E38-BCB4-DA22D351D218}"/>
                </c:ext>
              </c:extLst>
            </c:dLbl>
            <c:dLbl>
              <c:idx val="141"/>
              <c:tx>
                <c:strRef>
                  <c:f>Sheet1!$A$143</c:f>
                  <c:strCache>
                    <c:ptCount val="1"/>
                    <c:pt idx="0">
                      <c:v>Oct-20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{D3AD4190-8243-4A92-A27B-039390FDF4F1}</c15:txfldGUID>
                      <c15:f>Sheet1!$A$143</c15:f>
                      <c15:dlblFieldTableCache>
                        <c:ptCount val="1"/>
                        <c:pt idx="0">
                          <c:v>Oct-20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51BE-4E38-BCB4-DA22D351D218}"/>
                </c:ext>
              </c:extLst>
            </c:dLbl>
            <c:dLbl>
              <c:idx val="142"/>
              <c:tx>
                <c:strRef>
                  <c:f>Sheet1!$A$144</c:f>
                  <c:strCache>
                    <c:ptCount val="1"/>
                    <c:pt idx="0">
                      <c:v>Nov-20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{FD5F31D3-A38C-4019-8630-6BA9317A6079}</c15:txfldGUID>
                      <c15:f>Sheet1!$A$144</c15:f>
                      <c15:dlblFieldTableCache>
                        <c:ptCount val="1"/>
                        <c:pt idx="0">
                          <c:v>Nov-20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51BE-4E38-BCB4-DA22D351D218}"/>
                </c:ext>
              </c:extLst>
            </c:dLbl>
            <c:dLbl>
              <c:idx val="143"/>
              <c:tx>
                <c:strRef>
                  <c:f>Sheet1!$A$145</c:f>
                  <c:strCache>
                    <c:ptCount val="1"/>
                    <c:pt idx="0">
                      <c:v>Dec-20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{648E5E5E-F806-43A8-8715-934528FCF9F7}</c15:txfldGUID>
                      <c15:f>Sheet1!$A$145</c15:f>
                      <c15:dlblFieldTableCache>
                        <c:ptCount val="1"/>
                        <c:pt idx="0">
                          <c:v>Dec-20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51BE-4E38-BCB4-DA22D351D218}"/>
                </c:ext>
              </c:extLst>
            </c:dLbl>
            <c:dLbl>
              <c:idx val="144"/>
              <c:tx>
                <c:strRef>
                  <c:f>Sheet1!$A$146</c:f>
                  <c:strCache>
                    <c:ptCount val="1"/>
                    <c:pt idx="0">
                      <c:v>Jan-21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{D0A2D244-E0C8-4952-922B-6A9BC56D4411}</c15:txfldGUID>
                      <c15:f>Sheet1!$A$146</c15:f>
                      <c15:dlblFieldTableCache>
                        <c:ptCount val="1"/>
                        <c:pt idx="0">
                          <c:v>Jan-21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0-51BE-4E38-BCB4-DA22D351D218}"/>
                </c:ext>
              </c:extLst>
            </c:dLbl>
            <c:dLbl>
              <c:idx val="145"/>
              <c:tx>
                <c:strRef>
                  <c:f>Sheet1!$A$147</c:f>
                  <c:strCache>
                    <c:ptCount val="1"/>
                    <c:pt idx="0">
                      <c:v>Feb-21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{94BBA671-29DA-4E90-956C-E91F33803A17}</c15:txfldGUID>
                      <c15:f>Sheet1!$A$147</c15:f>
                      <c15:dlblFieldTableCache>
                        <c:ptCount val="1"/>
                        <c:pt idx="0">
                          <c:v>Feb-21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51BE-4E38-BCB4-DA22D351D218}"/>
                </c:ext>
              </c:extLst>
            </c:dLbl>
            <c:dLbl>
              <c:idx val="146"/>
              <c:tx>
                <c:strRef>
                  <c:f>Sheet1!$A$148</c:f>
                  <c:strCache>
                    <c:ptCount val="1"/>
                    <c:pt idx="0">
                      <c:v>Mar-21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{8FF995C4-0A0B-4A7D-BE36-92A8D4A372C4}</c15:txfldGUID>
                      <c15:f>Sheet1!$A$148</c15:f>
                      <c15:dlblFieldTableCache>
                        <c:ptCount val="1"/>
                        <c:pt idx="0">
                          <c:v>Mar-21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51BE-4E38-BCB4-DA22D351D218}"/>
                </c:ext>
              </c:extLst>
            </c:dLbl>
            <c:dLbl>
              <c:idx val="147"/>
              <c:tx>
                <c:strRef>
                  <c:f>Sheet1!$A$149</c:f>
                  <c:strCache>
                    <c:ptCount val="1"/>
                    <c:pt idx="0">
                      <c:v>Apr-21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{006A65DA-56FF-448B-840C-70F20FC5101A}</c15:txfldGUID>
                      <c15:f>Sheet1!$A$149</c15:f>
                      <c15:dlblFieldTableCache>
                        <c:ptCount val="1"/>
                        <c:pt idx="0">
                          <c:v>Apr-21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51BE-4E38-BCB4-DA22D351D218}"/>
                </c:ext>
              </c:extLst>
            </c:dLbl>
            <c:dLbl>
              <c:idx val="148"/>
              <c:tx>
                <c:strRef>
                  <c:f>Sheet1!$A$150</c:f>
                  <c:strCache>
                    <c:ptCount val="1"/>
                    <c:pt idx="0">
                      <c:v>May-21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{E6B53E9D-171D-4F20-B245-7C44F87F6368}</c15:txfldGUID>
                      <c15:f>Sheet1!$A$150</c15:f>
                      <c15:dlblFieldTableCache>
                        <c:ptCount val="1"/>
                        <c:pt idx="0">
                          <c:v>May-21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51BE-4E38-BCB4-DA22D351D218}"/>
                </c:ext>
              </c:extLst>
            </c:dLbl>
            <c:dLbl>
              <c:idx val="149"/>
              <c:tx>
                <c:strRef>
                  <c:f>Sheet1!$A$151</c:f>
                  <c:strCache>
                    <c:ptCount val="1"/>
                    <c:pt idx="0">
                      <c:v>Jun-21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{23A0F778-3E9A-408B-B7D5-85A7E4454563}</c15:txfldGUID>
                      <c15:f>Sheet1!$A$151</c15:f>
                      <c15:dlblFieldTableCache>
                        <c:ptCount val="1"/>
                        <c:pt idx="0">
                          <c:v>Jun-21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51BE-4E38-BCB4-DA22D351D218}"/>
                </c:ext>
              </c:extLst>
            </c:dLbl>
            <c:dLbl>
              <c:idx val="150"/>
              <c:tx>
                <c:strRef>
                  <c:f>Sheet1!$A$152</c:f>
                  <c:strCache>
                    <c:ptCount val="1"/>
                    <c:pt idx="0">
                      <c:v>Jul-21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{48A51D8B-269B-4788-904A-829E48B144AC}</c15:txfldGUID>
                      <c15:f>Sheet1!$A$152</c15:f>
                      <c15:dlblFieldTableCache>
                        <c:ptCount val="1"/>
                        <c:pt idx="0">
                          <c:v>Jul-21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51BE-4E38-BCB4-DA22D351D218}"/>
                </c:ext>
              </c:extLst>
            </c:dLbl>
            <c:dLbl>
              <c:idx val="151"/>
              <c:tx>
                <c:strRef>
                  <c:f>Sheet1!$A$153</c:f>
                  <c:strCache>
                    <c:ptCount val="1"/>
                    <c:pt idx="0">
                      <c:v>Aug-21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{4F2C1DBB-4AB6-4893-87B5-37FC2B3A927F}</c15:txfldGUID>
                      <c15:f>Sheet1!$A$153</c15:f>
                      <c15:dlblFieldTableCache>
                        <c:ptCount val="1"/>
                        <c:pt idx="0">
                          <c:v>Aug-21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51BE-4E38-BCB4-DA22D351D218}"/>
                </c:ext>
              </c:extLst>
            </c:dLbl>
            <c:dLbl>
              <c:idx val="152"/>
              <c:tx>
                <c:strRef>
                  <c:f>Sheet1!$A$154</c:f>
                  <c:strCache>
                    <c:ptCount val="1"/>
                    <c:pt idx="0">
                      <c:v>Sep-21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{4907B511-04DA-4BA7-B5A5-628A2494FC26}</c15:txfldGUID>
                      <c15:f>Sheet1!$A$154</c15:f>
                      <c15:dlblFieldTableCache>
                        <c:ptCount val="1"/>
                        <c:pt idx="0">
                          <c:v>Sep-21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51BE-4E38-BCB4-DA22D351D218}"/>
                </c:ext>
              </c:extLst>
            </c:dLbl>
            <c:dLbl>
              <c:idx val="153"/>
              <c:tx>
                <c:strRef>
                  <c:f>Sheet1!$A$155</c:f>
                  <c:strCache>
                    <c:ptCount val="1"/>
                    <c:pt idx="0">
                      <c:v>Oct-21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{9C2BE082-0120-4B8F-A20F-4F7DC8F0BFE0}</c15:txfldGUID>
                      <c15:f>Sheet1!$A$155</c15:f>
                      <c15:dlblFieldTableCache>
                        <c:ptCount val="1"/>
                        <c:pt idx="0">
                          <c:v>Oct-21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51BE-4E38-BCB4-DA22D351D218}"/>
                </c:ext>
              </c:extLst>
            </c:dLbl>
            <c:dLbl>
              <c:idx val="154"/>
              <c:tx>
                <c:strRef>
                  <c:f>Sheet1!$A$156</c:f>
                  <c:strCache>
                    <c:ptCount val="1"/>
                    <c:pt idx="0">
                      <c:v>Nov-21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{240752D0-88A2-4A83-988A-FE70DDD7B6BF}</c15:txfldGUID>
                      <c15:f>Sheet1!$A$156</c15:f>
                      <c15:dlblFieldTableCache>
                        <c:ptCount val="1"/>
                        <c:pt idx="0">
                          <c:v>Nov-21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51BE-4E38-BCB4-DA22D351D218}"/>
                </c:ext>
              </c:extLst>
            </c:dLbl>
            <c:dLbl>
              <c:idx val="155"/>
              <c:tx>
                <c:strRef>
                  <c:f>Sheet1!$A$157</c:f>
                  <c:strCache>
                    <c:ptCount val="1"/>
                    <c:pt idx="0">
                      <c:v>Dec-21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{AA815ABB-904C-4CFF-A918-B82D91B2E46F}</c15:txfldGUID>
                      <c15:f>Sheet1!$A$157</c15:f>
                      <c15:dlblFieldTableCache>
                        <c:ptCount val="1"/>
                        <c:pt idx="0">
                          <c:v>Dec-21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51BE-4E38-BCB4-DA22D351D218}"/>
                </c:ext>
              </c:extLst>
            </c:dLbl>
            <c:dLbl>
              <c:idx val="156"/>
              <c:tx>
                <c:strRef>
                  <c:f>Sheet1!$A$158</c:f>
                  <c:strCache>
                    <c:ptCount val="1"/>
                    <c:pt idx="0">
                      <c:v>Jan-22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{B03A9523-31FB-49B8-93E8-3CAC5529BBC8}</c15:txfldGUID>
                      <c15:f>Sheet1!$A$158</c15:f>
                      <c15:dlblFieldTableCache>
                        <c:ptCount val="1"/>
                        <c:pt idx="0">
                          <c:v>Jan-22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51BE-4E38-BCB4-DA22D351D218}"/>
                </c:ext>
              </c:extLst>
            </c:dLbl>
            <c:dLbl>
              <c:idx val="157"/>
              <c:tx>
                <c:strRef>
                  <c:f>Sheet1!$A$159</c:f>
                  <c:strCache>
                    <c:ptCount val="1"/>
                    <c:pt idx="0">
                      <c:v>Feb-22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{AFB58A9C-56B7-4587-B7AB-A1BDDD675EAD}</c15:txfldGUID>
                      <c15:f>Sheet1!$A$159</c15:f>
                      <c15:dlblFieldTableCache>
                        <c:ptCount val="1"/>
                        <c:pt idx="0">
                          <c:v>Feb-22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51BE-4E38-BCB4-DA22D351D218}"/>
                </c:ext>
              </c:extLst>
            </c:dLbl>
            <c:dLbl>
              <c:idx val="158"/>
              <c:tx>
                <c:strRef>
                  <c:f>Sheet1!$A$160</c:f>
                  <c:strCache>
                    <c:ptCount val="1"/>
                    <c:pt idx="0">
                      <c:v>Mar-22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{6A7EFF55-6F0E-4576-BE59-073457FE1B2D}</c15:txfldGUID>
                      <c15:f>Sheet1!$A$160</c15:f>
                      <c15:dlblFieldTableCache>
                        <c:ptCount val="1"/>
                        <c:pt idx="0">
                          <c:v>Mar-22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51BE-4E38-BCB4-DA22D351D218}"/>
                </c:ext>
              </c:extLst>
            </c:dLbl>
            <c:dLbl>
              <c:idx val="159"/>
              <c:tx>
                <c:strRef>
                  <c:f>Sheet1!$A$161</c:f>
                  <c:strCache>
                    <c:ptCount val="1"/>
                    <c:pt idx="0">
                      <c:v>Apr-22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{A0AB350D-BECD-4C5C-8203-C24338EC4A60}</c15:txfldGUID>
                      <c15:f>Sheet1!$A$161</c15:f>
                      <c15:dlblFieldTableCache>
                        <c:ptCount val="1"/>
                        <c:pt idx="0">
                          <c:v>Apr-22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51BE-4E38-BCB4-DA22D351D218}"/>
                </c:ext>
              </c:extLst>
            </c:dLbl>
            <c:dLbl>
              <c:idx val="160"/>
              <c:tx>
                <c:strRef>
                  <c:f>Sheet1!$A$162</c:f>
                  <c:strCache>
                    <c:ptCount val="1"/>
                    <c:pt idx="0">
                      <c:v>May-22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{8B0A6CA0-F2BC-4722-94BC-93EC95D6B9B0}</c15:txfldGUID>
                      <c15:f>Sheet1!$A$162</c15:f>
                      <c15:dlblFieldTableCache>
                        <c:ptCount val="1"/>
                        <c:pt idx="0">
                          <c:v>May-22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51BE-4E38-BCB4-DA22D351D218}"/>
                </c:ext>
              </c:extLst>
            </c:dLbl>
            <c:dLbl>
              <c:idx val="161"/>
              <c:tx>
                <c:strRef>
                  <c:f>Sheet1!$A$163</c:f>
                  <c:strCache>
                    <c:ptCount val="1"/>
                    <c:pt idx="0">
                      <c:v>Jun-22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{92DF9262-5C86-47A4-878C-0C5F76C1C9EB}</c15:txfldGUID>
                      <c15:f>Sheet1!$A$163</c15:f>
                      <c15:dlblFieldTableCache>
                        <c:ptCount val="1"/>
                        <c:pt idx="0">
                          <c:v>Jun-22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51BE-4E38-BCB4-DA22D351D218}"/>
                </c:ext>
              </c:extLst>
            </c:dLbl>
            <c:dLbl>
              <c:idx val="162"/>
              <c:tx>
                <c:strRef>
                  <c:f>Sheet1!$A$164</c:f>
                  <c:strCache>
                    <c:ptCount val="1"/>
                    <c:pt idx="0">
                      <c:v>Jul-22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{80B4E547-27D0-4166-8371-CB9CAD627EA6}</c15:txfldGUID>
                      <c15:f>Sheet1!$A$164</c15:f>
                      <c15:dlblFieldTableCache>
                        <c:ptCount val="1"/>
                        <c:pt idx="0">
                          <c:v>Jul-22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51BE-4E38-BCB4-DA22D351D218}"/>
                </c:ext>
              </c:extLst>
            </c:dLbl>
            <c:dLbl>
              <c:idx val="163"/>
              <c:tx>
                <c:strRef>
                  <c:f>Sheet1!$A$165</c:f>
                  <c:strCache>
                    <c:ptCount val="1"/>
                    <c:pt idx="0">
                      <c:v>Aug-22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{2E63B442-D914-44A1-B447-7CA252FA7CB2}</c15:txfldGUID>
                      <c15:f>Sheet1!$A$165</c15:f>
                      <c15:dlblFieldTableCache>
                        <c:ptCount val="1"/>
                        <c:pt idx="0">
                          <c:v>Aug-22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51BE-4E38-BCB4-DA22D351D218}"/>
                </c:ext>
              </c:extLst>
            </c:dLbl>
            <c:dLbl>
              <c:idx val="164"/>
              <c:tx>
                <c:strRef>
                  <c:f>Sheet1!$A$166</c:f>
                  <c:strCache>
                    <c:ptCount val="1"/>
                    <c:pt idx="0">
                      <c:v>Sep-22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{88B09742-A2A9-438F-8A85-1CD3CFABCBD1}</c15:txfldGUID>
                      <c15:f>Sheet1!$A$166</c15:f>
                      <c15:dlblFieldTableCache>
                        <c:ptCount val="1"/>
                        <c:pt idx="0">
                          <c:v>Sep-22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51BE-4E38-BCB4-DA22D351D2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Sheet1!$B$2:$B$166</c:f>
              <c:strCache>
                <c:ptCount val="165"/>
                <c:pt idx="0">
                  <c:v>73.53095896</c:v>
                </c:pt>
                <c:pt idx="1">
                  <c:v>61.84917618</c:v>
                </c:pt>
                <c:pt idx="2">
                  <c:v>62.66952113</c:v>
                </c:pt>
                <c:pt idx="3">
                  <c:v>64.77849736</c:v>
                </c:pt>
                <c:pt idx="4">
                  <c:v>63.62431227</c:v>
                </c:pt>
                <c:pt idx="5">
                  <c:v>74.72241963</c:v>
                </c:pt>
                <c:pt idx="6">
                  <c:v>68.59872832</c:v>
                </c:pt>
                <c:pt idx="7">
                  <c:v>57.41608035</c:v>
                </c:pt>
                <c:pt idx="8">
                  <c:v>54.26617185</c:v>
                </c:pt>
                <c:pt idx="9">
                  <c:v>46.2433981</c:v>
                </c:pt>
                <c:pt idx="10">
                  <c:v>53.32226134</c:v>
                </c:pt>
                <c:pt idx="11">
                  <c:v>55.85882215</c:v>
                </c:pt>
                <c:pt idx="12">
                  <c:v>55.87963463</c:v>
                </c:pt>
                <c:pt idx="13">
                  <c:v>56.61787001</c:v>
                </c:pt>
                <c:pt idx="14">
                  <c:v>60.14327892</c:v>
                </c:pt>
                <c:pt idx="15">
                  <c:v>71.67791075</c:v>
                </c:pt>
                <c:pt idx="16">
                  <c:v>78.8209468</c:v>
                </c:pt>
                <c:pt idx="17">
                  <c:v>78.65340696</c:v>
                </c:pt>
                <c:pt idx="18">
                  <c:v>76.8399547</c:v>
                </c:pt>
                <c:pt idx="19">
                  <c:v>61.48652597</c:v>
                </c:pt>
                <c:pt idx="20">
                  <c:v>72.39977545</c:v>
                </c:pt>
                <c:pt idx="21">
                  <c:v>53.06453512</c:v>
                </c:pt>
                <c:pt idx="22">
                  <c:v>58.27914555</c:v>
                </c:pt>
                <c:pt idx="23">
                  <c:v>69.86136096</c:v>
                </c:pt>
                <c:pt idx="24">
                  <c:v>57.10987448</c:v>
                </c:pt>
                <c:pt idx="25">
                  <c:v>60.73670829</c:v>
                </c:pt>
                <c:pt idx="26">
                  <c:v>65.95949241</c:v>
                </c:pt>
                <c:pt idx="27">
                  <c:v>63.2073191</c:v>
                </c:pt>
                <c:pt idx="28">
                  <c:v>59.04217425</c:v>
                </c:pt>
                <c:pt idx="29">
                  <c:v>64.15366366</c:v>
                </c:pt>
                <c:pt idx="30">
                  <c:v>62.99281263</c:v>
                </c:pt>
                <c:pt idx="31">
                  <c:v>50.61631914</c:v>
                </c:pt>
                <c:pt idx="32">
                  <c:v>41.71415761</c:v>
                </c:pt>
                <c:pt idx="33">
                  <c:v>39.54620879</c:v>
                </c:pt>
                <c:pt idx="34">
                  <c:v>39.91763321</c:v>
                </c:pt>
                <c:pt idx="35">
                  <c:v>44.75475214</c:v>
                </c:pt>
                <c:pt idx="36">
                  <c:v>54.50671072</c:v>
                </c:pt>
                <c:pt idx="37">
                  <c:v>51.95258881</c:v>
                </c:pt>
                <c:pt idx="38">
                  <c:v>58.30905839</c:v>
                </c:pt>
                <c:pt idx="39">
                  <c:v>56.78803088</c:v>
                </c:pt>
                <c:pt idx="40">
                  <c:v>49.35122834</c:v>
                </c:pt>
                <c:pt idx="41">
                  <c:v>51.43441075</c:v>
                </c:pt>
                <c:pt idx="42">
                  <c:v>57.483618</c:v>
                </c:pt>
                <c:pt idx="43">
                  <c:v>46.4945441</c:v>
                </c:pt>
                <c:pt idx="44">
                  <c:v>48.55716546</c:v>
                </c:pt>
                <c:pt idx="45">
                  <c:v>48.3736655</c:v>
                </c:pt>
                <c:pt idx="46">
                  <c:v>52.04131633</c:v>
                </c:pt>
                <c:pt idx="47">
                  <c:v>58.21630328</c:v>
                </c:pt>
                <c:pt idx="48">
                  <c:v>66.75126148</c:v>
                </c:pt>
                <c:pt idx="49">
                  <c:v>52.97725701</c:v>
                </c:pt>
                <c:pt idx="50">
                  <c:v>60.38740323</c:v>
                </c:pt>
                <c:pt idx="51">
                  <c:v>59.13272779</c:v>
                </c:pt>
                <c:pt idx="52">
                  <c:v>53.25619263</c:v>
                </c:pt>
                <c:pt idx="53">
                  <c:v>49.07504404</c:v>
                </c:pt>
                <c:pt idx="54">
                  <c:v>45.81646743</c:v>
                </c:pt>
                <c:pt idx="55">
                  <c:v>33.84598739</c:v>
                </c:pt>
                <c:pt idx="56">
                  <c:v>30.54022276</c:v>
                </c:pt>
                <c:pt idx="57">
                  <c:v>27.51120304</c:v>
                </c:pt>
                <c:pt idx="58">
                  <c:v>30.22363242</c:v>
                </c:pt>
                <c:pt idx="59">
                  <c:v>36.51186574</c:v>
                </c:pt>
                <c:pt idx="60">
                  <c:v>39.99825839</c:v>
                </c:pt>
                <c:pt idx="61">
                  <c:v>39.08829302</c:v>
                </c:pt>
                <c:pt idx="62">
                  <c:v>44.9972809</c:v>
                </c:pt>
                <c:pt idx="63">
                  <c:v>48.27359379</c:v>
                </c:pt>
                <c:pt idx="64">
                  <c:v>43.52327957</c:v>
                </c:pt>
                <c:pt idx="65">
                  <c:v>41.38184932</c:v>
                </c:pt>
                <c:pt idx="66">
                  <c:v>34.45203313</c:v>
                </c:pt>
                <c:pt idx="67">
                  <c:v>24.99528322</c:v>
                </c:pt>
                <c:pt idx="68">
                  <c:v>22.63849899</c:v>
                </c:pt>
                <c:pt idx="69">
                  <c:v>19.94837034</c:v>
                </c:pt>
                <c:pt idx="70">
                  <c:v>20.23811455</c:v>
                </c:pt>
                <c:pt idx="71">
                  <c:v>21.86619897</c:v>
                </c:pt>
                <c:pt idx="72">
                  <c:v>27.68144928</c:v>
                </c:pt>
                <c:pt idx="73">
                  <c:v>27.34387729</c:v>
                </c:pt>
                <c:pt idx="74">
                  <c:v>30.21095565</c:v>
                </c:pt>
                <c:pt idx="75">
                  <c:v>30.15164531</c:v>
                </c:pt>
                <c:pt idx="76">
                  <c:v>50.06355472</c:v>
                </c:pt>
                <c:pt idx="77">
                  <c:v>35.99830769</c:v>
                </c:pt>
                <c:pt idx="78">
                  <c:v>37.81714394</c:v>
                </c:pt>
                <c:pt idx="79">
                  <c:v>34.2175462</c:v>
                </c:pt>
                <c:pt idx="80">
                  <c:v>32.92794671</c:v>
                </c:pt>
                <c:pt idx="81">
                  <c:v>31.31679796</c:v>
                </c:pt>
                <c:pt idx="82">
                  <c:v>31.13328204</c:v>
                </c:pt>
                <c:pt idx="83">
                  <c:v>31.4427531</c:v>
                </c:pt>
                <c:pt idx="84">
                  <c:v>37.5291218</c:v>
                </c:pt>
                <c:pt idx="85">
                  <c:v>39.97045629</c:v>
                </c:pt>
                <c:pt idx="86">
                  <c:v>37.60491751</c:v>
                </c:pt>
                <c:pt idx="87">
                  <c:v>40.92613539</c:v>
                </c:pt>
                <c:pt idx="88">
                  <c:v>41.03009224</c:v>
                </c:pt>
                <c:pt idx="89">
                  <c:v>39.40515876</c:v>
                </c:pt>
                <c:pt idx="90">
                  <c:v>34.04625134</c:v>
                </c:pt>
                <c:pt idx="91">
                  <c:v>32.46318952</c:v>
                </c:pt>
                <c:pt idx="92">
                  <c:v>26.13951446</c:v>
                </c:pt>
                <c:pt idx="93">
                  <c:v>28.76867809</c:v>
                </c:pt>
                <c:pt idx="94">
                  <c:v>26.52044957</c:v>
                </c:pt>
                <c:pt idx="95">
                  <c:v>30.45089121</c:v>
                </c:pt>
                <c:pt idx="96">
                  <c:v>37.22179741</c:v>
                </c:pt>
                <c:pt idx="97">
                  <c:v>36.76076398</c:v>
                </c:pt>
                <c:pt idx="98">
                  <c:v>41.31900012</c:v>
                </c:pt>
                <c:pt idx="99">
                  <c:v>35.89651054</c:v>
                </c:pt>
                <c:pt idx="100">
                  <c:v>38.32772508</c:v>
                </c:pt>
                <c:pt idx="101">
                  <c:v>34.08329436</c:v>
                </c:pt>
                <c:pt idx="102">
                  <c:v>31.53706502</c:v>
                </c:pt>
                <c:pt idx="103">
                  <c:v>28.46069513</c:v>
                </c:pt>
                <c:pt idx="104">
                  <c:v>28.21435573</c:v>
                </c:pt>
                <c:pt idx="105">
                  <c:v>23.62537813</c:v>
                </c:pt>
                <c:pt idx="106">
                  <c:v>26.21390824</c:v>
                </c:pt>
                <c:pt idx="107">
                  <c:v>33.8510871</c:v>
                </c:pt>
                <c:pt idx="108">
                  <c:v>40.16630791</c:v>
                </c:pt>
                <c:pt idx="109">
                  <c:v>38.90992856</c:v>
                </c:pt>
                <c:pt idx="110">
                  <c:v>36.4109382</c:v>
                </c:pt>
                <c:pt idx="111">
                  <c:v>46.11058956</c:v>
                </c:pt>
                <c:pt idx="112">
                  <c:v>31.7859971</c:v>
                </c:pt>
                <c:pt idx="113">
                  <c:v>33.92771059</c:v>
                </c:pt>
                <c:pt idx="114">
                  <c:v>36.99771968</c:v>
                </c:pt>
                <c:pt idx="115">
                  <c:v>32.11998418</c:v>
                </c:pt>
                <c:pt idx="116">
                  <c:v>27.50883173</c:v>
                </c:pt>
                <c:pt idx="117">
                  <c:v>29.97868825</c:v>
                </c:pt>
                <c:pt idx="118">
                  <c:v>25.42326304</c:v>
                </c:pt>
                <c:pt idx="119">
                  <c:v>28.26305567</c:v>
                </c:pt>
                <c:pt idx="120">
                  <c:v>29.76423731</c:v>
                </c:pt>
                <c:pt idx="121">
                  <c:v>33.72809411</c:v>
                </c:pt>
                <c:pt idx="122">
                  <c:v>33.91419726</c:v>
                </c:pt>
                <c:pt idx="123">
                  <c:v>35.10721742</c:v>
                </c:pt>
                <c:pt idx="124">
                  <c:v>28.58775918</c:v>
                </c:pt>
                <c:pt idx="125">
                  <c:v>32.6475614</c:v>
                </c:pt>
                <c:pt idx="126">
                  <c:v>30.08372816</c:v>
                </c:pt>
                <c:pt idx="127">
                  <c:v>24.14173926</c:v>
                </c:pt>
                <c:pt idx="128">
                  <c:v>27.22565436</c:v>
                </c:pt>
                <c:pt idx="129">
                  <c:v>26.45019831</c:v>
                </c:pt>
                <c:pt idx="130">
                  <c:v>24.63298347</c:v>
                </c:pt>
                <c:pt idx="131">
                  <c:v>1062.114499</c:v>
                </c:pt>
                <c:pt idx="132">
                  <c:v>1007.400851</c:v>
                </c:pt>
                <c:pt idx="133">
                  <c:v>1217.186684</c:v>
                </c:pt>
                <c:pt idx="134">
                  <c:v>944.5077971</c:v>
                </c:pt>
                <c:pt idx="135">
                  <c:v>1186.5454</c:v>
                </c:pt>
                <c:pt idx="136">
                  <c:v>851.0359345</c:v>
                </c:pt>
                <c:pt idx="137">
                  <c:v>959.7070801</c:v>
                </c:pt>
                <c:pt idx="138">
                  <c:v>1181.986945</c:v>
                </c:pt>
                <c:pt idx="139">
                  <c:v>1230.795125</c:v>
                </c:pt>
                <c:pt idx="140">
                  <c:v>1143.114833</c:v>
                </c:pt>
                <c:pt idx="141">
                  <c:v>20/21</c:v>
                </c:pt>
                <c:pt idx="142">
                  <c:v>1314.380943</c:v>
                </c:pt>
                <c:pt idx="143">
                  <c:v>1163.543208</c:v>
                </c:pt>
                <c:pt idx="144">
                  <c:v>945.1970157</c:v>
                </c:pt>
                <c:pt idx="145">
                  <c:v>1046.477443</c:v>
                </c:pt>
                <c:pt idx="146">
                  <c:v>1118.758474</c:v>
                </c:pt>
                <c:pt idx="147">
                  <c:v>1454.073678</c:v>
                </c:pt>
                <c:pt idx="148">
                  <c:v>907.5693514</c:v>
                </c:pt>
                <c:pt idx="149">
                  <c:v>1312.425856</c:v>
                </c:pt>
                <c:pt idx="150">
                  <c:v>1292.506242</c:v>
                </c:pt>
                <c:pt idx="151">
                  <c:v>1333.431068</c:v>
                </c:pt>
                <c:pt idx="152">
                  <c:v>1330.203667</c:v>
                </c:pt>
                <c:pt idx="153">
                  <c:v>21/22 </c:v>
                </c:pt>
                <c:pt idx="154">
                  <c:v>1002.118367</c:v>
                </c:pt>
                <c:pt idx="155">
                  <c:v>1200.957173</c:v>
                </c:pt>
                <c:pt idx="156">
                  <c:v>1190.759141</c:v>
                </c:pt>
                <c:pt idx="157">
                  <c:v>1184.385023</c:v>
                </c:pt>
                <c:pt idx="158">
                  <c:v>1027.16737</c:v>
                </c:pt>
                <c:pt idx="159">
                  <c:v>1237.423203</c:v>
                </c:pt>
                <c:pt idx="160">
                  <c:v>1177.004502</c:v>
                </c:pt>
                <c:pt idx="161">
                  <c:v>1294.527698</c:v>
                </c:pt>
                <c:pt idx="162">
                  <c:v>1279.461288</c:v>
                </c:pt>
                <c:pt idx="163">
                  <c:v>1169.409078</c:v>
                </c:pt>
                <c:pt idx="164">
                  <c:v>1298.639316</c:v>
                </c:pt>
              </c:strCache>
            </c:strRef>
          </c:xVal>
          <c:yVal>
            <c:numRef>
              <c:f>Sheet1!$C$2:$C$166</c:f>
              <c:numCache>
                <c:formatCode>General</c:formatCode>
                <c:ptCount val="165"/>
                <c:pt idx="0">
                  <c:v>34.340000000000003</c:v>
                </c:pt>
                <c:pt idx="1">
                  <c:v>31.92</c:v>
                </c:pt>
                <c:pt idx="2">
                  <c:v>31.56</c:v>
                </c:pt>
                <c:pt idx="3">
                  <c:v>35.71</c:v>
                </c:pt>
                <c:pt idx="4">
                  <c:v>38.49</c:v>
                </c:pt>
                <c:pt idx="5">
                  <c:v>37.729999999999997</c:v>
                </c:pt>
                <c:pt idx="6">
                  <c:v>34.1</c:v>
                </c:pt>
                <c:pt idx="7">
                  <c:v>36.78</c:v>
                </c:pt>
                <c:pt idx="8">
                  <c:v>34.07</c:v>
                </c:pt>
                <c:pt idx="9">
                  <c:v>36.31</c:v>
                </c:pt>
                <c:pt idx="10">
                  <c:v>38.75</c:v>
                </c:pt>
                <c:pt idx="11">
                  <c:v>39.5</c:v>
                </c:pt>
                <c:pt idx="12">
                  <c:v>38.229999999999997</c:v>
                </c:pt>
                <c:pt idx="13">
                  <c:v>38.119999999999997</c:v>
                </c:pt>
                <c:pt idx="14">
                  <c:v>39.590000000000003</c:v>
                </c:pt>
                <c:pt idx="15">
                  <c:v>39.369999999999997</c:v>
                </c:pt>
                <c:pt idx="16">
                  <c:v>37.92</c:v>
                </c:pt>
                <c:pt idx="17">
                  <c:v>37.24</c:v>
                </c:pt>
                <c:pt idx="18">
                  <c:v>38.01</c:v>
                </c:pt>
                <c:pt idx="19">
                  <c:v>40.700000000000003</c:v>
                </c:pt>
                <c:pt idx="20">
                  <c:v>42.22</c:v>
                </c:pt>
                <c:pt idx="21">
                  <c:v>47.13</c:v>
                </c:pt>
                <c:pt idx="22">
                  <c:v>50.95</c:v>
                </c:pt>
                <c:pt idx="23">
                  <c:v>54.98</c:v>
                </c:pt>
                <c:pt idx="24">
                  <c:v>57.27</c:v>
                </c:pt>
                <c:pt idx="25">
                  <c:v>57.53</c:v>
                </c:pt>
                <c:pt idx="26">
                  <c:v>56.67</c:v>
                </c:pt>
                <c:pt idx="27">
                  <c:v>58.02</c:v>
                </c:pt>
                <c:pt idx="28">
                  <c:v>57.12</c:v>
                </c:pt>
                <c:pt idx="29">
                  <c:v>56.7</c:v>
                </c:pt>
                <c:pt idx="30">
                  <c:v>56.38</c:v>
                </c:pt>
                <c:pt idx="31">
                  <c:v>55.6</c:v>
                </c:pt>
                <c:pt idx="32">
                  <c:v>55.45</c:v>
                </c:pt>
                <c:pt idx="33">
                  <c:v>51.23</c:v>
                </c:pt>
                <c:pt idx="34">
                  <c:v>50.66</c:v>
                </c:pt>
                <c:pt idx="35">
                  <c:v>50.16</c:v>
                </c:pt>
                <c:pt idx="36">
                  <c:v>51.45</c:v>
                </c:pt>
                <c:pt idx="37">
                  <c:v>53.1</c:v>
                </c:pt>
                <c:pt idx="38">
                  <c:v>54.44</c:v>
                </c:pt>
                <c:pt idx="39">
                  <c:v>55.82</c:v>
                </c:pt>
                <c:pt idx="40">
                  <c:v>51.57</c:v>
                </c:pt>
                <c:pt idx="41">
                  <c:v>49.8</c:v>
                </c:pt>
                <c:pt idx="42">
                  <c:v>53.32</c:v>
                </c:pt>
                <c:pt idx="43">
                  <c:v>53.991739130434702</c:v>
                </c:pt>
                <c:pt idx="44">
                  <c:v>55.122631578947299</c:v>
                </c:pt>
                <c:pt idx="45">
                  <c:v>51.004347826086899</c:v>
                </c:pt>
                <c:pt idx="46">
                  <c:v>48.6142857142857</c:v>
                </c:pt>
                <c:pt idx="47">
                  <c:v>49.58</c:v>
                </c:pt>
                <c:pt idx="48">
                  <c:v>51.073</c:v>
                </c:pt>
                <c:pt idx="49">
                  <c:v>51.359499999999997</c:v>
                </c:pt>
                <c:pt idx="50">
                  <c:v>50.124299999999998</c:v>
                </c:pt>
                <c:pt idx="51">
                  <c:v>49.2941</c:v>
                </c:pt>
                <c:pt idx="52">
                  <c:v>49.1768</c:v>
                </c:pt>
                <c:pt idx="53">
                  <c:v>48.017000000000003</c:v>
                </c:pt>
                <c:pt idx="54">
                  <c:v>45.387300000000003</c:v>
                </c:pt>
                <c:pt idx="55">
                  <c:v>42.8673</c:v>
                </c:pt>
                <c:pt idx="56">
                  <c:v>42.445500000000003</c:v>
                </c:pt>
                <c:pt idx="57">
                  <c:v>40.812199999999997</c:v>
                </c:pt>
                <c:pt idx="58">
                  <c:v>40.701500000000003</c:v>
                </c:pt>
                <c:pt idx="59">
                  <c:v>39.681399999999996</c:v>
                </c:pt>
                <c:pt idx="60">
                  <c:v>37.824300000000001</c:v>
                </c:pt>
                <c:pt idx="61">
                  <c:v>39.628399999999999</c:v>
                </c:pt>
                <c:pt idx="62">
                  <c:v>42.230499999999999</c:v>
                </c:pt>
                <c:pt idx="63">
                  <c:v>42.37</c:v>
                </c:pt>
                <c:pt idx="64">
                  <c:v>40.6248</c:v>
                </c:pt>
                <c:pt idx="65">
                  <c:v>39.533799999999999</c:v>
                </c:pt>
                <c:pt idx="66">
                  <c:v>36.954099999999997</c:v>
                </c:pt>
                <c:pt idx="67">
                  <c:v>33.855699999999999</c:v>
                </c:pt>
                <c:pt idx="68">
                  <c:v>32.299500000000002</c:v>
                </c:pt>
                <c:pt idx="69">
                  <c:v>32.794800000000002</c:v>
                </c:pt>
                <c:pt idx="70">
                  <c:v>32.722099999999998</c:v>
                </c:pt>
                <c:pt idx="71">
                  <c:v>32.059100000000001</c:v>
                </c:pt>
                <c:pt idx="72">
                  <c:v>32.186</c:v>
                </c:pt>
                <c:pt idx="73">
                  <c:v>31.657900000000001</c:v>
                </c:pt>
                <c:pt idx="74">
                  <c:v>31.072299999999998</c:v>
                </c:pt>
                <c:pt idx="75">
                  <c:v>31.373799999999999</c:v>
                </c:pt>
                <c:pt idx="76">
                  <c:v>32.587499999999999</c:v>
                </c:pt>
                <c:pt idx="77">
                  <c:v>33.476799999999997</c:v>
                </c:pt>
                <c:pt idx="78">
                  <c:v>31.6023</c:v>
                </c:pt>
                <c:pt idx="79">
                  <c:v>28.573799999999999</c:v>
                </c:pt>
                <c:pt idx="80">
                  <c:v>26.809000000000001</c:v>
                </c:pt>
                <c:pt idx="81">
                  <c:v>28.377700000000001</c:v>
                </c:pt>
                <c:pt idx="82">
                  <c:v>27.884</c:v>
                </c:pt>
                <c:pt idx="83">
                  <c:v>30.822700000000001</c:v>
                </c:pt>
                <c:pt idx="84">
                  <c:v>30.012599999999999</c:v>
                </c:pt>
                <c:pt idx="85">
                  <c:v>31.157499999999999</c:v>
                </c:pt>
                <c:pt idx="86">
                  <c:v>32.476399999999998</c:v>
                </c:pt>
                <c:pt idx="87">
                  <c:v>33.9529</c:v>
                </c:pt>
                <c:pt idx="88">
                  <c:v>32.2057</c:v>
                </c:pt>
                <c:pt idx="89">
                  <c:v>31.914999999999999</c:v>
                </c:pt>
                <c:pt idx="90">
                  <c:v>30.401499999999999</c:v>
                </c:pt>
                <c:pt idx="91">
                  <c:v>32.326999999999998</c:v>
                </c:pt>
                <c:pt idx="92">
                  <c:v>32.812899999999999</c:v>
                </c:pt>
                <c:pt idx="93">
                  <c:v>34.444800000000001</c:v>
                </c:pt>
                <c:pt idx="94">
                  <c:v>35.036200000000001</c:v>
                </c:pt>
                <c:pt idx="95">
                  <c:v>36.395699999999998</c:v>
                </c:pt>
                <c:pt idx="96">
                  <c:v>35.111499999999999</c:v>
                </c:pt>
                <c:pt idx="97">
                  <c:v>33.698399999999999</c:v>
                </c:pt>
                <c:pt idx="98">
                  <c:v>32.93</c:v>
                </c:pt>
                <c:pt idx="99">
                  <c:v>31.538399999999999</c:v>
                </c:pt>
                <c:pt idx="100">
                  <c:v>32.490900000000003</c:v>
                </c:pt>
                <c:pt idx="101">
                  <c:v>31.970500000000001</c:v>
                </c:pt>
                <c:pt idx="102">
                  <c:v>33.548499999999997</c:v>
                </c:pt>
                <c:pt idx="103">
                  <c:v>33.869999999999997</c:v>
                </c:pt>
                <c:pt idx="104">
                  <c:v>34.28</c:v>
                </c:pt>
                <c:pt idx="105">
                  <c:v>33.6</c:v>
                </c:pt>
                <c:pt idx="106">
                  <c:v>34.409999999999997</c:v>
                </c:pt>
                <c:pt idx="107">
                  <c:v>33.14</c:v>
                </c:pt>
                <c:pt idx="108">
                  <c:v>32.950000000000003</c:v>
                </c:pt>
                <c:pt idx="109">
                  <c:v>32.18</c:v>
                </c:pt>
                <c:pt idx="110">
                  <c:v>31.85</c:v>
                </c:pt>
                <c:pt idx="111">
                  <c:v>31.35</c:v>
                </c:pt>
                <c:pt idx="112">
                  <c:v>31</c:v>
                </c:pt>
                <c:pt idx="113">
                  <c:v>29.82</c:v>
                </c:pt>
                <c:pt idx="114">
                  <c:v>28.36</c:v>
                </c:pt>
                <c:pt idx="115">
                  <c:v>28.33</c:v>
                </c:pt>
                <c:pt idx="116">
                  <c:v>28.26</c:v>
                </c:pt>
                <c:pt idx="117">
                  <c:v>29.051739130434775</c:v>
                </c:pt>
                <c:pt idx="118">
                  <c:v>27.69</c:v>
                </c:pt>
                <c:pt idx="119">
                  <c:v>28.32</c:v>
                </c:pt>
                <c:pt idx="120">
                  <c:v>29.000952380952373</c:v>
                </c:pt>
                <c:pt idx="121">
                  <c:v>30.23</c:v>
                </c:pt>
                <c:pt idx="122">
                  <c:v>29.38</c:v>
                </c:pt>
                <c:pt idx="123">
                  <c:v>28.556666666666668</c:v>
                </c:pt>
                <c:pt idx="124">
                  <c:v>27.230454545454549</c:v>
                </c:pt>
                <c:pt idx="125">
                  <c:v>27.85</c:v>
                </c:pt>
                <c:pt idx="126">
                  <c:v>28.054999999999996</c:v>
                </c:pt>
                <c:pt idx="127">
                  <c:v>28.569999999999997</c:v>
                </c:pt>
                <c:pt idx="128">
                  <c:v>29.063000000000006</c:v>
                </c:pt>
                <c:pt idx="129">
                  <c:v>30.28</c:v>
                </c:pt>
                <c:pt idx="130">
                  <c:v>30.957999999999998</c:v>
                </c:pt>
                <c:pt idx="131">
                  <c:v>32.689523809523813</c:v>
                </c:pt>
                <c:pt idx="132">
                  <c:v>33.150952380952383</c:v>
                </c:pt>
                <c:pt idx="133" formatCode="_(* #,##0.00_);_(* \(#,##0.00\);_(* &quot;-&quot;??_);_(@_)">
                  <c:v>30.248421052631581</c:v>
                </c:pt>
                <c:pt idx="134" formatCode="_(* #,##0.00_);_(* \(#,##0.00\);_(* &quot;-&quot;??_);_(@_)">
                  <c:v>27.017727272727271</c:v>
                </c:pt>
                <c:pt idx="135" formatCode="_(* #,##0.00_);_(* \(#,##0.00\);_(* &quot;-&quot;??_);_(@_)">
                  <c:v>26.202857142857148</c:v>
                </c:pt>
                <c:pt idx="136" formatCode="_(* #,##0.00_);_(* \(#,##0.00\);_(* &quot;-&quot;??_);_(@_)">
                  <c:v>26.708999999999996</c:v>
                </c:pt>
                <c:pt idx="137" formatCode="_(* #,##0.00_);_(* \(#,##0.00\);_(* &quot;-&quot;??_);_(@_)">
                  <c:v>27.891363636363643</c:v>
                </c:pt>
                <c:pt idx="138" formatCode="_(* #,##0.00_);_(* \(#,##0.00\);_(* &quot;-&quot;??_);_(@_)">
                  <c:v>29.206818181818178</c:v>
                </c:pt>
                <c:pt idx="139" formatCode="_(* #,##0.00_);_(* \(#,##0.00\);_(* &quot;-&quot;??_);_(@_)">
                  <c:v>31.59238095238096</c:v>
                </c:pt>
                <c:pt idx="140" formatCode="_(* #,##0.00_);_(* \(#,##0.00\);_(* &quot;-&quot;??_);_(@_)">
                  <c:v>33.51047619047619</c:v>
                </c:pt>
                <c:pt idx="141" formatCode="_(* #,##0.00_);_(* \(#,##0.00\);_(* &quot;-&quot;??_);_(@_)">
                  <c:v>33.276818181818186</c:v>
                </c:pt>
                <c:pt idx="142" formatCode="_(* #,##0.00_);_(* \(#,##0.00\);_(* &quot;-&quot;??_);_(@_)">
                  <c:v>36.862499999999997</c:v>
                </c:pt>
                <c:pt idx="143" formatCode="_(* #,##0.00_);_(* \(#,##0.00\);_(* &quot;-&quot;??_);_(@_)">
                  <c:v>39.571363636363643</c:v>
                </c:pt>
                <c:pt idx="144" formatCode="_(* #,##0.00_);_(* \(#,##0.00\);_(* &quot;-&quot;??_);_(@_)">
                  <c:v>43.154210526315786</c:v>
                </c:pt>
                <c:pt idx="145" formatCode="_(* #,##0.00_);_(* \(#,##0.00\);_(* &quot;-&quot;??_);_(@_)">
                  <c:v>46.94631578947368</c:v>
                </c:pt>
                <c:pt idx="146" formatCode="_(* #,##0.00_);_(* \(#,##0.00\);_(* &quot;-&quot;??_);_(@_)">
                  <c:v>53.370000000000012</c:v>
                </c:pt>
                <c:pt idx="147" formatCode="_(* #,##0.00_);_(* \(#,##0.00\);_(* &quot;-&quot;??_);_(@_)">
                  <c:v>58.235714285714302</c:v>
                </c:pt>
                <c:pt idx="148" formatCode="_(* #,##0.00_);_(* \(#,##0.00\);_(* &quot;-&quot;??_);_(@_)">
                  <c:v>65.639500000000012</c:v>
                </c:pt>
                <c:pt idx="149" formatCode="_(* #,##0.00_);_(* \(#,##0.00\);_(* &quot;-&quot;??_);_(@_)">
                  <c:v>65.243181818181839</c:v>
                </c:pt>
                <c:pt idx="150" formatCode="_(* #,##0.00_);_(* \(#,##0.00\);_(* &quot;-&quot;??_);_(@_)">
                  <c:v>64.936190476190475</c:v>
                </c:pt>
                <c:pt idx="151" formatCode="_(* #,##0.00_);_(* \(#,##0.00\);_(* &quot;-&quot;??_);_(@_)">
                  <c:v>61.464090909090899</c:v>
                </c:pt>
                <c:pt idx="152" formatCode="_(* #,##0.00_);_(* \(#,##0.00\);_(* &quot;-&quot;??_);_(@_)">
                  <c:v>57.204761904761902</c:v>
                </c:pt>
                <c:pt idx="153" formatCode="_(* #,##0.00_);_(* \(#,##0.00\);_(* &quot;-&quot;??_);_(@_)">
                  <c:v>61.246190476190478</c:v>
                </c:pt>
                <c:pt idx="154" formatCode="_(* #,##0.00_);_(* \(#,##0.00\);_(* &quot;-&quot;??_);_(@_)">
                  <c:v>59.234761904761896</c:v>
                </c:pt>
                <c:pt idx="155" formatCode="_(* #,##0.00_);_(* \(#,##0.00\);_(* &quot;-&quot;??_);_(@_)">
                  <c:v>55.209545454545463</c:v>
                </c:pt>
                <c:pt idx="156" formatCode="_(* #,##0.00_);_(* \(#,##0.00\);_(* &quot;-&quot;??_);_(@_)">
                  <c:v>60.679999999999993</c:v>
                </c:pt>
                <c:pt idx="157" formatCode="_(* #,##0.00_);_(* \(#,##0.00\);_(* &quot;-&quot;??_);_(@_)">
                  <c:v>67.012631578947364</c:v>
                </c:pt>
                <c:pt idx="158" formatCode="_(* #,##0.00_);_(* \(#,##0.00\);_(* &quot;-&quot;??_);_(@_)">
                  <c:v>74.006521739130449</c:v>
                </c:pt>
                <c:pt idx="159" formatCode="_(* #,##0.00_);_(* \(#,##0.00\);_(* &quot;-&quot;??_);_(@_)">
                  <c:v>79.201999999999998</c:v>
                </c:pt>
                <c:pt idx="160" formatCode="_(* #,##0.00_);_(* \(#,##0.00\);_(* &quot;-&quot;??_);_(@_)">
                  <c:v>81.004761904761907</c:v>
                </c:pt>
                <c:pt idx="161" formatCode="_(* #,##0.00_);_(* \(#,##0.00\);_(* &quot;-&quot;??_);_(@_)">
                  <c:v>76.33</c:v>
                </c:pt>
                <c:pt idx="162" formatCode="_(* #,##0.00_);_(* \(#,##0.00\);_(* &quot;-&quot;??_);_(@_)">
                  <c:v>61.398000000000003</c:v>
                </c:pt>
                <c:pt idx="163" formatCode="_(* #,##0.00_);_(* \(#,##0.00\);_(* &quot;-&quot;??_);_(@_)">
                  <c:v>67.486956521739117</c:v>
                </c:pt>
                <c:pt idx="164" formatCode="_(* #,##0.00_);_(* \(#,##0.00\);_(* &quot;-&quot;??_);_(@_)">
                  <c:v>66.873333333333335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51BE-4E38-BCB4-DA22D351D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562904"/>
        <c:axId val="1208563560"/>
      </c:scatterChart>
      <c:valAx>
        <c:axId val="1208562904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563560"/>
        <c:crosses val="autoZero"/>
        <c:crossBetween val="midCat"/>
      </c:valAx>
      <c:valAx>
        <c:axId val="120856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562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92</xdr:row>
      <xdr:rowOff>76200</xdr:rowOff>
    </xdr:from>
    <xdr:to>
      <xdr:col>22</xdr:col>
      <xdr:colOff>390524</xdr:colOff>
      <xdr:row>133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FEB09-44D7-4F15-B5BC-D54E1BB8B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0.12233</cdr:x>
      <cdr:y>0.17285</cdr:y>
    </cdr:from>
    <cdr:to>
      <cdr:x>0.84077</cdr:x>
      <cdr:y>0.48861</cdr:y>
    </cdr:to>
    <cdr:sp macro="" textlink="">
      <cdr:nvSpPr>
        <cdr:cNvPr id="5" name="Freeform: Shape 4">
          <a:extLst xmlns:a="http://schemas.openxmlformats.org/drawingml/2006/main">
            <a:ext uri="{FF2B5EF4-FFF2-40B4-BE49-F238E27FC236}">
              <a16:creationId xmlns:a16="http://schemas.microsoft.com/office/drawing/2014/main" id="{9E13AD1D-CD1C-418C-BB49-25736A137F93}"/>
            </a:ext>
          </a:extLst>
        </cdr:cNvPr>
        <cdr:cNvSpPr/>
      </cdr:nvSpPr>
      <cdr:spPr>
        <a:xfrm xmlns:a="http://schemas.openxmlformats.org/drawingml/2006/main">
          <a:off x="1200187" y="1152496"/>
          <a:ext cx="7048435" cy="2105330"/>
        </a:xfrm>
        <a:custGeom xmlns:a="http://schemas.openxmlformats.org/drawingml/2006/main">
          <a:avLst/>
          <a:gdLst>
            <a:gd name="connsiteX0" fmla="*/ 0 w 7048500"/>
            <a:gd name="connsiteY0" fmla="*/ 0 h 2105292"/>
            <a:gd name="connsiteX1" fmla="*/ 28575 w 7048500"/>
            <a:gd name="connsiteY1" fmla="*/ 47625 h 2105292"/>
            <a:gd name="connsiteX2" fmla="*/ 85725 w 7048500"/>
            <a:gd name="connsiteY2" fmla="*/ 133350 h 2105292"/>
            <a:gd name="connsiteX3" fmla="*/ 104775 w 7048500"/>
            <a:gd name="connsiteY3" fmla="*/ 161925 h 2105292"/>
            <a:gd name="connsiteX4" fmla="*/ 123825 w 7048500"/>
            <a:gd name="connsiteY4" fmla="*/ 190500 h 2105292"/>
            <a:gd name="connsiteX5" fmla="*/ 152400 w 7048500"/>
            <a:gd name="connsiteY5" fmla="*/ 219075 h 2105292"/>
            <a:gd name="connsiteX6" fmla="*/ 171450 w 7048500"/>
            <a:gd name="connsiteY6" fmla="*/ 247650 h 2105292"/>
            <a:gd name="connsiteX7" fmla="*/ 200025 w 7048500"/>
            <a:gd name="connsiteY7" fmla="*/ 266700 h 2105292"/>
            <a:gd name="connsiteX8" fmla="*/ 257175 w 7048500"/>
            <a:gd name="connsiteY8" fmla="*/ 323850 h 2105292"/>
            <a:gd name="connsiteX9" fmla="*/ 285750 w 7048500"/>
            <a:gd name="connsiteY9" fmla="*/ 342900 h 2105292"/>
            <a:gd name="connsiteX10" fmla="*/ 314325 w 7048500"/>
            <a:gd name="connsiteY10" fmla="*/ 371475 h 2105292"/>
            <a:gd name="connsiteX11" fmla="*/ 342900 w 7048500"/>
            <a:gd name="connsiteY11" fmla="*/ 390525 h 2105292"/>
            <a:gd name="connsiteX12" fmla="*/ 371475 w 7048500"/>
            <a:gd name="connsiteY12" fmla="*/ 419100 h 2105292"/>
            <a:gd name="connsiteX13" fmla="*/ 428625 w 7048500"/>
            <a:gd name="connsiteY13" fmla="*/ 457200 h 2105292"/>
            <a:gd name="connsiteX14" fmla="*/ 457200 w 7048500"/>
            <a:gd name="connsiteY14" fmla="*/ 476250 h 2105292"/>
            <a:gd name="connsiteX15" fmla="*/ 476250 w 7048500"/>
            <a:gd name="connsiteY15" fmla="*/ 504825 h 2105292"/>
            <a:gd name="connsiteX16" fmla="*/ 533400 w 7048500"/>
            <a:gd name="connsiteY16" fmla="*/ 542925 h 2105292"/>
            <a:gd name="connsiteX17" fmla="*/ 581025 w 7048500"/>
            <a:gd name="connsiteY17" fmla="*/ 590550 h 2105292"/>
            <a:gd name="connsiteX18" fmla="*/ 666750 w 7048500"/>
            <a:gd name="connsiteY18" fmla="*/ 666750 h 2105292"/>
            <a:gd name="connsiteX19" fmla="*/ 742950 w 7048500"/>
            <a:gd name="connsiteY19" fmla="*/ 733425 h 2105292"/>
            <a:gd name="connsiteX20" fmla="*/ 771525 w 7048500"/>
            <a:gd name="connsiteY20" fmla="*/ 762000 h 2105292"/>
            <a:gd name="connsiteX21" fmla="*/ 828675 w 7048500"/>
            <a:gd name="connsiteY21" fmla="*/ 800100 h 2105292"/>
            <a:gd name="connsiteX22" fmla="*/ 857250 w 7048500"/>
            <a:gd name="connsiteY22" fmla="*/ 819150 h 2105292"/>
            <a:gd name="connsiteX23" fmla="*/ 942975 w 7048500"/>
            <a:gd name="connsiteY23" fmla="*/ 885825 h 2105292"/>
            <a:gd name="connsiteX24" fmla="*/ 1028700 w 7048500"/>
            <a:gd name="connsiteY24" fmla="*/ 933450 h 2105292"/>
            <a:gd name="connsiteX25" fmla="*/ 1057275 w 7048500"/>
            <a:gd name="connsiteY25" fmla="*/ 952500 h 2105292"/>
            <a:gd name="connsiteX26" fmla="*/ 1085850 w 7048500"/>
            <a:gd name="connsiteY26" fmla="*/ 971550 h 2105292"/>
            <a:gd name="connsiteX27" fmla="*/ 1114425 w 7048500"/>
            <a:gd name="connsiteY27" fmla="*/ 1000125 h 2105292"/>
            <a:gd name="connsiteX28" fmla="*/ 1200150 w 7048500"/>
            <a:gd name="connsiteY28" fmla="*/ 1057275 h 2105292"/>
            <a:gd name="connsiteX29" fmla="*/ 1257300 w 7048500"/>
            <a:gd name="connsiteY29" fmla="*/ 1095375 h 2105292"/>
            <a:gd name="connsiteX30" fmla="*/ 1285875 w 7048500"/>
            <a:gd name="connsiteY30" fmla="*/ 1114425 h 2105292"/>
            <a:gd name="connsiteX31" fmla="*/ 1314450 w 7048500"/>
            <a:gd name="connsiteY31" fmla="*/ 1123950 h 2105292"/>
            <a:gd name="connsiteX32" fmla="*/ 1333500 w 7048500"/>
            <a:gd name="connsiteY32" fmla="*/ 1152525 h 2105292"/>
            <a:gd name="connsiteX33" fmla="*/ 1362075 w 7048500"/>
            <a:gd name="connsiteY33" fmla="*/ 1162050 h 2105292"/>
            <a:gd name="connsiteX34" fmla="*/ 1419225 w 7048500"/>
            <a:gd name="connsiteY34" fmla="*/ 1200150 h 2105292"/>
            <a:gd name="connsiteX35" fmla="*/ 1504950 w 7048500"/>
            <a:gd name="connsiteY35" fmla="*/ 1257300 h 2105292"/>
            <a:gd name="connsiteX36" fmla="*/ 1533525 w 7048500"/>
            <a:gd name="connsiteY36" fmla="*/ 1276350 h 2105292"/>
            <a:gd name="connsiteX37" fmla="*/ 1562100 w 7048500"/>
            <a:gd name="connsiteY37" fmla="*/ 1285875 h 2105292"/>
            <a:gd name="connsiteX38" fmla="*/ 1590675 w 7048500"/>
            <a:gd name="connsiteY38" fmla="*/ 1304925 h 2105292"/>
            <a:gd name="connsiteX39" fmla="*/ 1647825 w 7048500"/>
            <a:gd name="connsiteY39" fmla="*/ 1323975 h 2105292"/>
            <a:gd name="connsiteX40" fmla="*/ 1676400 w 7048500"/>
            <a:gd name="connsiteY40" fmla="*/ 1343025 h 2105292"/>
            <a:gd name="connsiteX41" fmla="*/ 1733550 w 7048500"/>
            <a:gd name="connsiteY41" fmla="*/ 1362075 h 2105292"/>
            <a:gd name="connsiteX42" fmla="*/ 1762125 w 7048500"/>
            <a:gd name="connsiteY42" fmla="*/ 1381125 h 2105292"/>
            <a:gd name="connsiteX43" fmla="*/ 1847850 w 7048500"/>
            <a:gd name="connsiteY43" fmla="*/ 1409700 h 2105292"/>
            <a:gd name="connsiteX44" fmla="*/ 1962150 w 7048500"/>
            <a:gd name="connsiteY44" fmla="*/ 1447800 h 2105292"/>
            <a:gd name="connsiteX45" fmla="*/ 2105025 w 7048500"/>
            <a:gd name="connsiteY45" fmla="*/ 1495425 h 2105292"/>
            <a:gd name="connsiteX46" fmla="*/ 2133600 w 7048500"/>
            <a:gd name="connsiteY46" fmla="*/ 1504950 h 2105292"/>
            <a:gd name="connsiteX47" fmla="*/ 2162175 w 7048500"/>
            <a:gd name="connsiteY47" fmla="*/ 1514475 h 2105292"/>
            <a:gd name="connsiteX48" fmla="*/ 2209800 w 7048500"/>
            <a:gd name="connsiteY48" fmla="*/ 1524000 h 2105292"/>
            <a:gd name="connsiteX49" fmla="*/ 2266950 w 7048500"/>
            <a:gd name="connsiteY49" fmla="*/ 1543050 h 2105292"/>
            <a:gd name="connsiteX50" fmla="*/ 2295525 w 7048500"/>
            <a:gd name="connsiteY50" fmla="*/ 1552575 h 2105292"/>
            <a:gd name="connsiteX51" fmla="*/ 2371725 w 7048500"/>
            <a:gd name="connsiteY51" fmla="*/ 1571625 h 2105292"/>
            <a:gd name="connsiteX52" fmla="*/ 2400300 w 7048500"/>
            <a:gd name="connsiteY52" fmla="*/ 1581150 h 2105292"/>
            <a:gd name="connsiteX53" fmla="*/ 2476500 w 7048500"/>
            <a:gd name="connsiteY53" fmla="*/ 1600200 h 2105292"/>
            <a:gd name="connsiteX54" fmla="*/ 2600325 w 7048500"/>
            <a:gd name="connsiteY54" fmla="*/ 1628775 h 2105292"/>
            <a:gd name="connsiteX55" fmla="*/ 2628900 w 7048500"/>
            <a:gd name="connsiteY55" fmla="*/ 1638300 h 2105292"/>
            <a:gd name="connsiteX56" fmla="*/ 2705100 w 7048500"/>
            <a:gd name="connsiteY56" fmla="*/ 1657350 h 2105292"/>
            <a:gd name="connsiteX57" fmla="*/ 2733675 w 7048500"/>
            <a:gd name="connsiteY57" fmla="*/ 1666875 h 2105292"/>
            <a:gd name="connsiteX58" fmla="*/ 2857500 w 7048500"/>
            <a:gd name="connsiteY58" fmla="*/ 1685925 h 2105292"/>
            <a:gd name="connsiteX59" fmla="*/ 3038475 w 7048500"/>
            <a:gd name="connsiteY59" fmla="*/ 1714500 h 2105292"/>
            <a:gd name="connsiteX60" fmla="*/ 3124200 w 7048500"/>
            <a:gd name="connsiteY60" fmla="*/ 1733550 h 2105292"/>
            <a:gd name="connsiteX61" fmla="*/ 3257550 w 7048500"/>
            <a:gd name="connsiteY61" fmla="*/ 1752600 h 2105292"/>
            <a:gd name="connsiteX62" fmla="*/ 3333750 w 7048500"/>
            <a:gd name="connsiteY62" fmla="*/ 1762125 h 2105292"/>
            <a:gd name="connsiteX63" fmla="*/ 3438525 w 7048500"/>
            <a:gd name="connsiteY63" fmla="*/ 1781175 h 2105292"/>
            <a:gd name="connsiteX64" fmla="*/ 3514725 w 7048500"/>
            <a:gd name="connsiteY64" fmla="*/ 1800225 h 2105292"/>
            <a:gd name="connsiteX65" fmla="*/ 3648075 w 7048500"/>
            <a:gd name="connsiteY65" fmla="*/ 1809750 h 2105292"/>
            <a:gd name="connsiteX66" fmla="*/ 3724275 w 7048500"/>
            <a:gd name="connsiteY66" fmla="*/ 1828800 h 2105292"/>
            <a:gd name="connsiteX67" fmla="*/ 3829050 w 7048500"/>
            <a:gd name="connsiteY67" fmla="*/ 1838325 h 2105292"/>
            <a:gd name="connsiteX68" fmla="*/ 4162425 w 7048500"/>
            <a:gd name="connsiteY68" fmla="*/ 1857375 h 2105292"/>
            <a:gd name="connsiteX69" fmla="*/ 4229100 w 7048500"/>
            <a:gd name="connsiteY69" fmla="*/ 1866900 h 2105292"/>
            <a:gd name="connsiteX70" fmla="*/ 4305300 w 7048500"/>
            <a:gd name="connsiteY70" fmla="*/ 1885950 h 2105292"/>
            <a:gd name="connsiteX71" fmla="*/ 4505325 w 7048500"/>
            <a:gd name="connsiteY71" fmla="*/ 1895475 h 2105292"/>
            <a:gd name="connsiteX72" fmla="*/ 4610100 w 7048500"/>
            <a:gd name="connsiteY72" fmla="*/ 1905000 h 2105292"/>
            <a:gd name="connsiteX73" fmla="*/ 4810125 w 7048500"/>
            <a:gd name="connsiteY73" fmla="*/ 1914525 h 2105292"/>
            <a:gd name="connsiteX74" fmla="*/ 4972050 w 7048500"/>
            <a:gd name="connsiteY74" fmla="*/ 1933575 h 2105292"/>
            <a:gd name="connsiteX75" fmla="*/ 5048250 w 7048500"/>
            <a:gd name="connsiteY75" fmla="*/ 1943100 h 2105292"/>
            <a:gd name="connsiteX76" fmla="*/ 5219700 w 7048500"/>
            <a:gd name="connsiteY76" fmla="*/ 1952625 h 2105292"/>
            <a:gd name="connsiteX77" fmla="*/ 5457825 w 7048500"/>
            <a:gd name="connsiteY77" fmla="*/ 1971675 h 2105292"/>
            <a:gd name="connsiteX78" fmla="*/ 5505450 w 7048500"/>
            <a:gd name="connsiteY78" fmla="*/ 1981200 h 2105292"/>
            <a:gd name="connsiteX79" fmla="*/ 5724525 w 7048500"/>
            <a:gd name="connsiteY79" fmla="*/ 1990725 h 2105292"/>
            <a:gd name="connsiteX80" fmla="*/ 5772150 w 7048500"/>
            <a:gd name="connsiteY80" fmla="*/ 2000250 h 2105292"/>
            <a:gd name="connsiteX81" fmla="*/ 5800725 w 7048500"/>
            <a:gd name="connsiteY81" fmla="*/ 2009775 h 2105292"/>
            <a:gd name="connsiteX82" fmla="*/ 6057900 w 7048500"/>
            <a:gd name="connsiteY82" fmla="*/ 2019300 h 2105292"/>
            <a:gd name="connsiteX83" fmla="*/ 6219825 w 7048500"/>
            <a:gd name="connsiteY83" fmla="*/ 2038350 h 2105292"/>
            <a:gd name="connsiteX84" fmla="*/ 6372225 w 7048500"/>
            <a:gd name="connsiteY84" fmla="*/ 2028825 h 2105292"/>
            <a:gd name="connsiteX85" fmla="*/ 6686550 w 7048500"/>
            <a:gd name="connsiteY85" fmla="*/ 2047875 h 2105292"/>
            <a:gd name="connsiteX86" fmla="*/ 6791325 w 7048500"/>
            <a:gd name="connsiteY86" fmla="*/ 2066925 h 2105292"/>
            <a:gd name="connsiteX87" fmla="*/ 6953250 w 7048500"/>
            <a:gd name="connsiteY87" fmla="*/ 2085975 h 2105292"/>
            <a:gd name="connsiteX88" fmla="*/ 7048500 w 7048500"/>
            <a:gd name="connsiteY88" fmla="*/ 2105025 h 210529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  <a:cxn ang="0">
              <a:pos x="connsiteX88" y="connsiteY88"/>
            </a:cxn>
          </a:cxnLst>
          <a:rect l="l" t="t" r="r" b="b"/>
          <a:pathLst>
            <a:path w="7048500" h="2105292">
              <a:moveTo>
                <a:pt x="0" y="0"/>
              </a:moveTo>
              <a:cubicBezTo>
                <a:pt x="9525" y="15875"/>
                <a:pt x="18636" y="32006"/>
                <a:pt x="28575" y="47625"/>
              </a:cubicBezTo>
              <a:cubicBezTo>
                <a:pt x="47013" y="76599"/>
                <a:pt x="66675" y="104775"/>
                <a:pt x="85725" y="133350"/>
              </a:cubicBezTo>
              <a:lnTo>
                <a:pt x="104775" y="161925"/>
              </a:lnTo>
              <a:cubicBezTo>
                <a:pt x="111125" y="171450"/>
                <a:pt x="115730" y="182405"/>
                <a:pt x="123825" y="190500"/>
              </a:cubicBezTo>
              <a:cubicBezTo>
                <a:pt x="133350" y="200025"/>
                <a:pt x="143776" y="208727"/>
                <a:pt x="152400" y="219075"/>
              </a:cubicBezTo>
              <a:cubicBezTo>
                <a:pt x="159729" y="227869"/>
                <a:pt x="163355" y="239555"/>
                <a:pt x="171450" y="247650"/>
              </a:cubicBezTo>
              <a:cubicBezTo>
                <a:pt x="179545" y="255745"/>
                <a:pt x="191469" y="259095"/>
                <a:pt x="200025" y="266700"/>
              </a:cubicBezTo>
              <a:cubicBezTo>
                <a:pt x="220161" y="284598"/>
                <a:pt x="234759" y="308906"/>
                <a:pt x="257175" y="323850"/>
              </a:cubicBezTo>
              <a:cubicBezTo>
                <a:pt x="266700" y="330200"/>
                <a:pt x="276956" y="335571"/>
                <a:pt x="285750" y="342900"/>
              </a:cubicBezTo>
              <a:cubicBezTo>
                <a:pt x="296098" y="351524"/>
                <a:pt x="303977" y="362851"/>
                <a:pt x="314325" y="371475"/>
              </a:cubicBezTo>
              <a:cubicBezTo>
                <a:pt x="323119" y="378804"/>
                <a:pt x="334106" y="383196"/>
                <a:pt x="342900" y="390525"/>
              </a:cubicBezTo>
              <a:cubicBezTo>
                <a:pt x="353248" y="399149"/>
                <a:pt x="360842" y="410830"/>
                <a:pt x="371475" y="419100"/>
              </a:cubicBezTo>
              <a:cubicBezTo>
                <a:pt x="389547" y="433156"/>
                <a:pt x="409575" y="444500"/>
                <a:pt x="428625" y="457200"/>
              </a:cubicBezTo>
              <a:lnTo>
                <a:pt x="457200" y="476250"/>
              </a:lnTo>
              <a:cubicBezTo>
                <a:pt x="463550" y="485775"/>
                <a:pt x="467635" y="497287"/>
                <a:pt x="476250" y="504825"/>
              </a:cubicBezTo>
              <a:cubicBezTo>
                <a:pt x="493480" y="519902"/>
                <a:pt x="533400" y="542925"/>
                <a:pt x="533400" y="542925"/>
              </a:cubicBezTo>
              <a:cubicBezTo>
                <a:pt x="572655" y="601807"/>
                <a:pt x="529070" y="544368"/>
                <a:pt x="581025" y="590550"/>
              </a:cubicBezTo>
              <a:cubicBezTo>
                <a:pt x="678892" y="677543"/>
                <a:pt x="601897" y="623515"/>
                <a:pt x="666750" y="666750"/>
              </a:cubicBezTo>
              <a:cubicBezTo>
                <a:pt x="720725" y="747712"/>
                <a:pt x="631825" y="622300"/>
                <a:pt x="742950" y="733425"/>
              </a:cubicBezTo>
              <a:cubicBezTo>
                <a:pt x="752475" y="742950"/>
                <a:pt x="760892" y="753730"/>
                <a:pt x="771525" y="762000"/>
              </a:cubicBezTo>
              <a:cubicBezTo>
                <a:pt x="789597" y="776056"/>
                <a:pt x="809625" y="787400"/>
                <a:pt x="828675" y="800100"/>
              </a:cubicBezTo>
              <a:cubicBezTo>
                <a:pt x="838200" y="806450"/>
                <a:pt x="849155" y="811055"/>
                <a:pt x="857250" y="819150"/>
              </a:cubicBezTo>
              <a:cubicBezTo>
                <a:pt x="881905" y="843805"/>
                <a:pt x="908796" y="874432"/>
                <a:pt x="942975" y="885825"/>
              </a:cubicBezTo>
              <a:cubicBezTo>
                <a:pt x="993270" y="902590"/>
                <a:pt x="963196" y="889781"/>
                <a:pt x="1028700" y="933450"/>
              </a:cubicBezTo>
              <a:lnTo>
                <a:pt x="1057275" y="952500"/>
              </a:lnTo>
              <a:cubicBezTo>
                <a:pt x="1066800" y="958850"/>
                <a:pt x="1077755" y="963455"/>
                <a:pt x="1085850" y="971550"/>
              </a:cubicBezTo>
              <a:cubicBezTo>
                <a:pt x="1095375" y="981075"/>
                <a:pt x="1103792" y="991855"/>
                <a:pt x="1114425" y="1000125"/>
              </a:cubicBezTo>
              <a:lnTo>
                <a:pt x="1200150" y="1057275"/>
              </a:lnTo>
              <a:lnTo>
                <a:pt x="1257300" y="1095375"/>
              </a:lnTo>
              <a:cubicBezTo>
                <a:pt x="1266825" y="1101725"/>
                <a:pt x="1275015" y="1110805"/>
                <a:pt x="1285875" y="1114425"/>
              </a:cubicBezTo>
              <a:lnTo>
                <a:pt x="1314450" y="1123950"/>
              </a:lnTo>
              <a:cubicBezTo>
                <a:pt x="1320800" y="1133475"/>
                <a:pt x="1324561" y="1145374"/>
                <a:pt x="1333500" y="1152525"/>
              </a:cubicBezTo>
              <a:cubicBezTo>
                <a:pt x="1341340" y="1158797"/>
                <a:pt x="1353298" y="1157174"/>
                <a:pt x="1362075" y="1162050"/>
              </a:cubicBezTo>
              <a:cubicBezTo>
                <a:pt x="1382089" y="1173169"/>
                <a:pt x="1400175" y="1187450"/>
                <a:pt x="1419225" y="1200150"/>
              </a:cubicBezTo>
              <a:lnTo>
                <a:pt x="1504950" y="1257300"/>
              </a:lnTo>
              <a:cubicBezTo>
                <a:pt x="1514475" y="1263650"/>
                <a:pt x="1522665" y="1272730"/>
                <a:pt x="1533525" y="1276350"/>
              </a:cubicBezTo>
              <a:cubicBezTo>
                <a:pt x="1543050" y="1279525"/>
                <a:pt x="1553120" y="1281385"/>
                <a:pt x="1562100" y="1285875"/>
              </a:cubicBezTo>
              <a:cubicBezTo>
                <a:pt x="1572339" y="1290995"/>
                <a:pt x="1580214" y="1300276"/>
                <a:pt x="1590675" y="1304925"/>
              </a:cubicBezTo>
              <a:cubicBezTo>
                <a:pt x="1609025" y="1313080"/>
                <a:pt x="1631117" y="1312836"/>
                <a:pt x="1647825" y="1323975"/>
              </a:cubicBezTo>
              <a:cubicBezTo>
                <a:pt x="1657350" y="1330325"/>
                <a:pt x="1665939" y="1338376"/>
                <a:pt x="1676400" y="1343025"/>
              </a:cubicBezTo>
              <a:cubicBezTo>
                <a:pt x="1694750" y="1351180"/>
                <a:pt x="1716842" y="1350936"/>
                <a:pt x="1733550" y="1362075"/>
              </a:cubicBezTo>
              <a:cubicBezTo>
                <a:pt x="1743075" y="1368425"/>
                <a:pt x="1751664" y="1376476"/>
                <a:pt x="1762125" y="1381125"/>
              </a:cubicBezTo>
              <a:lnTo>
                <a:pt x="1847850" y="1409700"/>
              </a:lnTo>
              <a:lnTo>
                <a:pt x="1962150" y="1447800"/>
              </a:lnTo>
              <a:lnTo>
                <a:pt x="2105025" y="1495425"/>
              </a:lnTo>
              <a:lnTo>
                <a:pt x="2133600" y="1504950"/>
              </a:lnTo>
              <a:cubicBezTo>
                <a:pt x="2143125" y="1508125"/>
                <a:pt x="2152330" y="1512506"/>
                <a:pt x="2162175" y="1514475"/>
              </a:cubicBezTo>
              <a:cubicBezTo>
                <a:pt x="2178050" y="1517650"/>
                <a:pt x="2194181" y="1519740"/>
                <a:pt x="2209800" y="1524000"/>
              </a:cubicBezTo>
              <a:cubicBezTo>
                <a:pt x="2229173" y="1529284"/>
                <a:pt x="2247900" y="1536700"/>
                <a:pt x="2266950" y="1543050"/>
              </a:cubicBezTo>
              <a:cubicBezTo>
                <a:pt x="2276475" y="1546225"/>
                <a:pt x="2285785" y="1550140"/>
                <a:pt x="2295525" y="1552575"/>
              </a:cubicBezTo>
              <a:cubicBezTo>
                <a:pt x="2320925" y="1558925"/>
                <a:pt x="2346887" y="1563346"/>
                <a:pt x="2371725" y="1571625"/>
              </a:cubicBezTo>
              <a:cubicBezTo>
                <a:pt x="2381250" y="1574800"/>
                <a:pt x="2390614" y="1578508"/>
                <a:pt x="2400300" y="1581150"/>
              </a:cubicBezTo>
              <a:cubicBezTo>
                <a:pt x="2425559" y="1588039"/>
                <a:pt x="2451662" y="1591921"/>
                <a:pt x="2476500" y="1600200"/>
              </a:cubicBezTo>
              <a:cubicBezTo>
                <a:pt x="2554949" y="1626350"/>
                <a:pt x="2513771" y="1616410"/>
                <a:pt x="2600325" y="1628775"/>
              </a:cubicBezTo>
              <a:cubicBezTo>
                <a:pt x="2609850" y="1631950"/>
                <a:pt x="2619214" y="1635658"/>
                <a:pt x="2628900" y="1638300"/>
              </a:cubicBezTo>
              <a:cubicBezTo>
                <a:pt x="2654159" y="1645189"/>
                <a:pt x="2680262" y="1649071"/>
                <a:pt x="2705100" y="1657350"/>
              </a:cubicBezTo>
              <a:cubicBezTo>
                <a:pt x="2714625" y="1660525"/>
                <a:pt x="2723874" y="1664697"/>
                <a:pt x="2733675" y="1666875"/>
              </a:cubicBezTo>
              <a:cubicBezTo>
                <a:pt x="2761741" y="1673112"/>
                <a:pt x="2831260" y="1681782"/>
                <a:pt x="2857500" y="1685925"/>
              </a:cubicBezTo>
              <a:cubicBezTo>
                <a:pt x="3073538" y="1720036"/>
                <a:pt x="2887300" y="1692904"/>
                <a:pt x="3038475" y="1714500"/>
              </a:cubicBezTo>
              <a:cubicBezTo>
                <a:pt x="3082203" y="1729076"/>
                <a:pt x="3063242" y="1724406"/>
                <a:pt x="3124200" y="1733550"/>
              </a:cubicBezTo>
              <a:lnTo>
                <a:pt x="3257550" y="1752600"/>
              </a:lnTo>
              <a:cubicBezTo>
                <a:pt x="3282913" y="1756059"/>
                <a:pt x="3308410" y="1758505"/>
                <a:pt x="3333750" y="1762125"/>
              </a:cubicBezTo>
              <a:cubicBezTo>
                <a:pt x="3359274" y="1765771"/>
                <a:pt x="3411860" y="1775021"/>
                <a:pt x="3438525" y="1781175"/>
              </a:cubicBezTo>
              <a:cubicBezTo>
                <a:pt x="3464036" y="1787062"/>
                <a:pt x="3488610" y="1798360"/>
                <a:pt x="3514725" y="1800225"/>
              </a:cubicBezTo>
              <a:lnTo>
                <a:pt x="3648075" y="1809750"/>
              </a:lnTo>
              <a:cubicBezTo>
                <a:pt x="3673475" y="1816100"/>
                <a:pt x="3698201" y="1826430"/>
                <a:pt x="3724275" y="1828800"/>
              </a:cubicBezTo>
              <a:lnTo>
                <a:pt x="3829050" y="1838325"/>
              </a:lnTo>
              <a:cubicBezTo>
                <a:pt x="3926936" y="1845576"/>
                <a:pt x="4066875" y="1852346"/>
                <a:pt x="4162425" y="1857375"/>
              </a:cubicBezTo>
              <a:cubicBezTo>
                <a:pt x="4184650" y="1860550"/>
                <a:pt x="4207085" y="1862497"/>
                <a:pt x="4229100" y="1866900"/>
              </a:cubicBezTo>
              <a:cubicBezTo>
                <a:pt x="4254773" y="1872035"/>
                <a:pt x="4279148" y="1884705"/>
                <a:pt x="4305300" y="1885950"/>
              </a:cubicBezTo>
              <a:lnTo>
                <a:pt x="4505325" y="1895475"/>
              </a:lnTo>
              <a:cubicBezTo>
                <a:pt x="4540326" y="1897663"/>
                <a:pt x="4575099" y="1902812"/>
                <a:pt x="4610100" y="1905000"/>
              </a:cubicBezTo>
              <a:cubicBezTo>
                <a:pt x="4676721" y="1909164"/>
                <a:pt x="4743450" y="1911350"/>
                <a:pt x="4810125" y="1914525"/>
              </a:cubicBezTo>
              <a:cubicBezTo>
                <a:pt x="4893508" y="1935371"/>
                <a:pt x="4818974" y="1918996"/>
                <a:pt x="4972050" y="1933575"/>
              </a:cubicBezTo>
              <a:cubicBezTo>
                <a:pt x="4997532" y="1936002"/>
                <a:pt x="5022728" y="1941137"/>
                <a:pt x="5048250" y="1943100"/>
              </a:cubicBezTo>
              <a:cubicBezTo>
                <a:pt x="5105320" y="1947490"/>
                <a:pt x="5162550" y="1949450"/>
                <a:pt x="5219700" y="1952625"/>
              </a:cubicBezTo>
              <a:cubicBezTo>
                <a:pt x="5360024" y="1976012"/>
                <a:pt x="5183784" y="1948838"/>
                <a:pt x="5457825" y="1971675"/>
              </a:cubicBezTo>
              <a:cubicBezTo>
                <a:pt x="5473958" y="1973019"/>
                <a:pt x="5489302" y="1980047"/>
                <a:pt x="5505450" y="1981200"/>
              </a:cubicBezTo>
              <a:cubicBezTo>
                <a:pt x="5578358" y="1986408"/>
                <a:pt x="5651500" y="1987550"/>
                <a:pt x="5724525" y="1990725"/>
              </a:cubicBezTo>
              <a:cubicBezTo>
                <a:pt x="5740400" y="1993900"/>
                <a:pt x="5756444" y="1996323"/>
                <a:pt x="5772150" y="2000250"/>
              </a:cubicBezTo>
              <a:cubicBezTo>
                <a:pt x="5781890" y="2002685"/>
                <a:pt x="5790707" y="2009107"/>
                <a:pt x="5800725" y="2009775"/>
              </a:cubicBezTo>
              <a:cubicBezTo>
                <a:pt x="5886319" y="2015481"/>
                <a:pt x="5972175" y="2016125"/>
                <a:pt x="6057900" y="2019300"/>
              </a:cubicBezTo>
              <a:lnTo>
                <a:pt x="6219825" y="2038350"/>
              </a:lnTo>
              <a:cubicBezTo>
                <a:pt x="6270724" y="2038350"/>
                <a:pt x="6321425" y="2032000"/>
                <a:pt x="6372225" y="2028825"/>
              </a:cubicBezTo>
              <a:cubicBezTo>
                <a:pt x="6442935" y="2032039"/>
                <a:pt x="6599345" y="2035983"/>
                <a:pt x="6686550" y="2047875"/>
              </a:cubicBezTo>
              <a:cubicBezTo>
                <a:pt x="6721722" y="2052671"/>
                <a:pt x="6756184" y="2061905"/>
                <a:pt x="6791325" y="2066925"/>
              </a:cubicBezTo>
              <a:cubicBezTo>
                <a:pt x="6845126" y="2074611"/>
                <a:pt x="6899275" y="2079625"/>
                <a:pt x="6953250" y="2085975"/>
              </a:cubicBezTo>
              <a:cubicBezTo>
                <a:pt x="7022448" y="2109041"/>
                <a:pt x="6990320" y="2105025"/>
                <a:pt x="7048500" y="2105025"/>
              </a:cubicBezTo>
            </a:path>
          </a:pathLst>
        </a:custGeom>
        <a:noFill xmlns:a="http://schemas.openxmlformats.org/drawingml/2006/main"/>
        <a:ln xmlns:a="http://schemas.openxmlformats.org/drawingml/2006/main" w="47625">
          <a:solidFill>
            <a:schemeClr val="accent2">
              <a:alpha val="29000"/>
            </a:scheme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sboscatter%20-%20HOBO.xlsx" TargetMode="External"/><Relationship Id="rId1" Type="http://schemas.openxmlformats.org/officeDocument/2006/relationships/externalLinkPath" Target="/Users/torem/Dropbox/FM%20Files/HOBO/Biofuel%20Model/sboscatter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oilseed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oilseedb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A2">
            <v>39814</v>
          </cell>
          <cell r="B2">
            <v>73.530958962779309</v>
          </cell>
          <cell r="C2">
            <v>34.340000000000003</v>
          </cell>
        </row>
        <row r="3">
          <cell r="A3">
            <v>39845</v>
          </cell>
          <cell r="B3">
            <v>61.849176183300322</v>
          </cell>
          <cell r="C3">
            <v>31.92</v>
          </cell>
        </row>
        <row r="4">
          <cell r="A4">
            <v>39873</v>
          </cell>
          <cell r="B4">
            <v>62.669521126380744</v>
          </cell>
          <cell r="C4">
            <v>31.56</v>
          </cell>
        </row>
        <row r="5">
          <cell r="A5">
            <v>39904</v>
          </cell>
          <cell r="B5">
            <v>64.778497363557079</v>
          </cell>
          <cell r="C5">
            <v>35.71</v>
          </cell>
        </row>
        <row r="6">
          <cell r="A6">
            <v>39934</v>
          </cell>
          <cell r="B6">
            <v>63.624312268029037</v>
          </cell>
          <cell r="C6">
            <v>38.49</v>
          </cell>
        </row>
        <row r="7">
          <cell r="A7">
            <v>39965</v>
          </cell>
          <cell r="B7">
            <v>74.722419632336781</v>
          </cell>
          <cell r="C7">
            <v>37.729999999999997</v>
          </cell>
        </row>
        <row r="8">
          <cell r="A8">
            <v>39995</v>
          </cell>
          <cell r="B8">
            <v>68.598728317926884</v>
          </cell>
          <cell r="C8">
            <v>34.1</v>
          </cell>
        </row>
        <row r="9">
          <cell r="A9">
            <v>40026</v>
          </cell>
          <cell r="B9">
            <v>57.41608034864808</v>
          </cell>
          <cell r="C9">
            <v>36.78</v>
          </cell>
        </row>
        <row r="10">
          <cell r="A10">
            <v>40057</v>
          </cell>
          <cell r="B10">
            <v>54.266171851347146</v>
          </cell>
          <cell r="C10">
            <v>34.07</v>
          </cell>
        </row>
        <row r="11">
          <cell r="A11">
            <v>40087</v>
          </cell>
          <cell r="B11">
            <v>46.243398101994998</v>
          </cell>
          <cell r="C11">
            <v>36.31</v>
          </cell>
        </row>
        <row r="12">
          <cell r="A12">
            <v>40118</v>
          </cell>
          <cell r="B12">
            <v>53.3222613363669</v>
          </cell>
          <cell r="C12">
            <v>38.75</v>
          </cell>
        </row>
        <row r="13">
          <cell r="A13">
            <v>40148</v>
          </cell>
          <cell r="B13">
            <v>55.858822146380838</v>
          </cell>
          <cell r="C13">
            <v>39.5</v>
          </cell>
        </row>
        <row r="14">
          <cell r="A14">
            <v>40179</v>
          </cell>
          <cell r="B14">
            <v>55.87963462877169</v>
          </cell>
          <cell r="C14">
            <v>38.229999999999997</v>
          </cell>
        </row>
        <row r="15">
          <cell r="A15">
            <v>40210</v>
          </cell>
          <cell r="B15">
            <v>56.617870014116207</v>
          </cell>
          <cell r="C15">
            <v>38.119999999999997</v>
          </cell>
        </row>
        <row r="16">
          <cell r="A16">
            <v>40238</v>
          </cell>
          <cell r="B16">
            <v>60.143278924424273</v>
          </cell>
          <cell r="C16">
            <v>39.590000000000003</v>
          </cell>
        </row>
        <row r="17">
          <cell r="A17">
            <v>40269</v>
          </cell>
          <cell r="B17">
            <v>71.677910754948329</v>
          </cell>
          <cell r="C17">
            <v>39.369999999999997</v>
          </cell>
        </row>
        <row r="18">
          <cell r="A18">
            <v>40299</v>
          </cell>
          <cell r="B18">
            <v>78.820946800145791</v>
          </cell>
          <cell r="C18">
            <v>37.92</v>
          </cell>
        </row>
        <row r="19">
          <cell r="A19">
            <v>40330</v>
          </cell>
          <cell r="B19">
            <v>78.653406959098263</v>
          </cell>
          <cell r="C19">
            <v>37.24</v>
          </cell>
        </row>
        <row r="20">
          <cell r="A20">
            <v>40360</v>
          </cell>
          <cell r="B20">
            <v>76.839954702003325</v>
          </cell>
          <cell r="C20">
            <v>38.01</v>
          </cell>
        </row>
        <row r="21">
          <cell r="A21">
            <v>40391</v>
          </cell>
          <cell r="B21">
            <v>61.486525972895087</v>
          </cell>
          <cell r="C21">
            <v>40.700000000000003</v>
          </cell>
        </row>
        <row r="22">
          <cell r="A22">
            <v>40422</v>
          </cell>
          <cell r="B22">
            <v>72.399775454896883</v>
          </cell>
          <cell r="C22">
            <v>42.22</v>
          </cell>
        </row>
        <row r="23">
          <cell r="A23">
            <v>40452</v>
          </cell>
          <cell r="B23">
            <v>53.064535118766813</v>
          </cell>
          <cell r="C23">
            <v>47.13</v>
          </cell>
        </row>
        <row r="24">
          <cell r="A24">
            <v>40483</v>
          </cell>
          <cell r="B24">
            <v>58.279145546357725</v>
          </cell>
          <cell r="C24">
            <v>50.95</v>
          </cell>
        </row>
        <row r="25">
          <cell r="A25">
            <v>40513</v>
          </cell>
          <cell r="B25">
            <v>69.861360961171329</v>
          </cell>
          <cell r="C25">
            <v>54.98</v>
          </cell>
        </row>
        <row r="26">
          <cell r="A26">
            <v>40544</v>
          </cell>
          <cell r="B26">
            <v>57.109874481265621</v>
          </cell>
          <cell r="C26">
            <v>57.27</v>
          </cell>
        </row>
        <row r="27">
          <cell r="A27">
            <v>40575</v>
          </cell>
          <cell r="B27">
            <v>60.736708294486711</v>
          </cell>
          <cell r="C27">
            <v>57.53</v>
          </cell>
        </row>
        <row r="28">
          <cell r="A28">
            <v>40603</v>
          </cell>
          <cell r="B28">
            <v>65.95949240882085</v>
          </cell>
          <cell r="C28">
            <v>56.67</v>
          </cell>
        </row>
        <row r="29">
          <cell r="A29">
            <v>40634</v>
          </cell>
          <cell r="B29">
            <v>63.207319099088082</v>
          </cell>
          <cell r="C29">
            <v>58.02</v>
          </cell>
        </row>
        <row r="30">
          <cell r="A30">
            <v>40664</v>
          </cell>
          <cell r="B30">
            <v>59.042174251071295</v>
          </cell>
          <cell r="C30">
            <v>57.12</v>
          </cell>
        </row>
        <row r="31">
          <cell r="A31">
            <v>40695</v>
          </cell>
          <cell r="B31">
            <v>64.153663660253073</v>
          </cell>
          <cell r="C31">
            <v>56.7</v>
          </cell>
        </row>
        <row r="32">
          <cell r="A32">
            <v>40725</v>
          </cell>
          <cell r="B32">
            <v>62.992812627092839</v>
          </cell>
          <cell r="C32">
            <v>56.38</v>
          </cell>
        </row>
        <row r="33">
          <cell r="A33">
            <v>40756</v>
          </cell>
          <cell r="B33">
            <v>50.616319137040549</v>
          </cell>
          <cell r="C33">
            <v>55.6</v>
          </cell>
        </row>
        <row r="34">
          <cell r="A34">
            <v>40787</v>
          </cell>
          <cell r="B34">
            <v>41.714157605078945</v>
          </cell>
          <cell r="C34">
            <v>55.45</v>
          </cell>
        </row>
        <row r="35">
          <cell r="A35">
            <v>40817</v>
          </cell>
          <cell r="B35">
            <v>39.546208792762926</v>
          </cell>
          <cell r="C35">
            <v>51.23</v>
          </cell>
        </row>
        <row r="36">
          <cell r="A36">
            <v>40848</v>
          </cell>
          <cell r="B36">
            <v>39.917633206451136</v>
          </cell>
          <cell r="C36">
            <v>50.66</v>
          </cell>
        </row>
        <row r="37">
          <cell r="A37">
            <v>40878</v>
          </cell>
          <cell r="B37">
            <v>44.754752135094478</v>
          </cell>
          <cell r="C37">
            <v>50.16</v>
          </cell>
        </row>
        <row r="38">
          <cell r="A38">
            <v>40909</v>
          </cell>
          <cell r="B38">
            <v>54.506710721656198</v>
          </cell>
          <cell r="C38">
            <v>51.45</v>
          </cell>
        </row>
        <row r="39">
          <cell r="A39">
            <v>40940</v>
          </cell>
          <cell r="B39">
            <v>51.9525888107081</v>
          </cell>
          <cell r="C39">
            <v>53.1</v>
          </cell>
        </row>
        <row r="40">
          <cell r="A40">
            <v>40969</v>
          </cell>
          <cell r="B40">
            <v>58.309058392940216</v>
          </cell>
          <cell r="C40">
            <v>54.44</v>
          </cell>
        </row>
        <row r="41">
          <cell r="A41">
            <v>41000</v>
          </cell>
          <cell r="B41">
            <v>56.788030881905854</v>
          </cell>
          <cell r="C41">
            <v>55.82</v>
          </cell>
        </row>
        <row r="42">
          <cell r="A42">
            <v>41030</v>
          </cell>
          <cell r="B42">
            <v>49.351228342468914</v>
          </cell>
          <cell r="C42">
            <v>51.57</v>
          </cell>
        </row>
        <row r="43">
          <cell r="A43">
            <v>41061</v>
          </cell>
          <cell r="B43">
            <v>51.434410747697449</v>
          </cell>
          <cell r="C43">
            <v>49.8</v>
          </cell>
        </row>
        <row r="44">
          <cell r="A44">
            <v>41091</v>
          </cell>
          <cell r="B44">
            <v>57.483618003258435</v>
          </cell>
          <cell r="C44">
            <v>53.32</v>
          </cell>
        </row>
        <row r="45">
          <cell r="A45">
            <v>41122</v>
          </cell>
          <cell r="B45">
            <v>46.494544098966806</v>
          </cell>
          <cell r="C45">
            <v>53.991739130434702</v>
          </cell>
        </row>
        <row r="46">
          <cell r="A46">
            <v>41153</v>
          </cell>
          <cell r="B46">
            <v>48.557165455160828</v>
          </cell>
          <cell r="C46">
            <v>55.122631578947299</v>
          </cell>
        </row>
        <row r="47">
          <cell r="A47">
            <v>41183</v>
          </cell>
          <cell r="B47">
            <v>48.373665500288453</v>
          </cell>
          <cell r="C47">
            <v>51.004347826086899</v>
          </cell>
        </row>
        <row r="48">
          <cell r="A48">
            <v>41214</v>
          </cell>
          <cell r="B48">
            <v>52.041316331961568</v>
          </cell>
          <cell r="C48">
            <v>48.6142857142857</v>
          </cell>
        </row>
        <row r="49">
          <cell r="A49">
            <v>41244</v>
          </cell>
          <cell r="B49">
            <v>58.216303280395302</v>
          </cell>
          <cell r="C49">
            <v>49.58</v>
          </cell>
        </row>
        <row r="50">
          <cell r="A50">
            <v>41275</v>
          </cell>
          <cell r="B50">
            <v>66.751261482457267</v>
          </cell>
          <cell r="C50">
            <v>51.073</v>
          </cell>
        </row>
        <row r="51">
          <cell r="A51">
            <v>41306</v>
          </cell>
          <cell r="B51">
            <v>52.977257007348456</v>
          </cell>
          <cell r="C51">
            <v>51.359499999999997</v>
          </cell>
        </row>
        <row r="52">
          <cell r="A52">
            <v>41334</v>
          </cell>
          <cell r="B52">
            <v>60.387403233532588</v>
          </cell>
          <cell r="C52">
            <v>50.124299999999998</v>
          </cell>
        </row>
        <row r="53">
          <cell r="A53">
            <v>41365</v>
          </cell>
          <cell r="B53">
            <v>59.132727793364595</v>
          </cell>
          <cell r="C53">
            <v>49.2941</v>
          </cell>
        </row>
        <row r="54">
          <cell r="A54">
            <v>41395</v>
          </cell>
          <cell r="B54">
            <v>53.256192629388337</v>
          </cell>
          <cell r="C54">
            <v>49.1768</v>
          </cell>
        </row>
        <row r="55">
          <cell r="A55">
            <v>41426</v>
          </cell>
          <cell r="B55">
            <v>49.075044040466814</v>
          </cell>
          <cell r="C55">
            <v>48.017000000000003</v>
          </cell>
        </row>
        <row r="56">
          <cell r="A56">
            <v>41456</v>
          </cell>
          <cell r="B56">
            <v>45.81646743291703</v>
          </cell>
          <cell r="C56">
            <v>45.387300000000003</v>
          </cell>
        </row>
        <row r="57">
          <cell r="A57">
            <v>41487</v>
          </cell>
          <cell r="B57">
            <v>33.845987385287252</v>
          </cell>
          <cell r="C57">
            <v>42.8673</v>
          </cell>
        </row>
        <row r="58">
          <cell r="A58">
            <v>41518</v>
          </cell>
          <cell r="B58">
            <v>30.540222756930593</v>
          </cell>
          <cell r="C58">
            <v>42.445500000000003</v>
          </cell>
        </row>
        <row r="59">
          <cell r="A59">
            <v>41548</v>
          </cell>
          <cell r="B59">
            <v>27.511203039614106</v>
          </cell>
          <cell r="C59">
            <v>40.812199999999997</v>
          </cell>
        </row>
        <row r="60">
          <cell r="A60">
            <v>41579</v>
          </cell>
          <cell r="B60">
            <v>30.223632420154441</v>
          </cell>
          <cell r="C60">
            <v>40.701500000000003</v>
          </cell>
        </row>
        <row r="61">
          <cell r="A61">
            <v>41609</v>
          </cell>
          <cell r="B61">
            <v>36.51186574303604</v>
          </cell>
          <cell r="C61">
            <v>39.681399999999996</v>
          </cell>
        </row>
        <row r="62">
          <cell r="A62">
            <v>41640</v>
          </cell>
          <cell r="B62">
            <v>39.998258391140418</v>
          </cell>
          <cell r="C62">
            <v>37.824300000000001</v>
          </cell>
        </row>
        <row r="63">
          <cell r="A63">
            <v>41671</v>
          </cell>
          <cell r="B63">
            <v>39.088293018919529</v>
          </cell>
          <cell r="C63">
            <v>39.628399999999999</v>
          </cell>
        </row>
        <row r="64">
          <cell r="A64">
            <v>41699</v>
          </cell>
          <cell r="B64">
            <v>44.997280898532999</v>
          </cell>
          <cell r="C64">
            <v>42.230499999999999</v>
          </cell>
        </row>
        <row r="65">
          <cell r="A65">
            <v>41730</v>
          </cell>
          <cell r="B65">
            <v>48.273593791618275</v>
          </cell>
          <cell r="C65">
            <v>42.37</v>
          </cell>
        </row>
        <row r="66">
          <cell r="A66">
            <v>41760</v>
          </cell>
          <cell r="B66">
            <v>43.523279574861043</v>
          </cell>
          <cell r="C66">
            <v>40.6248</v>
          </cell>
        </row>
        <row r="67">
          <cell r="A67">
            <v>41791</v>
          </cell>
          <cell r="B67">
            <v>41.381849319332211</v>
          </cell>
          <cell r="C67">
            <v>39.533799999999999</v>
          </cell>
        </row>
        <row r="68">
          <cell r="A68">
            <v>41821</v>
          </cell>
          <cell r="B68">
            <v>34.45203313189873</v>
          </cell>
          <cell r="C68">
            <v>36.954099999999997</v>
          </cell>
        </row>
        <row r="69">
          <cell r="A69">
            <v>41852</v>
          </cell>
          <cell r="B69">
            <v>24.99528321621283</v>
          </cell>
          <cell r="C69">
            <v>33.855699999999999</v>
          </cell>
        </row>
        <row r="70">
          <cell r="A70">
            <v>41883</v>
          </cell>
          <cell r="B70">
            <v>22.638498985735833</v>
          </cell>
          <cell r="C70">
            <v>32.299500000000002</v>
          </cell>
        </row>
        <row r="71">
          <cell r="A71">
            <v>41913</v>
          </cell>
          <cell r="B71">
            <v>19.948370336802348</v>
          </cell>
          <cell r="C71">
            <v>32.794800000000002</v>
          </cell>
        </row>
        <row r="72">
          <cell r="A72">
            <v>41944</v>
          </cell>
          <cell r="B72">
            <v>20.238114553764419</v>
          </cell>
          <cell r="C72">
            <v>32.722099999999998</v>
          </cell>
        </row>
        <row r="73">
          <cell r="A73">
            <v>41974</v>
          </cell>
          <cell r="B73">
            <v>21.866198966041367</v>
          </cell>
          <cell r="C73">
            <v>32.059100000000001</v>
          </cell>
        </row>
        <row r="74">
          <cell r="A74">
            <v>42005</v>
          </cell>
          <cell r="B74">
            <v>27.681449278184886</v>
          </cell>
          <cell r="C74">
            <v>32.186</v>
          </cell>
        </row>
        <row r="75">
          <cell r="A75">
            <v>42036</v>
          </cell>
          <cell r="B75">
            <v>27.34387728847884</v>
          </cell>
          <cell r="C75">
            <v>31.657900000000001</v>
          </cell>
        </row>
        <row r="76">
          <cell r="A76">
            <v>42064</v>
          </cell>
          <cell r="B76">
            <v>30.21095565424195</v>
          </cell>
          <cell r="C76">
            <v>31.072299999999998</v>
          </cell>
        </row>
        <row r="77">
          <cell r="A77">
            <v>42095</v>
          </cell>
          <cell r="B77">
            <v>30.151645306776611</v>
          </cell>
          <cell r="C77">
            <v>31.373799999999999</v>
          </cell>
        </row>
        <row r="78">
          <cell r="A78">
            <v>42125</v>
          </cell>
          <cell r="B78">
            <v>50.063554723690345</v>
          </cell>
          <cell r="C78">
            <v>32.587499999999999</v>
          </cell>
        </row>
        <row r="79">
          <cell r="A79">
            <v>42156</v>
          </cell>
          <cell r="B79">
            <v>35.998307688484374</v>
          </cell>
          <cell r="C79">
            <v>33.476799999999997</v>
          </cell>
        </row>
        <row r="80">
          <cell r="A80">
            <v>42186</v>
          </cell>
          <cell r="B80">
            <v>37.817143939184362</v>
          </cell>
          <cell r="C80">
            <v>31.6023</v>
          </cell>
        </row>
        <row r="81">
          <cell r="A81">
            <v>42217</v>
          </cell>
          <cell r="B81">
            <v>34.217546202027293</v>
          </cell>
          <cell r="C81">
            <v>28.573799999999999</v>
          </cell>
        </row>
        <row r="82">
          <cell r="A82">
            <v>42248</v>
          </cell>
          <cell r="B82">
            <v>32.927946709252183</v>
          </cell>
          <cell r="C82">
            <v>26.809000000000001</v>
          </cell>
        </row>
        <row r="83">
          <cell r="A83">
            <v>42278</v>
          </cell>
          <cell r="B83">
            <v>31.316797955266004</v>
          </cell>
          <cell r="C83">
            <v>28.377700000000001</v>
          </cell>
        </row>
        <row r="84">
          <cell r="A84">
            <v>42309</v>
          </cell>
          <cell r="B84">
            <v>31.133282044488055</v>
          </cell>
          <cell r="C84">
            <v>27.884</v>
          </cell>
        </row>
        <row r="85">
          <cell r="A85">
            <v>42339</v>
          </cell>
          <cell r="B85">
            <v>31.442753100720779</v>
          </cell>
          <cell r="C85">
            <v>30.822700000000001</v>
          </cell>
        </row>
        <row r="86">
          <cell r="A86">
            <v>42370</v>
          </cell>
          <cell r="B86">
            <v>37.529121798357927</v>
          </cell>
          <cell r="C86">
            <v>30.012599999999999</v>
          </cell>
        </row>
        <row r="87">
          <cell r="A87">
            <v>42401</v>
          </cell>
          <cell r="B87">
            <v>39.970456291825457</v>
          </cell>
          <cell r="C87">
            <v>31.157499999999999</v>
          </cell>
        </row>
        <row r="88">
          <cell r="A88">
            <v>42430</v>
          </cell>
          <cell r="B88">
            <v>37.604917511286686</v>
          </cell>
          <cell r="C88">
            <v>32.476399999999998</v>
          </cell>
        </row>
        <row r="89">
          <cell r="A89">
            <v>42461</v>
          </cell>
          <cell r="B89">
            <v>40.926135387698658</v>
          </cell>
          <cell r="C89">
            <v>33.9529</v>
          </cell>
        </row>
        <row r="90">
          <cell r="A90">
            <v>42491</v>
          </cell>
          <cell r="B90">
            <v>41.030092243619904</v>
          </cell>
          <cell r="C90">
            <v>32.2057</v>
          </cell>
        </row>
        <row r="91">
          <cell r="A91">
            <v>42522</v>
          </cell>
          <cell r="B91">
            <v>39.405158756226022</v>
          </cell>
          <cell r="C91">
            <v>31.914999999999999</v>
          </cell>
        </row>
        <row r="92">
          <cell r="A92">
            <v>42552</v>
          </cell>
          <cell r="B92">
            <v>34.046251344119696</v>
          </cell>
          <cell r="C92">
            <v>30.401499999999999</v>
          </cell>
        </row>
        <row r="93">
          <cell r="A93">
            <v>42583</v>
          </cell>
          <cell r="B93">
            <v>32.463189518009081</v>
          </cell>
          <cell r="C93">
            <v>32.326999999999998</v>
          </cell>
        </row>
        <row r="94">
          <cell r="A94">
            <v>42614</v>
          </cell>
          <cell r="B94">
            <v>26.139514460101733</v>
          </cell>
          <cell r="C94">
            <v>32.812899999999999</v>
          </cell>
        </row>
        <row r="95">
          <cell r="A95">
            <v>42644</v>
          </cell>
          <cell r="B95">
            <v>28.768678094275476</v>
          </cell>
          <cell r="C95">
            <v>34.444800000000001</v>
          </cell>
        </row>
        <row r="96">
          <cell r="A96">
            <v>42675</v>
          </cell>
          <cell r="B96">
            <v>26.520449568392962</v>
          </cell>
          <cell r="C96">
            <v>35.036200000000001</v>
          </cell>
        </row>
        <row r="97">
          <cell r="A97">
            <v>42705</v>
          </cell>
          <cell r="B97">
            <v>30.450891210399412</v>
          </cell>
          <cell r="C97">
            <v>36.395699999999998</v>
          </cell>
        </row>
        <row r="98">
          <cell r="A98">
            <v>42736</v>
          </cell>
          <cell r="B98">
            <v>37.221797407225182</v>
          </cell>
          <cell r="C98">
            <v>35.111499999999999</v>
          </cell>
        </row>
        <row r="99">
          <cell r="A99">
            <v>42767</v>
          </cell>
          <cell r="B99">
            <v>36.760763976424535</v>
          </cell>
          <cell r="C99">
            <v>33.698399999999999</v>
          </cell>
        </row>
        <row r="100">
          <cell r="A100">
            <v>42795</v>
          </cell>
          <cell r="B100">
            <v>41.31900012095857</v>
          </cell>
          <cell r="C100">
            <v>32.93</v>
          </cell>
        </row>
        <row r="101">
          <cell r="A101">
            <v>42826</v>
          </cell>
          <cell r="B101">
            <v>35.896510541838317</v>
          </cell>
          <cell r="C101">
            <v>31.538399999999999</v>
          </cell>
        </row>
        <row r="102">
          <cell r="A102">
            <v>42856</v>
          </cell>
          <cell r="B102">
            <v>38.327725082104699</v>
          </cell>
          <cell r="C102">
            <v>32.490900000000003</v>
          </cell>
        </row>
        <row r="103">
          <cell r="A103">
            <v>42887</v>
          </cell>
          <cell r="B103">
            <v>34.083294363393968</v>
          </cell>
          <cell r="C103">
            <v>31.970500000000001</v>
          </cell>
        </row>
        <row r="104">
          <cell r="A104">
            <v>42917</v>
          </cell>
          <cell r="B104">
            <v>31.537065015220094</v>
          </cell>
          <cell r="C104">
            <v>33.548499999999997</v>
          </cell>
        </row>
        <row r="105">
          <cell r="A105">
            <v>42948</v>
          </cell>
          <cell r="B105">
            <v>28.460695134968987</v>
          </cell>
          <cell r="C105">
            <v>33.869999999999997</v>
          </cell>
        </row>
        <row r="106">
          <cell r="A106">
            <v>42979</v>
          </cell>
          <cell r="B106">
            <v>28.214355734389944</v>
          </cell>
          <cell r="C106">
            <v>34.28</v>
          </cell>
        </row>
        <row r="107">
          <cell r="A107">
            <v>43009</v>
          </cell>
          <cell r="B107">
            <v>23.625378130774202</v>
          </cell>
          <cell r="C107">
            <v>33.6</v>
          </cell>
        </row>
        <row r="108">
          <cell r="A108">
            <v>43040</v>
          </cell>
          <cell r="B108">
            <v>26.213908236365768</v>
          </cell>
          <cell r="C108">
            <v>34.409999999999997</v>
          </cell>
        </row>
        <row r="109">
          <cell r="A109">
            <v>43070</v>
          </cell>
          <cell r="B109">
            <v>33.851087096671598</v>
          </cell>
          <cell r="C109">
            <v>33.14</v>
          </cell>
        </row>
        <row r="110">
          <cell r="A110">
            <v>43101</v>
          </cell>
          <cell r="B110">
            <v>40.166307906471374</v>
          </cell>
          <cell r="C110">
            <v>32.950000000000003</v>
          </cell>
        </row>
        <row r="111">
          <cell r="A111">
            <v>43132</v>
          </cell>
          <cell r="B111">
            <v>38.909928558694212</v>
          </cell>
          <cell r="C111">
            <v>32.18</v>
          </cell>
        </row>
        <row r="112">
          <cell r="A112">
            <v>43160</v>
          </cell>
          <cell r="B112">
            <v>36.410938204004047</v>
          </cell>
          <cell r="C112">
            <v>31.85</v>
          </cell>
        </row>
        <row r="113">
          <cell r="A113">
            <v>43191</v>
          </cell>
          <cell r="B113">
            <v>46.110589559075102</v>
          </cell>
          <cell r="C113">
            <v>31.35</v>
          </cell>
        </row>
        <row r="114">
          <cell r="A114">
            <v>43221</v>
          </cell>
          <cell r="B114">
            <v>31.785997101711033</v>
          </cell>
          <cell r="C114">
            <v>31</v>
          </cell>
        </row>
        <row r="115">
          <cell r="A115">
            <v>43252</v>
          </cell>
          <cell r="B115">
            <v>33.927710585334822</v>
          </cell>
          <cell r="C115">
            <v>29.82</v>
          </cell>
        </row>
        <row r="116">
          <cell r="A116">
            <v>43282</v>
          </cell>
          <cell r="B116">
            <v>36.997719675417883</v>
          </cell>
          <cell r="C116">
            <v>28.36</v>
          </cell>
        </row>
        <row r="117">
          <cell r="A117">
            <v>43313</v>
          </cell>
          <cell r="B117">
            <v>32.119984182387867</v>
          </cell>
          <cell r="C117">
            <v>28.33</v>
          </cell>
        </row>
        <row r="118">
          <cell r="A118">
            <v>43344</v>
          </cell>
          <cell r="B118">
            <v>27.508831727625896</v>
          </cell>
          <cell r="C118">
            <v>28.26</v>
          </cell>
        </row>
        <row r="119">
          <cell r="A119">
            <v>43374</v>
          </cell>
          <cell r="B119">
            <v>29.978688251680058</v>
          </cell>
          <cell r="C119">
            <v>29.051739130434775</v>
          </cell>
        </row>
        <row r="120">
          <cell r="A120">
            <v>43405</v>
          </cell>
          <cell r="B120">
            <v>25.423263040577677</v>
          </cell>
          <cell r="C120">
            <v>27.69</v>
          </cell>
        </row>
        <row r="121">
          <cell r="A121">
            <v>43435</v>
          </cell>
          <cell r="B121">
            <v>28.263055673105839</v>
          </cell>
          <cell r="C121">
            <v>28.32</v>
          </cell>
        </row>
        <row r="122">
          <cell r="A122">
            <v>43466</v>
          </cell>
          <cell r="B122">
            <v>29.764237306335495</v>
          </cell>
          <cell r="C122">
            <v>29.000952380952373</v>
          </cell>
        </row>
        <row r="123">
          <cell r="A123">
            <v>43497</v>
          </cell>
          <cell r="B123">
            <v>33.72809410770293</v>
          </cell>
          <cell r="C123">
            <v>30.23</v>
          </cell>
        </row>
        <row r="124">
          <cell r="A124">
            <v>43525</v>
          </cell>
          <cell r="B124">
            <v>33.914197259991411</v>
          </cell>
          <cell r="C124">
            <v>29.38</v>
          </cell>
        </row>
        <row r="125">
          <cell r="A125">
            <v>43556</v>
          </cell>
          <cell r="B125">
            <v>35.107217424233696</v>
          </cell>
          <cell r="C125">
            <v>28.556666666666668</v>
          </cell>
        </row>
        <row r="126">
          <cell r="A126">
            <v>43586</v>
          </cell>
          <cell r="B126">
            <v>28.587759180281331</v>
          </cell>
          <cell r="C126">
            <v>27.230454545454549</v>
          </cell>
        </row>
        <row r="127">
          <cell r="A127">
            <v>43617</v>
          </cell>
          <cell r="B127">
            <v>32.64756139991308</v>
          </cell>
          <cell r="C127">
            <v>27.85</v>
          </cell>
        </row>
        <row r="128">
          <cell r="A128">
            <v>43647</v>
          </cell>
          <cell r="B128">
            <v>30.083728164000497</v>
          </cell>
          <cell r="C128">
            <v>28.054999999999996</v>
          </cell>
        </row>
        <row r="129">
          <cell r="A129">
            <v>43678</v>
          </cell>
          <cell r="B129">
            <v>24.141739262768382</v>
          </cell>
          <cell r="C129">
            <v>28.569999999999997</v>
          </cell>
        </row>
        <row r="130">
          <cell r="A130">
            <v>43709</v>
          </cell>
          <cell r="B130">
            <v>27.225654360320373</v>
          </cell>
          <cell r="C130">
            <v>29.063000000000006</v>
          </cell>
        </row>
        <row r="131">
          <cell r="A131">
            <v>43739</v>
          </cell>
          <cell r="B131">
            <v>26.450198306625659</v>
          </cell>
          <cell r="C131">
            <v>30.28</v>
          </cell>
        </row>
        <row r="132">
          <cell r="A132">
            <v>43770</v>
          </cell>
          <cell r="B132">
            <v>24.632983473676262</v>
          </cell>
          <cell r="C132">
            <v>30.957999999999998</v>
          </cell>
        </row>
        <row r="133">
          <cell r="A133">
            <v>43800</v>
          </cell>
          <cell r="B133">
            <v>1062.1144990310902</v>
          </cell>
          <cell r="C133">
            <v>32.689523809523813</v>
          </cell>
        </row>
        <row r="134">
          <cell r="A134">
            <v>43831</v>
          </cell>
          <cell r="B134">
            <v>1007.4008508838294</v>
          </cell>
          <cell r="C134">
            <v>33.150952380952383</v>
          </cell>
        </row>
        <row r="135">
          <cell r="A135">
            <v>43862</v>
          </cell>
          <cell r="B135">
            <v>1217.1866842284799</v>
          </cell>
          <cell r="C135">
            <v>30.248421052631581</v>
          </cell>
        </row>
        <row r="136">
          <cell r="A136">
            <v>43891</v>
          </cell>
          <cell r="B136">
            <v>944.50779706075105</v>
          </cell>
          <cell r="C136">
            <v>27.017727272727271</v>
          </cell>
        </row>
        <row r="137">
          <cell r="A137">
            <v>43922</v>
          </cell>
          <cell r="B137">
            <v>1186.5453996173792</v>
          </cell>
          <cell r="C137">
            <v>26.202857142857148</v>
          </cell>
        </row>
        <row r="138">
          <cell r="A138">
            <v>43952</v>
          </cell>
          <cell r="B138">
            <v>851.03593447768003</v>
          </cell>
          <cell r="C138">
            <v>26.708999999999996</v>
          </cell>
        </row>
        <row r="139">
          <cell r="A139">
            <v>43983</v>
          </cell>
          <cell r="B139">
            <v>959.70708011103579</v>
          </cell>
          <cell r="C139">
            <v>27.891363636363643</v>
          </cell>
        </row>
        <row r="140">
          <cell r="A140">
            <v>44013</v>
          </cell>
          <cell r="B140">
            <v>1181.9869451165459</v>
          </cell>
          <cell r="C140">
            <v>29.206818181818178</v>
          </cell>
        </row>
        <row r="141">
          <cell r="A141">
            <v>44044</v>
          </cell>
          <cell r="B141">
            <v>1230.7951254310149</v>
          </cell>
          <cell r="C141">
            <v>31.59238095238096</v>
          </cell>
        </row>
        <row r="142">
          <cell r="A142">
            <v>44075</v>
          </cell>
          <cell r="B142">
            <v>1143.1148334201293</v>
          </cell>
          <cell r="C142">
            <v>33.51047619047619</v>
          </cell>
        </row>
        <row r="143">
          <cell r="A143">
            <v>44105</v>
          </cell>
          <cell r="B143" t="str">
            <v>20/21</v>
          </cell>
          <cell r="C143">
            <v>33.276818181818186</v>
          </cell>
        </row>
        <row r="144">
          <cell r="A144">
            <v>44136</v>
          </cell>
          <cell r="B144">
            <v>1314.3809434364448</v>
          </cell>
          <cell r="C144">
            <v>36.862499999999997</v>
          </cell>
        </row>
        <row r="145">
          <cell r="A145">
            <v>44166</v>
          </cell>
          <cell r="B145">
            <v>1163.5432084904978</v>
          </cell>
          <cell r="C145">
            <v>39.571363636363643</v>
          </cell>
        </row>
        <row r="146">
          <cell r="A146">
            <v>44197</v>
          </cell>
          <cell r="B146">
            <v>945.19701572213967</v>
          </cell>
          <cell r="C146">
            <v>43.154210526315786</v>
          </cell>
        </row>
        <row r="147">
          <cell r="A147">
            <v>44228</v>
          </cell>
          <cell r="B147">
            <v>1046.4774434034041</v>
          </cell>
          <cell r="C147">
            <v>46.94631578947368</v>
          </cell>
        </row>
        <row r="148">
          <cell r="A148">
            <v>44256</v>
          </cell>
          <cell r="B148">
            <v>1118.7584739478937</v>
          </cell>
          <cell r="C148">
            <v>53.370000000000012</v>
          </cell>
        </row>
        <row r="149">
          <cell r="A149">
            <v>44287</v>
          </cell>
          <cell r="B149">
            <v>1454.073677937716</v>
          </cell>
          <cell r="C149">
            <v>58.235714285714302</v>
          </cell>
        </row>
        <row r="150">
          <cell r="A150">
            <v>44317</v>
          </cell>
          <cell r="B150">
            <v>907.5693513872402</v>
          </cell>
          <cell r="C150">
            <v>65.639500000000012</v>
          </cell>
        </row>
        <row r="151">
          <cell r="A151">
            <v>44348</v>
          </cell>
          <cell r="B151">
            <v>1312.4258562241707</v>
          </cell>
          <cell r="C151">
            <v>65.243181818181839</v>
          </cell>
        </row>
        <row r="152">
          <cell r="A152">
            <v>44378</v>
          </cell>
          <cell r="B152">
            <v>1292.5062416052908</v>
          </cell>
          <cell r="C152">
            <v>64.936190476190475</v>
          </cell>
        </row>
        <row r="153">
          <cell r="A153">
            <v>44409</v>
          </cell>
          <cell r="B153">
            <v>1333.4310683499712</v>
          </cell>
          <cell r="C153">
            <v>61.464090909090899</v>
          </cell>
        </row>
        <row r="154">
          <cell r="A154">
            <v>44440</v>
          </cell>
          <cell r="B154">
            <v>1330.2036670704874</v>
          </cell>
          <cell r="C154">
            <v>57.204761904761902</v>
          </cell>
        </row>
        <row r="155">
          <cell r="A155">
            <v>44470</v>
          </cell>
          <cell r="B155" t="str">
            <v xml:space="preserve">21/22 </v>
          </cell>
          <cell r="C155">
            <v>61.246190476190478</v>
          </cell>
        </row>
        <row r="156">
          <cell r="A156">
            <v>44501</v>
          </cell>
          <cell r="B156">
            <v>1002.1183669473349</v>
          </cell>
          <cell r="C156">
            <v>59.234761904761896</v>
          </cell>
        </row>
        <row r="157">
          <cell r="A157">
            <v>44531</v>
          </cell>
          <cell r="B157">
            <v>1200.9571732603176</v>
          </cell>
          <cell r="C157">
            <v>55.209545454545463</v>
          </cell>
        </row>
        <row r="158">
          <cell r="A158">
            <v>44562</v>
          </cell>
          <cell r="B158">
            <v>1190.7591410965495</v>
          </cell>
          <cell r="C158">
            <v>60.679999999999993</v>
          </cell>
        </row>
        <row r="159">
          <cell r="A159">
            <v>44593</v>
          </cell>
          <cell r="B159">
            <v>1184.3850230000003</v>
          </cell>
          <cell r="C159">
            <v>67.012631578947364</v>
          </cell>
        </row>
        <row r="160">
          <cell r="A160">
            <v>44621</v>
          </cell>
          <cell r="B160">
            <v>1027.1673699999997</v>
          </cell>
          <cell r="C160">
            <v>74.006521739130449</v>
          </cell>
        </row>
        <row r="161">
          <cell r="A161">
            <v>44652</v>
          </cell>
          <cell r="B161">
            <v>1237.4232029999994</v>
          </cell>
          <cell r="C161">
            <v>79.201999999999998</v>
          </cell>
        </row>
        <row r="162">
          <cell r="A162">
            <v>44682</v>
          </cell>
          <cell r="B162">
            <v>1177.004502</v>
          </cell>
          <cell r="C162">
            <v>81.004761904761907</v>
          </cell>
        </row>
        <row r="163">
          <cell r="A163">
            <v>44713</v>
          </cell>
          <cell r="B163">
            <v>1294.5276979999994</v>
          </cell>
          <cell r="C163">
            <v>76.33</v>
          </cell>
        </row>
        <row r="164">
          <cell r="A164">
            <v>44743</v>
          </cell>
          <cell r="B164">
            <v>1279.4612879999995</v>
          </cell>
          <cell r="C164">
            <v>61.398000000000003</v>
          </cell>
        </row>
        <row r="165">
          <cell r="A165">
            <v>44774</v>
          </cell>
          <cell r="B165">
            <v>1169.409077999999</v>
          </cell>
          <cell r="C165">
            <v>67.486956521739117</v>
          </cell>
        </row>
        <row r="166">
          <cell r="A166">
            <v>44805</v>
          </cell>
          <cell r="B166">
            <v>1298.6393159999998</v>
          </cell>
          <cell r="C166">
            <v>66.873333333333335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BO_NonBioUse_chart"/>
      <sheetName val="SBO_Nonbiochart_data"/>
      <sheetName val="USDA Comp"/>
      <sheetName val="Long-Term Comparison"/>
      <sheetName val="Chart1"/>
      <sheetName val="Chart1-old"/>
      <sheetName val="Chart2"/>
      <sheetName val="Chart3"/>
      <sheetName val="Chart5 (2)"/>
      <sheetName val="Chart5 (3)"/>
      <sheetName val="Chart4"/>
      <sheetName val="Chart5"/>
      <sheetName val="Chart6"/>
      <sheetName val="Chart7"/>
      <sheetName val="Chart9"/>
      <sheetName val="Chart8"/>
      <sheetName val="Chart10"/>
      <sheetName val="Chart11"/>
      <sheetName val="Chart12"/>
      <sheetName val="US VO Trade Balance Chart"/>
      <sheetName val="Sheet2"/>
      <sheetName val="VO CY Balance Sheets"/>
      <sheetName val="Chart13"/>
      <sheetName val="VO MY Balance Sheets"/>
      <sheetName val="Soy Complex"/>
      <sheetName val="Soy Complex-old"/>
      <sheetName val="Chart14"/>
      <sheetName val="Sheet1"/>
      <sheetName val="Chart15"/>
      <sheetName val="Price Spreads"/>
      <sheetName val="Acreage-Yield Scenario"/>
      <sheetName val="Chart16"/>
      <sheetName val="Chart17"/>
      <sheetName val="SBO Biofuel Use Data"/>
      <sheetName val="Slaughter"/>
      <sheetName val="Chart18"/>
      <sheetName val="Chart19"/>
      <sheetName val="Chart20"/>
      <sheetName val="Chart21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Chart22"/>
      <sheetName val="Chart23"/>
      <sheetName val="Oil Domestic Use"/>
      <sheetName val="Oil Biodiesel Use"/>
      <sheetName val="Oil Non-Biodiesel Use"/>
      <sheetName val="Chart24"/>
      <sheetName val="Chart25"/>
      <sheetName val="Veg Oil Imports"/>
      <sheetName val="SBO Stocks Cont"/>
      <sheetName val="Veg Oil Stocks"/>
      <sheetName val="Chart26"/>
      <sheetName val="Chart27"/>
      <sheetName val="Sun Complex"/>
      <sheetName val="Sunflower Meal Monthly Bal"/>
      <sheetName val="Sunflower Oil Monthly Bal"/>
      <sheetName val="Canola USDA Comp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anola Complex"/>
      <sheetName val="Canola State Production"/>
      <sheetName val="Canola Meal Monthly Bal"/>
      <sheetName val="Canola Oil Monthly Bal"/>
      <sheetName val="Chart36"/>
      <sheetName val="Chart37"/>
      <sheetName val="Chart38"/>
      <sheetName val="Chart39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Chart40"/>
      <sheetName val="Chart41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Inedible Tallow Price Chart"/>
      <sheetName val="Tallow Imports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Grease Complex"/>
      <sheetName val="Chart56"/>
      <sheetName val="Chart52"/>
      <sheetName val="Chart53"/>
      <sheetName val="Chart54"/>
      <sheetName val="China UCO Monthly Export US-EU"/>
      <sheetName val="UCO Imports by Origin"/>
      <sheetName val="Chart55"/>
      <sheetName val="UCO-YG Combined Bal Sheets"/>
      <sheetName val="Yellow Grease Complex"/>
      <sheetName val="Used Cooking Oil Complex"/>
      <sheetName val="Chart57"/>
      <sheetName val="Chart58"/>
      <sheetName val="Chart59"/>
      <sheetName val="CWG Complex"/>
      <sheetName val="Lard Complex"/>
      <sheetName val="Feather Meal Complex"/>
      <sheetName val="Poultry Byproduct Complex"/>
      <sheetName val="Chart60"/>
      <sheetName val="Chart61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omplex Template Meal-Oil"/>
      <sheetName val="Complex Template"/>
      <sheetName val="Monthly Bal Template"/>
      <sheetName val="Chart83"/>
      <sheetName val="Chart84"/>
      <sheetName val="Chart85"/>
      <sheetName val="Canola-Soy Price Chart"/>
      <sheetName val="Chart86"/>
      <sheetName val="Chart87"/>
      <sheetName val="Chart88"/>
      <sheetName val="Chart89"/>
      <sheetName val="Chart90"/>
      <sheetName val="Chart91"/>
      <sheetName val="Chart92"/>
      <sheetName val="Chart93"/>
      <sheetName val="Chart94"/>
      <sheetName val="Chart95"/>
      <sheetName val="Non-Bio Tallow Use"/>
      <sheetName val="Chart96"/>
      <sheetName val="Chart97"/>
      <sheetName val="Chart98"/>
      <sheetName val="Chart99"/>
      <sheetName val="Chart100"/>
      <sheetName val="Chart101"/>
      <sheetName val="Chart102"/>
      <sheetName val="Chart103"/>
      <sheetName val="Chart104"/>
      <sheetName val="Chart105"/>
      <sheetName val="Chart106"/>
      <sheetName val="Chart107"/>
      <sheetName val="Chart108"/>
      <sheetName val="Chart109"/>
      <sheetName val="Chart110"/>
      <sheetName val="Chart111"/>
      <sheetName val="Chart112"/>
      <sheetName val="Chart113"/>
      <sheetName val="Chart114"/>
      <sheetName val="Chart115"/>
      <sheetName val="Chart116"/>
      <sheetName val="Chart117"/>
      <sheetName val="Chart118"/>
      <sheetName val="Chart119"/>
      <sheetName val="Chart120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>
        <row r="2">
          <cell r="K2" t="str">
            <v xml:space="preserve">69/70 </v>
          </cell>
        </row>
        <row r="467">
          <cell r="BJ467" t="str">
            <v>20/21</v>
          </cell>
          <cell r="BK467" t="str">
            <v xml:space="preserve">21/22 </v>
          </cell>
        </row>
        <row r="468">
          <cell r="BJ468">
            <v>1314.3809434364448</v>
          </cell>
          <cell r="BK468">
            <v>1002.1183669473349</v>
          </cell>
        </row>
        <row r="469">
          <cell r="BI469">
            <v>1062.1144990310902</v>
          </cell>
          <cell r="BJ469">
            <v>1163.5432084904978</v>
          </cell>
          <cell r="BK469">
            <v>1200.9571732603176</v>
          </cell>
        </row>
        <row r="470">
          <cell r="BI470">
            <v>1007.4008508838294</v>
          </cell>
          <cell r="BJ470">
            <v>945.19701572213967</v>
          </cell>
          <cell r="BK470">
            <v>1190.7591410965495</v>
          </cell>
        </row>
        <row r="471">
          <cell r="BI471">
            <v>1217.1866842284799</v>
          </cell>
          <cell r="BJ471">
            <v>1046.4774434034041</v>
          </cell>
          <cell r="BK471">
            <v>1184.3850230000003</v>
          </cell>
        </row>
        <row r="472">
          <cell r="BI472">
            <v>944.50779706075105</v>
          </cell>
          <cell r="BJ472">
            <v>1118.7584739478937</v>
          </cell>
          <cell r="BK472">
            <v>1027.1673699999997</v>
          </cell>
        </row>
        <row r="473">
          <cell r="BI473">
            <v>1186.5453996173792</v>
          </cell>
          <cell r="BJ473">
            <v>1454.073677937716</v>
          </cell>
          <cell r="BK473">
            <v>1237.4232029999994</v>
          </cell>
        </row>
        <row r="474">
          <cell r="BI474">
            <v>851.03593447768003</v>
          </cell>
          <cell r="BJ474">
            <v>907.5693513872402</v>
          </cell>
          <cell r="BK474">
            <v>1177.004502</v>
          </cell>
        </row>
        <row r="475">
          <cell r="BI475">
            <v>959.70708011103579</v>
          </cell>
          <cell r="BJ475">
            <v>1312.4258562241707</v>
          </cell>
          <cell r="BK475">
            <v>1294.5276979999994</v>
          </cell>
        </row>
        <row r="476">
          <cell r="BI476">
            <v>1181.9869451165459</v>
          </cell>
          <cell r="BJ476">
            <v>1292.5062416052908</v>
          </cell>
          <cell r="BK476">
            <v>1279.4612879999995</v>
          </cell>
        </row>
        <row r="477">
          <cell r="BI477">
            <v>1230.7951254310149</v>
          </cell>
          <cell r="BJ477">
            <v>1333.4310683499712</v>
          </cell>
          <cell r="BK477">
            <v>1169.409077999999</v>
          </cell>
        </row>
        <row r="478">
          <cell r="BI478">
            <v>1143.1148334201293</v>
          </cell>
          <cell r="BJ478">
            <v>1330.2036670704874</v>
          </cell>
          <cell r="BK478">
            <v>1298.6393159999998</v>
          </cell>
        </row>
        <row r="479">
          <cell r="BK479">
            <v>1137.0766708960364</v>
          </cell>
        </row>
      </sheetData>
      <sheetData sheetId="25"/>
      <sheetData sheetId="26" refreshError="1"/>
      <sheetData sheetId="27"/>
      <sheetData sheetId="28" refreshError="1"/>
      <sheetData sheetId="29"/>
      <sheetData sheetId="30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 refreshError="1"/>
      <sheetData sheetId="53" refreshError="1"/>
      <sheetData sheetId="54"/>
      <sheetData sheetId="55" refreshError="1"/>
      <sheetData sheetId="56"/>
      <sheetData sheetId="57" refreshError="1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ieLxYR3gUWBsSx-0Qym0iHEKs-EEohAlsMY4dLY8DqrqlIA-7kESbB7_UwZqA6a" itemId="01HB3BPYJUTUNQYMWLWJIFPJ65BJKGMPNG">
      <xxl21:absoluteUrl r:id="rId2"/>
    </xxl21:alternateUrls>
    <sheetNames>
      <sheetName val="Futures Price Forecasts"/>
      <sheetName val="Chart1"/>
      <sheetName val="Forecasts"/>
      <sheetName val="Sheet1"/>
      <sheetName val="Chart2"/>
      <sheetName val="Chart3"/>
      <sheetName val="Chart4"/>
      <sheetName val="Chart5"/>
      <sheetName val="Monthly Oil Share Change (2)"/>
      <sheetName val="Monthly Oil Share Change"/>
      <sheetName val="Prices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PDF Data"/>
      <sheetName val="Chart15"/>
      <sheetName val="Chart16"/>
      <sheetName val="Chart17"/>
      <sheetName val="Chart18"/>
      <sheetName val="Forecast Print"/>
      <sheetName val="PDF Print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hart78"/>
      <sheetName val="Chart79"/>
    </sheetNames>
    <sheetDataSet>
      <sheetData sheetId="0"/>
      <sheetData sheetId="1" refreshError="1"/>
      <sheetData sheetId="2">
        <row r="3">
          <cell r="B3">
            <v>11.889204545454547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1">
          <cell r="J11">
            <v>2.75</v>
          </cell>
        </row>
        <row r="604">
          <cell r="D604">
            <v>30.248421052631581</v>
          </cell>
        </row>
        <row r="605">
          <cell r="D605">
            <v>27.017727272727271</v>
          </cell>
        </row>
        <row r="606">
          <cell r="D606">
            <v>26.202857142857148</v>
          </cell>
        </row>
        <row r="607">
          <cell r="D607">
            <v>26.708999999999996</v>
          </cell>
        </row>
        <row r="608">
          <cell r="D608">
            <v>27.891363636363643</v>
          </cell>
        </row>
        <row r="609">
          <cell r="D609">
            <v>29.206818181818178</v>
          </cell>
        </row>
        <row r="610">
          <cell r="D610">
            <v>31.59238095238096</v>
          </cell>
        </row>
        <row r="611">
          <cell r="D611">
            <v>33.51047619047619</v>
          </cell>
        </row>
        <row r="612">
          <cell r="D612">
            <v>33.276818181818186</v>
          </cell>
        </row>
        <row r="613">
          <cell r="D613">
            <v>36.862499999999997</v>
          </cell>
        </row>
        <row r="614">
          <cell r="D614">
            <v>39.571363636363643</v>
          </cell>
        </row>
        <row r="615">
          <cell r="D615">
            <v>43.154210526315786</v>
          </cell>
        </row>
        <row r="616">
          <cell r="D616">
            <v>46.94631578947368</v>
          </cell>
        </row>
        <row r="617">
          <cell r="D617">
            <v>53.370000000000012</v>
          </cell>
        </row>
        <row r="618">
          <cell r="D618">
            <v>58.235714285714302</v>
          </cell>
        </row>
        <row r="619">
          <cell r="D619">
            <v>65.639500000000012</v>
          </cell>
        </row>
        <row r="620">
          <cell r="D620">
            <v>65.243181818181839</v>
          </cell>
        </row>
        <row r="621">
          <cell r="D621">
            <v>64.936190476190475</v>
          </cell>
        </row>
        <row r="622">
          <cell r="D622">
            <v>61.464090909090899</v>
          </cell>
        </row>
        <row r="623">
          <cell r="D623">
            <v>57.204761904761902</v>
          </cell>
        </row>
        <row r="624">
          <cell r="D624">
            <v>61.246190476190478</v>
          </cell>
        </row>
        <row r="625">
          <cell r="D625">
            <v>59.234761904761896</v>
          </cell>
        </row>
        <row r="626">
          <cell r="D626">
            <v>55.209545454545463</v>
          </cell>
        </row>
        <row r="627">
          <cell r="D627">
            <v>60.679999999999993</v>
          </cell>
        </row>
        <row r="628">
          <cell r="D628">
            <v>67.012631578947364</v>
          </cell>
        </row>
        <row r="629">
          <cell r="D629">
            <v>74.006521739130449</v>
          </cell>
        </row>
        <row r="630">
          <cell r="D630">
            <v>79.201999999999998</v>
          </cell>
        </row>
        <row r="631">
          <cell r="D631">
            <v>81.004761904761907</v>
          </cell>
        </row>
        <row r="632">
          <cell r="D632">
            <v>76.33</v>
          </cell>
        </row>
        <row r="633">
          <cell r="D633">
            <v>61.398000000000003</v>
          </cell>
        </row>
        <row r="634">
          <cell r="D634">
            <v>67.486956521739117</v>
          </cell>
        </row>
        <row r="635">
          <cell r="D635">
            <v>66.873333333333335</v>
          </cell>
        </row>
        <row r="636">
          <cell r="D636">
            <v>68.494285714285709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7791-DF1F-4190-A1E9-3131D94F4EF8}">
  <dimension ref="A1:C167"/>
  <sheetViews>
    <sheetView tabSelected="1" workbookViewId="0">
      <selection activeCell="B61" sqref="B61:M61"/>
    </sheetView>
  </sheetViews>
  <sheetFormatPr defaultRowHeight="12.75" x14ac:dyDescent="0.2"/>
  <cols>
    <col min="1" max="1" width="9.33203125" style="1"/>
  </cols>
  <sheetData>
    <row r="1" spans="1:3" x14ac:dyDescent="0.2">
      <c r="B1" t="s">
        <v>0</v>
      </c>
      <c r="C1" t="s">
        <v>1</v>
      </c>
    </row>
    <row r="2" spans="1:3" x14ac:dyDescent="0.2">
      <c r="A2" s="1">
        <v>39814</v>
      </c>
      <c r="B2">
        <v>73.530958962779309</v>
      </c>
      <c r="C2">
        <v>34.340000000000003</v>
      </c>
    </row>
    <row r="3" spans="1:3" x14ac:dyDescent="0.2">
      <c r="A3" s="1">
        <v>39845</v>
      </c>
      <c r="B3">
        <v>61.849176183300322</v>
      </c>
      <c r="C3">
        <v>31.92</v>
      </c>
    </row>
    <row r="4" spans="1:3" x14ac:dyDescent="0.2">
      <c r="A4" s="1">
        <v>39873</v>
      </c>
      <c r="B4">
        <v>62.669521126380744</v>
      </c>
      <c r="C4">
        <v>31.56</v>
      </c>
    </row>
    <row r="5" spans="1:3" x14ac:dyDescent="0.2">
      <c r="A5" s="1">
        <v>39904</v>
      </c>
      <c r="B5">
        <v>64.778497363557079</v>
      </c>
      <c r="C5">
        <v>35.71</v>
      </c>
    </row>
    <row r="6" spans="1:3" x14ac:dyDescent="0.2">
      <c r="A6" s="1">
        <v>39934</v>
      </c>
      <c r="B6">
        <v>63.624312268029037</v>
      </c>
      <c r="C6">
        <v>38.49</v>
      </c>
    </row>
    <row r="7" spans="1:3" x14ac:dyDescent="0.2">
      <c r="A7" s="1">
        <v>39965</v>
      </c>
      <c r="B7">
        <v>74.722419632336781</v>
      </c>
      <c r="C7">
        <v>37.729999999999997</v>
      </c>
    </row>
    <row r="8" spans="1:3" x14ac:dyDescent="0.2">
      <c r="A8" s="1">
        <v>39995</v>
      </c>
      <c r="B8">
        <v>68.598728317926884</v>
      </c>
      <c r="C8">
        <v>34.1</v>
      </c>
    </row>
    <row r="9" spans="1:3" x14ac:dyDescent="0.2">
      <c r="A9" s="1">
        <v>40026</v>
      </c>
      <c r="B9">
        <v>57.41608034864808</v>
      </c>
      <c r="C9">
        <v>36.78</v>
      </c>
    </row>
    <row r="10" spans="1:3" x14ac:dyDescent="0.2">
      <c r="A10" s="1">
        <v>40057</v>
      </c>
      <c r="B10">
        <v>54.266171851347146</v>
      </c>
      <c r="C10">
        <v>34.07</v>
      </c>
    </row>
    <row r="11" spans="1:3" x14ac:dyDescent="0.2">
      <c r="A11" s="1">
        <v>40087</v>
      </c>
      <c r="B11">
        <v>46.243398101994998</v>
      </c>
      <c r="C11">
        <v>36.31</v>
      </c>
    </row>
    <row r="12" spans="1:3" x14ac:dyDescent="0.2">
      <c r="A12" s="1">
        <v>40118</v>
      </c>
      <c r="B12">
        <v>53.3222613363669</v>
      </c>
      <c r="C12">
        <v>38.75</v>
      </c>
    </row>
    <row r="13" spans="1:3" x14ac:dyDescent="0.2">
      <c r="A13" s="1">
        <v>40148</v>
      </c>
      <c r="B13">
        <v>55.858822146380838</v>
      </c>
      <c r="C13">
        <v>39.5</v>
      </c>
    </row>
    <row r="14" spans="1:3" x14ac:dyDescent="0.2">
      <c r="A14" s="1">
        <v>40179</v>
      </c>
      <c r="B14">
        <v>55.87963462877169</v>
      </c>
      <c r="C14">
        <v>38.229999999999997</v>
      </c>
    </row>
    <row r="15" spans="1:3" x14ac:dyDescent="0.2">
      <c r="A15" s="1">
        <v>40210</v>
      </c>
      <c r="B15">
        <v>56.617870014116207</v>
      </c>
      <c r="C15">
        <v>38.119999999999997</v>
      </c>
    </row>
    <row r="16" spans="1:3" x14ac:dyDescent="0.2">
      <c r="A16" s="1">
        <v>40238</v>
      </c>
      <c r="B16">
        <v>60.143278924424273</v>
      </c>
      <c r="C16">
        <v>39.590000000000003</v>
      </c>
    </row>
    <row r="17" spans="1:3" x14ac:dyDescent="0.2">
      <c r="A17" s="1">
        <v>40269</v>
      </c>
      <c r="B17">
        <v>71.677910754948329</v>
      </c>
      <c r="C17">
        <v>39.369999999999997</v>
      </c>
    </row>
    <row r="18" spans="1:3" x14ac:dyDescent="0.2">
      <c r="A18" s="1">
        <v>40299</v>
      </c>
      <c r="B18">
        <v>78.820946800145791</v>
      </c>
      <c r="C18">
        <v>37.92</v>
      </c>
    </row>
    <row r="19" spans="1:3" x14ac:dyDescent="0.2">
      <c r="A19" s="1">
        <v>40330</v>
      </c>
      <c r="B19">
        <v>78.653406959098263</v>
      </c>
      <c r="C19">
        <v>37.24</v>
      </c>
    </row>
    <row r="20" spans="1:3" x14ac:dyDescent="0.2">
      <c r="A20" s="1">
        <v>40360</v>
      </c>
      <c r="B20">
        <v>76.839954702003325</v>
      </c>
      <c r="C20">
        <v>38.01</v>
      </c>
    </row>
    <row r="21" spans="1:3" x14ac:dyDescent="0.2">
      <c r="A21" s="1">
        <v>40391</v>
      </c>
      <c r="B21">
        <v>61.486525972895087</v>
      </c>
      <c r="C21">
        <v>40.700000000000003</v>
      </c>
    </row>
    <row r="22" spans="1:3" x14ac:dyDescent="0.2">
      <c r="A22" s="1">
        <v>40422</v>
      </c>
      <c r="B22">
        <v>72.399775454896883</v>
      </c>
      <c r="C22">
        <v>42.22</v>
      </c>
    </row>
    <row r="23" spans="1:3" x14ac:dyDescent="0.2">
      <c r="A23" s="1">
        <v>40452</v>
      </c>
      <c r="B23">
        <v>53.064535118766813</v>
      </c>
      <c r="C23">
        <v>47.13</v>
      </c>
    </row>
    <row r="24" spans="1:3" x14ac:dyDescent="0.2">
      <c r="A24" s="1">
        <v>40483</v>
      </c>
      <c r="B24">
        <v>58.279145546357725</v>
      </c>
      <c r="C24">
        <v>50.95</v>
      </c>
    </row>
    <row r="25" spans="1:3" x14ac:dyDescent="0.2">
      <c r="A25" s="1">
        <v>40513</v>
      </c>
      <c r="B25">
        <v>69.861360961171329</v>
      </c>
      <c r="C25">
        <v>54.98</v>
      </c>
    </row>
    <row r="26" spans="1:3" x14ac:dyDescent="0.2">
      <c r="A26" s="1">
        <v>40544</v>
      </c>
      <c r="B26">
        <v>57.109874481265621</v>
      </c>
      <c r="C26">
        <v>57.27</v>
      </c>
    </row>
    <row r="27" spans="1:3" x14ac:dyDescent="0.2">
      <c r="A27" s="1">
        <v>40575</v>
      </c>
      <c r="B27">
        <v>60.736708294486711</v>
      </c>
      <c r="C27">
        <v>57.53</v>
      </c>
    </row>
    <row r="28" spans="1:3" x14ac:dyDescent="0.2">
      <c r="A28" s="1">
        <v>40603</v>
      </c>
      <c r="B28">
        <v>65.95949240882085</v>
      </c>
      <c r="C28">
        <v>56.67</v>
      </c>
    </row>
    <row r="29" spans="1:3" x14ac:dyDescent="0.2">
      <c r="A29" s="1">
        <v>40634</v>
      </c>
      <c r="B29">
        <v>63.207319099088082</v>
      </c>
      <c r="C29">
        <v>58.02</v>
      </c>
    </row>
    <row r="30" spans="1:3" x14ac:dyDescent="0.2">
      <c r="A30" s="1">
        <v>40664</v>
      </c>
      <c r="B30">
        <v>59.042174251071295</v>
      </c>
      <c r="C30">
        <v>57.12</v>
      </c>
    </row>
    <row r="31" spans="1:3" x14ac:dyDescent="0.2">
      <c r="A31" s="1">
        <v>40695</v>
      </c>
      <c r="B31">
        <v>64.153663660253073</v>
      </c>
      <c r="C31">
        <v>56.7</v>
      </c>
    </row>
    <row r="32" spans="1:3" x14ac:dyDescent="0.2">
      <c r="A32" s="1">
        <v>40725</v>
      </c>
      <c r="B32">
        <v>62.992812627092839</v>
      </c>
      <c r="C32">
        <v>56.38</v>
      </c>
    </row>
    <row r="33" spans="1:3" x14ac:dyDescent="0.2">
      <c r="A33" s="1">
        <v>40756</v>
      </c>
      <c r="B33">
        <v>50.616319137040549</v>
      </c>
      <c r="C33">
        <v>55.6</v>
      </c>
    </row>
    <row r="34" spans="1:3" x14ac:dyDescent="0.2">
      <c r="A34" s="1">
        <v>40787</v>
      </c>
      <c r="B34">
        <v>41.714157605078945</v>
      </c>
      <c r="C34">
        <v>55.45</v>
      </c>
    </row>
    <row r="35" spans="1:3" x14ac:dyDescent="0.2">
      <c r="A35" s="1">
        <v>40817</v>
      </c>
      <c r="B35">
        <v>39.546208792762926</v>
      </c>
      <c r="C35">
        <v>51.23</v>
      </c>
    </row>
    <row r="36" spans="1:3" x14ac:dyDescent="0.2">
      <c r="A36" s="1">
        <v>40848</v>
      </c>
      <c r="B36">
        <v>39.917633206451136</v>
      </c>
      <c r="C36">
        <v>50.66</v>
      </c>
    </row>
    <row r="37" spans="1:3" x14ac:dyDescent="0.2">
      <c r="A37" s="1">
        <v>40878</v>
      </c>
      <c r="B37">
        <v>44.754752135094478</v>
      </c>
      <c r="C37">
        <v>50.16</v>
      </c>
    </row>
    <row r="38" spans="1:3" x14ac:dyDescent="0.2">
      <c r="A38" s="1">
        <v>40909</v>
      </c>
      <c r="B38">
        <v>54.506710721656198</v>
      </c>
      <c r="C38">
        <v>51.45</v>
      </c>
    </row>
    <row r="39" spans="1:3" x14ac:dyDescent="0.2">
      <c r="A39" s="1">
        <v>40940</v>
      </c>
      <c r="B39">
        <v>51.9525888107081</v>
      </c>
      <c r="C39">
        <v>53.1</v>
      </c>
    </row>
    <row r="40" spans="1:3" x14ac:dyDescent="0.2">
      <c r="A40" s="1">
        <v>40969</v>
      </c>
      <c r="B40">
        <v>58.309058392940216</v>
      </c>
      <c r="C40">
        <v>54.44</v>
      </c>
    </row>
    <row r="41" spans="1:3" x14ac:dyDescent="0.2">
      <c r="A41" s="1">
        <v>41000</v>
      </c>
      <c r="B41">
        <v>56.788030881905854</v>
      </c>
      <c r="C41">
        <v>55.82</v>
      </c>
    </row>
    <row r="42" spans="1:3" x14ac:dyDescent="0.2">
      <c r="A42" s="1">
        <v>41030</v>
      </c>
      <c r="B42">
        <v>49.351228342468914</v>
      </c>
      <c r="C42">
        <v>51.57</v>
      </c>
    </row>
    <row r="43" spans="1:3" x14ac:dyDescent="0.2">
      <c r="A43" s="1">
        <v>41061</v>
      </c>
      <c r="B43">
        <v>51.434410747697449</v>
      </c>
      <c r="C43">
        <v>49.8</v>
      </c>
    </row>
    <row r="44" spans="1:3" x14ac:dyDescent="0.2">
      <c r="A44" s="1">
        <v>41091</v>
      </c>
      <c r="B44">
        <v>57.483618003258435</v>
      </c>
      <c r="C44">
        <v>53.32</v>
      </c>
    </row>
    <row r="45" spans="1:3" x14ac:dyDescent="0.2">
      <c r="A45" s="1">
        <v>41122</v>
      </c>
      <c r="B45">
        <v>46.494544098966806</v>
      </c>
      <c r="C45">
        <v>53.991739130434702</v>
      </c>
    </row>
    <row r="46" spans="1:3" x14ac:dyDescent="0.2">
      <c r="A46" s="1">
        <v>41153</v>
      </c>
      <c r="B46">
        <v>48.557165455160828</v>
      </c>
      <c r="C46">
        <v>55.122631578947299</v>
      </c>
    </row>
    <row r="47" spans="1:3" x14ac:dyDescent="0.2">
      <c r="A47" s="1">
        <v>41183</v>
      </c>
      <c r="B47">
        <v>48.373665500288453</v>
      </c>
      <c r="C47">
        <v>51.004347826086899</v>
      </c>
    </row>
    <row r="48" spans="1:3" x14ac:dyDescent="0.2">
      <c r="A48" s="1">
        <v>41214</v>
      </c>
      <c r="B48">
        <v>52.041316331961568</v>
      </c>
      <c r="C48">
        <v>48.6142857142857</v>
      </c>
    </row>
    <row r="49" spans="1:3" x14ac:dyDescent="0.2">
      <c r="A49" s="1">
        <v>41244</v>
      </c>
      <c r="B49">
        <v>58.216303280395302</v>
      </c>
      <c r="C49">
        <v>49.58</v>
      </c>
    </row>
    <row r="50" spans="1:3" x14ac:dyDescent="0.2">
      <c r="A50" s="1">
        <v>41275</v>
      </c>
      <c r="B50">
        <v>66.751261482457267</v>
      </c>
      <c r="C50">
        <v>51.073</v>
      </c>
    </row>
    <row r="51" spans="1:3" x14ac:dyDescent="0.2">
      <c r="A51" s="1">
        <v>41306</v>
      </c>
      <c r="B51">
        <v>52.977257007348456</v>
      </c>
      <c r="C51">
        <v>51.359499999999997</v>
      </c>
    </row>
    <row r="52" spans="1:3" x14ac:dyDescent="0.2">
      <c r="A52" s="1">
        <v>41334</v>
      </c>
      <c r="B52">
        <v>60.387403233532588</v>
      </c>
      <c r="C52">
        <v>50.124299999999998</v>
      </c>
    </row>
    <row r="53" spans="1:3" x14ac:dyDescent="0.2">
      <c r="A53" s="1">
        <v>41365</v>
      </c>
      <c r="B53">
        <v>59.132727793364595</v>
      </c>
      <c r="C53">
        <v>49.2941</v>
      </c>
    </row>
    <row r="54" spans="1:3" x14ac:dyDescent="0.2">
      <c r="A54" s="1">
        <v>41395</v>
      </c>
      <c r="B54">
        <v>53.256192629388337</v>
      </c>
      <c r="C54">
        <v>49.1768</v>
      </c>
    </row>
    <row r="55" spans="1:3" x14ac:dyDescent="0.2">
      <c r="A55" s="1">
        <v>41426</v>
      </c>
      <c r="B55">
        <v>49.075044040466814</v>
      </c>
      <c r="C55">
        <v>48.017000000000003</v>
      </c>
    </row>
    <row r="56" spans="1:3" x14ac:dyDescent="0.2">
      <c r="A56" s="1">
        <v>41456</v>
      </c>
      <c r="B56">
        <v>45.81646743291703</v>
      </c>
      <c r="C56">
        <v>45.387300000000003</v>
      </c>
    </row>
    <row r="57" spans="1:3" x14ac:dyDescent="0.2">
      <c r="A57" s="1">
        <v>41487</v>
      </c>
      <c r="B57">
        <v>33.845987385287252</v>
      </c>
      <c r="C57">
        <v>42.8673</v>
      </c>
    </row>
    <row r="58" spans="1:3" x14ac:dyDescent="0.2">
      <c r="A58" s="1">
        <v>41518</v>
      </c>
      <c r="B58">
        <v>30.540222756930593</v>
      </c>
      <c r="C58">
        <v>42.445500000000003</v>
      </c>
    </row>
    <row r="59" spans="1:3" x14ac:dyDescent="0.2">
      <c r="A59" s="1">
        <v>41548</v>
      </c>
      <c r="B59">
        <v>27.511203039614106</v>
      </c>
      <c r="C59">
        <v>40.812199999999997</v>
      </c>
    </row>
    <row r="60" spans="1:3" x14ac:dyDescent="0.2">
      <c r="A60" s="1">
        <v>41579</v>
      </c>
      <c r="B60">
        <v>30.223632420154441</v>
      </c>
      <c r="C60">
        <v>40.701500000000003</v>
      </c>
    </row>
    <row r="61" spans="1:3" x14ac:dyDescent="0.2">
      <c r="A61" s="1">
        <v>41609</v>
      </c>
      <c r="B61">
        <v>36.51186574303604</v>
      </c>
      <c r="C61">
        <v>39.681399999999996</v>
      </c>
    </row>
    <row r="62" spans="1:3" x14ac:dyDescent="0.2">
      <c r="A62" s="1">
        <v>41640</v>
      </c>
      <c r="B62">
        <v>39.998258391140418</v>
      </c>
      <c r="C62">
        <v>37.824300000000001</v>
      </c>
    </row>
    <row r="63" spans="1:3" x14ac:dyDescent="0.2">
      <c r="A63" s="1">
        <v>41671</v>
      </c>
      <c r="B63">
        <v>39.088293018919529</v>
      </c>
      <c r="C63">
        <v>39.628399999999999</v>
      </c>
    </row>
    <row r="64" spans="1:3" x14ac:dyDescent="0.2">
      <c r="A64" s="1">
        <v>41699</v>
      </c>
      <c r="B64">
        <v>44.997280898532999</v>
      </c>
      <c r="C64">
        <v>42.230499999999999</v>
      </c>
    </row>
    <row r="65" spans="1:3" x14ac:dyDescent="0.2">
      <c r="A65" s="1">
        <v>41730</v>
      </c>
      <c r="B65">
        <v>48.273593791618275</v>
      </c>
      <c r="C65">
        <v>42.37</v>
      </c>
    </row>
    <row r="66" spans="1:3" x14ac:dyDescent="0.2">
      <c r="A66" s="1">
        <v>41760</v>
      </c>
      <c r="B66">
        <v>43.523279574861043</v>
      </c>
      <c r="C66">
        <v>40.6248</v>
      </c>
    </row>
    <row r="67" spans="1:3" x14ac:dyDescent="0.2">
      <c r="A67" s="1">
        <v>41791</v>
      </c>
      <c r="B67">
        <v>41.381849319332211</v>
      </c>
      <c r="C67">
        <v>39.533799999999999</v>
      </c>
    </row>
    <row r="68" spans="1:3" x14ac:dyDescent="0.2">
      <c r="A68" s="1">
        <v>41821</v>
      </c>
      <c r="B68">
        <v>34.45203313189873</v>
      </c>
      <c r="C68">
        <v>36.954099999999997</v>
      </c>
    </row>
    <row r="69" spans="1:3" x14ac:dyDescent="0.2">
      <c r="A69" s="1">
        <v>41852</v>
      </c>
      <c r="B69">
        <v>24.99528321621283</v>
      </c>
      <c r="C69">
        <v>33.855699999999999</v>
      </c>
    </row>
    <row r="70" spans="1:3" x14ac:dyDescent="0.2">
      <c r="A70" s="1">
        <v>41883</v>
      </c>
      <c r="B70">
        <v>22.638498985735833</v>
      </c>
      <c r="C70">
        <v>32.299500000000002</v>
      </c>
    </row>
    <row r="71" spans="1:3" x14ac:dyDescent="0.2">
      <c r="A71" s="1">
        <v>41913</v>
      </c>
      <c r="B71">
        <v>19.948370336802348</v>
      </c>
      <c r="C71">
        <v>32.794800000000002</v>
      </c>
    </row>
    <row r="72" spans="1:3" x14ac:dyDescent="0.2">
      <c r="A72" s="1">
        <v>41944</v>
      </c>
      <c r="B72">
        <v>20.238114553764419</v>
      </c>
      <c r="C72">
        <v>32.722099999999998</v>
      </c>
    </row>
    <row r="73" spans="1:3" x14ac:dyDescent="0.2">
      <c r="A73" s="1">
        <v>41974</v>
      </c>
      <c r="B73">
        <v>21.866198966041367</v>
      </c>
      <c r="C73">
        <v>32.059100000000001</v>
      </c>
    </row>
    <row r="74" spans="1:3" x14ac:dyDescent="0.2">
      <c r="A74" s="1">
        <v>42005</v>
      </c>
      <c r="B74">
        <v>27.681449278184886</v>
      </c>
      <c r="C74">
        <v>32.186</v>
      </c>
    </row>
    <row r="75" spans="1:3" x14ac:dyDescent="0.2">
      <c r="A75" s="1">
        <v>42036</v>
      </c>
      <c r="B75">
        <v>27.34387728847884</v>
      </c>
      <c r="C75">
        <v>31.657900000000001</v>
      </c>
    </row>
    <row r="76" spans="1:3" x14ac:dyDescent="0.2">
      <c r="A76" s="1">
        <v>42064</v>
      </c>
      <c r="B76">
        <v>30.21095565424195</v>
      </c>
      <c r="C76">
        <v>31.072299999999998</v>
      </c>
    </row>
    <row r="77" spans="1:3" x14ac:dyDescent="0.2">
      <c r="A77" s="1">
        <v>42095</v>
      </c>
      <c r="B77">
        <v>30.151645306776611</v>
      </c>
      <c r="C77">
        <v>31.373799999999999</v>
      </c>
    </row>
    <row r="78" spans="1:3" x14ac:dyDescent="0.2">
      <c r="A78" s="1">
        <v>42125</v>
      </c>
      <c r="B78">
        <v>50.063554723690345</v>
      </c>
      <c r="C78">
        <v>32.587499999999999</v>
      </c>
    </row>
    <row r="79" spans="1:3" x14ac:dyDescent="0.2">
      <c r="A79" s="1">
        <v>42156</v>
      </c>
      <c r="B79">
        <v>35.998307688484374</v>
      </c>
      <c r="C79">
        <v>33.476799999999997</v>
      </c>
    </row>
    <row r="80" spans="1:3" x14ac:dyDescent="0.2">
      <c r="A80" s="1">
        <v>42186</v>
      </c>
      <c r="B80">
        <v>37.817143939184362</v>
      </c>
      <c r="C80">
        <v>31.6023</v>
      </c>
    </row>
    <row r="81" spans="1:3" x14ac:dyDescent="0.2">
      <c r="A81" s="1">
        <v>42217</v>
      </c>
      <c r="B81">
        <v>34.217546202027293</v>
      </c>
      <c r="C81">
        <v>28.573799999999999</v>
      </c>
    </row>
    <row r="82" spans="1:3" x14ac:dyDescent="0.2">
      <c r="A82" s="1">
        <v>42248</v>
      </c>
      <c r="B82">
        <v>32.927946709252183</v>
      </c>
      <c r="C82">
        <v>26.809000000000001</v>
      </c>
    </row>
    <row r="83" spans="1:3" x14ac:dyDescent="0.2">
      <c r="A83" s="1">
        <v>42278</v>
      </c>
      <c r="B83">
        <v>31.316797955266004</v>
      </c>
      <c r="C83">
        <v>28.377700000000001</v>
      </c>
    </row>
    <row r="84" spans="1:3" x14ac:dyDescent="0.2">
      <c r="A84" s="1">
        <v>42309</v>
      </c>
      <c r="B84">
        <v>31.133282044488055</v>
      </c>
      <c r="C84">
        <v>27.884</v>
      </c>
    </row>
    <row r="85" spans="1:3" x14ac:dyDescent="0.2">
      <c r="A85" s="1">
        <v>42339</v>
      </c>
      <c r="B85">
        <v>31.442753100720779</v>
      </c>
      <c r="C85">
        <v>30.822700000000001</v>
      </c>
    </row>
    <row r="86" spans="1:3" x14ac:dyDescent="0.2">
      <c r="A86" s="1">
        <v>42370</v>
      </c>
      <c r="B86">
        <v>37.529121798357927</v>
      </c>
      <c r="C86">
        <v>30.012599999999999</v>
      </c>
    </row>
    <row r="87" spans="1:3" x14ac:dyDescent="0.2">
      <c r="A87" s="1">
        <v>42401</v>
      </c>
      <c r="B87">
        <v>39.970456291825457</v>
      </c>
      <c r="C87">
        <v>31.157499999999999</v>
      </c>
    </row>
    <row r="88" spans="1:3" x14ac:dyDescent="0.2">
      <c r="A88" s="1">
        <v>42430</v>
      </c>
      <c r="B88">
        <v>37.604917511286686</v>
      </c>
      <c r="C88">
        <v>32.476399999999998</v>
      </c>
    </row>
    <row r="89" spans="1:3" x14ac:dyDescent="0.2">
      <c r="A89" s="1">
        <v>42461</v>
      </c>
      <c r="B89">
        <v>40.926135387698658</v>
      </c>
      <c r="C89">
        <v>33.9529</v>
      </c>
    </row>
    <row r="90" spans="1:3" x14ac:dyDescent="0.2">
      <c r="A90" s="1">
        <v>42491</v>
      </c>
      <c r="B90">
        <v>41.030092243619904</v>
      </c>
      <c r="C90">
        <v>32.2057</v>
      </c>
    </row>
    <row r="91" spans="1:3" x14ac:dyDescent="0.2">
      <c r="A91" s="1">
        <v>42522</v>
      </c>
      <c r="B91">
        <v>39.405158756226022</v>
      </c>
      <c r="C91">
        <v>31.914999999999999</v>
      </c>
    </row>
    <row r="92" spans="1:3" x14ac:dyDescent="0.2">
      <c r="A92" s="1">
        <v>42552</v>
      </c>
      <c r="B92">
        <v>34.046251344119696</v>
      </c>
      <c r="C92">
        <v>30.401499999999999</v>
      </c>
    </row>
    <row r="93" spans="1:3" x14ac:dyDescent="0.2">
      <c r="A93" s="1">
        <v>42583</v>
      </c>
      <c r="B93">
        <v>32.463189518009081</v>
      </c>
      <c r="C93">
        <v>32.326999999999998</v>
      </c>
    </row>
    <row r="94" spans="1:3" x14ac:dyDescent="0.2">
      <c r="A94" s="1">
        <v>42614</v>
      </c>
      <c r="B94">
        <v>26.139514460101733</v>
      </c>
      <c r="C94">
        <v>32.812899999999999</v>
      </c>
    </row>
    <row r="95" spans="1:3" x14ac:dyDescent="0.2">
      <c r="A95" s="1">
        <v>42644</v>
      </c>
      <c r="B95">
        <v>28.768678094275476</v>
      </c>
      <c r="C95">
        <v>34.444800000000001</v>
      </c>
    </row>
    <row r="96" spans="1:3" x14ac:dyDescent="0.2">
      <c r="A96" s="1">
        <v>42675</v>
      </c>
      <c r="B96">
        <v>26.520449568392962</v>
      </c>
      <c r="C96">
        <v>35.036200000000001</v>
      </c>
    </row>
    <row r="97" spans="1:3" x14ac:dyDescent="0.2">
      <c r="A97" s="1">
        <v>42705</v>
      </c>
      <c r="B97">
        <v>30.450891210399412</v>
      </c>
      <c r="C97">
        <v>36.395699999999998</v>
      </c>
    </row>
    <row r="98" spans="1:3" x14ac:dyDescent="0.2">
      <c r="A98" s="1">
        <v>42736</v>
      </c>
      <c r="B98">
        <v>37.221797407225182</v>
      </c>
      <c r="C98">
        <v>35.111499999999999</v>
      </c>
    </row>
    <row r="99" spans="1:3" x14ac:dyDescent="0.2">
      <c r="A99" s="1">
        <v>42767</v>
      </c>
      <c r="B99">
        <v>36.760763976424535</v>
      </c>
      <c r="C99">
        <v>33.698399999999999</v>
      </c>
    </row>
    <row r="100" spans="1:3" x14ac:dyDescent="0.2">
      <c r="A100" s="1">
        <v>42795</v>
      </c>
      <c r="B100">
        <v>41.31900012095857</v>
      </c>
      <c r="C100">
        <v>32.93</v>
      </c>
    </row>
    <row r="101" spans="1:3" x14ac:dyDescent="0.2">
      <c r="A101" s="1">
        <v>42826</v>
      </c>
      <c r="B101">
        <v>35.896510541838317</v>
      </c>
      <c r="C101">
        <v>31.538399999999999</v>
      </c>
    </row>
    <row r="102" spans="1:3" x14ac:dyDescent="0.2">
      <c r="A102" s="1">
        <v>42856</v>
      </c>
      <c r="B102">
        <v>38.327725082104699</v>
      </c>
      <c r="C102">
        <v>32.490900000000003</v>
      </c>
    </row>
    <row r="103" spans="1:3" x14ac:dyDescent="0.2">
      <c r="A103" s="1">
        <v>42887</v>
      </c>
      <c r="B103">
        <v>34.083294363393968</v>
      </c>
      <c r="C103">
        <v>31.970500000000001</v>
      </c>
    </row>
    <row r="104" spans="1:3" x14ac:dyDescent="0.2">
      <c r="A104" s="1">
        <v>42917</v>
      </c>
      <c r="B104">
        <v>31.537065015220094</v>
      </c>
      <c r="C104">
        <v>33.548499999999997</v>
      </c>
    </row>
    <row r="105" spans="1:3" x14ac:dyDescent="0.2">
      <c r="A105" s="1">
        <v>42948</v>
      </c>
      <c r="B105">
        <v>28.460695134968987</v>
      </c>
      <c r="C105">
        <v>33.869999999999997</v>
      </c>
    </row>
    <row r="106" spans="1:3" x14ac:dyDescent="0.2">
      <c r="A106" s="1">
        <v>42979</v>
      </c>
      <c r="B106">
        <v>28.214355734389944</v>
      </c>
      <c r="C106">
        <v>34.28</v>
      </c>
    </row>
    <row r="107" spans="1:3" x14ac:dyDescent="0.2">
      <c r="A107" s="1">
        <v>43009</v>
      </c>
      <c r="B107">
        <v>23.625378130774202</v>
      </c>
      <c r="C107">
        <v>33.6</v>
      </c>
    </row>
    <row r="108" spans="1:3" x14ac:dyDescent="0.2">
      <c r="A108" s="1">
        <v>43040</v>
      </c>
      <c r="B108">
        <v>26.213908236365768</v>
      </c>
      <c r="C108">
        <v>34.409999999999997</v>
      </c>
    </row>
    <row r="109" spans="1:3" x14ac:dyDescent="0.2">
      <c r="A109" s="1">
        <v>43070</v>
      </c>
      <c r="B109">
        <v>33.851087096671598</v>
      </c>
      <c r="C109">
        <v>33.14</v>
      </c>
    </row>
    <row r="110" spans="1:3" x14ac:dyDescent="0.2">
      <c r="A110" s="1">
        <v>43101</v>
      </c>
      <c r="B110">
        <v>40.166307906471374</v>
      </c>
      <c r="C110">
        <v>32.950000000000003</v>
      </c>
    </row>
    <row r="111" spans="1:3" x14ac:dyDescent="0.2">
      <c r="A111" s="1">
        <v>43132</v>
      </c>
      <c r="B111">
        <v>38.909928558694212</v>
      </c>
      <c r="C111">
        <v>32.18</v>
      </c>
    </row>
    <row r="112" spans="1:3" x14ac:dyDescent="0.2">
      <c r="A112" s="1">
        <v>43160</v>
      </c>
      <c r="B112">
        <v>36.410938204004047</v>
      </c>
      <c r="C112">
        <v>31.85</v>
      </c>
    </row>
    <row r="113" spans="1:3" x14ac:dyDescent="0.2">
      <c r="A113" s="1">
        <v>43191</v>
      </c>
      <c r="B113">
        <v>46.110589559075102</v>
      </c>
      <c r="C113">
        <v>31.35</v>
      </c>
    </row>
    <row r="114" spans="1:3" x14ac:dyDescent="0.2">
      <c r="A114" s="1">
        <v>43221</v>
      </c>
      <c r="B114">
        <v>31.785997101711033</v>
      </c>
      <c r="C114">
        <v>31</v>
      </c>
    </row>
    <row r="115" spans="1:3" x14ac:dyDescent="0.2">
      <c r="A115" s="1">
        <v>43252</v>
      </c>
      <c r="B115">
        <v>33.927710585334822</v>
      </c>
      <c r="C115">
        <v>29.82</v>
      </c>
    </row>
    <row r="116" spans="1:3" x14ac:dyDescent="0.2">
      <c r="A116" s="1">
        <v>43282</v>
      </c>
      <c r="B116">
        <v>36.997719675417883</v>
      </c>
      <c r="C116">
        <v>28.36</v>
      </c>
    </row>
    <row r="117" spans="1:3" x14ac:dyDescent="0.2">
      <c r="A117" s="1">
        <v>43313</v>
      </c>
      <c r="B117">
        <v>32.119984182387867</v>
      </c>
      <c r="C117">
        <v>28.33</v>
      </c>
    </row>
    <row r="118" spans="1:3" x14ac:dyDescent="0.2">
      <c r="A118" s="1">
        <v>43344</v>
      </c>
      <c r="B118">
        <v>27.508831727625896</v>
      </c>
      <c r="C118">
        <v>28.26</v>
      </c>
    </row>
    <row r="119" spans="1:3" x14ac:dyDescent="0.2">
      <c r="A119" s="1">
        <v>43374</v>
      </c>
      <c r="B119">
        <v>29.978688251680058</v>
      </c>
      <c r="C119">
        <v>29.051739130434775</v>
      </c>
    </row>
    <row r="120" spans="1:3" x14ac:dyDescent="0.2">
      <c r="A120" s="1">
        <v>43405</v>
      </c>
      <c r="B120">
        <v>25.423263040577677</v>
      </c>
      <c r="C120">
        <v>27.69</v>
      </c>
    </row>
    <row r="121" spans="1:3" x14ac:dyDescent="0.2">
      <c r="A121" s="1">
        <v>43435</v>
      </c>
      <c r="B121">
        <v>28.263055673105839</v>
      </c>
      <c r="C121">
        <v>28.32</v>
      </c>
    </row>
    <row r="122" spans="1:3" x14ac:dyDescent="0.2">
      <c r="A122" s="1">
        <v>43466</v>
      </c>
      <c r="B122">
        <v>29.764237306335495</v>
      </c>
      <c r="C122">
        <v>29.000952380952373</v>
      </c>
    </row>
    <row r="123" spans="1:3" x14ac:dyDescent="0.2">
      <c r="A123" s="1">
        <v>43497</v>
      </c>
      <c r="B123">
        <v>33.72809410770293</v>
      </c>
      <c r="C123">
        <v>30.23</v>
      </c>
    </row>
    <row r="124" spans="1:3" x14ac:dyDescent="0.2">
      <c r="A124" s="1">
        <v>43525</v>
      </c>
      <c r="B124">
        <v>33.914197259991411</v>
      </c>
      <c r="C124">
        <v>29.38</v>
      </c>
    </row>
    <row r="125" spans="1:3" x14ac:dyDescent="0.2">
      <c r="A125" s="1">
        <v>43556</v>
      </c>
      <c r="B125">
        <v>35.107217424233696</v>
      </c>
      <c r="C125">
        <v>28.556666666666668</v>
      </c>
    </row>
    <row r="126" spans="1:3" x14ac:dyDescent="0.2">
      <c r="A126" s="1">
        <v>43586</v>
      </c>
      <c r="B126">
        <v>28.587759180281331</v>
      </c>
      <c r="C126">
        <v>27.230454545454549</v>
      </c>
    </row>
    <row r="127" spans="1:3" x14ac:dyDescent="0.2">
      <c r="A127" s="1">
        <v>43617</v>
      </c>
      <c r="B127">
        <v>32.64756139991308</v>
      </c>
      <c r="C127">
        <v>27.85</v>
      </c>
    </row>
    <row r="128" spans="1:3" x14ac:dyDescent="0.2">
      <c r="A128" s="1">
        <v>43647</v>
      </c>
      <c r="B128">
        <v>30.083728164000497</v>
      </c>
      <c r="C128">
        <v>28.054999999999996</v>
      </c>
    </row>
    <row r="129" spans="1:3" x14ac:dyDescent="0.2">
      <c r="A129" s="1">
        <v>43678</v>
      </c>
      <c r="B129">
        <v>24.141739262768382</v>
      </c>
      <c r="C129">
        <v>28.569999999999997</v>
      </c>
    </row>
    <row r="130" spans="1:3" x14ac:dyDescent="0.2">
      <c r="A130" s="1">
        <v>43709</v>
      </c>
      <c r="B130">
        <v>27.225654360320373</v>
      </c>
      <c r="C130">
        <v>29.063000000000006</v>
      </c>
    </row>
    <row r="131" spans="1:3" x14ac:dyDescent="0.2">
      <c r="A131" s="1">
        <v>43739</v>
      </c>
      <c r="B131">
        <v>26.450198306625659</v>
      </c>
      <c r="C131">
        <v>30.28</v>
      </c>
    </row>
    <row r="132" spans="1:3" x14ac:dyDescent="0.2">
      <c r="A132" s="1">
        <v>43770</v>
      </c>
      <c r="B132">
        <v>24.632983473676262</v>
      </c>
      <c r="C132">
        <v>30.957999999999998</v>
      </c>
    </row>
    <row r="133" spans="1:3" x14ac:dyDescent="0.2">
      <c r="A133" s="1">
        <v>43800</v>
      </c>
      <c r="B133">
        <f>'[2]Soy Complex'!$BI469</f>
        <v>1062.1144990310902</v>
      </c>
      <c r="C133">
        <v>32.689523809523813</v>
      </c>
    </row>
    <row r="134" spans="1:3" x14ac:dyDescent="0.2">
      <c r="A134" s="1">
        <v>43831</v>
      </c>
      <c r="B134">
        <f>'[2]Soy Complex'!$BI470</f>
        <v>1007.4008508838294</v>
      </c>
      <c r="C134">
        <v>33.150952380952383</v>
      </c>
    </row>
    <row r="135" spans="1:3" x14ac:dyDescent="0.2">
      <c r="A135" s="1">
        <v>43862</v>
      </c>
      <c r="B135">
        <f>'[2]Soy Complex'!$BI471</f>
        <v>1217.1866842284799</v>
      </c>
      <c r="C135" s="2">
        <f>[3]Prices!$D604</f>
        <v>30.248421052631581</v>
      </c>
    </row>
    <row r="136" spans="1:3" x14ac:dyDescent="0.2">
      <c r="A136" s="1">
        <v>43891</v>
      </c>
      <c r="B136">
        <f>'[2]Soy Complex'!$BI472</f>
        <v>944.50779706075105</v>
      </c>
      <c r="C136" s="2">
        <f>[3]Prices!$D605</f>
        <v>27.017727272727271</v>
      </c>
    </row>
    <row r="137" spans="1:3" x14ac:dyDescent="0.2">
      <c r="A137" s="1">
        <v>43922</v>
      </c>
      <c r="B137">
        <f>'[2]Soy Complex'!$BI473</f>
        <v>1186.5453996173792</v>
      </c>
      <c r="C137" s="2">
        <f>[3]Prices!$D606</f>
        <v>26.202857142857148</v>
      </c>
    </row>
    <row r="138" spans="1:3" x14ac:dyDescent="0.2">
      <c r="A138" s="1">
        <v>43952</v>
      </c>
      <c r="B138">
        <f>'[2]Soy Complex'!$BI474</f>
        <v>851.03593447768003</v>
      </c>
      <c r="C138" s="2">
        <f>[3]Prices!$D607</f>
        <v>26.708999999999996</v>
      </c>
    </row>
    <row r="139" spans="1:3" x14ac:dyDescent="0.2">
      <c r="A139" s="1">
        <v>43983</v>
      </c>
      <c r="B139">
        <f>'[2]Soy Complex'!$BI475</f>
        <v>959.70708011103579</v>
      </c>
      <c r="C139" s="2">
        <f>[3]Prices!$D608</f>
        <v>27.891363636363643</v>
      </c>
    </row>
    <row r="140" spans="1:3" x14ac:dyDescent="0.2">
      <c r="A140" s="1">
        <v>44013</v>
      </c>
      <c r="B140">
        <f>'[2]Soy Complex'!$BI476</f>
        <v>1181.9869451165459</v>
      </c>
      <c r="C140" s="2">
        <f>[3]Prices!$D609</f>
        <v>29.206818181818178</v>
      </c>
    </row>
    <row r="141" spans="1:3" x14ac:dyDescent="0.2">
      <c r="A141" s="1">
        <v>44044</v>
      </c>
      <c r="B141">
        <f>'[2]Soy Complex'!$BI477</f>
        <v>1230.7951254310149</v>
      </c>
      <c r="C141" s="2">
        <f>[3]Prices!$D610</f>
        <v>31.59238095238096</v>
      </c>
    </row>
    <row r="142" spans="1:3" x14ac:dyDescent="0.2">
      <c r="A142" s="1">
        <v>44075</v>
      </c>
      <c r="B142">
        <f>'[2]Soy Complex'!$BI478</f>
        <v>1143.1148334201293</v>
      </c>
      <c r="C142" s="2">
        <f>[3]Prices!$D611</f>
        <v>33.51047619047619</v>
      </c>
    </row>
    <row r="143" spans="1:3" x14ac:dyDescent="0.2">
      <c r="A143" s="1">
        <v>44105</v>
      </c>
      <c r="B143" t="str">
        <f>'[2]Soy Complex'!$BJ467</f>
        <v>20/21</v>
      </c>
      <c r="C143" s="2">
        <f>[3]Prices!$D612</f>
        <v>33.276818181818186</v>
      </c>
    </row>
    <row r="144" spans="1:3" x14ac:dyDescent="0.2">
      <c r="A144" s="1">
        <v>44136</v>
      </c>
      <c r="B144">
        <f>'[2]Soy Complex'!$BJ468</f>
        <v>1314.3809434364448</v>
      </c>
      <c r="C144" s="2">
        <f>[3]Prices!$D613</f>
        <v>36.862499999999997</v>
      </c>
    </row>
    <row r="145" spans="1:3" x14ac:dyDescent="0.2">
      <c r="A145" s="1">
        <v>44166</v>
      </c>
      <c r="B145">
        <f>'[2]Soy Complex'!$BJ469</f>
        <v>1163.5432084904978</v>
      </c>
      <c r="C145" s="2">
        <f>[3]Prices!$D614</f>
        <v>39.571363636363643</v>
      </c>
    </row>
    <row r="146" spans="1:3" x14ac:dyDescent="0.2">
      <c r="A146" s="1">
        <v>44197</v>
      </c>
      <c r="B146">
        <f>'[2]Soy Complex'!$BJ470</f>
        <v>945.19701572213967</v>
      </c>
      <c r="C146" s="2">
        <f>[3]Prices!$D615</f>
        <v>43.154210526315786</v>
      </c>
    </row>
    <row r="147" spans="1:3" x14ac:dyDescent="0.2">
      <c r="A147" s="1">
        <v>44228</v>
      </c>
      <c r="B147">
        <f>'[2]Soy Complex'!$BJ471</f>
        <v>1046.4774434034041</v>
      </c>
      <c r="C147" s="2">
        <f>[3]Prices!$D616</f>
        <v>46.94631578947368</v>
      </c>
    </row>
    <row r="148" spans="1:3" x14ac:dyDescent="0.2">
      <c r="A148" s="1">
        <v>44256</v>
      </c>
      <c r="B148">
        <f>'[2]Soy Complex'!$BJ472</f>
        <v>1118.7584739478937</v>
      </c>
      <c r="C148" s="2">
        <f>[3]Prices!$D617</f>
        <v>53.370000000000012</v>
      </c>
    </row>
    <row r="149" spans="1:3" x14ac:dyDescent="0.2">
      <c r="A149" s="1">
        <v>44287</v>
      </c>
      <c r="B149">
        <f>'[2]Soy Complex'!$BJ473</f>
        <v>1454.073677937716</v>
      </c>
      <c r="C149" s="2">
        <f>[3]Prices!$D618</f>
        <v>58.235714285714302</v>
      </c>
    </row>
    <row r="150" spans="1:3" x14ac:dyDescent="0.2">
      <c r="A150" s="1">
        <v>44317</v>
      </c>
      <c r="B150">
        <f>'[2]Soy Complex'!$BJ474</f>
        <v>907.5693513872402</v>
      </c>
      <c r="C150" s="2">
        <f>[3]Prices!$D619</f>
        <v>65.639500000000012</v>
      </c>
    </row>
    <row r="151" spans="1:3" x14ac:dyDescent="0.2">
      <c r="A151" s="1">
        <v>44348</v>
      </c>
      <c r="B151">
        <f>'[2]Soy Complex'!$BJ475</f>
        <v>1312.4258562241707</v>
      </c>
      <c r="C151" s="2">
        <f>[3]Prices!$D620</f>
        <v>65.243181818181839</v>
      </c>
    </row>
    <row r="152" spans="1:3" x14ac:dyDescent="0.2">
      <c r="A152" s="1">
        <v>44378</v>
      </c>
      <c r="B152">
        <f>'[2]Soy Complex'!$BJ476</f>
        <v>1292.5062416052908</v>
      </c>
      <c r="C152" s="2">
        <f>[3]Prices!$D621</f>
        <v>64.936190476190475</v>
      </c>
    </row>
    <row r="153" spans="1:3" x14ac:dyDescent="0.2">
      <c r="A153" s="1">
        <v>44409</v>
      </c>
      <c r="B153">
        <f>'[2]Soy Complex'!$BJ477</f>
        <v>1333.4310683499712</v>
      </c>
      <c r="C153" s="2">
        <f>[3]Prices!$D622</f>
        <v>61.464090909090899</v>
      </c>
    </row>
    <row r="154" spans="1:3" x14ac:dyDescent="0.2">
      <c r="A154" s="1">
        <v>44440</v>
      </c>
      <c r="B154">
        <f>'[2]Soy Complex'!$BJ478</f>
        <v>1330.2036670704874</v>
      </c>
      <c r="C154" s="2">
        <f>[3]Prices!$D623</f>
        <v>57.204761904761902</v>
      </c>
    </row>
    <row r="155" spans="1:3" x14ac:dyDescent="0.2">
      <c r="A155" s="1">
        <v>44470</v>
      </c>
      <c r="B155" t="str">
        <f>'[2]Soy Complex'!$BK467</f>
        <v xml:space="preserve">21/22 </v>
      </c>
      <c r="C155" s="2">
        <f>[3]Prices!$D624</f>
        <v>61.246190476190478</v>
      </c>
    </row>
    <row r="156" spans="1:3" x14ac:dyDescent="0.2">
      <c r="A156" s="1">
        <v>44501</v>
      </c>
      <c r="B156">
        <f>'[2]Soy Complex'!$BK468</f>
        <v>1002.1183669473349</v>
      </c>
      <c r="C156" s="2">
        <f>[3]Prices!$D625</f>
        <v>59.234761904761896</v>
      </c>
    </row>
    <row r="157" spans="1:3" x14ac:dyDescent="0.2">
      <c r="A157" s="1">
        <v>44531</v>
      </c>
      <c r="B157">
        <f>'[2]Soy Complex'!$BK469</f>
        <v>1200.9571732603176</v>
      </c>
      <c r="C157" s="2">
        <f>[3]Prices!$D626</f>
        <v>55.209545454545463</v>
      </c>
    </row>
    <row r="158" spans="1:3" x14ac:dyDescent="0.2">
      <c r="A158" s="1">
        <v>44562</v>
      </c>
      <c r="B158">
        <f>'[2]Soy Complex'!$BK470</f>
        <v>1190.7591410965495</v>
      </c>
      <c r="C158" s="2">
        <f>[3]Prices!$D627</f>
        <v>60.679999999999993</v>
      </c>
    </row>
    <row r="159" spans="1:3" x14ac:dyDescent="0.2">
      <c r="A159" s="1">
        <v>44593</v>
      </c>
      <c r="B159">
        <f>'[2]Soy Complex'!$BK471</f>
        <v>1184.3850230000003</v>
      </c>
      <c r="C159" s="2">
        <f>[3]Prices!$D628</f>
        <v>67.012631578947364</v>
      </c>
    </row>
    <row r="160" spans="1:3" x14ac:dyDescent="0.2">
      <c r="A160" s="1">
        <v>44621</v>
      </c>
      <c r="B160" s="3">
        <f>'[2]Soy Complex'!$BK472</f>
        <v>1027.1673699999997</v>
      </c>
      <c r="C160" s="4">
        <f>[3]Prices!$D629</f>
        <v>74.006521739130449</v>
      </c>
    </row>
    <row r="161" spans="1:3" x14ac:dyDescent="0.2">
      <c r="A161" s="1">
        <v>44652</v>
      </c>
      <c r="B161" s="3">
        <f>'[2]Soy Complex'!$BK473</f>
        <v>1237.4232029999994</v>
      </c>
      <c r="C161" s="4">
        <f>[3]Prices!$D630</f>
        <v>79.201999999999998</v>
      </c>
    </row>
    <row r="162" spans="1:3" x14ac:dyDescent="0.2">
      <c r="A162" s="1">
        <v>44682</v>
      </c>
      <c r="B162" s="3">
        <f>'[2]Soy Complex'!$BK474</f>
        <v>1177.004502</v>
      </c>
      <c r="C162" s="4">
        <f>[3]Prices!$D631</f>
        <v>81.004761904761907</v>
      </c>
    </row>
    <row r="163" spans="1:3" x14ac:dyDescent="0.2">
      <c r="A163" s="1">
        <v>44713</v>
      </c>
      <c r="B163" s="3">
        <f>'[2]Soy Complex'!$BK475</f>
        <v>1294.5276979999994</v>
      </c>
      <c r="C163" s="4">
        <f>[3]Prices!$D632</f>
        <v>76.33</v>
      </c>
    </row>
    <row r="164" spans="1:3" x14ac:dyDescent="0.2">
      <c r="A164" s="1">
        <v>44743</v>
      </c>
      <c r="B164" s="3">
        <f>'[2]Soy Complex'!$BK476</f>
        <v>1279.4612879999995</v>
      </c>
      <c r="C164" s="4">
        <f>[3]Prices!$D633</f>
        <v>61.398000000000003</v>
      </c>
    </row>
    <row r="165" spans="1:3" x14ac:dyDescent="0.2">
      <c r="A165" s="1">
        <v>44774</v>
      </c>
      <c r="B165" s="3">
        <f>'[2]Soy Complex'!$BK477</f>
        <v>1169.409077999999</v>
      </c>
      <c r="C165" s="4">
        <f>[3]Prices!$D634</f>
        <v>67.486956521739117</v>
      </c>
    </row>
    <row r="166" spans="1:3" x14ac:dyDescent="0.2">
      <c r="A166" s="1">
        <v>44805</v>
      </c>
      <c r="B166" s="3">
        <f>'[2]Soy Complex'!$BK478</f>
        <v>1298.6393159999998</v>
      </c>
      <c r="C166" s="4">
        <f>[3]Prices!$D635</f>
        <v>66.873333333333335</v>
      </c>
    </row>
    <row r="167" spans="1:3" x14ac:dyDescent="0.2">
      <c r="A167" s="1">
        <v>44835</v>
      </c>
      <c r="B167" s="3">
        <f>'[2]Soy Complex'!$BK479</f>
        <v>1137.0766708960364</v>
      </c>
      <c r="C167" s="4">
        <f>[3]Prices!$D636</f>
        <v>68.494285714285709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C0DF-CA7A-4917-94A5-57876EBEBA68}">
  <dimension ref="A3:M81"/>
  <sheetViews>
    <sheetView topLeftCell="A31" workbookViewId="0">
      <selection activeCell="B61" sqref="B61:M61"/>
    </sheetView>
  </sheetViews>
  <sheetFormatPr defaultRowHeight="12.75" x14ac:dyDescent="0.2"/>
  <sheetData>
    <row r="3" spans="1:13" x14ac:dyDescent="0.2">
      <c r="A3" t="s">
        <v>2</v>
      </c>
    </row>
    <row r="4" spans="1:13" x14ac:dyDescent="0.2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</row>
    <row r="5" spans="1:13" x14ac:dyDescent="0.2">
      <c r="A5">
        <v>2000</v>
      </c>
    </row>
    <row r="6" spans="1:13" x14ac:dyDescent="0.2">
      <c r="A6">
        <v>2001</v>
      </c>
      <c r="B6">
        <v>17.068000000000001</v>
      </c>
      <c r="C6">
        <v>16.392380952380954</v>
      </c>
      <c r="D6">
        <v>16.42421052631579</v>
      </c>
      <c r="E6">
        <v>17.383636363636363</v>
      </c>
      <c r="F6">
        <v>16.375500000000002</v>
      </c>
      <c r="G6">
        <v>15.641363636363634</v>
      </c>
      <c r="H6">
        <v>15.965714285714288</v>
      </c>
      <c r="I6">
        <v>18.383333333333333</v>
      </c>
      <c r="J6">
        <v>18.836521739130436</v>
      </c>
      <c r="K6">
        <v>16.750526315789472</v>
      </c>
      <c r="L6">
        <v>15.407391304347826</v>
      </c>
      <c r="M6">
        <v>16.178095238095239</v>
      </c>
    </row>
    <row r="7" spans="1:13" x14ac:dyDescent="0.2">
      <c r="A7">
        <v>2002</v>
      </c>
      <c r="B7">
        <v>17.180526315789479</v>
      </c>
      <c r="C7">
        <v>16.792380952380956</v>
      </c>
      <c r="D7">
        <v>16.651578947368421</v>
      </c>
      <c r="E7">
        <v>17.34</v>
      </c>
      <c r="F7">
        <v>17.604090909090914</v>
      </c>
      <c r="G7">
        <v>17.840454545454545</v>
      </c>
      <c r="H7">
        <v>18.771999999999998</v>
      </c>
      <c r="I7">
        <v>19.888181818181817</v>
      </c>
      <c r="J7">
        <v>20.923181818181821</v>
      </c>
      <c r="K7">
        <v>20.381499999999999</v>
      </c>
      <c r="L7">
        <v>20.412173913043478</v>
      </c>
      <c r="M7">
        <v>22.452999999999999</v>
      </c>
    </row>
    <row r="8" spans="1:13" x14ac:dyDescent="0.2">
      <c r="A8">
        <v>2003</v>
      </c>
    </row>
    <row r="9" spans="1:13" x14ac:dyDescent="0.2">
      <c r="A9">
        <v>2004</v>
      </c>
    </row>
    <row r="10" spans="1:13" x14ac:dyDescent="0.2">
      <c r="A10">
        <v>2005</v>
      </c>
    </row>
    <row r="11" spans="1:13" x14ac:dyDescent="0.2">
      <c r="A11">
        <v>2006</v>
      </c>
    </row>
    <row r="12" spans="1:13" x14ac:dyDescent="0.2">
      <c r="A12">
        <v>2007</v>
      </c>
    </row>
    <row r="13" spans="1:13" x14ac:dyDescent="0.2">
      <c r="A13">
        <v>2008</v>
      </c>
    </row>
    <row r="14" spans="1:13" x14ac:dyDescent="0.2">
      <c r="A14">
        <v>2009</v>
      </c>
    </row>
    <row r="15" spans="1:13" x14ac:dyDescent="0.2">
      <c r="A15">
        <v>2010</v>
      </c>
    </row>
    <row r="16" spans="1:13" x14ac:dyDescent="0.2">
      <c r="A16">
        <v>2011</v>
      </c>
    </row>
    <row r="17" spans="1:13" x14ac:dyDescent="0.2">
      <c r="A17">
        <v>2012</v>
      </c>
    </row>
    <row r="18" spans="1:13" x14ac:dyDescent="0.2">
      <c r="A18">
        <v>2013</v>
      </c>
    </row>
    <row r="19" spans="1:13" x14ac:dyDescent="0.2">
      <c r="A19">
        <v>2014</v>
      </c>
    </row>
    <row r="20" spans="1:13" x14ac:dyDescent="0.2">
      <c r="A20">
        <v>2015</v>
      </c>
    </row>
    <row r="21" spans="1:13" x14ac:dyDescent="0.2">
      <c r="A21">
        <v>2016</v>
      </c>
    </row>
    <row r="22" spans="1:13" x14ac:dyDescent="0.2">
      <c r="A22">
        <v>2017</v>
      </c>
    </row>
    <row r="23" spans="1:13" x14ac:dyDescent="0.2">
      <c r="A23">
        <v>2018</v>
      </c>
    </row>
    <row r="24" spans="1:13" x14ac:dyDescent="0.2">
      <c r="A24">
        <v>2019</v>
      </c>
    </row>
    <row r="25" spans="1:13" x14ac:dyDescent="0.2">
      <c r="A25">
        <v>2020</v>
      </c>
    </row>
    <row r="26" spans="1:13" x14ac:dyDescent="0.2">
      <c r="A26">
        <v>2021</v>
      </c>
    </row>
    <row r="27" spans="1:13" x14ac:dyDescent="0.2">
      <c r="A27">
        <v>2022</v>
      </c>
    </row>
    <row r="28" spans="1:13" x14ac:dyDescent="0.2">
      <c r="A28">
        <v>2023</v>
      </c>
    </row>
    <row r="30" spans="1:13" x14ac:dyDescent="0.2">
      <c r="A30" t="s">
        <v>16</v>
      </c>
    </row>
    <row r="31" spans="1:13" x14ac:dyDescent="0.2">
      <c r="A31" t="s">
        <v>3</v>
      </c>
      <c r="B31" t="str">
        <f>B4</f>
        <v>Dec</v>
      </c>
      <c r="C31" t="str">
        <f t="shared" ref="C31:M31" si="0">C4</f>
        <v>Jan</v>
      </c>
      <c r="D31" t="str">
        <f t="shared" si="0"/>
        <v>Feb</v>
      </c>
      <c r="E31" t="str">
        <f t="shared" si="0"/>
        <v>Mar</v>
      </c>
      <c r="F31" t="str">
        <f t="shared" si="0"/>
        <v>Apr</v>
      </c>
      <c r="G31" t="str">
        <f t="shared" si="0"/>
        <v>May</v>
      </c>
      <c r="H31" t="str">
        <f t="shared" si="0"/>
        <v>Jun</v>
      </c>
      <c r="I31" t="str">
        <f t="shared" si="0"/>
        <v>Jul</v>
      </c>
      <c r="J31" t="str">
        <f t="shared" si="0"/>
        <v>Aug</v>
      </c>
      <c r="K31" t="str">
        <f t="shared" si="0"/>
        <v>Sep</v>
      </c>
      <c r="L31" t="str">
        <f t="shared" si="0"/>
        <v>Oct</v>
      </c>
      <c r="M31" t="str">
        <f t="shared" si="0"/>
        <v>Nov</v>
      </c>
    </row>
    <row r="32" spans="1:13" x14ac:dyDescent="0.2">
      <c r="A32">
        <v>2000</v>
      </c>
    </row>
    <row r="33" spans="1:13" x14ac:dyDescent="0.2">
      <c r="A33">
        <v>2001</v>
      </c>
      <c r="B33">
        <v>17.399999999999999</v>
      </c>
      <c r="C33">
        <v>16.62</v>
      </c>
      <c r="D33">
        <v>17.2</v>
      </c>
      <c r="E33">
        <v>17.63</v>
      </c>
      <c r="F33">
        <v>17.03</v>
      </c>
      <c r="G33">
        <v>15.97</v>
      </c>
      <c r="H33">
        <v>16.36</v>
      </c>
      <c r="I33">
        <v>19.52</v>
      </c>
      <c r="J33">
        <v>19.829999999999998</v>
      </c>
      <c r="K33">
        <v>16.93</v>
      </c>
      <c r="L33">
        <v>15.69</v>
      </c>
      <c r="M33">
        <v>16.53</v>
      </c>
    </row>
    <row r="34" spans="1:13" x14ac:dyDescent="0.2">
      <c r="A34">
        <v>2002</v>
      </c>
      <c r="B34">
        <v>17.850000000000001</v>
      </c>
      <c r="C34">
        <v>17.45</v>
      </c>
      <c r="D34">
        <v>16.940000000000001</v>
      </c>
      <c r="E34">
        <v>17.96</v>
      </c>
      <c r="F34">
        <v>17.86</v>
      </c>
      <c r="G34">
        <v>19.27</v>
      </c>
      <c r="H34">
        <v>19.239999999999998</v>
      </c>
      <c r="I34">
        <v>20.54</v>
      </c>
      <c r="J34">
        <v>21.26</v>
      </c>
      <c r="K34">
        <v>20.71</v>
      </c>
      <c r="L34">
        <v>21.84</v>
      </c>
      <c r="M34">
        <v>22.82</v>
      </c>
    </row>
    <row r="35" spans="1:13" x14ac:dyDescent="0.2">
      <c r="A35">
        <v>2003</v>
      </c>
    </row>
    <row r="36" spans="1:13" x14ac:dyDescent="0.2">
      <c r="A36">
        <v>2004</v>
      </c>
    </row>
    <row r="37" spans="1:13" x14ac:dyDescent="0.2">
      <c r="A37">
        <v>2005</v>
      </c>
    </row>
    <row r="38" spans="1:13" x14ac:dyDescent="0.2">
      <c r="A38">
        <v>2006</v>
      </c>
    </row>
    <row r="39" spans="1:13" x14ac:dyDescent="0.2">
      <c r="A39">
        <v>2007</v>
      </c>
    </row>
    <row r="40" spans="1:13" x14ac:dyDescent="0.2">
      <c r="A40">
        <v>2008</v>
      </c>
    </row>
    <row r="41" spans="1:13" x14ac:dyDescent="0.2">
      <c r="A41">
        <v>2009</v>
      </c>
    </row>
    <row r="42" spans="1:13" x14ac:dyDescent="0.2">
      <c r="A42">
        <v>2010</v>
      </c>
    </row>
    <row r="43" spans="1:13" x14ac:dyDescent="0.2">
      <c r="A43">
        <v>2011</v>
      </c>
    </row>
    <row r="44" spans="1:13" x14ac:dyDescent="0.2">
      <c r="A44">
        <v>2012</v>
      </c>
    </row>
    <row r="45" spans="1:13" x14ac:dyDescent="0.2">
      <c r="A45">
        <v>2013</v>
      </c>
    </row>
    <row r="46" spans="1:13" x14ac:dyDescent="0.2">
      <c r="A46">
        <v>2014</v>
      </c>
    </row>
    <row r="47" spans="1:13" x14ac:dyDescent="0.2">
      <c r="A47">
        <v>2015</v>
      </c>
    </row>
    <row r="48" spans="1:13" x14ac:dyDescent="0.2">
      <c r="A48">
        <v>2016</v>
      </c>
    </row>
    <row r="49" spans="1:13" x14ac:dyDescent="0.2">
      <c r="A49">
        <v>2017</v>
      </c>
    </row>
    <row r="50" spans="1:13" x14ac:dyDescent="0.2">
      <c r="A50">
        <v>2018</v>
      </c>
    </row>
    <row r="51" spans="1:13" x14ac:dyDescent="0.2">
      <c r="A51">
        <v>2019</v>
      </c>
    </row>
    <row r="52" spans="1:13" x14ac:dyDescent="0.2">
      <c r="A52">
        <v>2020</v>
      </c>
    </row>
    <row r="53" spans="1:13" x14ac:dyDescent="0.2">
      <c r="A53">
        <v>2021</v>
      </c>
    </row>
    <row r="54" spans="1:13" x14ac:dyDescent="0.2">
      <c r="A54">
        <v>2022</v>
      </c>
    </row>
    <row r="55" spans="1:13" x14ac:dyDescent="0.2">
      <c r="A55">
        <v>2023</v>
      </c>
    </row>
    <row r="57" spans="1:13" x14ac:dyDescent="0.2">
      <c r="A57" t="s">
        <v>17</v>
      </c>
    </row>
    <row r="58" spans="1:13" x14ac:dyDescent="0.2">
      <c r="A58" t="s">
        <v>3</v>
      </c>
      <c r="B58" t="str">
        <f>B4</f>
        <v>Dec</v>
      </c>
      <c r="C58" t="str">
        <f t="shared" ref="C58:M58" si="1">C4</f>
        <v>Jan</v>
      </c>
      <c r="D58" t="str">
        <f t="shared" si="1"/>
        <v>Feb</v>
      </c>
      <c r="E58" t="str">
        <f t="shared" si="1"/>
        <v>Mar</v>
      </c>
      <c r="F58" t="str">
        <f t="shared" si="1"/>
        <v>Apr</v>
      </c>
      <c r="G58" t="str">
        <f t="shared" si="1"/>
        <v>May</v>
      </c>
      <c r="H58" t="str">
        <f t="shared" si="1"/>
        <v>Jun</v>
      </c>
      <c r="I58" t="str">
        <f t="shared" si="1"/>
        <v>Jul</v>
      </c>
      <c r="J58" t="str">
        <f t="shared" si="1"/>
        <v>Aug</v>
      </c>
      <c r="K58" t="str">
        <f t="shared" si="1"/>
        <v>Sep</v>
      </c>
      <c r="L58" t="str">
        <f t="shared" si="1"/>
        <v>Oct</v>
      </c>
      <c r="M58" t="str">
        <f t="shared" si="1"/>
        <v>Nov</v>
      </c>
    </row>
    <row r="59" spans="1:13" x14ac:dyDescent="0.2">
      <c r="A59">
        <v>2000</v>
      </c>
    </row>
    <row r="60" spans="1:13" x14ac:dyDescent="0.2">
      <c r="A60">
        <v>2001</v>
      </c>
      <c r="B60">
        <v>16.45</v>
      </c>
      <c r="C60">
        <v>16.02</v>
      </c>
      <c r="D60">
        <v>16</v>
      </c>
      <c r="E60">
        <v>16.78</v>
      </c>
      <c r="F60">
        <v>15.65</v>
      </c>
      <c r="G60">
        <v>15.22</v>
      </c>
      <c r="H60">
        <v>15.44</v>
      </c>
      <c r="I60">
        <v>15.79</v>
      </c>
      <c r="J60">
        <v>17.05</v>
      </c>
      <c r="K60">
        <v>15.5</v>
      </c>
      <c r="L60">
        <v>14.75</v>
      </c>
      <c r="M60">
        <v>15.39</v>
      </c>
    </row>
    <row r="61" spans="1:13" x14ac:dyDescent="0.2">
      <c r="A61">
        <v>2002</v>
      </c>
      <c r="B61">
        <v>16.350000000000001</v>
      </c>
      <c r="C61">
        <v>16.100000000000001</v>
      </c>
      <c r="D61">
        <v>16.12</v>
      </c>
      <c r="E61">
        <v>16.45</v>
      </c>
      <c r="F61">
        <v>16.95</v>
      </c>
      <c r="G61">
        <v>16.73</v>
      </c>
      <c r="H61">
        <v>18.079999999999998</v>
      </c>
      <c r="I61">
        <v>18.190000000000001</v>
      </c>
      <c r="J61">
        <v>20</v>
      </c>
      <c r="K61">
        <v>19.600000000000001</v>
      </c>
      <c r="L61">
        <v>19.12</v>
      </c>
      <c r="M61">
        <v>21.65</v>
      </c>
    </row>
    <row r="62" spans="1:13" x14ac:dyDescent="0.2">
      <c r="A62">
        <v>2003</v>
      </c>
    </row>
    <row r="63" spans="1:13" x14ac:dyDescent="0.2">
      <c r="A63">
        <v>2004</v>
      </c>
    </row>
    <row r="64" spans="1:13" x14ac:dyDescent="0.2">
      <c r="A64">
        <v>2005</v>
      </c>
    </row>
    <row r="65" spans="1:1" x14ac:dyDescent="0.2">
      <c r="A65">
        <v>2006</v>
      </c>
    </row>
    <row r="66" spans="1:1" x14ac:dyDescent="0.2">
      <c r="A66">
        <v>2007</v>
      </c>
    </row>
    <row r="67" spans="1:1" x14ac:dyDescent="0.2">
      <c r="A67">
        <v>2008</v>
      </c>
    </row>
    <row r="68" spans="1:1" x14ac:dyDescent="0.2">
      <c r="A68">
        <v>2009</v>
      </c>
    </row>
    <row r="69" spans="1:1" x14ac:dyDescent="0.2">
      <c r="A69">
        <v>2010</v>
      </c>
    </row>
    <row r="70" spans="1:1" x14ac:dyDescent="0.2">
      <c r="A70">
        <v>2011</v>
      </c>
    </row>
    <row r="71" spans="1:1" x14ac:dyDescent="0.2">
      <c r="A71">
        <v>2012</v>
      </c>
    </row>
    <row r="72" spans="1:1" x14ac:dyDescent="0.2">
      <c r="A72">
        <v>2013</v>
      </c>
    </row>
    <row r="73" spans="1:1" x14ac:dyDescent="0.2">
      <c r="A73">
        <v>2014</v>
      </c>
    </row>
    <row r="74" spans="1:1" x14ac:dyDescent="0.2">
      <c r="A74">
        <v>2015</v>
      </c>
    </row>
    <row r="75" spans="1:1" x14ac:dyDescent="0.2">
      <c r="A75">
        <v>2016</v>
      </c>
    </row>
    <row r="76" spans="1:1" x14ac:dyDescent="0.2">
      <c r="A76">
        <v>2017</v>
      </c>
    </row>
    <row r="77" spans="1:1" x14ac:dyDescent="0.2">
      <c r="A77">
        <v>2018</v>
      </c>
    </row>
    <row r="78" spans="1:1" x14ac:dyDescent="0.2">
      <c r="A78">
        <v>2019</v>
      </c>
    </row>
    <row r="79" spans="1:1" x14ac:dyDescent="0.2">
      <c r="A79">
        <v>2020</v>
      </c>
    </row>
    <row r="80" spans="1:1" x14ac:dyDescent="0.2">
      <c r="A80">
        <v>2021</v>
      </c>
    </row>
    <row r="81" spans="1:1" x14ac:dyDescent="0.2">
      <c r="A81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2025-07-17T08:58:11Z</dcterms:created>
  <dcterms:modified xsi:type="dcterms:W3CDTF">2025-07-17T08:58:30Z</dcterms:modified>
</cp:coreProperties>
</file>