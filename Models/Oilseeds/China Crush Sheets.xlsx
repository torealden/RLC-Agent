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E627ED1E-696B-4907-97DF-E1E8EFDB5E69}" xr6:coauthVersionLast="47" xr6:coauthVersionMax="47" xr10:uidLastSave="{00000000-0000-0000-0000-000000000000}"/>
  <bookViews>
    <workbookView xWindow="2775" yWindow="1170" windowWidth="22860" windowHeight="12030" xr2:uid="{2CC3780B-5795-4F85-9B58-40A6F1E6E13A}"/>
  </bookViews>
  <sheets>
    <sheet name="Weekly" sheetId="1" r:id="rId1"/>
    <sheet name="Monthly" sheetId="2" r:id="rId2"/>
    <sheet name="Weekly Crush Vol - Port Stks" sheetId="3" r:id="rId3"/>
    <sheet name="Crush Margin - Dalian - Import" sheetId="4" r:id="rId4"/>
    <sheet name="SBO Production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2" l="1"/>
  <c r="B174" i="2"/>
  <c r="C173" i="2"/>
  <c r="B173" i="2"/>
  <c r="C172" i="2"/>
  <c r="B172" i="2"/>
  <c r="C171" i="2"/>
  <c r="B171" i="2"/>
  <c r="C170" i="2"/>
  <c r="B170" i="2"/>
  <c r="C169" i="2"/>
  <c r="B169" i="2"/>
  <c r="D169" i="2" s="1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E158" i="2"/>
  <c r="C158" i="2"/>
  <c r="B158" i="2"/>
  <c r="C157" i="2"/>
  <c r="B157" i="2"/>
  <c r="C156" i="2"/>
  <c r="B156" i="2"/>
  <c r="C155" i="2"/>
  <c r="B155" i="2"/>
  <c r="C154" i="2"/>
  <c r="B154" i="2"/>
  <c r="F154" i="2" s="1"/>
  <c r="G154" i="2" s="1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D143" i="2" s="1"/>
  <c r="C142" i="2"/>
  <c r="B142" i="2"/>
  <c r="C141" i="2"/>
  <c r="B141" i="2"/>
  <c r="C140" i="2"/>
  <c r="B140" i="2"/>
  <c r="C139" i="2"/>
  <c r="B139" i="2"/>
  <c r="D139" i="2" s="1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F124" i="2" s="1"/>
  <c r="G124" i="2" s="1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E117" i="2" s="1"/>
  <c r="C116" i="2"/>
  <c r="B116" i="2"/>
  <c r="C115" i="2"/>
  <c r="B115" i="2"/>
  <c r="C114" i="2"/>
  <c r="B114" i="2"/>
  <c r="C113" i="2"/>
  <c r="D113" i="2" s="1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D106" i="2" s="1"/>
  <c r="B106" i="2"/>
  <c r="C105" i="2"/>
  <c r="B105" i="2"/>
  <c r="C104" i="2"/>
  <c r="B104" i="2"/>
  <c r="C103" i="2"/>
  <c r="B103" i="2"/>
  <c r="C102" i="2"/>
  <c r="B102" i="2"/>
  <c r="E102" i="2" s="1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F91" i="2" s="1"/>
  <c r="G91" i="2" s="1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F80" i="2" s="1"/>
  <c r="G80" i="2" s="1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F70" i="2" s="1"/>
  <c r="G70" i="2" s="1"/>
  <c r="C69" i="2"/>
  <c r="B69" i="2"/>
  <c r="C68" i="2"/>
  <c r="B68" i="2"/>
  <c r="C67" i="2"/>
  <c r="B67" i="2"/>
  <c r="C66" i="2"/>
  <c r="B66" i="2"/>
  <c r="C65" i="2"/>
  <c r="F65" i="2" s="1"/>
  <c r="G65" i="2" s="1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D59" i="2" s="1"/>
  <c r="C58" i="2"/>
  <c r="B58" i="2"/>
  <c r="C57" i="2"/>
  <c r="B57" i="2"/>
  <c r="C56" i="2"/>
  <c r="B56" i="2"/>
  <c r="C55" i="2"/>
  <c r="B55" i="2"/>
  <c r="C54" i="2"/>
  <c r="E54" i="2" s="1"/>
  <c r="B54" i="2"/>
  <c r="C53" i="2"/>
  <c r="B53" i="2"/>
  <c r="C52" i="2"/>
  <c r="B52" i="2"/>
  <c r="C51" i="2"/>
  <c r="B51" i="2"/>
  <c r="C50" i="2"/>
  <c r="B50" i="2"/>
  <c r="C49" i="2"/>
  <c r="B49" i="2"/>
  <c r="C48" i="2"/>
  <c r="D48" i="2" s="1"/>
  <c r="B48" i="2"/>
  <c r="C47" i="2"/>
  <c r="B47" i="2"/>
  <c r="C46" i="2"/>
  <c r="B46" i="2"/>
  <c r="C45" i="2"/>
  <c r="B45" i="2"/>
  <c r="C44" i="2"/>
  <c r="B44" i="2"/>
  <c r="F44" i="2" s="1"/>
  <c r="G44" i="2" s="1"/>
  <c r="C43" i="2"/>
  <c r="B43" i="2"/>
  <c r="C42" i="2"/>
  <c r="B42" i="2"/>
  <c r="C41" i="2"/>
  <c r="B41" i="2"/>
  <c r="C40" i="2"/>
  <c r="B40" i="2"/>
  <c r="C39" i="2"/>
  <c r="F39" i="2" s="1"/>
  <c r="G39" i="2" s="1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F30" i="2" s="1"/>
  <c r="G30" i="2" s="1"/>
  <c r="C29" i="2"/>
  <c r="B29" i="2"/>
  <c r="C28" i="2"/>
  <c r="B28" i="2"/>
  <c r="C27" i="2"/>
  <c r="B27" i="2"/>
  <c r="C26" i="2"/>
  <c r="B26" i="2"/>
  <c r="C25" i="2"/>
  <c r="B25" i="2"/>
  <c r="C24" i="2"/>
  <c r="B24" i="2"/>
  <c r="F24" i="2" s="1"/>
  <c r="G24" i="2" s="1"/>
  <c r="C23" i="2"/>
  <c r="B23" i="2"/>
  <c r="F23" i="2" s="1"/>
  <c r="G23" i="2" s="1"/>
  <c r="C22" i="2"/>
  <c r="B22" i="2"/>
  <c r="C21" i="2"/>
  <c r="B21" i="2"/>
  <c r="C20" i="2"/>
  <c r="B20" i="2"/>
  <c r="C19" i="2"/>
  <c r="B19" i="2"/>
  <c r="C18" i="2"/>
  <c r="B18" i="2"/>
  <c r="C17" i="2"/>
  <c r="F17" i="2" s="1"/>
  <c r="G17" i="2" s="1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F9" i="2" s="1"/>
  <c r="G9" i="2" s="1"/>
  <c r="C8" i="2"/>
  <c r="B8" i="2"/>
  <c r="C7" i="2"/>
  <c r="B7" i="2"/>
  <c r="C6" i="2"/>
  <c r="B6" i="2"/>
  <c r="C5" i="2"/>
  <c r="B5" i="2"/>
  <c r="C4" i="2"/>
  <c r="B4" i="2"/>
  <c r="C3" i="2"/>
  <c r="B3" i="2"/>
  <c r="F3" i="2" s="1"/>
  <c r="G3" i="2" s="1"/>
  <c r="C2" i="2"/>
  <c r="B2" i="2"/>
  <c r="F2" i="2" s="1"/>
  <c r="G2" i="2" s="1"/>
  <c r="C730" i="1"/>
  <c r="B730" i="1"/>
  <c r="J729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F672" i="1"/>
  <c r="E672" i="1"/>
  <c r="C672" i="1"/>
  <c r="B672" i="1"/>
  <c r="F671" i="1"/>
  <c r="E671" i="1"/>
  <c r="C671" i="1"/>
  <c r="B671" i="1"/>
  <c r="F670" i="1"/>
  <c r="E670" i="1"/>
  <c r="C670" i="1"/>
  <c r="B670" i="1"/>
  <c r="C669" i="1"/>
  <c r="B669" i="1"/>
  <c r="F668" i="1"/>
  <c r="E668" i="1"/>
  <c r="C668" i="1"/>
  <c r="B668" i="1"/>
  <c r="F667" i="1"/>
  <c r="E667" i="1"/>
  <c r="C667" i="1"/>
  <c r="B667" i="1"/>
  <c r="C666" i="1"/>
  <c r="B666" i="1"/>
  <c r="F665" i="1"/>
  <c r="E665" i="1"/>
  <c r="C665" i="1"/>
  <c r="B665" i="1"/>
  <c r="F664" i="1"/>
  <c r="E664" i="1"/>
  <c r="C664" i="1"/>
  <c r="B664" i="1"/>
  <c r="F663" i="1"/>
  <c r="E663" i="1"/>
  <c r="C663" i="1"/>
  <c r="B663" i="1"/>
  <c r="F662" i="1"/>
  <c r="E662" i="1"/>
  <c r="C662" i="1"/>
  <c r="B662" i="1"/>
  <c r="F661" i="1"/>
  <c r="E661" i="1"/>
  <c r="C661" i="1"/>
  <c r="B661" i="1"/>
  <c r="F660" i="1"/>
  <c r="E660" i="1"/>
  <c r="C660" i="1"/>
  <c r="B660" i="1"/>
  <c r="S659" i="1"/>
  <c r="F659" i="1"/>
  <c r="E659" i="1"/>
  <c r="C659" i="1"/>
  <c r="B659" i="1"/>
  <c r="S658" i="1"/>
  <c r="F658" i="1"/>
  <c r="E658" i="1"/>
  <c r="C658" i="1"/>
  <c r="B658" i="1"/>
  <c r="S657" i="1"/>
  <c r="F657" i="1"/>
  <c r="E657" i="1"/>
  <c r="C657" i="1"/>
  <c r="B657" i="1"/>
  <c r="S656" i="1"/>
  <c r="F656" i="1"/>
  <c r="E656" i="1"/>
  <c r="C656" i="1"/>
  <c r="B656" i="1"/>
  <c r="S655" i="1"/>
  <c r="F655" i="1"/>
  <c r="E655" i="1"/>
  <c r="C655" i="1"/>
  <c r="B655" i="1"/>
  <c r="S654" i="1"/>
  <c r="F654" i="1"/>
  <c r="E654" i="1"/>
  <c r="C654" i="1"/>
  <c r="B654" i="1"/>
  <c r="S653" i="1"/>
  <c r="C653" i="1"/>
  <c r="B653" i="1"/>
  <c r="S652" i="1"/>
  <c r="F652" i="1"/>
  <c r="E652" i="1"/>
  <c r="C652" i="1"/>
  <c r="B652" i="1"/>
  <c r="S651" i="1"/>
  <c r="F651" i="1"/>
  <c r="E651" i="1"/>
  <c r="C651" i="1"/>
  <c r="B651" i="1"/>
  <c r="S650" i="1"/>
  <c r="F650" i="1"/>
  <c r="E650" i="1"/>
  <c r="C650" i="1"/>
  <c r="B650" i="1"/>
  <c r="S649" i="1"/>
  <c r="F649" i="1"/>
  <c r="E649" i="1"/>
  <c r="C649" i="1"/>
  <c r="B649" i="1"/>
  <c r="S648" i="1"/>
  <c r="F648" i="1"/>
  <c r="E648" i="1"/>
  <c r="C648" i="1"/>
  <c r="B648" i="1"/>
  <c r="S647" i="1"/>
  <c r="F647" i="1"/>
  <c r="E647" i="1"/>
  <c r="C647" i="1"/>
  <c r="B647" i="1"/>
  <c r="S646" i="1"/>
  <c r="F646" i="1"/>
  <c r="E646" i="1"/>
  <c r="C646" i="1"/>
  <c r="B646" i="1"/>
  <c r="S645" i="1"/>
  <c r="F645" i="1"/>
  <c r="E645" i="1"/>
  <c r="C645" i="1"/>
  <c r="B645" i="1"/>
  <c r="S644" i="1"/>
  <c r="F644" i="1"/>
  <c r="E644" i="1"/>
  <c r="C644" i="1"/>
  <c r="B644" i="1"/>
  <c r="S643" i="1"/>
  <c r="F643" i="1"/>
  <c r="E643" i="1"/>
  <c r="C643" i="1"/>
  <c r="B643" i="1"/>
  <c r="S642" i="1"/>
  <c r="F642" i="1"/>
  <c r="E642" i="1"/>
  <c r="C642" i="1"/>
  <c r="B642" i="1"/>
  <c r="S641" i="1"/>
  <c r="F641" i="1"/>
  <c r="E641" i="1"/>
  <c r="C641" i="1"/>
  <c r="B641" i="1"/>
  <c r="S640" i="1"/>
  <c r="F640" i="1"/>
  <c r="E640" i="1"/>
  <c r="C640" i="1"/>
  <c r="B640" i="1"/>
  <c r="S639" i="1"/>
  <c r="F639" i="1"/>
  <c r="E639" i="1"/>
  <c r="C639" i="1"/>
  <c r="B639" i="1"/>
  <c r="S638" i="1"/>
  <c r="F638" i="1"/>
  <c r="E638" i="1"/>
  <c r="C638" i="1"/>
  <c r="B638" i="1"/>
  <c r="S637" i="1"/>
  <c r="F637" i="1"/>
  <c r="E637" i="1"/>
  <c r="C637" i="1"/>
  <c r="B637" i="1"/>
  <c r="S636" i="1"/>
  <c r="F636" i="1"/>
  <c r="E636" i="1"/>
  <c r="C636" i="1"/>
  <c r="B636" i="1"/>
  <c r="S635" i="1"/>
  <c r="F635" i="1"/>
  <c r="E635" i="1"/>
  <c r="C635" i="1"/>
  <c r="B635" i="1"/>
  <c r="S634" i="1"/>
  <c r="F634" i="1"/>
  <c r="E634" i="1"/>
  <c r="C634" i="1"/>
  <c r="B634" i="1"/>
  <c r="S633" i="1"/>
  <c r="F633" i="1"/>
  <c r="E633" i="1"/>
  <c r="C633" i="1"/>
  <c r="B633" i="1"/>
  <c r="S632" i="1"/>
  <c r="F632" i="1"/>
  <c r="E632" i="1"/>
  <c r="C632" i="1"/>
  <c r="B632" i="1"/>
  <c r="S631" i="1"/>
  <c r="F631" i="1"/>
  <c r="E631" i="1"/>
  <c r="C631" i="1"/>
  <c r="B631" i="1"/>
  <c r="S630" i="1"/>
  <c r="F630" i="1"/>
  <c r="E630" i="1"/>
  <c r="C630" i="1"/>
  <c r="B630" i="1"/>
  <c r="S629" i="1"/>
  <c r="F629" i="1"/>
  <c r="E629" i="1"/>
  <c r="C629" i="1"/>
  <c r="B629" i="1"/>
  <c r="S628" i="1"/>
  <c r="F628" i="1"/>
  <c r="E628" i="1"/>
  <c r="C628" i="1"/>
  <c r="B628" i="1"/>
  <c r="S627" i="1"/>
  <c r="F627" i="1"/>
  <c r="E627" i="1"/>
  <c r="C627" i="1"/>
  <c r="B627" i="1"/>
  <c r="S626" i="1"/>
  <c r="F626" i="1"/>
  <c r="E626" i="1"/>
  <c r="C626" i="1"/>
  <c r="B626" i="1"/>
  <c r="S625" i="1"/>
  <c r="F625" i="1"/>
  <c r="E625" i="1"/>
  <c r="C625" i="1"/>
  <c r="B625" i="1"/>
  <c r="S624" i="1"/>
  <c r="F624" i="1"/>
  <c r="E624" i="1"/>
  <c r="C624" i="1"/>
  <c r="B624" i="1"/>
  <c r="S623" i="1"/>
  <c r="F623" i="1"/>
  <c r="E623" i="1"/>
  <c r="C623" i="1"/>
  <c r="B623" i="1"/>
  <c r="S622" i="1"/>
  <c r="F622" i="1"/>
  <c r="E622" i="1"/>
  <c r="C622" i="1"/>
  <c r="B622" i="1"/>
  <c r="S621" i="1"/>
  <c r="F621" i="1"/>
  <c r="E621" i="1"/>
  <c r="C621" i="1"/>
  <c r="B621" i="1"/>
  <c r="S620" i="1"/>
  <c r="F620" i="1"/>
  <c r="E620" i="1"/>
  <c r="C620" i="1"/>
  <c r="B620" i="1"/>
  <c r="S619" i="1"/>
  <c r="F619" i="1"/>
  <c r="E619" i="1"/>
  <c r="C619" i="1"/>
  <c r="B619" i="1"/>
  <c r="S618" i="1"/>
  <c r="F618" i="1"/>
  <c r="E618" i="1"/>
  <c r="C618" i="1"/>
  <c r="B618" i="1"/>
  <c r="S617" i="1"/>
  <c r="C617" i="1"/>
  <c r="B617" i="1"/>
  <c r="S616" i="1"/>
  <c r="F616" i="1"/>
  <c r="E616" i="1"/>
  <c r="C616" i="1"/>
  <c r="B616" i="1"/>
  <c r="S615" i="1"/>
  <c r="F615" i="1"/>
  <c r="E615" i="1"/>
  <c r="C615" i="1"/>
  <c r="B615" i="1"/>
  <c r="S614" i="1"/>
  <c r="F614" i="1"/>
  <c r="E614" i="1"/>
  <c r="C614" i="1"/>
  <c r="B614" i="1"/>
  <c r="S613" i="1"/>
  <c r="F613" i="1"/>
  <c r="E613" i="1"/>
  <c r="C613" i="1"/>
  <c r="B613" i="1"/>
  <c r="S612" i="1"/>
  <c r="F612" i="1"/>
  <c r="E612" i="1"/>
  <c r="C612" i="1"/>
  <c r="B612" i="1"/>
  <c r="S611" i="1"/>
  <c r="F611" i="1"/>
  <c r="E611" i="1"/>
  <c r="C611" i="1"/>
  <c r="B611" i="1"/>
  <c r="S610" i="1"/>
  <c r="F610" i="1"/>
  <c r="E610" i="1"/>
  <c r="C610" i="1"/>
  <c r="B610" i="1"/>
  <c r="S609" i="1"/>
  <c r="F609" i="1"/>
  <c r="E609" i="1"/>
  <c r="C609" i="1"/>
  <c r="B609" i="1"/>
  <c r="S608" i="1"/>
  <c r="F608" i="1"/>
  <c r="E608" i="1"/>
  <c r="C608" i="1"/>
  <c r="B608" i="1"/>
  <c r="S607" i="1"/>
  <c r="F607" i="1"/>
  <c r="E607" i="1"/>
  <c r="C607" i="1"/>
  <c r="B607" i="1"/>
  <c r="S606" i="1"/>
  <c r="F606" i="1"/>
  <c r="E606" i="1"/>
  <c r="C606" i="1"/>
  <c r="B606" i="1"/>
  <c r="S605" i="1"/>
  <c r="F605" i="1"/>
  <c r="E605" i="1"/>
  <c r="C605" i="1"/>
  <c r="B605" i="1"/>
  <c r="S604" i="1"/>
  <c r="F604" i="1"/>
  <c r="E604" i="1"/>
  <c r="C604" i="1"/>
  <c r="B604" i="1"/>
  <c r="S603" i="1"/>
  <c r="F603" i="1"/>
  <c r="E603" i="1"/>
  <c r="C603" i="1"/>
  <c r="B603" i="1"/>
  <c r="S602" i="1"/>
  <c r="F602" i="1"/>
  <c r="E602" i="1"/>
  <c r="C602" i="1"/>
  <c r="B602" i="1"/>
  <c r="S601" i="1"/>
  <c r="F601" i="1"/>
  <c r="E601" i="1"/>
  <c r="C601" i="1"/>
  <c r="B601" i="1"/>
  <c r="S600" i="1"/>
  <c r="C600" i="1"/>
  <c r="B600" i="1"/>
  <c r="S599" i="1"/>
  <c r="F599" i="1"/>
  <c r="E599" i="1"/>
  <c r="C599" i="1"/>
  <c r="B599" i="1"/>
  <c r="S598" i="1"/>
  <c r="F598" i="1"/>
  <c r="E598" i="1"/>
  <c r="C598" i="1"/>
  <c r="B598" i="1"/>
  <c r="S597" i="1"/>
  <c r="F597" i="1"/>
  <c r="E597" i="1"/>
  <c r="C597" i="1"/>
  <c r="B597" i="1"/>
  <c r="S596" i="1"/>
  <c r="F596" i="1"/>
  <c r="E596" i="1"/>
  <c r="C596" i="1"/>
  <c r="B596" i="1"/>
  <c r="S595" i="1"/>
  <c r="F595" i="1"/>
  <c r="E595" i="1"/>
  <c r="C595" i="1"/>
  <c r="B595" i="1"/>
  <c r="S594" i="1"/>
  <c r="F594" i="1"/>
  <c r="E594" i="1"/>
  <c r="C594" i="1"/>
  <c r="B594" i="1"/>
  <c r="S593" i="1"/>
  <c r="F593" i="1"/>
  <c r="E593" i="1"/>
  <c r="C593" i="1"/>
  <c r="B593" i="1"/>
  <c r="S592" i="1"/>
  <c r="F592" i="1"/>
  <c r="E592" i="1"/>
  <c r="C592" i="1"/>
  <c r="B592" i="1"/>
  <c r="S591" i="1"/>
  <c r="F591" i="1"/>
  <c r="E591" i="1"/>
  <c r="C591" i="1"/>
  <c r="B591" i="1"/>
  <c r="S590" i="1"/>
  <c r="F590" i="1"/>
  <c r="E590" i="1"/>
  <c r="C590" i="1"/>
  <c r="B590" i="1"/>
  <c r="S589" i="1"/>
  <c r="F589" i="1"/>
  <c r="E589" i="1"/>
  <c r="C589" i="1"/>
  <c r="B589" i="1"/>
  <c r="S588" i="1"/>
  <c r="F588" i="1"/>
  <c r="E588" i="1"/>
  <c r="C588" i="1"/>
  <c r="B588" i="1"/>
  <c r="S587" i="1"/>
  <c r="F587" i="1"/>
  <c r="E587" i="1"/>
  <c r="C587" i="1"/>
  <c r="B587" i="1"/>
  <c r="S586" i="1"/>
  <c r="F586" i="1"/>
  <c r="E586" i="1"/>
  <c r="C586" i="1"/>
  <c r="B586" i="1"/>
  <c r="S585" i="1"/>
  <c r="F585" i="1"/>
  <c r="E585" i="1"/>
  <c r="C585" i="1"/>
  <c r="B585" i="1"/>
  <c r="S584" i="1"/>
  <c r="F584" i="1"/>
  <c r="E584" i="1"/>
  <c r="C584" i="1"/>
  <c r="B584" i="1"/>
  <c r="S583" i="1"/>
  <c r="F583" i="1"/>
  <c r="E583" i="1"/>
  <c r="C583" i="1"/>
  <c r="B583" i="1"/>
  <c r="S582" i="1"/>
  <c r="F582" i="1"/>
  <c r="E582" i="1"/>
  <c r="C582" i="1"/>
  <c r="B582" i="1"/>
  <c r="S581" i="1"/>
  <c r="F581" i="1"/>
  <c r="E581" i="1"/>
  <c r="C581" i="1"/>
  <c r="B581" i="1"/>
  <c r="S580" i="1"/>
  <c r="F580" i="1"/>
  <c r="E580" i="1"/>
  <c r="C580" i="1"/>
  <c r="B580" i="1"/>
  <c r="S579" i="1"/>
  <c r="J579" i="1"/>
  <c r="I579" i="1"/>
  <c r="C579" i="1"/>
  <c r="B579" i="1"/>
  <c r="S578" i="1"/>
  <c r="F578" i="1"/>
  <c r="E578" i="1"/>
  <c r="C578" i="1"/>
  <c r="B578" i="1"/>
  <c r="S577" i="1"/>
  <c r="P577" i="1"/>
  <c r="N577" i="1"/>
  <c r="H577" i="1"/>
  <c r="Q577" i="1" s="1"/>
  <c r="F577" i="1"/>
  <c r="E577" i="1"/>
  <c r="C577" i="1"/>
  <c r="B577" i="1"/>
  <c r="S576" i="1"/>
  <c r="P576" i="1"/>
  <c r="N576" i="1"/>
  <c r="H576" i="1"/>
  <c r="Q576" i="1" s="1"/>
  <c r="F576" i="1"/>
  <c r="E576" i="1"/>
  <c r="C576" i="1"/>
  <c r="B576" i="1"/>
  <c r="S575" i="1"/>
  <c r="P575" i="1"/>
  <c r="N575" i="1"/>
  <c r="H575" i="1"/>
  <c r="Q575" i="1" s="1"/>
  <c r="F575" i="1"/>
  <c r="E575" i="1"/>
  <c r="C575" i="1"/>
  <c r="B575" i="1"/>
  <c r="S574" i="1"/>
  <c r="P574" i="1"/>
  <c r="N574" i="1"/>
  <c r="H574" i="1"/>
  <c r="Q574" i="1" s="1"/>
  <c r="F574" i="1"/>
  <c r="E574" i="1"/>
  <c r="C574" i="1"/>
  <c r="B574" i="1"/>
  <c r="S573" i="1"/>
  <c r="P573" i="1"/>
  <c r="N573" i="1"/>
  <c r="H573" i="1"/>
  <c r="Q573" i="1" s="1"/>
  <c r="F573" i="1"/>
  <c r="E573" i="1"/>
  <c r="C573" i="1"/>
  <c r="B573" i="1"/>
  <c r="S572" i="1"/>
  <c r="P572" i="1"/>
  <c r="N572" i="1"/>
  <c r="H572" i="1"/>
  <c r="Q572" i="1" s="1"/>
  <c r="F572" i="1"/>
  <c r="E572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S539" i="1"/>
  <c r="P539" i="1"/>
  <c r="J539" i="1"/>
  <c r="I539" i="1"/>
  <c r="H539" i="1"/>
  <c r="Q539" i="1" s="1"/>
  <c r="F539" i="1"/>
  <c r="M539" i="1" s="1"/>
  <c r="N539" i="1" s="1"/>
  <c r="E539" i="1"/>
  <c r="L539" i="1" s="1"/>
  <c r="C539" i="1"/>
  <c r="B539" i="1"/>
  <c r="Q538" i="1"/>
  <c r="P538" i="1"/>
  <c r="M538" i="1"/>
  <c r="L538" i="1"/>
  <c r="C538" i="1"/>
  <c r="B538" i="1"/>
  <c r="Q537" i="1"/>
  <c r="P537" i="1"/>
  <c r="M537" i="1"/>
  <c r="L537" i="1"/>
  <c r="C537" i="1"/>
  <c r="B537" i="1"/>
  <c r="Q536" i="1"/>
  <c r="P536" i="1"/>
  <c r="M536" i="1"/>
  <c r="L536" i="1"/>
  <c r="C536" i="1"/>
  <c r="B536" i="1"/>
  <c r="Q535" i="1"/>
  <c r="P535" i="1"/>
  <c r="M535" i="1"/>
  <c r="L535" i="1"/>
  <c r="C535" i="1"/>
  <c r="B535" i="1"/>
  <c r="Q534" i="1"/>
  <c r="P534" i="1"/>
  <c r="M534" i="1"/>
  <c r="L534" i="1"/>
  <c r="C534" i="1"/>
  <c r="B534" i="1"/>
  <c r="Q533" i="1"/>
  <c r="P533" i="1"/>
  <c r="M533" i="1"/>
  <c r="L533" i="1"/>
  <c r="C533" i="1"/>
  <c r="B533" i="1"/>
  <c r="Q532" i="1"/>
  <c r="P532" i="1"/>
  <c r="M532" i="1"/>
  <c r="N532" i="1" s="1"/>
  <c r="L532" i="1"/>
  <c r="C532" i="1"/>
  <c r="B532" i="1"/>
  <c r="Q531" i="1"/>
  <c r="P531" i="1"/>
  <c r="M531" i="1"/>
  <c r="L531" i="1"/>
  <c r="N531" i="1" s="1"/>
  <c r="C531" i="1"/>
  <c r="B531" i="1"/>
  <c r="Q530" i="1"/>
  <c r="P530" i="1"/>
  <c r="M530" i="1"/>
  <c r="N530" i="1" s="1"/>
  <c r="L530" i="1"/>
  <c r="C530" i="1"/>
  <c r="B530" i="1"/>
  <c r="Q529" i="1"/>
  <c r="P529" i="1"/>
  <c r="M529" i="1"/>
  <c r="N529" i="1" s="1"/>
  <c r="L529" i="1"/>
  <c r="C529" i="1"/>
  <c r="B529" i="1"/>
  <c r="Q528" i="1"/>
  <c r="P528" i="1"/>
  <c r="M528" i="1"/>
  <c r="L528" i="1"/>
  <c r="C528" i="1"/>
  <c r="B528" i="1"/>
  <c r="Q527" i="1"/>
  <c r="P527" i="1"/>
  <c r="M527" i="1"/>
  <c r="L527" i="1"/>
  <c r="C527" i="1"/>
  <c r="B527" i="1"/>
  <c r="Q526" i="1"/>
  <c r="P526" i="1"/>
  <c r="M526" i="1"/>
  <c r="L526" i="1"/>
  <c r="C526" i="1"/>
  <c r="B526" i="1"/>
  <c r="Q525" i="1"/>
  <c r="P525" i="1"/>
  <c r="N525" i="1"/>
  <c r="M525" i="1"/>
  <c r="L525" i="1"/>
  <c r="C525" i="1"/>
  <c r="B525" i="1"/>
  <c r="Q524" i="1"/>
  <c r="P524" i="1"/>
  <c r="M524" i="1"/>
  <c r="L524" i="1"/>
  <c r="C524" i="1"/>
  <c r="B524" i="1"/>
  <c r="Q523" i="1"/>
  <c r="P523" i="1"/>
  <c r="M523" i="1"/>
  <c r="L523" i="1"/>
  <c r="C523" i="1"/>
  <c r="B523" i="1"/>
  <c r="Q522" i="1"/>
  <c r="P522" i="1"/>
  <c r="M522" i="1"/>
  <c r="L522" i="1"/>
  <c r="C522" i="1"/>
  <c r="B522" i="1"/>
  <c r="Q521" i="1"/>
  <c r="P521" i="1"/>
  <c r="M521" i="1"/>
  <c r="N521" i="1" s="1"/>
  <c r="L521" i="1"/>
  <c r="C521" i="1"/>
  <c r="B521" i="1"/>
  <c r="Q520" i="1"/>
  <c r="P520" i="1"/>
  <c r="M520" i="1"/>
  <c r="L520" i="1"/>
  <c r="C520" i="1"/>
  <c r="B520" i="1"/>
  <c r="Q519" i="1"/>
  <c r="P519" i="1"/>
  <c r="M519" i="1"/>
  <c r="N519" i="1" s="1"/>
  <c r="L519" i="1"/>
  <c r="C519" i="1"/>
  <c r="B519" i="1"/>
  <c r="Q518" i="1"/>
  <c r="P518" i="1"/>
  <c r="M518" i="1"/>
  <c r="N518" i="1" s="1"/>
  <c r="L518" i="1"/>
  <c r="C518" i="1"/>
  <c r="B518" i="1"/>
  <c r="Q517" i="1"/>
  <c r="P517" i="1"/>
  <c r="M517" i="1"/>
  <c r="L517" i="1"/>
  <c r="C517" i="1"/>
  <c r="B517" i="1"/>
  <c r="Q516" i="1"/>
  <c r="P516" i="1"/>
  <c r="M516" i="1"/>
  <c r="L516" i="1"/>
  <c r="C516" i="1"/>
  <c r="B516" i="1"/>
  <c r="Q515" i="1"/>
  <c r="P515" i="1"/>
  <c r="M515" i="1"/>
  <c r="N515" i="1" s="1"/>
  <c r="L515" i="1"/>
  <c r="C515" i="1"/>
  <c r="B515" i="1"/>
  <c r="Q514" i="1"/>
  <c r="P514" i="1"/>
  <c r="M514" i="1"/>
  <c r="N514" i="1" s="1"/>
  <c r="L514" i="1"/>
  <c r="C514" i="1"/>
  <c r="B514" i="1"/>
  <c r="Q513" i="1"/>
  <c r="P513" i="1"/>
  <c r="M513" i="1"/>
  <c r="L513" i="1"/>
  <c r="I513" i="1"/>
  <c r="I514" i="1" s="1"/>
  <c r="C513" i="1"/>
  <c r="B513" i="1"/>
  <c r="Q512" i="1"/>
  <c r="P512" i="1"/>
  <c r="M512" i="1"/>
  <c r="E512" i="1"/>
  <c r="L512" i="1" s="1"/>
  <c r="C512" i="1"/>
  <c r="B512" i="1"/>
  <c r="Q511" i="1"/>
  <c r="P511" i="1"/>
  <c r="M511" i="1"/>
  <c r="L511" i="1"/>
  <c r="L510" i="1" s="1"/>
  <c r="C511" i="1"/>
  <c r="B511" i="1"/>
  <c r="C510" i="1"/>
  <c r="B510" i="1"/>
  <c r="Q509" i="1"/>
  <c r="P509" i="1"/>
  <c r="M509" i="1"/>
  <c r="L509" i="1"/>
  <c r="C509" i="1"/>
  <c r="B509" i="1"/>
  <c r="Q508" i="1"/>
  <c r="P508" i="1"/>
  <c r="M508" i="1"/>
  <c r="L508" i="1"/>
  <c r="C508" i="1"/>
  <c r="B508" i="1"/>
  <c r="Q507" i="1"/>
  <c r="P507" i="1"/>
  <c r="M507" i="1"/>
  <c r="N507" i="1" s="1"/>
  <c r="L507" i="1"/>
  <c r="C507" i="1"/>
  <c r="B507" i="1"/>
  <c r="Q506" i="1"/>
  <c r="P506" i="1"/>
  <c r="M506" i="1"/>
  <c r="L506" i="1"/>
  <c r="C506" i="1"/>
  <c r="B506" i="1"/>
  <c r="Q505" i="1"/>
  <c r="P505" i="1"/>
  <c r="M505" i="1"/>
  <c r="L505" i="1"/>
  <c r="C505" i="1"/>
  <c r="B505" i="1"/>
  <c r="Q504" i="1"/>
  <c r="P504" i="1"/>
  <c r="M504" i="1"/>
  <c r="L504" i="1"/>
  <c r="C504" i="1"/>
  <c r="B504" i="1"/>
  <c r="Q503" i="1"/>
  <c r="P503" i="1"/>
  <c r="M503" i="1"/>
  <c r="N503" i="1" s="1"/>
  <c r="L503" i="1"/>
  <c r="C503" i="1"/>
  <c r="B503" i="1"/>
  <c r="Q502" i="1"/>
  <c r="P502" i="1"/>
  <c r="M502" i="1"/>
  <c r="L502" i="1"/>
  <c r="C502" i="1"/>
  <c r="B502" i="1"/>
  <c r="Q501" i="1"/>
  <c r="P501" i="1"/>
  <c r="M501" i="1"/>
  <c r="L501" i="1"/>
  <c r="C501" i="1"/>
  <c r="B501" i="1"/>
  <c r="Q500" i="1"/>
  <c r="P500" i="1"/>
  <c r="M500" i="1"/>
  <c r="N500" i="1" s="1"/>
  <c r="L500" i="1"/>
  <c r="C500" i="1"/>
  <c r="B500" i="1"/>
  <c r="Q499" i="1"/>
  <c r="P499" i="1"/>
  <c r="M499" i="1"/>
  <c r="N499" i="1" s="1"/>
  <c r="L499" i="1"/>
  <c r="C499" i="1"/>
  <c r="B499" i="1"/>
  <c r="Q498" i="1"/>
  <c r="P498" i="1"/>
  <c r="M498" i="1"/>
  <c r="L498" i="1"/>
  <c r="C498" i="1"/>
  <c r="B498" i="1"/>
  <c r="Q497" i="1"/>
  <c r="P497" i="1"/>
  <c r="C497" i="1"/>
  <c r="B497" i="1"/>
  <c r="Q496" i="1"/>
  <c r="P496" i="1"/>
  <c r="M496" i="1"/>
  <c r="N496" i="1" s="1"/>
  <c r="L496" i="1"/>
  <c r="C496" i="1"/>
  <c r="B496" i="1"/>
  <c r="Q495" i="1"/>
  <c r="P495" i="1"/>
  <c r="M495" i="1"/>
  <c r="N495" i="1" s="1"/>
  <c r="L495" i="1"/>
  <c r="C495" i="1"/>
  <c r="B495" i="1"/>
  <c r="Q494" i="1"/>
  <c r="P494" i="1"/>
  <c r="M494" i="1"/>
  <c r="L494" i="1"/>
  <c r="C494" i="1"/>
  <c r="B494" i="1"/>
  <c r="Q493" i="1"/>
  <c r="P493" i="1"/>
  <c r="M493" i="1"/>
  <c r="L493" i="1"/>
  <c r="C493" i="1"/>
  <c r="B493" i="1"/>
  <c r="Q492" i="1"/>
  <c r="P492" i="1"/>
  <c r="M492" i="1"/>
  <c r="N492" i="1" s="1"/>
  <c r="L492" i="1"/>
  <c r="C492" i="1"/>
  <c r="B492" i="1"/>
  <c r="Q491" i="1"/>
  <c r="P491" i="1"/>
  <c r="M491" i="1"/>
  <c r="L491" i="1"/>
  <c r="C491" i="1"/>
  <c r="B491" i="1"/>
  <c r="Q490" i="1"/>
  <c r="P490" i="1"/>
  <c r="M490" i="1"/>
  <c r="L490" i="1"/>
  <c r="C490" i="1"/>
  <c r="B490" i="1"/>
  <c r="Q489" i="1"/>
  <c r="P489" i="1"/>
  <c r="C489" i="1"/>
  <c r="B489" i="1"/>
  <c r="Q488" i="1"/>
  <c r="P488" i="1"/>
  <c r="M488" i="1"/>
  <c r="N488" i="1" s="1"/>
  <c r="L488" i="1"/>
  <c r="C488" i="1"/>
  <c r="B488" i="1"/>
  <c r="Q487" i="1"/>
  <c r="P487" i="1"/>
  <c r="M487" i="1"/>
  <c r="N487" i="1" s="1"/>
  <c r="L487" i="1"/>
  <c r="C487" i="1"/>
  <c r="B487" i="1"/>
  <c r="Q486" i="1"/>
  <c r="P486" i="1"/>
  <c r="M486" i="1"/>
  <c r="L486" i="1"/>
  <c r="C486" i="1"/>
  <c r="B486" i="1"/>
  <c r="Q485" i="1"/>
  <c r="P485" i="1"/>
  <c r="M485" i="1"/>
  <c r="L485" i="1"/>
  <c r="C485" i="1"/>
  <c r="B485" i="1"/>
  <c r="Q484" i="1"/>
  <c r="P484" i="1"/>
  <c r="M484" i="1"/>
  <c r="N484" i="1" s="1"/>
  <c r="L484" i="1"/>
  <c r="C484" i="1"/>
  <c r="B484" i="1"/>
  <c r="Q483" i="1"/>
  <c r="P483" i="1"/>
  <c r="M483" i="1"/>
  <c r="L483" i="1"/>
  <c r="C483" i="1"/>
  <c r="B483" i="1"/>
  <c r="Q482" i="1"/>
  <c r="P482" i="1"/>
  <c r="M482" i="1"/>
  <c r="L482" i="1"/>
  <c r="C482" i="1"/>
  <c r="B482" i="1"/>
  <c r="Q481" i="1"/>
  <c r="P481" i="1"/>
  <c r="N481" i="1"/>
  <c r="M481" i="1"/>
  <c r="L481" i="1"/>
  <c r="C481" i="1"/>
  <c r="B481" i="1"/>
  <c r="Q480" i="1"/>
  <c r="P480" i="1"/>
  <c r="M480" i="1"/>
  <c r="L480" i="1"/>
  <c r="C480" i="1"/>
  <c r="B480" i="1"/>
  <c r="Q479" i="1"/>
  <c r="P479" i="1"/>
  <c r="M479" i="1"/>
  <c r="L479" i="1"/>
  <c r="C479" i="1"/>
  <c r="B479" i="1"/>
  <c r="Q478" i="1"/>
  <c r="P478" i="1"/>
  <c r="M478" i="1"/>
  <c r="L478" i="1"/>
  <c r="C478" i="1"/>
  <c r="B478" i="1"/>
  <c r="Q477" i="1"/>
  <c r="P477" i="1"/>
  <c r="M477" i="1"/>
  <c r="N477" i="1" s="1"/>
  <c r="L477" i="1"/>
  <c r="C477" i="1"/>
  <c r="B477" i="1"/>
  <c r="Q476" i="1"/>
  <c r="P476" i="1"/>
  <c r="M476" i="1"/>
  <c r="L476" i="1"/>
  <c r="C476" i="1"/>
  <c r="B476" i="1"/>
  <c r="Q475" i="1"/>
  <c r="P475" i="1"/>
  <c r="M475" i="1"/>
  <c r="L475" i="1"/>
  <c r="C475" i="1"/>
  <c r="B475" i="1"/>
  <c r="Q474" i="1"/>
  <c r="P474" i="1"/>
  <c r="M474" i="1"/>
  <c r="L474" i="1"/>
  <c r="C474" i="1"/>
  <c r="B474" i="1"/>
  <c r="Q473" i="1"/>
  <c r="P473" i="1"/>
  <c r="M473" i="1"/>
  <c r="N473" i="1" s="1"/>
  <c r="L473" i="1"/>
  <c r="C473" i="1"/>
  <c r="B473" i="1"/>
  <c r="Q472" i="1"/>
  <c r="P472" i="1"/>
  <c r="M472" i="1"/>
  <c r="L472" i="1"/>
  <c r="C472" i="1"/>
  <c r="B472" i="1"/>
  <c r="Q471" i="1"/>
  <c r="P471" i="1"/>
  <c r="M471" i="1"/>
  <c r="N471" i="1" s="1"/>
  <c r="L471" i="1"/>
  <c r="C471" i="1"/>
  <c r="B471" i="1"/>
  <c r="Q470" i="1"/>
  <c r="P470" i="1"/>
  <c r="N470" i="1"/>
  <c r="M470" i="1"/>
  <c r="L470" i="1"/>
  <c r="C470" i="1"/>
  <c r="B470" i="1"/>
  <c r="Q469" i="1"/>
  <c r="P469" i="1"/>
  <c r="M469" i="1"/>
  <c r="L469" i="1"/>
  <c r="C469" i="1"/>
  <c r="B469" i="1"/>
  <c r="Q468" i="1"/>
  <c r="P468" i="1"/>
  <c r="M468" i="1"/>
  <c r="L468" i="1"/>
  <c r="C468" i="1"/>
  <c r="B468" i="1"/>
  <c r="Q467" i="1"/>
  <c r="P467" i="1"/>
  <c r="M467" i="1"/>
  <c r="L467" i="1"/>
  <c r="C467" i="1"/>
  <c r="B467" i="1"/>
  <c r="Q466" i="1"/>
  <c r="P466" i="1"/>
  <c r="M466" i="1"/>
  <c r="N466" i="1" s="1"/>
  <c r="L466" i="1"/>
  <c r="C466" i="1"/>
  <c r="B466" i="1"/>
  <c r="Q465" i="1"/>
  <c r="P465" i="1"/>
  <c r="M465" i="1"/>
  <c r="N465" i="1" s="1"/>
  <c r="L465" i="1"/>
  <c r="C465" i="1"/>
  <c r="B465" i="1"/>
  <c r="Q464" i="1"/>
  <c r="P464" i="1"/>
  <c r="M464" i="1"/>
  <c r="L464" i="1"/>
  <c r="C464" i="1"/>
  <c r="B464" i="1"/>
  <c r="Q463" i="1"/>
  <c r="P463" i="1"/>
  <c r="C463" i="1"/>
  <c r="B463" i="1"/>
  <c r="Q462" i="1"/>
  <c r="P462" i="1"/>
  <c r="M462" i="1"/>
  <c r="L462" i="1"/>
  <c r="C462" i="1"/>
  <c r="B462" i="1"/>
  <c r="Q461" i="1"/>
  <c r="P461" i="1"/>
  <c r="M461" i="1"/>
  <c r="N461" i="1" s="1"/>
  <c r="L461" i="1"/>
  <c r="C461" i="1"/>
  <c r="B461" i="1"/>
  <c r="Q460" i="1"/>
  <c r="P460" i="1"/>
  <c r="M460" i="1"/>
  <c r="L460" i="1"/>
  <c r="C460" i="1"/>
  <c r="B460" i="1"/>
  <c r="Q459" i="1"/>
  <c r="P459" i="1"/>
  <c r="C459" i="1"/>
  <c r="B459" i="1"/>
  <c r="Q458" i="1"/>
  <c r="P458" i="1"/>
  <c r="M458" i="1"/>
  <c r="L458" i="1"/>
  <c r="C458" i="1"/>
  <c r="B458" i="1"/>
  <c r="Q457" i="1"/>
  <c r="P457" i="1"/>
  <c r="C457" i="1"/>
  <c r="B457" i="1"/>
  <c r="Q456" i="1"/>
  <c r="P456" i="1"/>
  <c r="M456" i="1"/>
  <c r="L456" i="1"/>
  <c r="C456" i="1"/>
  <c r="B456" i="1"/>
  <c r="Q455" i="1"/>
  <c r="P455" i="1"/>
  <c r="M455" i="1"/>
  <c r="L455" i="1"/>
  <c r="C455" i="1"/>
  <c r="B455" i="1"/>
  <c r="Q454" i="1"/>
  <c r="P454" i="1"/>
  <c r="M454" i="1"/>
  <c r="N454" i="1" s="1"/>
  <c r="L454" i="1"/>
  <c r="C454" i="1"/>
  <c r="B454" i="1"/>
  <c r="Q453" i="1"/>
  <c r="P453" i="1"/>
  <c r="N453" i="1"/>
  <c r="M453" i="1"/>
  <c r="L453" i="1"/>
  <c r="C453" i="1"/>
  <c r="B453" i="1"/>
  <c r="Q452" i="1"/>
  <c r="P452" i="1"/>
  <c r="M452" i="1"/>
  <c r="L452" i="1"/>
  <c r="C452" i="1"/>
  <c r="B452" i="1"/>
  <c r="Q451" i="1"/>
  <c r="P451" i="1"/>
  <c r="M451" i="1"/>
  <c r="N451" i="1" s="1"/>
  <c r="L451" i="1"/>
  <c r="C451" i="1"/>
  <c r="B451" i="1"/>
  <c r="Q450" i="1"/>
  <c r="P450" i="1"/>
  <c r="M450" i="1"/>
  <c r="L450" i="1"/>
  <c r="C450" i="1"/>
  <c r="B450" i="1"/>
  <c r="Q449" i="1"/>
  <c r="P449" i="1"/>
  <c r="M449" i="1"/>
  <c r="L449" i="1"/>
  <c r="C449" i="1"/>
  <c r="B449" i="1"/>
  <c r="Q448" i="1"/>
  <c r="P448" i="1"/>
  <c r="M448" i="1"/>
  <c r="N448" i="1" s="1"/>
  <c r="L448" i="1"/>
  <c r="C448" i="1"/>
  <c r="B448" i="1"/>
  <c r="Q447" i="1"/>
  <c r="P447" i="1"/>
  <c r="M447" i="1"/>
  <c r="L447" i="1"/>
  <c r="C447" i="1"/>
  <c r="B447" i="1"/>
  <c r="Q446" i="1"/>
  <c r="P446" i="1"/>
  <c r="M446" i="1"/>
  <c r="N446" i="1" s="1"/>
  <c r="L446" i="1"/>
  <c r="C446" i="1"/>
  <c r="B446" i="1"/>
  <c r="Q445" i="1"/>
  <c r="P445" i="1"/>
  <c r="M445" i="1"/>
  <c r="L445" i="1"/>
  <c r="C445" i="1"/>
  <c r="B445" i="1"/>
  <c r="Q444" i="1"/>
  <c r="P444" i="1"/>
  <c r="I444" i="1"/>
  <c r="C444" i="1"/>
  <c r="B444" i="1"/>
  <c r="Q443" i="1"/>
  <c r="P443" i="1"/>
  <c r="M443" i="1"/>
  <c r="L443" i="1"/>
  <c r="C443" i="1"/>
  <c r="B443" i="1"/>
  <c r="Q442" i="1"/>
  <c r="P442" i="1"/>
  <c r="M442" i="1"/>
  <c r="L442" i="1"/>
  <c r="C442" i="1"/>
  <c r="B442" i="1"/>
  <c r="Q441" i="1"/>
  <c r="P441" i="1"/>
  <c r="M441" i="1"/>
  <c r="L441" i="1"/>
  <c r="C441" i="1"/>
  <c r="B441" i="1"/>
  <c r="Q440" i="1"/>
  <c r="P440" i="1"/>
  <c r="M440" i="1"/>
  <c r="N440" i="1" s="1"/>
  <c r="L440" i="1"/>
  <c r="C440" i="1"/>
  <c r="B440" i="1"/>
  <c r="Q439" i="1"/>
  <c r="P439" i="1"/>
  <c r="M439" i="1"/>
  <c r="L439" i="1"/>
  <c r="C439" i="1"/>
  <c r="B439" i="1"/>
  <c r="Q438" i="1"/>
  <c r="P438" i="1"/>
  <c r="M438" i="1"/>
  <c r="L438" i="1"/>
  <c r="C438" i="1"/>
  <c r="B438" i="1"/>
  <c r="Q437" i="1"/>
  <c r="P437" i="1"/>
  <c r="M437" i="1"/>
  <c r="N437" i="1" s="1"/>
  <c r="L437" i="1"/>
  <c r="C437" i="1"/>
  <c r="B437" i="1"/>
  <c r="Q436" i="1"/>
  <c r="P436" i="1"/>
  <c r="M436" i="1"/>
  <c r="L436" i="1"/>
  <c r="C436" i="1"/>
  <c r="B436" i="1"/>
  <c r="Q435" i="1"/>
  <c r="P435" i="1"/>
  <c r="M435" i="1"/>
  <c r="L435" i="1"/>
  <c r="C435" i="1"/>
  <c r="B435" i="1"/>
  <c r="Q434" i="1"/>
  <c r="P434" i="1"/>
  <c r="M434" i="1"/>
  <c r="L434" i="1"/>
  <c r="C434" i="1"/>
  <c r="B434" i="1"/>
  <c r="Q433" i="1"/>
  <c r="P433" i="1"/>
  <c r="M433" i="1"/>
  <c r="N433" i="1" s="1"/>
  <c r="L433" i="1"/>
  <c r="C433" i="1"/>
  <c r="B433" i="1"/>
  <c r="Q432" i="1"/>
  <c r="P432" i="1"/>
  <c r="M432" i="1"/>
  <c r="L432" i="1"/>
  <c r="C432" i="1"/>
  <c r="B432" i="1"/>
  <c r="Q431" i="1"/>
  <c r="P431" i="1"/>
  <c r="M431" i="1"/>
  <c r="L431" i="1"/>
  <c r="C431" i="1"/>
  <c r="B431" i="1"/>
  <c r="Q430" i="1"/>
  <c r="P430" i="1"/>
  <c r="M430" i="1"/>
  <c r="L430" i="1"/>
  <c r="C430" i="1"/>
  <c r="B430" i="1"/>
  <c r="F429" i="1"/>
  <c r="M429" i="1" s="1"/>
  <c r="E429" i="1"/>
  <c r="D429" i="1"/>
  <c r="Q429" i="1" s="1"/>
  <c r="C429" i="1"/>
  <c r="B429" i="1"/>
  <c r="Q428" i="1"/>
  <c r="P428" i="1"/>
  <c r="M428" i="1"/>
  <c r="N428" i="1" s="1"/>
  <c r="L428" i="1"/>
  <c r="C428" i="1"/>
  <c r="B428" i="1"/>
  <c r="Q427" i="1"/>
  <c r="P427" i="1"/>
  <c r="M427" i="1"/>
  <c r="L427" i="1"/>
  <c r="C427" i="1"/>
  <c r="B427" i="1"/>
  <c r="Q426" i="1"/>
  <c r="P426" i="1"/>
  <c r="M426" i="1"/>
  <c r="L426" i="1"/>
  <c r="C426" i="1"/>
  <c r="B426" i="1"/>
  <c r="Q425" i="1"/>
  <c r="P425" i="1"/>
  <c r="M425" i="1"/>
  <c r="L425" i="1"/>
  <c r="C425" i="1"/>
  <c r="B425" i="1"/>
  <c r="Q424" i="1"/>
  <c r="P424" i="1"/>
  <c r="M424" i="1"/>
  <c r="L424" i="1"/>
  <c r="C424" i="1"/>
  <c r="B424" i="1"/>
  <c r="Q423" i="1"/>
  <c r="P423" i="1"/>
  <c r="N423" i="1"/>
  <c r="M423" i="1"/>
  <c r="L423" i="1"/>
  <c r="C423" i="1"/>
  <c r="B423" i="1"/>
  <c r="F422" i="1"/>
  <c r="E422" i="1"/>
  <c r="L422" i="1" s="1"/>
  <c r="D422" i="1"/>
  <c r="M422" i="1" s="1"/>
  <c r="C422" i="1"/>
  <c r="B422" i="1"/>
  <c r="Q421" i="1"/>
  <c r="P421" i="1"/>
  <c r="M421" i="1"/>
  <c r="L421" i="1"/>
  <c r="C421" i="1"/>
  <c r="B421" i="1"/>
  <c r="Q420" i="1"/>
  <c r="P420" i="1"/>
  <c r="M420" i="1"/>
  <c r="L420" i="1"/>
  <c r="C420" i="1"/>
  <c r="B420" i="1"/>
  <c r="Q419" i="1"/>
  <c r="P419" i="1"/>
  <c r="M419" i="1"/>
  <c r="N419" i="1" s="1"/>
  <c r="L419" i="1"/>
  <c r="C419" i="1"/>
  <c r="B419" i="1"/>
  <c r="Q418" i="1"/>
  <c r="I418" i="1"/>
  <c r="F418" i="1"/>
  <c r="E418" i="1"/>
  <c r="L418" i="1" s="1"/>
  <c r="D418" i="1"/>
  <c r="P418" i="1" s="1"/>
  <c r="C418" i="1"/>
  <c r="B418" i="1"/>
  <c r="Q417" i="1"/>
  <c r="P417" i="1"/>
  <c r="M417" i="1"/>
  <c r="L417" i="1"/>
  <c r="C417" i="1"/>
  <c r="B417" i="1"/>
  <c r="Q416" i="1"/>
  <c r="P416" i="1"/>
  <c r="M416" i="1"/>
  <c r="L416" i="1"/>
  <c r="C416" i="1"/>
  <c r="B416" i="1"/>
  <c r="Q415" i="1"/>
  <c r="P415" i="1"/>
  <c r="M415" i="1"/>
  <c r="N415" i="1" s="1"/>
  <c r="L415" i="1"/>
  <c r="C415" i="1"/>
  <c r="B415" i="1"/>
  <c r="Q414" i="1"/>
  <c r="P414" i="1"/>
  <c r="M414" i="1"/>
  <c r="L414" i="1"/>
  <c r="C414" i="1"/>
  <c r="B414" i="1"/>
  <c r="Q413" i="1"/>
  <c r="P413" i="1"/>
  <c r="M413" i="1"/>
  <c r="L413" i="1"/>
  <c r="C413" i="1"/>
  <c r="B413" i="1"/>
  <c r="Q412" i="1"/>
  <c r="F412" i="1"/>
  <c r="M412" i="1" s="1"/>
  <c r="E412" i="1"/>
  <c r="L412" i="1" s="1"/>
  <c r="D412" i="1"/>
  <c r="P412" i="1" s="1"/>
  <c r="C412" i="1"/>
  <c r="B412" i="1"/>
  <c r="Q411" i="1"/>
  <c r="P411" i="1"/>
  <c r="M411" i="1"/>
  <c r="L411" i="1"/>
  <c r="C411" i="1"/>
  <c r="B411" i="1"/>
  <c r="Q410" i="1"/>
  <c r="P410" i="1"/>
  <c r="M410" i="1"/>
  <c r="L410" i="1"/>
  <c r="C410" i="1"/>
  <c r="B410" i="1"/>
  <c r="Q409" i="1"/>
  <c r="P409" i="1"/>
  <c r="M409" i="1"/>
  <c r="N409" i="1" s="1"/>
  <c r="L409" i="1"/>
  <c r="C409" i="1"/>
  <c r="B409" i="1"/>
  <c r="Q408" i="1"/>
  <c r="P408" i="1"/>
  <c r="M408" i="1"/>
  <c r="N408" i="1" s="1"/>
  <c r="L408" i="1"/>
  <c r="C408" i="1"/>
  <c r="B408" i="1"/>
  <c r="Q407" i="1"/>
  <c r="P407" i="1"/>
  <c r="M407" i="1"/>
  <c r="L407" i="1"/>
  <c r="C407" i="1"/>
  <c r="B407" i="1"/>
  <c r="Q406" i="1"/>
  <c r="P406" i="1"/>
  <c r="M406" i="1"/>
  <c r="N406" i="1" s="1"/>
  <c r="L406" i="1"/>
  <c r="C406" i="1"/>
  <c r="B406" i="1"/>
  <c r="Q405" i="1"/>
  <c r="P405" i="1"/>
  <c r="M405" i="1"/>
  <c r="L405" i="1"/>
  <c r="C405" i="1"/>
  <c r="B405" i="1"/>
  <c r="Q404" i="1"/>
  <c r="P404" i="1"/>
  <c r="M404" i="1"/>
  <c r="N404" i="1" s="1"/>
  <c r="L404" i="1"/>
  <c r="C404" i="1"/>
  <c r="B404" i="1"/>
  <c r="Q403" i="1"/>
  <c r="P403" i="1"/>
  <c r="M403" i="1"/>
  <c r="L403" i="1"/>
  <c r="C403" i="1"/>
  <c r="B403" i="1"/>
  <c r="Q402" i="1"/>
  <c r="P402" i="1"/>
  <c r="M402" i="1"/>
  <c r="L402" i="1"/>
  <c r="C402" i="1"/>
  <c r="B402" i="1"/>
  <c r="Q401" i="1"/>
  <c r="P401" i="1"/>
  <c r="M401" i="1"/>
  <c r="N401" i="1" s="1"/>
  <c r="L401" i="1"/>
  <c r="C401" i="1"/>
  <c r="B401" i="1"/>
  <c r="Q400" i="1"/>
  <c r="P400" i="1"/>
  <c r="M400" i="1"/>
  <c r="L400" i="1"/>
  <c r="C400" i="1"/>
  <c r="B400" i="1"/>
  <c r="Q399" i="1"/>
  <c r="P399" i="1"/>
  <c r="M399" i="1"/>
  <c r="N399" i="1" s="1"/>
  <c r="L399" i="1"/>
  <c r="C399" i="1"/>
  <c r="B399" i="1"/>
  <c r="Q398" i="1"/>
  <c r="P398" i="1"/>
  <c r="M398" i="1"/>
  <c r="N398" i="1" s="1"/>
  <c r="L398" i="1"/>
  <c r="C398" i="1"/>
  <c r="B398" i="1"/>
  <c r="Q397" i="1"/>
  <c r="P397" i="1"/>
  <c r="M397" i="1"/>
  <c r="L397" i="1"/>
  <c r="C397" i="1"/>
  <c r="B397" i="1"/>
  <c r="Q396" i="1"/>
  <c r="P396" i="1"/>
  <c r="M396" i="1"/>
  <c r="L396" i="1"/>
  <c r="C396" i="1"/>
  <c r="B396" i="1"/>
  <c r="Q395" i="1"/>
  <c r="P395" i="1"/>
  <c r="M395" i="1"/>
  <c r="L395" i="1"/>
  <c r="C395" i="1"/>
  <c r="B395" i="1"/>
  <c r="Q394" i="1"/>
  <c r="P394" i="1"/>
  <c r="M394" i="1"/>
  <c r="L394" i="1"/>
  <c r="C394" i="1"/>
  <c r="B394" i="1"/>
  <c r="Q393" i="1"/>
  <c r="P393" i="1"/>
  <c r="M393" i="1"/>
  <c r="L393" i="1"/>
  <c r="N393" i="1" s="1"/>
  <c r="C393" i="1"/>
  <c r="B393" i="1"/>
  <c r="Q392" i="1"/>
  <c r="I392" i="1"/>
  <c r="F392" i="1"/>
  <c r="E392" i="1"/>
  <c r="D392" i="1"/>
  <c r="C392" i="1"/>
  <c r="B392" i="1"/>
  <c r="Q391" i="1"/>
  <c r="P391" i="1"/>
  <c r="M391" i="1"/>
  <c r="L391" i="1"/>
  <c r="C391" i="1"/>
  <c r="B391" i="1"/>
  <c r="Q390" i="1"/>
  <c r="P390" i="1"/>
  <c r="M390" i="1"/>
  <c r="L390" i="1"/>
  <c r="C390" i="1"/>
  <c r="B390" i="1"/>
  <c r="Q389" i="1"/>
  <c r="P389" i="1"/>
  <c r="M389" i="1"/>
  <c r="L389" i="1"/>
  <c r="C389" i="1"/>
  <c r="B389" i="1"/>
  <c r="Q388" i="1"/>
  <c r="P388" i="1"/>
  <c r="M388" i="1"/>
  <c r="L388" i="1"/>
  <c r="C388" i="1"/>
  <c r="B388" i="1"/>
  <c r="Q387" i="1"/>
  <c r="P387" i="1"/>
  <c r="M387" i="1"/>
  <c r="N387" i="1" s="1"/>
  <c r="L387" i="1"/>
  <c r="C387" i="1"/>
  <c r="B387" i="1"/>
  <c r="Q386" i="1"/>
  <c r="P386" i="1"/>
  <c r="M386" i="1"/>
  <c r="N386" i="1" s="1"/>
  <c r="L386" i="1"/>
  <c r="C386" i="1"/>
  <c r="B386" i="1"/>
  <c r="Q385" i="1"/>
  <c r="P385" i="1"/>
  <c r="M385" i="1"/>
  <c r="N385" i="1" s="1"/>
  <c r="L385" i="1"/>
  <c r="C385" i="1"/>
  <c r="B385" i="1"/>
  <c r="Q384" i="1"/>
  <c r="P384" i="1"/>
  <c r="M384" i="1"/>
  <c r="L384" i="1"/>
  <c r="C384" i="1"/>
  <c r="B384" i="1"/>
  <c r="Q383" i="1"/>
  <c r="P383" i="1"/>
  <c r="M383" i="1"/>
  <c r="L383" i="1"/>
  <c r="C383" i="1"/>
  <c r="B383" i="1"/>
  <c r="Q382" i="1"/>
  <c r="P382" i="1"/>
  <c r="M382" i="1"/>
  <c r="L382" i="1"/>
  <c r="C382" i="1"/>
  <c r="B382" i="1"/>
  <c r="Q381" i="1"/>
  <c r="P381" i="1"/>
  <c r="M381" i="1"/>
  <c r="N381" i="1" s="1"/>
  <c r="L381" i="1"/>
  <c r="C381" i="1"/>
  <c r="B381" i="1"/>
  <c r="Q380" i="1"/>
  <c r="P380" i="1"/>
  <c r="M380" i="1"/>
  <c r="L380" i="1"/>
  <c r="C380" i="1"/>
  <c r="B380" i="1"/>
  <c r="Q379" i="1"/>
  <c r="P379" i="1"/>
  <c r="M379" i="1"/>
  <c r="N379" i="1" s="1"/>
  <c r="L379" i="1"/>
  <c r="C379" i="1"/>
  <c r="B379" i="1"/>
  <c r="Q378" i="1"/>
  <c r="P378" i="1"/>
  <c r="M378" i="1"/>
  <c r="N378" i="1" s="1"/>
  <c r="L378" i="1"/>
  <c r="C378" i="1"/>
  <c r="B378" i="1"/>
  <c r="F377" i="1"/>
  <c r="E377" i="1"/>
  <c r="L377" i="1" s="1"/>
  <c r="D377" i="1"/>
  <c r="Q377" i="1" s="1"/>
  <c r="C377" i="1"/>
  <c r="B377" i="1"/>
  <c r="Q376" i="1"/>
  <c r="P376" i="1"/>
  <c r="M376" i="1"/>
  <c r="N376" i="1" s="1"/>
  <c r="L376" i="1"/>
  <c r="C376" i="1"/>
  <c r="B376" i="1"/>
  <c r="Q375" i="1"/>
  <c r="P375" i="1"/>
  <c r="M375" i="1"/>
  <c r="L375" i="1"/>
  <c r="C375" i="1"/>
  <c r="B375" i="1"/>
  <c r="Q374" i="1"/>
  <c r="P374" i="1"/>
  <c r="M374" i="1"/>
  <c r="N374" i="1" s="1"/>
  <c r="L374" i="1"/>
  <c r="C374" i="1"/>
  <c r="B374" i="1"/>
  <c r="Q373" i="1"/>
  <c r="P373" i="1"/>
  <c r="M373" i="1"/>
  <c r="L373" i="1"/>
  <c r="C373" i="1"/>
  <c r="B373" i="1"/>
  <c r="Q372" i="1"/>
  <c r="P372" i="1"/>
  <c r="M372" i="1"/>
  <c r="L372" i="1"/>
  <c r="N372" i="1" s="1"/>
  <c r="C372" i="1"/>
  <c r="B372" i="1"/>
  <c r="Q371" i="1"/>
  <c r="P371" i="1"/>
  <c r="M371" i="1"/>
  <c r="L371" i="1"/>
  <c r="C371" i="1"/>
  <c r="B371" i="1"/>
  <c r="Q370" i="1"/>
  <c r="P370" i="1"/>
  <c r="M370" i="1"/>
  <c r="L370" i="1"/>
  <c r="C370" i="1"/>
  <c r="B370" i="1"/>
  <c r="Q369" i="1"/>
  <c r="P369" i="1"/>
  <c r="M369" i="1"/>
  <c r="L369" i="1"/>
  <c r="C369" i="1"/>
  <c r="B369" i="1"/>
  <c r="Q368" i="1"/>
  <c r="P368" i="1"/>
  <c r="M368" i="1"/>
  <c r="N368" i="1" s="1"/>
  <c r="L368" i="1"/>
  <c r="C368" i="1"/>
  <c r="B368" i="1"/>
  <c r="Q367" i="1"/>
  <c r="P367" i="1"/>
  <c r="M367" i="1"/>
  <c r="N367" i="1" s="1"/>
  <c r="L367" i="1"/>
  <c r="C367" i="1"/>
  <c r="B367" i="1"/>
  <c r="Q366" i="1"/>
  <c r="F366" i="1"/>
  <c r="E366" i="1"/>
  <c r="L366" i="1" s="1"/>
  <c r="D366" i="1"/>
  <c r="P366" i="1" s="1"/>
  <c r="C366" i="1"/>
  <c r="B366" i="1"/>
  <c r="Q365" i="1"/>
  <c r="P365" i="1"/>
  <c r="M365" i="1"/>
  <c r="L365" i="1"/>
  <c r="C365" i="1"/>
  <c r="B365" i="1"/>
  <c r="Q364" i="1"/>
  <c r="P364" i="1"/>
  <c r="M364" i="1"/>
  <c r="L364" i="1"/>
  <c r="C364" i="1"/>
  <c r="B364" i="1"/>
  <c r="Q363" i="1"/>
  <c r="P363" i="1"/>
  <c r="M363" i="1"/>
  <c r="N363" i="1" s="1"/>
  <c r="L363" i="1"/>
  <c r="C363" i="1"/>
  <c r="B363" i="1"/>
  <c r="Q362" i="1"/>
  <c r="P362" i="1"/>
  <c r="M362" i="1"/>
  <c r="L362" i="1"/>
  <c r="C362" i="1"/>
  <c r="B362" i="1"/>
  <c r="Q361" i="1"/>
  <c r="P361" i="1"/>
  <c r="M361" i="1"/>
  <c r="L361" i="1"/>
  <c r="C361" i="1"/>
  <c r="B361" i="1"/>
  <c r="Q360" i="1"/>
  <c r="P360" i="1"/>
  <c r="M360" i="1"/>
  <c r="N360" i="1" s="1"/>
  <c r="L360" i="1"/>
  <c r="C360" i="1"/>
  <c r="B360" i="1"/>
  <c r="Q359" i="1"/>
  <c r="P359" i="1"/>
  <c r="M359" i="1"/>
  <c r="L359" i="1"/>
  <c r="C359" i="1"/>
  <c r="B359" i="1"/>
  <c r="Q358" i="1"/>
  <c r="P358" i="1"/>
  <c r="M358" i="1"/>
  <c r="L358" i="1"/>
  <c r="C358" i="1"/>
  <c r="B358" i="1"/>
  <c r="Q357" i="1"/>
  <c r="P357" i="1"/>
  <c r="M357" i="1"/>
  <c r="L357" i="1"/>
  <c r="N357" i="1" s="1"/>
  <c r="C357" i="1"/>
  <c r="B357" i="1"/>
  <c r="Q356" i="1"/>
  <c r="P356" i="1"/>
  <c r="M356" i="1"/>
  <c r="L356" i="1"/>
  <c r="C356" i="1"/>
  <c r="B356" i="1"/>
  <c r="Q355" i="1"/>
  <c r="P355" i="1"/>
  <c r="M355" i="1"/>
  <c r="N355" i="1" s="1"/>
  <c r="L355" i="1"/>
  <c r="I355" i="1"/>
  <c r="I356" i="1" s="1"/>
  <c r="I357" i="1" s="1"/>
  <c r="C355" i="1"/>
  <c r="B355" i="1"/>
  <c r="Q354" i="1"/>
  <c r="P354" i="1"/>
  <c r="M354" i="1"/>
  <c r="N354" i="1" s="1"/>
  <c r="L354" i="1"/>
  <c r="C354" i="1"/>
  <c r="B354" i="1"/>
  <c r="Q353" i="1"/>
  <c r="P353" i="1"/>
  <c r="M353" i="1"/>
  <c r="L353" i="1"/>
  <c r="C353" i="1"/>
  <c r="B353" i="1"/>
  <c r="Q352" i="1"/>
  <c r="P352" i="1"/>
  <c r="M352" i="1"/>
  <c r="L352" i="1"/>
  <c r="C352" i="1"/>
  <c r="B352" i="1"/>
  <c r="Q351" i="1"/>
  <c r="P351" i="1"/>
  <c r="M351" i="1"/>
  <c r="N351" i="1" s="1"/>
  <c r="L351" i="1"/>
  <c r="C351" i="1"/>
  <c r="B351" i="1"/>
  <c r="Q350" i="1"/>
  <c r="P350" i="1"/>
  <c r="M350" i="1"/>
  <c r="L350" i="1"/>
  <c r="C350" i="1"/>
  <c r="B350" i="1"/>
  <c r="Q349" i="1"/>
  <c r="P349" i="1"/>
  <c r="M349" i="1"/>
  <c r="L349" i="1"/>
  <c r="C349" i="1"/>
  <c r="B349" i="1"/>
  <c r="Q348" i="1"/>
  <c r="P348" i="1"/>
  <c r="M348" i="1"/>
  <c r="N348" i="1" s="1"/>
  <c r="L348" i="1"/>
  <c r="C348" i="1"/>
  <c r="B348" i="1"/>
  <c r="Q347" i="1"/>
  <c r="P347" i="1"/>
  <c r="F347" i="1"/>
  <c r="M347" i="1" s="1"/>
  <c r="E347" i="1"/>
  <c r="L347" i="1" s="1"/>
  <c r="C347" i="1"/>
  <c r="B347" i="1"/>
  <c r="Q346" i="1"/>
  <c r="P346" i="1"/>
  <c r="M346" i="1"/>
  <c r="N346" i="1" s="1"/>
  <c r="L346" i="1"/>
  <c r="C346" i="1"/>
  <c r="B346" i="1"/>
  <c r="Q345" i="1"/>
  <c r="P345" i="1"/>
  <c r="M345" i="1"/>
  <c r="L345" i="1"/>
  <c r="C345" i="1"/>
  <c r="B345" i="1"/>
  <c r="Q344" i="1"/>
  <c r="P344" i="1"/>
  <c r="M344" i="1"/>
  <c r="L344" i="1"/>
  <c r="C344" i="1"/>
  <c r="B344" i="1"/>
  <c r="Q343" i="1"/>
  <c r="P343" i="1"/>
  <c r="M343" i="1"/>
  <c r="N343" i="1" s="1"/>
  <c r="L343" i="1"/>
  <c r="C343" i="1"/>
  <c r="B343" i="1"/>
  <c r="Q342" i="1"/>
  <c r="P342" i="1"/>
  <c r="F342" i="1"/>
  <c r="M342" i="1" s="1"/>
  <c r="E342" i="1"/>
  <c r="L342" i="1" s="1"/>
  <c r="C342" i="1"/>
  <c r="B342" i="1"/>
  <c r="Q341" i="1"/>
  <c r="P341" i="1"/>
  <c r="M341" i="1"/>
  <c r="L341" i="1"/>
  <c r="C341" i="1"/>
  <c r="B341" i="1"/>
  <c r="Q340" i="1"/>
  <c r="P340" i="1"/>
  <c r="M340" i="1"/>
  <c r="L340" i="1"/>
  <c r="I340" i="1"/>
  <c r="C340" i="1"/>
  <c r="B340" i="1"/>
  <c r="Q339" i="1"/>
  <c r="I339" i="1"/>
  <c r="F339" i="1"/>
  <c r="E339" i="1"/>
  <c r="D339" i="1"/>
  <c r="P339" i="1" s="1"/>
  <c r="C339" i="1"/>
  <c r="B339" i="1"/>
  <c r="Q338" i="1"/>
  <c r="P338" i="1"/>
  <c r="M338" i="1"/>
  <c r="N338" i="1" s="1"/>
  <c r="L338" i="1"/>
  <c r="C338" i="1"/>
  <c r="B338" i="1"/>
  <c r="Q337" i="1"/>
  <c r="P337" i="1"/>
  <c r="M337" i="1"/>
  <c r="L337" i="1"/>
  <c r="C337" i="1"/>
  <c r="B337" i="1"/>
  <c r="Q336" i="1"/>
  <c r="P336" i="1"/>
  <c r="M336" i="1"/>
  <c r="N336" i="1" s="1"/>
  <c r="L336" i="1"/>
  <c r="C336" i="1"/>
  <c r="B336" i="1"/>
  <c r="Q335" i="1"/>
  <c r="P335" i="1"/>
  <c r="M335" i="1"/>
  <c r="L335" i="1"/>
  <c r="C335" i="1"/>
  <c r="B335" i="1"/>
  <c r="Q334" i="1"/>
  <c r="P334" i="1"/>
  <c r="M334" i="1"/>
  <c r="L334" i="1"/>
  <c r="C334" i="1"/>
  <c r="B334" i="1"/>
  <c r="Q333" i="1"/>
  <c r="P333" i="1"/>
  <c r="F333" i="1"/>
  <c r="M333" i="1" s="1"/>
  <c r="E333" i="1"/>
  <c r="L333" i="1" s="1"/>
  <c r="C333" i="1"/>
  <c r="B333" i="1"/>
  <c r="Q332" i="1"/>
  <c r="P332" i="1"/>
  <c r="M332" i="1"/>
  <c r="N332" i="1" s="1"/>
  <c r="L332" i="1"/>
  <c r="C332" i="1"/>
  <c r="B332" i="1"/>
  <c r="Q331" i="1"/>
  <c r="P331" i="1"/>
  <c r="M331" i="1"/>
  <c r="L331" i="1"/>
  <c r="C331" i="1"/>
  <c r="B331" i="1"/>
  <c r="Q330" i="1"/>
  <c r="P330" i="1"/>
  <c r="M330" i="1"/>
  <c r="N330" i="1" s="1"/>
  <c r="L330" i="1"/>
  <c r="C330" i="1"/>
  <c r="B330" i="1"/>
  <c r="Q329" i="1"/>
  <c r="P329" i="1"/>
  <c r="M329" i="1"/>
  <c r="L329" i="1"/>
  <c r="C329" i="1"/>
  <c r="B329" i="1"/>
  <c r="Q328" i="1"/>
  <c r="P328" i="1"/>
  <c r="M328" i="1"/>
  <c r="L328" i="1"/>
  <c r="C328" i="1"/>
  <c r="B328" i="1"/>
  <c r="Q327" i="1"/>
  <c r="P327" i="1"/>
  <c r="M327" i="1"/>
  <c r="L327" i="1"/>
  <c r="N327" i="1" s="1"/>
  <c r="C327" i="1"/>
  <c r="B327" i="1"/>
  <c r="Q326" i="1"/>
  <c r="P326" i="1"/>
  <c r="N326" i="1"/>
  <c r="M326" i="1"/>
  <c r="L326" i="1"/>
  <c r="C326" i="1"/>
  <c r="B326" i="1"/>
  <c r="Q325" i="1"/>
  <c r="P325" i="1"/>
  <c r="M325" i="1"/>
  <c r="N325" i="1" s="1"/>
  <c r="L325" i="1"/>
  <c r="C325" i="1"/>
  <c r="B325" i="1"/>
  <c r="Q324" i="1"/>
  <c r="P324" i="1"/>
  <c r="M324" i="1"/>
  <c r="L324" i="1"/>
  <c r="C324" i="1"/>
  <c r="B324" i="1"/>
  <c r="Q323" i="1"/>
  <c r="P323" i="1"/>
  <c r="M323" i="1"/>
  <c r="N323" i="1" s="1"/>
  <c r="L323" i="1"/>
  <c r="C323" i="1"/>
  <c r="B323" i="1"/>
  <c r="Q322" i="1"/>
  <c r="P322" i="1"/>
  <c r="M322" i="1"/>
  <c r="L322" i="1"/>
  <c r="I322" i="1"/>
  <c r="C322" i="1"/>
  <c r="B322" i="1"/>
  <c r="Q321" i="1"/>
  <c r="P321" i="1"/>
  <c r="M321" i="1"/>
  <c r="L321" i="1"/>
  <c r="C321" i="1"/>
  <c r="B321" i="1"/>
  <c r="Q320" i="1"/>
  <c r="P320" i="1"/>
  <c r="M320" i="1"/>
  <c r="L320" i="1"/>
  <c r="C320" i="1"/>
  <c r="B320" i="1"/>
  <c r="Q319" i="1"/>
  <c r="P319" i="1"/>
  <c r="M319" i="1"/>
  <c r="N319" i="1" s="1"/>
  <c r="L319" i="1"/>
  <c r="C319" i="1"/>
  <c r="B319" i="1"/>
  <c r="Q318" i="1"/>
  <c r="P318" i="1"/>
  <c r="N318" i="1"/>
  <c r="M318" i="1"/>
  <c r="L318" i="1"/>
  <c r="C318" i="1"/>
  <c r="B318" i="1"/>
  <c r="Q317" i="1"/>
  <c r="P317" i="1"/>
  <c r="M317" i="1"/>
  <c r="L317" i="1"/>
  <c r="C317" i="1"/>
  <c r="B317" i="1"/>
  <c r="Q316" i="1"/>
  <c r="P316" i="1"/>
  <c r="M316" i="1"/>
  <c r="N316" i="1" s="1"/>
  <c r="L316" i="1"/>
  <c r="C316" i="1"/>
  <c r="B316" i="1"/>
  <c r="Q315" i="1"/>
  <c r="P315" i="1"/>
  <c r="M315" i="1"/>
  <c r="L315" i="1"/>
  <c r="C315" i="1"/>
  <c r="B315" i="1"/>
  <c r="Q314" i="1"/>
  <c r="P314" i="1"/>
  <c r="M314" i="1"/>
  <c r="L314" i="1"/>
  <c r="C314" i="1"/>
  <c r="B314" i="1"/>
  <c r="Q313" i="1"/>
  <c r="P313" i="1"/>
  <c r="M313" i="1"/>
  <c r="N313" i="1" s="1"/>
  <c r="L313" i="1"/>
  <c r="C313" i="1"/>
  <c r="B313" i="1"/>
  <c r="Q312" i="1"/>
  <c r="P312" i="1"/>
  <c r="L312" i="1"/>
  <c r="F312" i="1"/>
  <c r="M312" i="1" s="1"/>
  <c r="N312" i="1" s="1"/>
  <c r="E312" i="1"/>
  <c r="D312" i="1"/>
  <c r="C312" i="1"/>
  <c r="B312" i="1"/>
  <c r="Q311" i="1"/>
  <c r="P311" i="1"/>
  <c r="M311" i="1"/>
  <c r="N311" i="1" s="1"/>
  <c r="L311" i="1"/>
  <c r="C311" i="1"/>
  <c r="B311" i="1"/>
  <c r="Q310" i="1"/>
  <c r="P310" i="1"/>
  <c r="M310" i="1"/>
  <c r="L310" i="1"/>
  <c r="C310" i="1"/>
  <c r="B310" i="1"/>
  <c r="Q309" i="1"/>
  <c r="P309" i="1"/>
  <c r="M309" i="1"/>
  <c r="L309" i="1"/>
  <c r="N309" i="1" s="1"/>
  <c r="C309" i="1"/>
  <c r="B309" i="1"/>
  <c r="Q308" i="1"/>
  <c r="P308" i="1"/>
  <c r="M308" i="1"/>
  <c r="N308" i="1" s="1"/>
  <c r="L308" i="1"/>
  <c r="C308" i="1"/>
  <c r="B308" i="1"/>
  <c r="Q307" i="1"/>
  <c r="P307" i="1"/>
  <c r="M307" i="1"/>
  <c r="L307" i="1"/>
  <c r="C307" i="1"/>
  <c r="B307" i="1"/>
  <c r="Q306" i="1"/>
  <c r="P306" i="1"/>
  <c r="M306" i="1"/>
  <c r="L306" i="1"/>
  <c r="C306" i="1"/>
  <c r="B306" i="1"/>
  <c r="Q305" i="1"/>
  <c r="P305" i="1"/>
  <c r="M305" i="1"/>
  <c r="N305" i="1" s="1"/>
  <c r="L305" i="1"/>
  <c r="C305" i="1"/>
  <c r="B305" i="1"/>
  <c r="Q304" i="1"/>
  <c r="P304" i="1"/>
  <c r="M304" i="1"/>
  <c r="N304" i="1" s="1"/>
  <c r="L304" i="1"/>
  <c r="I304" i="1"/>
  <c r="I305" i="1" s="1"/>
  <c r="I306" i="1" s="1"/>
  <c r="C304" i="1"/>
  <c r="B304" i="1"/>
  <c r="Q303" i="1"/>
  <c r="P303" i="1"/>
  <c r="M303" i="1"/>
  <c r="L303" i="1"/>
  <c r="C303" i="1"/>
  <c r="B303" i="1"/>
  <c r="Q302" i="1"/>
  <c r="P302" i="1"/>
  <c r="M302" i="1"/>
  <c r="N302" i="1" s="1"/>
  <c r="L302" i="1"/>
  <c r="C302" i="1"/>
  <c r="B302" i="1"/>
  <c r="Q301" i="1"/>
  <c r="P301" i="1"/>
  <c r="M301" i="1"/>
  <c r="L301" i="1"/>
  <c r="C301" i="1"/>
  <c r="B301" i="1"/>
  <c r="Q300" i="1"/>
  <c r="P300" i="1"/>
  <c r="M300" i="1"/>
  <c r="L300" i="1"/>
  <c r="C300" i="1"/>
  <c r="B300" i="1"/>
  <c r="Q299" i="1"/>
  <c r="P299" i="1"/>
  <c r="M299" i="1"/>
  <c r="L299" i="1"/>
  <c r="N299" i="1" s="1"/>
  <c r="I299" i="1"/>
  <c r="I300" i="1" s="1"/>
  <c r="I301" i="1" s="1"/>
  <c r="C299" i="1"/>
  <c r="B299" i="1"/>
  <c r="Q298" i="1"/>
  <c r="P298" i="1"/>
  <c r="M298" i="1"/>
  <c r="L298" i="1"/>
  <c r="C298" i="1"/>
  <c r="B298" i="1"/>
  <c r="Q297" i="1"/>
  <c r="P297" i="1"/>
  <c r="M297" i="1"/>
  <c r="N297" i="1" s="1"/>
  <c r="L297" i="1"/>
  <c r="C297" i="1"/>
  <c r="B297" i="1"/>
  <c r="Q296" i="1"/>
  <c r="P296" i="1"/>
  <c r="M296" i="1"/>
  <c r="L296" i="1"/>
  <c r="C296" i="1"/>
  <c r="B296" i="1"/>
  <c r="Q295" i="1"/>
  <c r="P295" i="1"/>
  <c r="M295" i="1"/>
  <c r="N295" i="1" s="1"/>
  <c r="L295" i="1"/>
  <c r="C295" i="1"/>
  <c r="B295" i="1"/>
  <c r="Q294" i="1"/>
  <c r="P294" i="1"/>
  <c r="M294" i="1"/>
  <c r="L294" i="1"/>
  <c r="C294" i="1"/>
  <c r="B294" i="1"/>
  <c r="Q293" i="1"/>
  <c r="P293" i="1"/>
  <c r="M293" i="1"/>
  <c r="L293" i="1"/>
  <c r="C293" i="1"/>
  <c r="B293" i="1"/>
  <c r="Q292" i="1"/>
  <c r="P292" i="1"/>
  <c r="M292" i="1"/>
  <c r="N292" i="1" s="1"/>
  <c r="L292" i="1"/>
  <c r="I292" i="1"/>
  <c r="C292" i="1"/>
  <c r="B292" i="1"/>
  <c r="Q291" i="1"/>
  <c r="P291" i="1"/>
  <c r="M291" i="1"/>
  <c r="N291" i="1" s="1"/>
  <c r="L291" i="1"/>
  <c r="I291" i="1"/>
  <c r="C291" i="1"/>
  <c r="B291" i="1"/>
  <c r="Q290" i="1"/>
  <c r="P290" i="1"/>
  <c r="M290" i="1"/>
  <c r="N290" i="1" s="1"/>
  <c r="L290" i="1"/>
  <c r="C290" i="1"/>
  <c r="B290" i="1"/>
  <c r="Q289" i="1"/>
  <c r="P289" i="1"/>
  <c r="M289" i="1"/>
  <c r="L289" i="1"/>
  <c r="C289" i="1"/>
  <c r="B289" i="1"/>
  <c r="Q288" i="1"/>
  <c r="P288" i="1"/>
  <c r="M288" i="1"/>
  <c r="N288" i="1" s="1"/>
  <c r="L288" i="1"/>
  <c r="C288" i="1"/>
  <c r="B288" i="1"/>
  <c r="Q287" i="1"/>
  <c r="P287" i="1"/>
  <c r="N287" i="1"/>
  <c r="M287" i="1"/>
  <c r="L287" i="1"/>
  <c r="C287" i="1"/>
  <c r="B287" i="1"/>
  <c r="Q286" i="1"/>
  <c r="P286" i="1"/>
  <c r="M286" i="1"/>
  <c r="L286" i="1"/>
  <c r="I286" i="1"/>
  <c r="I287" i="1" s="1"/>
  <c r="I288" i="1" s="1"/>
  <c r="C286" i="1"/>
  <c r="B286" i="1"/>
  <c r="Q285" i="1"/>
  <c r="P285" i="1"/>
  <c r="M285" i="1"/>
  <c r="L285" i="1"/>
  <c r="C285" i="1"/>
  <c r="B285" i="1"/>
  <c r="Q284" i="1"/>
  <c r="P284" i="1"/>
  <c r="M284" i="1"/>
  <c r="L284" i="1"/>
  <c r="C284" i="1"/>
  <c r="B284" i="1"/>
  <c r="Q283" i="1"/>
  <c r="P283" i="1"/>
  <c r="M283" i="1"/>
  <c r="L283" i="1"/>
  <c r="C283" i="1"/>
  <c r="B283" i="1"/>
  <c r="Q282" i="1"/>
  <c r="P282" i="1"/>
  <c r="M282" i="1"/>
  <c r="L282" i="1"/>
  <c r="I282" i="1"/>
  <c r="I283" i="1" s="1"/>
  <c r="C282" i="1"/>
  <c r="B282" i="1"/>
  <c r="Q281" i="1"/>
  <c r="P281" i="1"/>
  <c r="M281" i="1"/>
  <c r="L281" i="1"/>
  <c r="C281" i="1"/>
  <c r="B281" i="1"/>
  <c r="Q280" i="1"/>
  <c r="P280" i="1"/>
  <c r="M280" i="1"/>
  <c r="N280" i="1" s="1"/>
  <c r="L280" i="1"/>
  <c r="C280" i="1"/>
  <c r="B280" i="1"/>
  <c r="Q279" i="1"/>
  <c r="P279" i="1"/>
  <c r="M279" i="1"/>
  <c r="L279" i="1"/>
  <c r="C279" i="1"/>
  <c r="B279" i="1"/>
  <c r="Q278" i="1"/>
  <c r="P278" i="1"/>
  <c r="M278" i="1"/>
  <c r="L278" i="1"/>
  <c r="C278" i="1"/>
  <c r="B278" i="1"/>
  <c r="Q277" i="1"/>
  <c r="P277" i="1"/>
  <c r="M277" i="1"/>
  <c r="N277" i="1" s="1"/>
  <c r="L277" i="1"/>
  <c r="C277" i="1"/>
  <c r="B277" i="1"/>
  <c r="Q276" i="1"/>
  <c r="P276" i="1"/>
  <c r="M276" i="1"/>
  <c r="N276" i="1" s="1"/>
  <c r="L276" i="1"/>
  <c r="C276" i="1"/>
  <c r="B276" i="1"/>
  <c r="Q275" i="1"/>
  <c r="P275" i="1"/>
  <c r="M275" i="1"/>
  <c r="L275" i="1"/>
  <c r="C275" i="1"/>
  <c r="B275" i="1"/>
  <c r="Q274" i="1"/>
  <c r="P274" i="1"/>
  <c r="M274" i="1"/>
  <c r="L274" i="1"/>
  <c r="I274" i="1"/>
  <c r="C274" i="1"/>
  <c r="B274" i="1"/>
  <c r="Q273" i="1"/>
  <c r="P273" i="1"/>
  <c r="M273" i="1"/>
  <c r="N273" i="1" s="1"/>
  <c r="L273" i="1"/>
  <c r="C273" i="1"/>
  <c r="B273" i="1"/>
  <c r="Q272" i="1"/>
  <c r="P272" i="1"/>
  <c r="M272" i="1"/>
  <c r="N272" i="1" s="1"/>
  <c r="L272" i="1"/>
  <c r="C272" i="1"/>
  <c r="B272" i="1"/>
  <c r="Q271" i="1"/>
  <c r="P271" i="1"/>
  <c r="M271" i="1"/>
  <c r="L271" i="1"/>
  <c r="C271" i="1"/>
  <c r="B271" i="1"/>
  <c r="Q270" i="1"/>
  <c r="P270" i="1"/>
  <c r="M270" i="1"/>
  <c r="L270" i="1"/>
  <c r="C270" i="1"/>
  <c r="B270" i="1"/>
  <c r="Q269" i="1"/>
  <c r="P269" i="1"/>
  <c r="M269" i="1"/>
  <c r="L269" i="1"/>
  <c r="C269" i="1"/>
  <c r="B269" i="1"/>
  <c r="Q268" i="1"/>
  <c r="P268" i="1"/>
  <c r="M268" i="1"/>
  <c r="L268" i="1"/>
  <c r="C268" i="1"/>
  <c r="B268" i="1"/>
  <c r="Q267" i="1"/>
  <c r="P267" i="1"/>
  <c r="M267" i="1"/>
  <c r="N267" i="1" s="1"/>
  <c r="L267" i="1"/>
  <c r="C267" i="1"/>
  <c r="B267" i="1"/>
  <c r="Q266" i="1"/>
  <c r="P266" i="1"/>
  <c r="M266" i="1"/>
  <c r="L266" i="1"/>
  <c r="C266" i="1"/>
  <c r="B266" i="1"/>
  <c r="Q265" i="1"/>
  <c r="P265" i="1"/>
  <c r="M265" i="1"/>
  <c r="L265" i="1"/>
  <c r="I265" i="1"/>
  <c r="C265" i="1"/>
  <c r="B265" i="1"/>
  <c r="Q264" i="1"/>
  <c r="P264" i="1"/>
  <c r="M264" i="1"/>
  <c r="N264" i="1" s="1"/>
  <c r="L264" i="1"/>
  <c r="C264" i="1"/>
  <c r="B264" i="1"/>
  <c r="Q263" i="1"/>
  <c r="P263" i="1"/>
  <c r="M263" i="1"/>
  <c r="N263" i="1" s="1"/>
  <c r="L263" i="1"/>
  <c r="C263" i="1"/>
  <c r="B263" i="1"/>
  <c r="Q262" i="1"/>
  <c r="P262" i="1"/>
  <c r="M262" i="1"/>
  <c r="L262" i="1"/>
  <c r="C262" i="1"/>
  <c r="B262" i="1"/>
  <c r="Q261" i="1"/>
  <c r="P261" i="1"/>
  <c r="M261" i="1"/>
  <c r="L261" i="1"/>
  <c r="C261" i="1"/>
  <c r="B261" i="1"/>
  <c r="Q260" i="1"/>
  <c r="P260" i="1"/>
  <c r="M260" i="1"/>
  <c r="N260" i="1" s="1"/>
  <c r="L260" i="1"/>
  <c r="C260" i="1"/>
  <c r="B260" i="1"/>
  <c r="Q259" i="1"/>
  <c r="P259" i="1"/>
  <c r="M259" i="1"/>
  <c r="L259" i="1"/>
  <c r="C259" i="1"/>
  <c r="B259" i="1"/>
  <c r="Q258" i="1"/>
  <c r="P258" i="1"/>
  <c r="M258" i="1"/>
  <c r="N258" i="1" s="1"/>
  <c r="L258" i="1"/>
  <c r="C258" i="1"/>
  <c r="B258" i="1"/>
  <c r="Q257" i="1"/>
  <c r="P257" i="1"/>
  <c r="M257" i="1"/>
  <c r="L257" i="1"/>
  <c r="C257" i="1"/>
  <c r="B257" i="1"/>
  <c r="Q256" i="1"/>
  <c r="P256" i="1"/>
  <c r="M256" i="1"/>
  <c r="L256" i="1"/>
  <c r="C256" i="1"/>
  <c r="B256" i="1"/>
  <c r="Q255" i="1"/>
  <c r="P255" i="1"/>
  <c r="M255" i="1"/>
  <c r="L255" i="1"/>
  <c r="C255" i="1"/>
  <c r="B255" i="1"/>
  <c r="Q254" i="1"/>
  <c r="P254" i="1"/>
  <c r="M254" i="1"/>
  <c r="L254" i="1"/>
  <c r="C254" i="1"/>
  <c r="B254" i="1"/>
  <c r="Q253" i="1"/>
  <c r="P253" i="1"/>
  <c r="M253" i="1"/>
  <c r="L253" i="1"/>
  <c r="I253" i="1"/>
  <c r="I254" i="1" s="1"/>
  <c r="I255" i="1" s="1"/>
  <c r="I256" i="1" s="1"/>
  <c r="I257" i="1" s="1"/>
  <c r="I258" i="1" s="1"/>
  <c r="C253" i="1"/>
  <c r="B253" i="1"/>
  <c r="Q252" i="1"/>
  <c r="P252" i="1"/>
  <c r="M252" i="1"/>
  <c r="N252" i="1" s="1"/>
  <c r="L252" i="1"/>
  <c r="C252" i="1"/>
  <c r="B252" i="1"/>
  <c r="Q251" i="1"/>
  <c r="P251" i="1"/>
  <c r="M251" i="1"/>
  <c r="N251" i="1" s="1"/>
  <c r="L251" i="1"/>
  <c r="C251" i="1"/>
  <c r="B251" i="1"/>
  <c r="Q250" i="1"/>
  <c r="P250" i="1"/>
  <c r="M250" i="1"/>
  <c r="L250" i="1"/>
  <c r="C250" i="1"/>
  <c r="B250" i="1"/>
  <c r="Q249" i="1"/>
  <c r="P249" i="1"/>
  <c r="M249" i="1"/>
  <c r="L249" i="1"/>
  <c r="C249" i="1"/>
  <c r="B249" i="1"/>
  <c r="Q248" i="1"/>
  <c r="P248" i="1"/>
  <c r="M248" i="1"/>
  <c r="L248" i="1"/>
  <c r="C248" i="1"/>
  <c r="B248" i="1"/>
  <c r="Q247" i="1"/>
  <c r="C247" i="1"/>
  <c r="B247" i="1"/>
  <c r="Q246" i="1"/>
  <c r="P246" i="1"/>
  <c r="M246" i="1"/>
  <c r="N246" i="1" s="1"/>
  <c r="L246" i="1"/>
  <c r="C246" i="1"/>
  <c r="B246" i="1"/>
  <c r="Q245" i="1"/>
  <c r="P245" i="1"/>
  <c r="M245" i="1"/>
  <c r="N245" i="1" s="1"/>
  <c r="L245" i="1"/>
  <c r="C245" i="1"/>
  <c r="B245" i="1"/>
  <c r="Q244" i="1"/>
  <c r="P244" i="1"/>
  <c r="M244" i="1"/>
  <c r="L244" i="1"/>
  <c r="C244" i="1"/>
  <c r="B244" i="1"/>
  <c r="Q243" i="1"/>
  <c r="P243" i="1"/>
  <c r="M243" i="1"/>
  <c r="L243" i="1"/>
  <c r="C243" i="1"/>
  <c r="B243" i="1"/>
  <c r="Q242" i="1"/>
  <c r="P242" i="1"/>
  <c r="M242" i="1"/>
  <c r="N242" i="1" s="1"/>
  <c r="L242" i="1"/>
  <c r="C242" i="1"/>
  <c r="B242" i="1"/>
  <c r="Q241" i="1"/>
  <c r="P241" i="1"/>
  <c r="M241" i="1"/>
  <c r="N241" i="1" s="1"/>
  <c r="L241" i="1"/>
  <c r="C241" i="1"/>
  <c r="B241" i="1"/>
  <c r="Q240" i="1"/>
  <c r="P240" i="1"/>
  <c r="M240" i="1"/>
  <c r="L240" i="1"/>
  <c r="C240" i="1"/>
  <c r="B240" i="1"/>
  <c r="Q239" i="1"/>
  <c r="P239" i="1"/>
  <c r="M239" i="1"/>
  <c r="N239" i="1" s="1"/>
  <c r="L239" i="1"/>
  <c r="C239" i="1"/>
  <c r="B239" i="1"/>
  <c r="Q238" i="1"/>
  <c r="P238" i="1"/>
  <c r="M238" i="1"/>
  <c r="N238" i="1" s="1"/>
  <c r="L238" i="1"/>
  <c r="C238" i="1"/>
  <c r="B238" i="1"/>
  <c r="Q237" i="1"/>
  <c r="P237" i="1"/>
  <c r="M237" i="1"/>
  <c r="L237" i="1"/>
  <c r="C237" i="1"/>
  <c r="B237" i="1"/>
  <c r="Q236" i="1"/>
  <c r="P236" i="1"/>
  <c r="N236" i="1"/>
  <c r="M236" i="1"/>
  <c r="L236" i="1"/>
  <c r="C236" i="1"/>
  <c r="B236" i="1"/>
  <c r="Q235" i="1"/>
  <c r="P235" i="1"/>
  <c r="M235" i="1"/>
  <c r="L235" i="1"/>
  <c r="I235" i="1"/>
  <c r="C235" i="1"/>
  <c r="B235" i="1"/>
  <c r="Q234" i="1"/>
  <c r="P234" i="1"/>
  <c r="M234" i="1"/>
  <c r="L234" i="1"/>
  <c r="C234" i="1"/>
  <c r="B234" i="1"/>
  <c r="Q233" i="1"/>
  <c r="P233" i="1"/>
  <c r="M233" i="1"/>
  <c r="L233" i="1"/>
  <c r="C233" i="1"/>
  <c r="B233" i="1"/>
  <c r="Q232" i="1"/>
  <c r="P232" i="1"/>
  <c r="M232" i="1"/>
  <c r="N232" i="1" s="1"/>
  <c r="L232" i="1"/>
  <c r="C232" i="1"/>
  <c r="B232" i="1"/>
  <c r="Q231" i="1"/>
  <c r="P231" i="1"/>
  <c r="M231" i="1"/>
  <c r="L231" i="1"/>
  <c r="C231" i="1"/>
  <c r="B231" i="1"/>
  <c r="Q230" i="1"/>
  <c r="P230" i="1"/>
  <c r="M230" i="1"/>
  <c r="L230" i="1"/>
  <c r="C230" i="1"/>
  <c r="B230" i="1"/>
  <c r="Q229" i="1"/>
  <c r="P229" i="1"/>
  <c r="M229" i="1"/>
  <c r="L229" i="1"/>
  <c r="C229" i="1"/>
  <c r="B229" i="1"/>
  <c r="Q228" i="1"/>
  <c r="P228" i="1"/>
  <c r="M228" i="1"/>
  <c r="L228" i="1"/>
  <c r="C228" i="1"/>
  <c r="B228" i="1"/>
  <c r="Q227" i="1"/>
  <c r="P227" i="1"/>
  <c r="M227" i="1"/>
  <c r="N227" i="1" s="1"/>
  <c r="L227" i="1"/>
  <c r="C227" i="1"/>
  <c r="B227" i="1"/>
  <c r="Q226" i="1"/>
  <c r="P226" i="1"/>
  <c r="M226" i="1"/>
  <c r="L226" i="1"/>
  <c r="C226" i="1"/>
  <c r="B226" i="1"/>
  <c r="Q225" i="1"/>
  <c r="P225" i="1"/>
  <c r="M225" i="1"/>
  <c r="L225" i="1"/>
  <c r="C225" i="1"/>
  <c r="B225" i="1"/>
  <c r="Q224" i="1"/>
  <c r="P224" i="1"/>
  <c r="M224" i="1"/>
  <c r="N224" i="1" s="1"/>
  <c r="L224" i="1"/>
  <c r="C224" i="1"/>
  <c r="B224" i="1"/>
  <c r="Q223" i="1"/>
  <c r="P223" i="1"/>
  <c r="M223" i="1"/>
  <c r="L223" i="1"/>
  <c r="C223" i="1"/>
  <c r="B223" i="1"/>
  <c r="Q222" i="1"/>
  <c r="P222" i="1"/>
  <c r="M222" i="1"/>
  <c r="L222" i="1"/>
  <c r="I222" i="1"/>
  <c r="C222" i="1"/>
  <c r="B222" i="1"/>
  <c r="Q221" i="1"/>
  <c r="P221" i="1"/>
  <c r="M221" i="1"/>
  <c r="N221" i="1" s="1"/>
  <c r="L221" i="1"/>
  <c r="C221" i="1"/>
  <c r="B221" i="1"/>
  <c r="Q220" i="1"/>
  <c r="P220" i="1"/>
  <c r="M220" i="1"/>
  <c r="L220" i="1"/>
  <c r="C220" i="1"/>
  <c r="B220" i="1"/>
  <c r="Q219" i="1"/>
  <c r="P219" i="1"/>
  <c r="M219" i="1"/>
  <c r="L219" i="1"/>
  <c r="C219" i="1"/>
  <c r="B219" i="1"/>
  <c r="Q218" i="1"/>
  <c r="P218" i="1"/>
  <c r="M218" i="1"/>
  <c r="L218" i="1"/>
  <c r="C218" i="1"/>
  <c r="B218" i="1"/>
  <c r="E59" i="2" s="1"/>
  <c r="Q217" i="1"/>
  <c r="P217" i="1"/>
  <c r="M217" i="1"/>
  <c r="L217" i="1"/>
  <c r="C217" i="1"/>
  <c r="B217" i="1"/>
  <c r="Q216" i="1"/>
  <c r="P216" i="1"/>
  <c r="M216" i="1"/>
  <c r="L216" i="1"/>
  <c r="C216" i="1"/>
  <c r="B216" i="1"/>
  <c r="Q215" i="1"/>
  <c r="P215" i="1"/>
  <c r="M215" i="1"/>
  <c r="L215" i="1"/>
  <c r="C215" i="1"/>
  <c r="B215" i="1"/>
  <c r="Q214" i="1"/>
  <c r="P214" i="1"/>
  <c r="M214" i="1"/>
  <c r="N214" i="1" s="1"/>
  <c r="L214" i="1"/>
  <c r="C214" i="1"/>
  <c r="B214" i="1"/>
  <c r="Q213" i="1"/>
  <c r="P213" i="1"/>
  <c r="M213" i="1"/>
  <c r="N213" i="1" s="1"/>
  <c r="L213" i="1"/>
  <c r="C213" i="1"/>
  <c r="B213" i="1"/>
  <c r="Q212" i="1"/>
  <c r="P212" i="1"/>
  <c r="M212" i="1"/>
  <c r="L212" i="1"/>
  <c r="C212" i="1"/>
  <c r="B212" i="1"/>
  <c r="Q211" i="1"/>
  <c r="P211" i="1"/>
  <c r="M211" i="1"/>
  <c r="L211" i="1"/>
  <c r="C211" i="1"/>
  <c r="B211" i="1"/>
  <c r="Q210" i="1"/>
  <c r="P210" i="1"/>
  <c r="M210" i="1"/>
  <c r="L210" i="1"/>
  <c r="C210" i="1"/>
  <c r="B210" i="1"/>
  <c r="Q209" i="1"/>
  <c r="P209" i="1"/>
  <c r="M209" i="1"/>
  <c r="L209" i="1"/>
  <c r="C209" i="1"/>
  <c r="B209" i="1"/>
  <c r="Q208" i="1"/>
  <c r="P208" i="1"/>
  <c r="M208" i="1"/>
  <c r="L208" i="1"/>
  <c r="C208" i="1"/>
  <c r="B208" i="1"/>
  <c r="Q207" i="1"/>
  <c r="P207" i="1"/>
  <c r="M207" i="1"/>
  <c r="L207" i="1"/>
  <c r="C207" i="1"/>
  <c r="B207" i="1"/>
  <c r="Q206" i="1"/>
  <c r="P206" i="1"/>
  <c r="M206" i="1"/>
  <c r="L206" i="1"/>
  <c r="C206" i="1"/>
  <c r="B206" i="1"/>
  <c r="Q205" i="1"/>
  <c r="P205" i="1"/>
  <c r="M205" i="1"/>
  <c r="N205" i="1" s="1"/>
  <c r="L205" i="1"/>
  <c r="C205" i="1"/>
  <c r="B205" i="1"/>
  <c r="Q204" i="1"/>
  <c r="P204" i="1"/>
  <c r="M204" i="1"/>
  <c r="N204" i="1" s="1"/>
  <c r="L204" i="1"/>
  <c r="C204" i="1"/>
  <c r="B204" i="1"/>
  <c r="Q203" i="1"/>
  <c r="P203" i="1"/>
  <c r="M203" i="1"/>
  <c r="N203" i="1" s="1"/>
  <c r="L203" i="1"/>
  <c r="C203" i="1"/>
  <c r="B203" i="1"/>
  <c r="Q202" i="1"/>
  <c r="P202" i="1"/>
  <c r="M202" i="1"/>
  <c r="N202" i="1" s="1"/>
  <c r="L202" i="1"/>
  <c r="C202" i="1"/>
  <c r="B202" i="1"/>
  <c r="Q201" i="1"/>
  <c r="P201" i="1"/>
  <c r="M201" i="1"/>
  <c r="L201" i="1"/>
  <c r="C201" i="1"/>
  <c r="B201" i="1"/>
  <c r="Q200" i="1"/>
  <c r="P200" i="1"/>
  <c r="M200" i="1"/>
  <c r="L200" i="1"/>
  <c r="C200" i="1"/>
  <c r="B200" i="1"/>
  <c r="E128" i="2" s="1"/>
  <c r="Q199" i="1"/>
  <c r="P199" i="1"/>
  <c r="M199" i="1"/>
  <c r="L199" i="1"/>
  <c r="C199" i="1"/>
  <c r="B199" i="1"/>
  <c r="Q198" i="1"/>
  <c r="P198" i="1"/>
  <c r="M198" i="1"/>
  <c r="L198" i="1"/>
  <c r="C198" i="1"/>
  <c r="B198" i="1"/>
  <c r="Q197" i="1"/>
  <c r="P197" i="1"/>
  <c r="M197" i="1"/>
  <c r="L197" i="1"/>
  <c r="C197" i="1"/>
  <c r="B197" i="1"/>
  <c r="Q196" i="1"/>
  <c r="P196" i="1"/>
  <c r="M196" i="1"/>
  <c r="L196" i="1"/>
  <c r="C196" i="1"/>
  <c r="B196" i="1"/>
  <c r="Q195" i="1"/>
  <c r="P195" i="1"/>
  <c r="M195" i="1"/>
  <c r="L195" i="1"/>
  <c r="C195" i="1"/>
  <c r="B195" i="1"/>
  <c r="Q194" i="1"/>
  <c r="P194" i="1"/>
  <c r="M194" i="1"/>
  <c r="N194" i="1" s="1"/>
  <c r="L194" i="1"/>
  <c r="C194" i="1"/>
  <c r="B194" i="1"/>
  <c r="Q193" i="1"/>
  <c r="P193" i="1"/>
  <c r="M193" i="1"/>
  <c r="N193" i="1" s="1"/>
  <c r="L193" i="1"/>
  <c r="C193" i="1"/>
  <c r="B193" i="1"/>
  <c r="E98" i="2" s="1"/>
  <c r="Q192" i="1"/>
  <c r="P192" i="1"/>
  <c r="M192" i="1"/>
  <c r="N192" i="1" s="1"/>
  <c r="L192" i="1"/>
  <c r="C192" i="1"/>
  <c r="B192" i="1"/>
  <c r="Q191" i="1"/>
  <c r="P191" i="1"/>
  <c r="M191" i="1"/>
  <c r="L191" i="1"/>
  <c r="C191" i="1"/>
  <c r="B191" i="1"/>
  <c r="Q190" i="1"/>
  <c r="P190" i="1"/>
  <c r="M190" i="1"/>
  <c r="L190" i="1"/>
  <c r="C190" i="1"/>
  <c r="B190" i="1"/>
  <c r="Q189" i="1"/>
  <c r="P189" i="1"/>
  <c r="M189" i="1"/>
  <c r="L189" i="1"/>
  <c r="C189" i="1"/>
  <c r="B189" i="1"/>
  <c r="Q188" i="1"/>
  <c r="P188" i="1"/>
  <c r="M188" i="1"/>
  <c r="L188" i="1"/>
  <c r="C188" i="1"/>
  <c r="B188" i="1"/>
  <c r="Q187" i="1"/>
  <c r="P187" i="1"/>
  <c r="M187" i="1"/>
  <c r="L187" i="1"/>
  <c r="C187" i="1"/>
  <c r="B187" i="1"/>
  <c r="Q186" i="1"/>
  <c r="P186" i="1"/>
  <c r="M186" i="1"/>
  <c r="L186" i="1"/>
  <c r="C186" i="1"/>
  <c r="B186" i="1"/>
  <c r="Q185" i="1"/>
  <c r="P185" i="1"/>
  <c r="M185" i="1"/>
  <c r="N185" i="1" s="1"/>
  <c r="L185" i="1"/>
  <c r="C185" i="1"/>
  <c r="B185" i="1"/>
  <c r="Q184" i="1"/>
  <c r="P184" i="1"/>
  <c r="M184" i="1"/>
  <c r="L184" i="1"/>
  <c r="C184" i="1"/>
  <c r="B184" i="1"/>
  <c r="Q183" i="1"/>
  <c r="P183" i="1"/>
  <c r="M183" i="1"/>
  <c r="L183" i="1"/>
  <c r="C183" i="1"/>
  <c r="B183" i="1"/>
  <c r="Q182" i="1"/>
  <c r="P182" i="1"/>
  <c r="M182" i="1"/>
  <c r="L182" i="1"/>
  <c r="C182" i="1"/>
  <c r="B182" i="1"/>
  <c r="Q181" i="1"/>
  <c r="P181" i="1"/>
  <c r="M181" i="1"/>
  <c r="L181" i="1"/>
  <c r="C181" i="1"/>
  <c r="B181" i="1"/>
  <c r="Q180" i="1"/>
  <c r="P180" i="1"/>
  <c r="M180" i="1"/>
  <c r="L180" i="1"/>
  <c r="N180" i="1" s="1"/>
  <c r="C180" i="1"/>
  <c r="B180" i="1"/>
  <c r="Q179" i="1"/>
  <c r="P179" i="1"/>
  <c r="M179" i="1"/>
  <c r="L179" i="1"/>
  <c r="C179" i="1"/>
  <c r="B179" i="1"/>
  <c r="Q178" i="1"/>
  <c r="P178" i="1"/>
  <c r="M178" i="1"/>
  <c r="L178" i="1"/>
  <c r="C178" i="1"/>
  <c r="B178" i="1"/>
  <c r="Q177" i="1"/>
  <c r="P177" i="1"/>
  <c r="M177" i="1"/>
  <c r="L177" i="1"/>
  <c r="C177" i="1"/>
  <c r="B177" i="1"/>
  <c r="Q176" i="1"/>
  <c r="P176" i="1"/>
  <c r="M176" i="1"/>
  <c r="N176" i="1" s="1"/>
  <c r="L176" i="1"/>
  <c r="C176" i="1"/>
  <c r="B176" i="1"/>
  <c r="Q175" i="1"/>
  <c r="P175" i="1"/>
  <c r="M175" i="1"/>
  <c r="N175" i="1" s="1"/>
  <c r="L175" i="1"/>
  <c r="C175" i="1"/>
  <c r="B175" i="1"/>
  <c r="F153" i="2" s="1"/>
  <c r="G153" i="2" s="1"/>
  <c r="Q174" i="1"/>
  <c r="P174" i="1"/>
  <c r="M174" i="1"/>
  <c r="L174" i="1"/>
  <c r="C174" i="1"/>
  <c r="B174" i="1"/>
  <c r="Q173" i="1"/>
  <c r="P173" i="1"/>
  <c r="M173" i="1"/>
  <c r="L173" i="1"/>
  <c r="C173" i="1"/>
  <c r="B173" i="1"/>
  <c r="Q172" i="1"/>
  <c r="P172" i="1"/>
  <c r="M172" i="1"/>
  <c r="L172" i="1"/>
  <c r="C172" i="1"/>
  <c r="B172" i="1"/>
  <c r="Q171" i="1"/>
  <c r="P171" i="1"/>
  <c r="M171" i="1"/>
  <c r="L171" i="1"/>
  <c r="C171" i="1"/>
  <c r="B171" i="1"/>
  <c r="Q170" i="1"/>
  <c r="P170" i="1"/>
  <c r="M170" i="1"/>
  <c r="N170" i="1" s="1"/>
  <c r="L170" i="1"/>
  <c r="C170" i="1"/>
  <c r="B170" i="1"/>
  <c r="Q169" i="1"/>
  <c r="P169" i="1"/>
  <c r="M169" i="1"/>
  <c r="N169" i="1" s="1"/>
  <c r="L169" i="1"/>
  <c r="C169" i="1"/>
  <c r="B169" i="1"/>
  <c r="Q168" i="1"/>
  <c r="P168" i="1"/>
  <c r="M168" i="1"/>
  <c r="L168" i="1"/>
  <c r="C168" i="1"/>
  <c r="B168" i="1"/>
  <c r="F167" i="1"/>
  <c r="E167" i="1"/>
  <c r="L167" i="1" s="1"/>
  <c r="D167" i="1"/>
  <c r="Q167" i="1" s="1"/>
  <c r="C167" i="1"/>
  <c r="B167" i="1"/>
  <c r="Q166" i="1"/>
  <c r="P166" i="1"/>
  <c r="M166" i="1"/>
  <c r="L166" i="1"/>
  <c r="C166" i="1"/>
  <c r="B166" i="1"/>
  <c r="Q165" i="1"/>
  <c r="P165" i="1"/>
  <c r="C165" i="1"/>
  <c r="B165" i="1"/>
  <c r="Q164" i="1"/>
  <c r="P164" i="1"/>
  <c r="C164" i="1"/>
  <c r="B164" i="1"/>
  <c r="Q163" i="1"/>
  <c r="P163" i="1"/>
  <c r="C163" i="1"/>
  <c r="B163" i="1"/>
  <c r="Q162" i="1"/>
  <c r="P162" i="1"/>
  <c r="C162" i="1"/>
  <c r="B162" i="1"/>
  <c r="Q161" i="1"/>
  <c r="P161" i="1"/>
  <c r="C161" i="1"/>
  <c r="B161" i="1"/>
  <c r="Q160" i="1"/>
  <c r="P160" i="1"/>
  <c r="C160" i="1"/>
  <c r="B160" i="1"/>
  <c r="Q159" i="1"/>
  <c r="P159" i="1"/>
  <c r="C159" i="1"/>
  <c r="B159" i="1"/>
  <c r="Q158" i="1"/>
  <c r="P158" i="1"/>
  <c r="C158" i="1"/>
  <c r="B158" i="1"/>
  <c r="Q157" i="1"/>
  <c r="P157" i="1"/>
  <c r="C157" i="1"/>
  <c r="B157" i="1"/>
  <c r="Q156" i="1"/>
  <c r="P156" i="1"/>
  <c r="C156" i="1"/>
  <c r="B156" i="1"/>
  <c r="Q155" i="1"/>
  <c r="P155" i="1"/>
  <c r="C155" i="1"/>
  <c r="B155" i="1"/>
  <c r="Q154" i="1"/>
  <c r="P154" i="1"/>
  <c r="C154" i="1"/>
  <c r="B154" i="1"/>
  <c r="Q153" i="1"/>
  <c r="P153" i="1"/>
  <c r="C153" i="1"/>
  <c r="B153" i="1"/>
  <c r="Q152" i="1"/>
  <c r="P152" i="1"/>
  <c r="C152" i="1"/>
  <c r="B152" i="1"/>
  <c r="Q151" i="1"/>
  <c r="P151" i="1"/>
  <c r="C151" i="1"/>
  <c r="B151" i="1"/>
  <c r="Q150" i="1"/>
  <c r="P150" i="1"/>
  <c r="C150" i="1"/>
  <c r="B150" i="1"/>
  <c r="Q149" i="1"/>
  <c r="P149" i="1"/>
  <c r="C149" i="1"/>
  <c r="B149" i="1"/>
  <c r="Q148" i="1"/>
  <c r="P148" i="1"/>
  <c r="C148" i="1"/>
  <c r="B148" i="1"/>
  <c r="Q147" i="1"/>
  <c r="P147" i="1"/>
  <c r="C147" i="1"/>
  <c r="B147" i="1"/>
  <c r="Q146" i="1"/>
  <c r="P146" i="1"/>
  <c r="C146" i="1"/>
  <c r="B146" i="1"/>
  <c r="Q145" i="1"/>
  <c r="P145" i="1"/>
  <c r="C145" i="1"/>
  <c r="B145" i="1"/>
  <c r="Q144" i="1"/>
  <c r="P144" i="1"/>
  <c r="C144" i="1"/>
  <c r="B144" i="1"/>
  <c r="Q143" i="1"/>
  <c r="P143" i="1"/>
  <c r="I143" i="1"/>
  <c r="C143" i="1"/>
  <c r="B143" i="1"/>
  <c r="Q142" i="1"/>
  <c r="P142" i="1"/>
  <c r="C142" i="1"/>
  <c r="B142" i="1"/>
  <c r="Q141" i="1"/>
  <c r="P141" i="1"/>
  <c r="C141" i="1"/>
  <c r="B141" i="1"/>
  <c r="Q140" i="1"/>
  <c r="P140" i="1"/>
  <c r="C140" i="1"/>
  <c r="B140" i="1"/>
  <c r="Q139" i="1"/>
  <c r="P139" i="1"/>
  <c r="C139" i="1"/>
  <c r="B139" i="1"/>
  <c r="Q138" i="1"/>
  <c r="P138" i="1"/>
  <c r="C138" i="1"/>
  <c r="B138" i="1"/>
  <c r="Q137" i="1"/>
  <c r="P137" i="1"/>
  <c r="C137" i="1"/>
  <c r="B137" i="1"/>
  <c r="Q136" i="1"/>
  <c r="P136" i="1"/>
  <c r="C136" i="1"/>
  <c r="B136" i="1"/>
  <c r="Q135" i="1"/>
  <c r="P135" i="1"/>
  <c r="C135" i="1"/>
  <c r="B135" i="1"/>
  <c r="Q134" i="1"/>
  <c r="P134" i="1"/>
  <c r="C134" i="1"/>
  <c r="B134" i="1"/>
  <c r="Q133" i="1"/>
  <c r="P133" i="1"/>
  <c r="C133" i="1"/>
  <c r="B133" i="1"/>
  <c r="Q132" i="1"/>
  <c r="P132" i="1"/>
  <c r="C132" i="1"/>
  <c r="B132" i="1"/>
  <c r="Q131" i="1"/>
  <c r="P131" i="1"/>
  <c r="C131" i="1"/>
  <c r="B131" i="1"/>
  <c r="Q130" i="1"/>
  <c r="P130" i="1"/>
  <c r="I130" i="1"/>
  <c r="C130" i="1"/>
  <c r="B130" i="1"/>
  <c r="Q129" i="1"/>
  <c r="P129" i="1"/>
  <c r="C129" i="1"/>
  <c r="B129" i="1"/>
  <c r="Q128" i="1"/>
  <c r="P128" i="1"/>
  <c r="C128" i="1"/>
  <c r="B128" i="1"/>
  <c r="Q127" i="1"/>
  <c r="P127" i="1"/>
  <c r="C127" i="1"/>
  <c r="B127" i="1"/>
  <c r="Q126" i="1"/>
  <c r="P126" i="1"/>
  <c r="C126" i="1"/>
  <c r="B126" i="1"/>
  <c r="Q125" i="1"/>
  <c r="P125" i="1"/>
  <c r="C125" i="1"/>
  <c r="B125" i="1"/>
  <c r="Q124" i="1"/>
  <c r="P124" i="1"/>
  <c r="C124" i="1"/>
  <c r="B124" i="1"/>
  <c r="Q123" i="1"/>
  <c r="P123" i="1"/>
  <c r="C123" i="1"/>
  <c r="B123" i="1"/>
  <c r="Q122" i="1"/>
  <c r="P122" i="1"/>
  <c r="C122" i="1"/>
  <c r="B122" i="1"/>
  <c r="Q121" i="1"/>
  <c r="P121" i="1"/>
  <c r="C121" i="1"/>
  <c r="B121" i="1"/>
  <c r="Q120" i="1"/>
  <c r="P120" i="1"/>
  <c r="C120" i="1"/>
  <c r="B120" i="1"/>
  <c r="Q119" i="1"/>
  <c r="P119" i="1"/>
  <c r="C119" i="1"/>
  <c r="B119" i="1"/>
  <c r="Q118" i="1"/>
  <c r="P118" i="1"/>
  <c r="C118" i="1"/>
  <c r="B118" i="1"/>
  <c r="Q117" i="1"/>
  <c r="P117" i="1"/>
  <c r="C117" i="1"/>
  <c r="B117" i="1"/>
  <c r="Q116" i="1"/>
  <c r="P116" i="1"/>
  <c r="C116" i="1"/>
  <c r="B116" i="1"/>
  <c r="Q115" i="1"/>
  <c r="P115" i="1"/>
  <c r="C115" i="1"/>
  <c r="B115" i="1"/>
  <c r="Q114" i="1"/>
  <c r="P114" i="1"/>
  <c r="C114" i="1"/>
  <c r="B114" i="1"/>
  <c r="Q113" i="1"/>
  <c r="P113" i="1"/>
  <c r="C113" i="1"/>
  <c r="B113" i="1"/>
  <c r="Q112" i="1"/>
  <c r="P112" i="1"/>
  <c r="C112" i="1"/>
  <c r="B112" i="1"/>
  <c r="Q111" i="1"/>
  <c r="P111" i="1"/>
  <c r="C111" i="1"/>
  <c r="B111" i="1"/>
  <c r="Q110" i="1"/>
  <c r="P110" i="1"/>
  <c r="C110" i="1"/>
  <c r="B110" i="1"/>
  <c r="Q109" i="1"/>
  <c r="P109" i="1"/>
  <c r="C109" i="1"/>
  <c r="B109" i="1"/>
  <c r="Q108" i="1"/>
  <c r="P108" i="1"/>
  <c r="I108" i="1"/>
  <c r="C108" i="1"/>
  <c r="B108" i="1"/>
  <c r="Q107" i="1"/>
  <c r="P107" i="1"/>
  <c r="C107" i="1"/>
  <c r="B107" i="1"/>
  <c r="Q106" i="1"/>
  <c r="P106" i="1"/>
  <c r="C106" i="1"/>
  <c r="B106" i="1"/>
  <c r="Q105" i="1"/>
  <c r="P105" i="1"/>
  <c r="C105" i="1"/>
  <c r="B105" i="1"/>
  <c r="Q104" i="1"/>
  <c r="P104" i="1"/>
  <c r="I104" i="1"/>
  <c r="C104" i="1"/>
  <c r="B104" i="1"/>
  <c r="Q103" i="1"/>
  <c r="P103" i="1"/>
  <c r="C103" i="1"/>
  <c r="B103" i="1"/>
  <c r="Q102" i="1"/>
  <c r="P102" i="1"/>
  <c r="C102" i="1"/>
  <c r="B102" i="1"/>
  <c r="Q101" i="1"/>
  <c r="P101" i="1"/>
  <c r="C101" i="1"/>
  <c r="B101" i="1"/>
  <c r="Q100" i="1"/>
  <c r="P100" i="1"/>
  <c r="C100" i="1"/>
  <c r="B100" i="1"/>
  <c r="Q99" i="1"/>
  <c r="P99" i="1"/>
  <c r="C99" i="1"/>
  <c r="B99" i="1"/>
  <c r="Q98" i="1"/>
  <c r="P98" i="1"/>
  <c r="C98" i="1"/>
  <c r="B98" i="1"/>
  <c r="Q97" i="1"/>
  <c r="P97" i="1"/>
  <c r="C97" i="1"/>
  <c r="B97" i="1"/>
  <c r="Q96" i="1"/>
  <c r="P96" i="1"/>
  <c r="C96" i="1"/>
  <c r="B96" i="1"/>
  <c r="Q95" i="1"/>
  <c r="P95" i="1"/>
  <c r="C95" i="1"/>
  <c r="B95" i="1"/>
  <c r="Q94" i="1"/>
  <c r="P94" i="1"/>
  <c r="I94" i="1"/>
  <c r="C94" i="1"/>
  <c r="B94" i="1"/>
  <c r="Q93" i="1"/>
  <c r="P93" i="1"/>
  <c r="C93" i="1"/>
  <c r="B93" i="1"/>
  <c r="Q92" i="1"/>
  <c r="P92" i="1"/>
  <c r="C92" i="1"/>
  <c r="B92" i="1"/>
  <c r="I91" i="1"/>
  <c r="D91" i="1"/>
  <c r="P91" i="1" s="1"/>
  <c r="C91" i="1"/>
  <c r="B91" i="1"/>
  <c r="Q90" i="1"/>
  <c r="P90" i="1"/>
  <c r="C90" i="1"/>
  <c r="B90" i="1"/>
  <c r="Q89" i="1"/>
  <c r="P89" i="1"/>
  <c r="C89" i="1"/>
  <c r="B89" i="1"/>
  <c r="Q88" i="1"/>
  <c r="P88" i="1"/>
  <c r="C88" i="1"/>
  <c r="B88" i="1"/>
  <c r="Q87" i="1"/>
  <c r="P87" i="1"/>
  <c r="C87" i="1"/>
  <c r="B87" i="1"/>
  <c r="Q86" i="1"/>
  <c r="P86" i="1"/>
  <c r="C86" i="1"/>
  <c r="B86" i="1"/>
  <c r="Q85" i="1"/>
  <c r="P85" i="1"/>
  <c r="C85" i="1"/>
  <c r="B85" i="1"/>
  <c r="Q84" i="1"/>
  <c r="P84" i="1"/>
  <c r="C84" i="1"/>
  <c r="B84" i="1"/>
  <c r="Q83" i="1"/>
  <c r="P83" i="1"/>
  <c r="C83" i="1"/>
  <c r="B83" i="1"/>
  <c r="Q82" i="1"/>
  <c r="P82" i="1"/>
  <c r="C82" i="1"/>
  <c r="B82" i="1"/>
  <c r="D81" i="1"/>
  <c r="P81" i="1" s="1"/>
  <c r="C81" i="1"/>
  <c r="B81" i="1"/>
  <c r="Q80" i="1"/>
  <c r="P80" i="1"/>
  <c r="C80" i="1"/>
  <c r="B80" i="1"/>
  <c r="Q79" i="1"/>
  <c r="P79" i="1"/>
  <c r="C79" i="1"/>
  <c r="B79" i="1"/>
  <c r="Q78" i="1"/>
  <c r="P78" i="1"/>
  <c r="C78" i="1"/>
  <c r="B78" i="1"/>
  <c r="Q77" i="1"/>
  <c r="P77" i="1"/>
  <c r="C77" i="1"/>
  <c r="B77" i="1"/>
  <c r="Q76" i="1"/>
  <c r="P76" i="1"/>
  <c r="C76" i="1"/>
  <c r="B76" i="1"/>
  <c r="Q75" i="1"/>
  <c r="P75" i="1"/>
  <c r="C75" i="1"/>
  <c r="B75" i="1"/>
  <c r="Q74" i="1"/>
  <c r="P74" i="1"/>
  <c r="C74" i="1"/>
  <c r="B74" i="1"/>
  <c r="Q73" i="1"/>
  <c r="P73" i="1"/>
  <c r="C73" i="1"/>
  <c r="B73" i="1"/>
  <c r="Q72" i="1"/>
  <c r="P72" i="1"/>
  <c r="C72" i="1"/>
  <c r="B72" i="1"/>
  <c r="Q71" i="1"/>
  <c r="P71" i="1"/>
  <c r="C71" i="1"/>
  <c r="B71" i="1"/>
  <c r="Q70" i="1"/>
  <c r="P70" i="1"/>
  <c r="C70" i="1"/>
  <c r="B70" i="1"/>
  <c r="Q69" i="1"/>
  <c r="P69" i="1"/>
  <c r="C69" i="1"/>
  <c r="B69" i="1"/>
  <c r="Q68" i="1"/>
  <c r="P68" i="1"/>
  <c r="C68" i="1"/>
  <c r="B68" i="1"/>
  <c r="Q67" i="1"/>
  <c r="P67" i="1"/>
  <c r="C67" i="1"/>
  <c r="B67" i="1"/>
  <c r="Q66" i="1"/>
  <c r="P66" i="1"/>
  <c r="C66" i="1"/>
  <c r="B66" i="1"/>
  <c r="Q65" i="1"/>
  <c r="P65" i="1"/>
  <c r="C65" i="1"/>
  <c r="B65" i="1"/>
  <c r="Q64" i="1"/>
  <c r="P64" i="1"/>
  <c r="C64" i="1"/>
  <c r="B64" i="1"/>
  <c r="Q63" i="1"/>
  <c r="P63" i="1"/>
  <c r="C63" i="1"/>
  <c r="B63" i="1"/>
  <c r="Q62" i="1"/>
  <c r="P62" i="1"/>
  <c r="C62" i="1"/>
  <c r="B62" i="1"/>
  <c r="Q61" i="1"/>
  <c r="P61" i="1"/>
  <c r="C61" i="1"/>
  <c r="B61" i="1"/>
  <c r="Q60" i="1"/>
  <c r="P60" i="1"/>
  <c r="C60" i="1"/>
  <c r="B60" i="1"/>
  <c r="Q59" i="1"/>
  <c r="P59" i="1"/>
  <c r="C59" i="1"/>
  <c r="B59" i="1"/>
  <c r="Q58" i="1"/>
  <c r="P58" i="1"/>
  <c r="C58" i="1"/>
  <c r="B58" i="1"/>
  <c r="Q57" i="1"/>
  <c r="P57" i="1"/>
  <c r="C57" i="1"/>
  <c r="B57" i="1"/>
  <c r="Q56" i="1"/>
  <c r="P56" i="1"/>
  <c r="C56" i="1"/>
  <c r="B56" i="1"/>
  <c r="Q55" i="1"/>
  <c r="P55" i="1"/>
  <c r="C55" i="1"/>
  <c r="B55" i="1"/>
  <c r="Q54" i="1"/>
  <c r="P54" i="1"/>
  <c r="C54" i="1"/>
  <c r="B54" i="1"/>
  <c r="Q53" i="1"/>
  <c r="P53" i="1"/>
  <c r="C53" i="1"/>
  <c r="B53" i="1"/>
  <c r="Q52" i="1"/>
  <c r="P52" i="1"/>
  <c r="C52" i="1"/>
  <c r="B52" i="1"/>
  <c r="Q51" i="1"/>
  <c r="P51" i="1"/>
  <c r="C51" i="1"/>
  <c r="B51" i="1"/>
  <c r="Q50" i="1"/>
  <c r="P50" i="1"/>
  <c r="C50" i="1"/>
  <c r="B50" i="1"/>
  <c r="Q49" i="1"/>
  <c r="P49" i="1"/>
  <c r="C49" i="1"/>
  <c r="B49" i="1"/>
  <c r="Q48" i="1"/>
  <c r="P48" i="1"/>
  <c r="C48" i="1"/>
  <c r="B48" i="1"/>
  <c r="Q47" i="1"/>
  <c r="P47" i="1"/>
  <c r="C47" i="1"/>
  <c r="B47" i="1"/>
  <c r="Q46" i="1"/>
  <c r="P46" i="1"/>
  <c r="C46" i="1"/>
  <c r="B46" i="1"/>
  <c r="Q45" i="1"/>
  <c r="P45" i="1"/>
  <c r="C45" i="1"/>
  <c r="B45" i="1"/>
  <c r="Q44" i="1"/>
  <c r="P44" i="1"/>
  <c r="C44" i="1"/>
  <c r="B44" i="1"/>
  <c r="Q43" i="1"/>
  <c r="P43" i="1"/>
  <c r="C43" i="1"/>
  <c r="B43" i="1"/>
  <c r="Q42" i="1"/>
  <c r="P42" i="1"/>
  <c r="C42" i="1"/>
  <c r="B42" i="1"/>
  <c r="Q41" i="1"/>
  <c r="D41" i="1"/>
  <c r="P41" i="1" s="1"/>
  <c r="C41" i="1"/>
  <c r="B41" i="1"/>
  <c r="Q40" i="1"/>
  <c r="P40" i="1"/>
  <c r="C40" i="1"/>
  <c r="B40" i="1"/>
  <c r="Q39" i="1"/>
  <c r="P39" i="1"/>
  <c r="C39" i="1"/>
  <c r="B39" i="1"/>
  <c r="Q38" i="1"/>
  <c r="P38" i="1"/>
  <c r="C38" i="1"/>
  <c r="B38" i="1"/>
  <c r="Q37" i="1"/>
  <c r="P37" i="1"/>
  <c r="C37" i="1"/>
  <c r="B37" i="1"/>
  <c r="Q36" i="1"/>
  <c r="P36" i="1"/>
  <c r="C36" i="1"/>
  <c r="B36" i="1"/>
  <c r="Q35" i="1"/>
  <c r="P35" i="1"/>
  <c r="C35" i="1"/>
  <c r="B35" i="1"/>
  <c r="Q34" i="1"/>
  <c r="P34" i="1"/>
  <c r="C34" i="1"/>
  <c r="B34" i="1"/>
  <c r="Q33" i="1"/>
  <c r="P33" i="1"/>
  <c r="C33" i="1"/>
  <c r="B33" i="1"/>
  <c r="Q32" i="1"/>
  <c r="P32" i="1"/>
  <c r="C32" i="1"/>
  <c r="B32" i="1"/>
  <c r="Q31" i="1"/>
  <c r="P31" i="1"/>
  <c r="C31" i="1"/>
  <c r="B31" i="1"/>
  <c r="Q30" i="1"/>
  <c r="P30" i="1"/>
  <c r="C30" i="1"/>
  <c r="B30" i="1"/>
  <c r="Q29" i="1"/>
  <c r="P29" i="1"/>
  <c r="C29" i="1"/>
  <c r="B29" i="1"/>
  <c r="Q28" i="1"/>
  <c r="P28" i="1"/>
  <c r="C28" i="1"/>
  <c r="B28" i="1"/>
  <c r="Q27" i="1"/>
  <c r="P27" i="1"/>
  <c r="C27" i="1"/>
  <c r="B27" i="1"/>
  <c r="Q26" i="1"/>
  <c r="P26" i="1"/>
  <c r="C26" i="1"/>
  <c r="B26" i="1"/>
  <c r="Q25" i="1"/>
  <c r="P25" i="1"/>
  <c r="C25" i="1"/>
  <c r="B25" i="1"/>
  <c r="Q24" i="1"/>
  <c r="P24" i="1"/>
  <c r="C24" i="1"/>
  <c r="B24" i="1"/>
  <c r="Q23" i="1"/>
  <c r="P23" i="1"/>
  <c r="C23" i="1"/>
  <c r="B23" i="1"/>
  <c r="Q22" i="1"/>
  <c r="P22" i="1"/>
  <c r="C22" i="1"/>
  <c r="B22" i="1"/>
  <c r="Q21" i="1"/>
  <c r="P21" i="1"/>
  <c r="C21" i="1"/>
  <c r="B21" i="1"/>
  <c r="Q20" i="1"/>
  <c r="P20" i="1"/>
  <c r="C20" i="1"/>
  <c r="B20" i="1"/>
  <c r="P19" i="1"/>
  <c r="C19" i="1"/>
  <c r="B19" i="1"/>
  <c r="P18" i="1"/>
  <c r="C18" i="1"/>
  <c r="B18" i="1"/>
  <c r="P17" i="1"/>
  <c r="C17" i="1"/>
  <c r="B17" i="1"/>
  <c r="P16" i="1"/>
  <c r="C16" i="1"/>
  <c r="B16" i="1"/>
  <c r="P15" i="1"/>
  <c r="C15" i="1"/>
  <c r="B15" i="1"/>
  <c r="P14" i="1"/>
  <c r="C14" i="1"/>
  <c r="B14" i="1"/>
  <c r="P13" i="1"/>
  <c r="C13" i="1"/>
  <c r="B13" i="1"/>
  <c r="P12" i="1"/>
  <c r="C12" i="1"/>
  <c r="B12" i="1"/>
  <c r="P11" i="1"/>
  <c r="C11" i="1"/>
  <c r="B11" i="1"/>
  <c r="P10" i="1"/>
  <c r="C10" i="1"/>
  <c r="B10" i="1"/>
  <c r="P9" i="1"/>
  <c r="C9" i="1"/>
  <c r="B9" i="1"/>
  <c r="P8" i="1"/>
  <c r="C8" i="1"/>
  <c r="B8" i="1"/>
  <c r="D132" i="2" s="1"/>
  <c r="P7" i="1"/>
  <c r="C7" i="1"/>
  <c r="B7" i="1"/>
  <c r="P6" i="1"/>
  <c r="C6" i="1"/>
  <c r="B6" i="1"/>
  <c r="P5" i="1"/>
  <c r="C5" i="1"/>
  <c r="B5" i="1"/>
  <c r="P4" i="1"/>
  <c r="C4" i="1"/>
  <c r="B4" i="1"/>
  <c r="E43" i="2" s="1"/>
  <c r="P3" i="1"/>
  <c r="C3" i="1"/>
  <c r="B3" i="1"/>
  <c r="P2" i="1"/>
  <c r="C2" i="1"/>
  <c r="B2" i="1"/>
  <c r="E165" i="2" l="1"/>
  <c r="F159" i="2"/>
  <c r="G159" i="2" s="1"/>
  <c r="N207" i="1"/>
  <c r="D98" i="2"/>
  <c r="N474" i="1"/>
  <c r="N526" i="1"/>
  <c r="F84" i="2"/>
  <c r="G84" i="2" s="1"/>
  <c r="D160" i="2"/>
  <c r="N233" i="1"/>
  <c r="E92" i="2"/>
  <c r="D92" i="2"/>
  <c r="N452" i="1"/>
  <c r="F54" i="2"/>
  <c r="G54" i="2" s="1"/>
  <c r="F107" i="2"/>
  <c r="G107" i="2" s="1"/>
  <c r="E107" i="2"/>
  <c r="N186" i="1"/>
  <c r="N464" i="1"/>
  <c r="D154" i="2"/>
  <c r="F31" i="2"/>
  <c r="G31" i="2" s="1"/>
  <c r="F170" i="2"/>
  <c r="G170" i="2" s="1"/>
  <c r="N380" i="1"/>
  <c r="E70" i="2"/>
  <c r="F87" i="2"/>
  <c r="G87" i="2" s="1"/>
  <c r="E87" i="2"/>
  <c r="D87" i="2"/>
  <c r="F117" i="2"/>
  <c r="G117" i="2" s="1"/>
  <c r="N344" i="1"/>
  <c r="F6" i="2"/>
  <c r="G6" i="2" s="1"/>
  <c r="F16" i="2"/>
  <c r="G16" i="2" s="1"/>
  <c r="F49" i="2"/>
  <c r="G49" i="2" s="1"/>
  <c r="D65" i="2"/>
  <c r="D80" i="2"/>
  <c r="D88" i="2"/>
  <c r="E95" i="2"/>
  <c r="F102" i="2"/>
  <c r="G102" i="2" s="1"/>
  <c r="F118" i="2"/>
  <c r="G118" i="2" s="1"/>
  <c r="E118" i="2"/>
  <c r="D118" i="2"/>
  <c r="E149" i="2"/>
  <c r="D164" i="2"/>
  <c r="E143" i="2"/>
  <c r="F136" i="2"/>
  <c r="G136" i="2" s="1"/>
  <c r="N196" i="1"/>
  <c r="F10" i="2"/>
  <c r="G10" i="2" s="1"/>
  <c r="D44" i="2"/>
  <c r="D91" i="2"/>
  <c r="E91" i="2"/>
  <c r="N455" i="1"/>
  <c r="F76" i="2"/>
  <c r="G76" i="2" s="1"/>
  <c r="E106" i="2"/>
  <c r="N485" i="1"/>
  <c r="D54" i="2"/>
  <c r="D76" i="2"/>
  <c r="F106" i="2"/>
  <c r="G106" i="2" s="1"/>
  <c r="N430" i="1"/>
  <c r="N493" i="1"/>
  <c r="E138" i="2"/>
  <c r="N434" i="1"/>
  <c r="N445" i="1"/>
  <c r="E161" i="2"/>
  <c r="D161" i="2"/>
  <c r="F161" i="2"/>
  <c r="G161" i="2" s="1"/>
  <c r="F131" i="2"/>
  <c r="G131" i="2" s="1"/>
  <c r="N394" i="1"/>
  <c r="E169" i="2"/>
  <c r="N438" i="1"/>
  <c r="F64" i="2"/>
  <c r="G64" i="2" s="1"/>
  <c r="F171" i="2"/>
  <c r="G171" i="2" s="1"/>
  <c r="N413" i="1"/>
  <c r="F48" i="2"/>
  <c r="G48" i="2" s="1"/>
  <c r="N337" i="1"/>
  <c r="N281" i="1"/>
  <c r="N417" i="1"/>
  <c r="F58" i="2"/>
  <c r="G58" i="2" s="1"/>
  <c r="E65" i="2"/>
  <c r="E80" i="2"/>
  <c r="F95" i="2"/>
  <c r="G95" i="2" s="1"/>
  <c r="E111" i="2"/>
  <c r="D111" i="2"/>
  <c r="F111" i="2"/>
  <c r="G111" i="2" s="1"/>
  <c r="D133" i="2"/>
  <c r="E133" i="2"/>
  <c r="F133" i="2"/>
  <c r="G133" i="2" s="1"/>
  <c r="F149" i="2"/>
  <c r="G149" i="2" s="1"/>
  <c r="E164" i="2"/>
  <c r="D172" i="2"/>
  <c r="D74" i="2"/>
  <c r="N261" i="1"/>
  <c r="F59" i="2"/>
  <c r="G59" i="2" s="1"/>
  <c r="F128" i="2"/>
  <c r="G128" i="2" s="1"/>
  <c r="F29" i="2"/>
  <c r="G29" i="2" s="1"/>
  <c r="N467" i="1"/>
  <c r="F99" i="2"/>
  <c r="G99" i="2" s="1"/>
  <c r="N265" i="1"/>
  <c r="D129" i="2"/>
  <c r="E69" i="2"/>
  <c r="N441" i="1"/>
  <c r="F12" i="2"/>
  <c r="G12" i="2" s="1"/>
  <c r="N482" i="1"/>
  <c r="N534" i="1"/>
  <c r="F55" i="2"/>
  <c r="G55" i="2" s="1"/>
  <c r="E55" i="2"/>
  <c r="D55" i="2"/>
  <c r="D107" i="2"/>
  <c r="D40" i="2"/>
  <c r="D70" i="2"/>
  <c r="D117" i="2"/>
  <c r="E132" i="2"/>
  <c r="F110" i="2"/>
  <c r="G110" i="2" s="1"/>
  <c r="N362" i="1"/>
  <c r="F25" i="2"/>
  <c r="G25" i="2" s="1"/>
  <c r="F34" i="2"/>
  <c r="G34" i="2" s="1"/>
  <c r="E127" i="2"/>
  <c r="F157" i="2"/>
  <c r="G157" i="2" s="1"/>
  <c r="F164" i="2"/>
  <c r="G164" i="2" s="1"/>
  <c r="D128" i="2"/>
  <c r="F75" i="2"/>
  <c r="G75" i="2" s="1"/>
  <c r="D69" i="2"/>
  <c r="N504" i="1"/>
  <c r="N537" i="1"/>
  <c r="F61" i="2"/>
  <c r="G61" i="2" s="1"/>
  <c r="F69" i="2"/>
  <c r="G69" i="2" s="1"/>
  <c r="F146" i="2"/>
  <c r="G146" i="2" s="1"/>
  <c r="E146" i="2"/>
  <c r="D146" i="2"/>
  <c r="N516" i="1"/>
  <c r="F13" i="2"/>
  <c r="G13" i="2" s="1"/>
  <c r="F139" i="2"/>
  <c r="G139" i="2" s="1"/>
  <c r="E139" i="2"/>
  <c r="N427" i="1"/>
  <c r="F148" i="2"/>
  <c r="G148" i="2" s="1"/>
  <c r="N420" i="1"/>
  <c r="E48" i="2"/>
  <c r="D102" i="2"/>
  <c r="F132" i="2"/>
  <c r="G132" i="2" s="1"/>
  <c r="N253" i="1"/>
  <c r="D43" i="2"/>
  <c r="F73" i="2"/>
  <c r="G73" i="2" s="1"/>
  <c r="E96" i="2"/>
  <c r="F96" i="2"/>
  <c r="G96" i="2" s="1"/>
  <c r="D103" i="2"/>
  <c r="E112" i="2"/>
  <c r="F127" i="2"/>
  <c r="G127" i="2" s="1"/>
  <c r="E134" i="2"/>
  <c r="F142" i="2"/>
  <c r="G142" i="2" s="1"/>
  <c r="E150" i="2"/>
  <c r="D150" i="2"/>
  <c r="F121" i="2"/>
  <c r="G121" i="2" s="1"/>
  <c r="F37" i="2"/>
  <c r="G37" i="2" s="1"/>
  <c r="E44" i="2"/>
  <c r="F168" i="2"/>
  <c r="G168" i="2" s="1"/>
  <c r="E76" i="2"/>
  <c r="D62" i="2"/>
  <c r="E101" i="2"/>
  <c r="E124" i="2"/>
  <c r="D124" i="2"/>
  <c r="F147" i="2"/>
  <c r="G147" i="2" s="1"/>
  <c r="N475" i="1"/>
  <c r="E154" i="2"/>
  <c r="F125" i="2"/>
  <c r="G125" i="2" s="1"/>
  <c r="N358" i="1"/>
  <c r="F109" i="2"/>
  <c r="G109" i="2" s="1"/>
  <c r="E109" i="2"/>
  <c r="D109" i="2"/>
  <c r="N274" i="1"/>
  <c r="N285" i="1"/>
  <c r="N334" i="1"/>
  <c r="N341" i="1"/>
  <c r="F26" i="2"/>
  <c r="G26" i="2" s="1"/>
  <c r="E51" i="2"/>
  <c r="F51" i="2"/>
  <c r="G51" i="2" s="1"/>
  <c r="D51" i="2"/>
  <c r="D66" i="2"/>
  <c r="F81" i="2"/>
  <c r="G81" i="2" s="1"/>
  <c r="E81" i="2"/>
  <c r="F165" i="2"/>
  <c r="G165" i="2" s="1"/>
  <c r="D135" i="2"/>
  <c r="F36" i="2"/>
  <c r="G36" i="2" s="1"/>
  <c r="F143" i="2"/>
  <c r="G143" i="2" s="1"/>
  <c r="N275" i="1"/>
  <c r="F60" i="2"/>
  <c r="G60" i="2" s="1"/>
  <c r="D114" i="2"/>
  <c r="E114" i="2"/>
  <c r="F114" i="2"/>
  <c r="G114" i="2" s="1"/>
  <c r="D144" i="2"/>
  <c r="E144" i="2"/>
  <c r="F144" i="2"/>
  <c r="G144" i="2" s="1"/>
  <c r="F38" i="2"/>
  <c r="G38" i="2" s="1"/>
  <c r="E123" i="2"/>
  <c r="E160" i="2"/>
  <c r="N508" i="1"/>
  <c r="N523" i="1"/>
  <c r="F85" i="2"/>
  <c r="G85" i="2" s="1"/>
  <c r="E85" i="2"/>
  <c r="F138" i="2"/>
  <c r="G138" i="2" s="1"/>
  <c r="N501" i="1"/>
  <c r="N468" i="1"/>
  <c r="F86" i="2"/>
  <c r="G86" i="2" s="1"/>
  <c r="N369" i="1"/>
  <c r="D95" i="2"/>
  <c r="N235" i="1"/>
  <c r="F135" i="2"/>
  <c r="G135" i="2" s="1"/>
  <c r="E103" i="2"/>
  <c r="F103" i="2"/>
  <c r="G103" i="2" s="1"/>
  <c r="E135" i="2"/>
  <c r="F167" i="2"/>
  <c r="G167" i="2" s="1"/>
  <c r="F66" i="2"/>
  <c r="G66" i="2" s="1"/>
  <c r="E83" i="2"/>
  <c r="F72" i="2"/>
  <c r="G72" i="2" s="1"/>
  <c r="E72" i="2"/>
  <c r="F83" i="2"/>
  <c r="G83" i="2" s="1"/>
  <c r="F40" i="2"/>
  <c r="G40" i="2" s="1"/>
  <c r="F98" i="2"/>
  <c r="G98" i="2" s="1"/>
  <c r="E40" i="2"/>
  <c r="E171" i="2"/>
  <c r="F50" i="2"/>
  <c r="G50" i="2" s="1"/>
  <c r="D171" i="2"/>
  <c r="F160" i="2"/>
  <c r="G160" i="2" s="1"/>
  <c r="E50" i="2"/>
  <c r="N228" i="1"/>
  <c r="N250" i="1"/>
  <c r="N257" i="1"/>
  <c r="N271" i="1"/>
  <c r="N278" i="1"/>
  <c r="N306" i="1"/>
  <c r="N320" i="1"/>
  <c r="N352" i="1"/>
  <c r="N403" i="1"/>
  <c r="N414" i="1"/>
  <c r="F8" i="2"/>
  <c r="G8" i="2" s="1"/>
  <c r="F43" i="2"/>
  <c r="G43" i="2" s="1"/>
  <c r="D96" i="2"/>
  <c r="D120" i="2"/>
  <c r="F150" i="2"/>
  <c r="G150" i="2" s="1"/>
  <c r="F19" i="2"/>
  <c r="G19" i="2" s="1"/>
  <c r="N225" i="1"/>
  <c r="F28" i="2"/>
  <c r="G28" i="2" s="1"/>
  <c r="N533" i="1"/>
  <c r="E122" i="2"/>
  <c r="F122" i="2"/>
  <c r="G122" i="2" s="1"/>
  <c r="D122" i="2"/>
  <c r="E153" i="2"/>
  <c r="N222" i="1"/>
  <c r="N478" i="1"/>
  <c r="F169" i="2"/>
  <c r="G169" i="2" s="1"/>
  <c r="N208" i="1"/>
  <c r="N460" i="1"/>
  <c r="F47" i="2"/>
  <c r="G47" i="2" s="1"/>
  <c r="F77" i="2"/>
  <c r="G77" i="2" s="1"/>
  <c r="E77" i="2"/>
  <c r="D77" i="2"/>
  <c r="F92" i="2"/>
  <c r="G92" i="2" s="1"/>
  <c r="N412" i="1"/>
  <c r="D85" i="2"/>
  <c r="N168" i="1"/>
  <c r="N456" i="1"/>
  <c r="F14" i="2"/>
  <c r="G14" i="2" s="1"/>
  <c r="F32" i="2"/>
  <c r="G32" i="2" s="1"/>
  <c r="F140" i="2"/>
  <c r="G140" i="2" s="1"/>
  <c r="E140" i="2"/>
  <c r="D140" i="2"/>
  <c r="F18" i="2"/>
  <c r="G18" i="2" s="1"/>
  <c r="E66" i="2"/>
  <c r="D81" i="2"/>
  <c r="F97" i="2"/>
  <c r="G97" i="2" s="1"/>
  <c r="F113" i="2"/>
  <c r="G113" i="2" s="1"/>
  <c r="E113" i="2"/>
  <c r="E121" i="2"/>
  <c r="D151" i="2"/>
  <c r="D158" i="2"/>
  <c r="D165" i="2"/>
  <c r="N431" i="1"/>
  <c r="N449" i="1"/>
  <c r="N486" i="1"/>
  <c r="N490" i="1"/>
  <c r="N505" i="1"/>
  <c r="F4" i="2"/>
  <c r="G4" i="2" s="1"/>
  <c r="F71" i="2"/>
  <c r="G71" i="2" s="1"/>
  <c r="F108" i="2"/>
  <c r="G108" i="2" s="1"/>
  <c r="E145" i="2"/>
  <c r="F155" i="2"/>
  <c r="G155" i="2" s="1"/>
  <c r="E155" i="2"/>
  <c r="D155" i="2"/>
  <c r="N171" i="1"/>
  <c r="N189" i="1"/>
  <c r="N200" i="1"/>
  <c r="N218" i="1"/>
  <c r="N254" i="1"/>
  <c r="N268" i="1"/>
  <c r="N282" i="1"/>
  <c r="N289" i="1"/>
  <c r="N296" i="1"/>
  <c r="N479" i="1"/>
  <c r="F129" i="2"/>
  <c r="G129" i="2" s="1"/>
  <c r="E129" i="2"/>
  <c r="N182" i="1"/>
  <c r="N211" i="1"/>
  <c r="N229" i="1"/>
  <c r="N243" i="1"/>
  <c r="N410" i="1"/>
  <c r="N424" i="1"/>
  <c r="N435" i="1"/>
  <c r="N442" i="1"/>
  <c r="N494" i="1"/>
  <c r="F5" i="2"/>
  <c r="G5" i="2" s="1"/>
  <c r="E45" i="2"/>
  <c r="D45" i="2"/>
  <c r="F45" i="2"/>
  <c r="G45" i="2" s="1"/>
  <c r="E61" i="2"/>
  <c r="F82" i="2"/>
  <c r="G82" i="2" s="1"/>
  <c r="F156" i="2"/>
  <c r="F166" i="2"/>
  <c r="G166" i="2" s="1"/>
  <c r="E56" i="2"/>
  <c r="F56" i="2"/>
  <c r="G56" i="2" s="1"/>
  <c r="D56" i="2"/>
  <c r="N407" i="1"/>
  <c r="N421" i="1"/>
  <c r="N432" i="1"/>
  <c r="F141" i="2"/>
  <c r="G141" i="2" s="1"/>
  <c r="E88" i="2"/>
  <c r="E120" i="2"/>
  <c r="D125" i="2"/>
  <c r="E172" i="2"/>
  <c r="D149" i="2"/>
  <c r="F145" i="2"/>
  <c r="G145" i="2" s="1"/>
  <c r="D138" i="2"/>
  <c r="F134" i="2"/>
  <c r="G134" i="2" s="1"/>
  <c r="D127" i="2"/>
  <c r="F123" i="2"/>
  <c r="G123" i="2" s="1"/>
  <c r="D116" i="2"/>
  <c r="F112" i="2"/>
  <c r="G112" i="2" s="1"/>
  <c r="D105" i="2"/>
  <c r="F101" i="2"/>
  <c r="G101" i="2" s="1"/>
  <c r="D94" i="2"/>
  <c r="F90" i="2"/>
  <c r="G90" i="2" s="1"/>
  <c r="D83" i="2"/>
  <c r="F79" i="2"/>
  <c r="G79" i="2" s="1"/>
  <c r="D72" i="2"/>
  <c r="F68" i="2"/>
  <c r="G68" i="2" s="1"/>
  <c r="D61" i="2"/>
  <c r="F57" i="2"/>
  <c r="G57" i="2" s="1"/>
  <c r="D50" i="2"/>
  <c r="F46" i="2"/>
  <c r="G46" i="2" s="1"/>
  <c r="F33" i="2"/>
  <c r="G33" i="2" s="1"/>
  <c r="F22" i="2"/>
  <c r="G22" i="2" s="1"/>
  <c r="F11" i="2"/>
  <c r="G11" i="2" s="1"/>
  <c r="N183" i="1"/>
  <c r="N212" i="1"/>
  <c r="N230" i="1"/>
  <c r="N350" i="1"/>
  <c r="N375" i="1"/>
  <c r="N400" i="1"/>
  <c r="N411" i="1"/>
  <c r="N425" i="1"/>
  <c r="E62" i="2"/>
  <c r="E68" i="2"/>
  <c r="E78" i="2"/>
  <c r="D78" i="2"/>
  <c r="F78" i="2"/>
  <c r="G78" i="2" s="1"/>
  <c r="F88" i="2"/>
  <c r="G88" i="2" s="1"/>
  <c r="E94" i="2"/>
  <c r="D99" i="2"/>
  <c r="F115" i="2"/>
  <c r="G115" i="2" s="1"/>
  <c r="F120" i="2"/>
  <c r="G120" i="2" s="1"/>
  <c r="E125" i="2"/>
  <c r="D131" i="2"/>
  <c r="F152" i="2"/>
  <c r="G152" i="2" s="1"/>
  <c r="D157" i="2"/>
  <c r="F162" i="2"/>
  <c r="G162" i="2" s="1"/>
  <c r="D162" i="2"/>
  <c r="E162" i="2"/>
  <c r="F172" i="2"/>
  <c r="G172" i="2" s="1"/>
  <c r="E167" i="2"/>
  <c r="N179" i="1"/>
  <c r="N382" i="1"/>
  <c r="N190" i="1"/>
  <c r="N219" i="1"/>
  <c r="F20" i="2"/>
  <c r="G20" i="2" s="1"/>
  <c r="F41" i="2"/>
  <c r="G41" i="2" s="1"/>
  <c r="E41" i="2"/>
  <c r="F21" i="2"/>
  <c r="G21" i="2" s="1"/>
  <c r="D41" i="2"/>
  <c r="D47" i="2"/>
  <c r="E52" i="2"/>
  <c r="F52" i="2"/>
  <c r="G52" i="2" s="1"/>
  <c r="F62" i="2"/>
  <c r="G62" i="2" s="1"/>
  <c r="D73" i="2"/>
  <c r="F94" i="2"/>
  <c r="G94" i="2" s="1"/>
  <c r="E99" i="2"/>
  <c r="E131" i="2"/>
  <c r="D136" i="2"/>
  <c r="E157" i="2"/>
  <c r="F130" i="2"/>
  <c r="G130" i="2" s="1"/>
  <c r="N396" i="1"/>
  <c r="F27" i="2"/>
  <c r="G27" i="2" s="1"/>
  <c r="F151" i="2"/>
  <c r="G151" i="2" s="1"/>
  <c r="E151" i="2"/>
  <c r="F7" i="2"/>
  <c r="G7" i="2" s="1"/>
  <c r="F35" i="2"/>
  <c r="G35" i="2" s="1"/>
  <c r="F42" i="2"/>
  <c r="G42" i="2" s="1"/>
  <c r="E47" i="2"/>
  <c r="E73" i="2"/>
  <c r="E79" i="2"/>
  <c r="D89" i="2"/>
  <c r="E89" i="2"/>
  <c r="F89" i="2"/>
  <c r="G89" i="2" s="1"/>
  <c r="E105" i="2"/>
  <c r="D110" i="2"/>
  <c r="F126" i="2"/>
  <c r="G126" i="2" s="1"/>
  <c r="E136" i="2"/>
  <c r="D142" i="2"/>
  <c r="F163" i="2"/>
  <c r="G163" i="2" s="1"/>
  <c r="D168" i="2"/>
  <c r="D173" i="2"/>
  <c r="F173" i="2"/>
  <c r="G173" i="2" s="1"/>
  <c r="E173" i="2"/>
  <c r="F93" i="2"/>
  <c r="G93" i="2" s="1"/>
  <c r="N215" i="1"/>
  <c r="N240" i="1"/>
  <c r="N389" i="1"/>
  <c r="E57" i="2"/>
  <c r="D67" i="2"/>
  <c r="E67" i="2"/>
  <c r="F67" i="2"/>
  <c r="G67" i="2" s="1"/>
  <c r="N255" i="1"/>
  <c r="N364" i="1"/>
  <c r="N187" i="1"/>
  <c r="N198" i="1"/>
  <c r="N294" i="1"/>
  <c r="N301" i="1"/>
  <c r="N315" i="1"/>
  <c r="N322" i="1"/>
  <c r="N329" i="1"/>
  <c r="N361" i="1"/>
  <c r="N383" i="1"/>
  <c r="N390" i="1"/>
  <c r="N397" i="1"/>
  <c r="N511" i="1"/>
  <c r="N536" i="1"/>
  <c r="D52" i="2"/>
  <c r="D58" i="2"/>
  <c r="F63" i="2"/>
  <c r="G63" i="2" s="1"/>
  <c r="E63" i="2"/>
  <c r="D84" i="2"/>
  <c r="F105" i="2"/>
  <c r="G105" i="2" s="1"/>
  <c r="E110" i="2"/>
  <c r="E142" i="2"/>
  <c r="D147" i="2"/>
  <c r="E168" i="2"/>
  <c r="E46" i="2"/>
  <c r="N197" i="1"/>
  <c r="M418" i="1"/>
  <c r="N418" i="1" s="1"/>
  <c r="F53" i="2"/>
  <c r="G53" i="2" s="1"/>
  <c r="E58" i="2"/>
  <c r="E84" i="2"/>
  <c r="E90" i="2"/>
  <c r="D100" i="2"/>
  <c r="E100" i="2"/>
  <c r="F100" i="2"/>
  <c r="G100" i="2" s="1"/>
  <c r="E116" i="2"/>
  <c r="D121" i="2"/>
  <c r="F137" i="2"/>
  <c r="G137" i="2" s="1"/>
  <c r="E147" i="2"/>
  <c r="D153" i="2"/>
  <c r="F158" i="2"/>
  <c r="G158" i="2" s="1"/>
  <c r="F174" i="2"/>
  <c r="G174" i="2" s="1"/>
  <c r="N371" i="1"/>
  <c r="N226" i="1"/>
  <c r="F104" i="2"/>
  <c r="G104" i="2" s="1"/>
  <c r="N172" i="1"/>
  <c r="N201" i="1"/>
  <c r="N248" i="1"/>
  <c r="N173" i="1"/>
  <c r="N191" i="1"/>
  <c r="N284" i="1"/>
  <c r="N298" i="1"/>
  <c r="N340" i="1"/>
  <c r="N365" i="1"/>
  <c r="N522" i="1"/>
  <c r="F15" i="2"/>
  <c r="G15" i="2" s="1"/>
  <c r="D63" i="2"/>
  <c r="E74" i="2"/>
  <c r="F74" i="2"/>
  <c r="G74" i="2" s="1"/>
  <c r="F116" i="2"/>
  <c r="G116" i="2" s="1"/>
  <c r="N184" i="1"/>
  <c r="N223" i="1"/>
  <c r="M366" i="1"/>
  <c r="N366" i="1" s="1"/>
  <c r="N216" i="1"/>
  <c r="N310" i="1"/>
  <c r="N450" i="1"/>
  <c r="L429" i="1"/>
  <c r="N429" i="1" s="1"/>
  <c r="N469" i="1"/>
  <c r="N476" i="1"/>
  <c r="N509" i="1"/>
  <c r="D49" i="2"/>
  <c r="D60" i="2"/>
  <c r="D71" i="2"/>
  <c r="D82" i="2"/>
  <c r="D93" i="2"/>
  <c r="D104" i="2"/>
  <c r="D115" i="2"/>
  <c r="D126" i="2"/>
  <c r="D137" i="2"/>
  <c r="D148" i="2"/>
  <c r="E166" i="2"/>
  <c r="N237" i="1"/>
  <c r="N262" i="1"/>
  <c r="N345" i="1"/>
  <c r="N324" i="1"/>
  <c r="N384" i="1"/>
  <c r="N498" i="1"/>
  <c r="N513" i="1"/>
  <c r="D166" i="2"/>
  <c r="Q91" i="1"/>
  <c r="N293" i="1"/>
  <c r="N335" i="1"/>
  <c r="N342" i="1"/>
  <c r="N349" i="1"/>
  <c r="N356" i="1"/>
  <c r="N370" i="1"/>
  <c r="M377" i="1"/>
  <c r="N377" i="1" s="1"/>
  <c r="N436" i="1"/>
  <c r="N443" i="1"/>
  <c r="N502" i="1"/>
  <c r="N524" i="1"/>
  <c r="E49" i="2"/>
  <c r="E60" i="2"/>
  <c r="E71" i="2"/>
  <c r="E82" i="2"/>
  <c r="E93" i="2"/>
  <c r="E104" i="2"/>
  <c r="E115" i="2"/>
  <c r="E126" i="2"/>
  <c r="E137" i="2"/>
  <c r="E148" i="2"/>
  <c r="D159" i="2"/>
  <c r="D170" i="2"/>
  <c r="N279" i="1"/>
  <c r="N472" i="1"/>
  <c r="N177" i="1"/>
  <c r="N317" i="1"/>
  <c r="N405" i="1"/>
  <c r="N483" i="1"/>
  <c r="N520" i="1"/>
  <c r="N181" i="1"/>
  <c r="N206" i="1"/>
  <c r="N259" i="1"/>
  <c r="N266" i="1"/>
  <c r="N283" i="1"/>
  <c r="N307" i="1"/>
  <c r="N321" i="1"/>
  <c r="N447" i="1"/>
  <c r="N480" i="1"/>
  <c r="N491" i="1"/>
  <c r="N517" i="1"/>
  <c r="D42" i="2"/>
  <c r="D53" i="2"/>
  <c r="D64" i="2"/>
  <c r="D75" i="2"/>
  <c r="D86" i="2"/>
  <c r="D97" i="2"/>
  <c r="D108" i="2"/>
  <c r="D119" i="2"/>
  <c r="D130" i="2"/>
  <c r="D141" i="2"/>
  <c r="D152" i="2"/>
  <c r="E159" i="2"/>
  <c r="E170" i="2"/>
  <c r="N209" i="1"/>
  <c r="N439" i="1"/>
  <c r="N188" i="1"/>
  <c r="N174" i="1"/>
  <c r="N199" i="1"/>
  <c r="N231" i="1"/>
  <c r="N249" i="1"/>
  <c r="N300" i="1"/>
  <c r="N314" i="1"/>
  <c r="N328" i="1"/>
  <c r="L339" i="1"/>
  <c r="N353" i="1"/>
  <c r="N388" i="1"/>
  <c r="N395" i="1"/>
  <c r="N402" i="1"/>
  <c r="N416" i="1"/>
  <c r="N426" i="1"/>
  <c r="P429" i="1"/>
  <c r="N458" i="1"/>
  <c r="N462" i="1"/>
  <c r="N506" i="1"/>
  <c r="N535" i="1"/>
  <c r="E42" i="2"/>
  <c r="E53" i="2"/>
  <c r="E64" i="2"/>
  <c r="E75" i="2"/>
  <c r="E86" i="2"/>
  <c r="E97" i="2"/>
  <c r="E108" i="2"/>
  <c r="E130" i="2"/>
  <c r="E141" i="2"/>
  <c r="E152" i="2"/>
  <c r="D163" i="2"/>
  <c r="D174" i="2"/>
  <c r="N373" i="1"/>
  <c r="N391" i="1"/>
  <c r="N422" i="1"/>
  <c r="N538" i="1"/>
  <c r="N195" i="1"/>
  <c r="N220" i="1"/>
  <c r="M339" i="1"/>
  <c r="N339" i="1" s="1"/>
  <c r="L392" i="1"/>
  <c r="N528" i="1"/>
  <c r="D46" i="2"/>
  <c r="D57" i="2"/>
  <c r="D68" i="2"/>
  <c r="D79" i="2"/>
  <c r="D90" i="2"/>
  <c r="D101" i="2"/>
  <c r="D112" i="2"/>
  <c r="D123" i="2"/>
  <c r="D134" i="2"/>
  <c r="D145" i="2"/>
  <c r="D156" i="2"/>
  <c r="E163" i="2"/>
  <c r="E174" i="2"/>
  <c r="N166" i="1"/>
  <c r="N244" i="1"/>
  <c r="N359" i="1"/>
  <c r="N527" i="1"/>
  <c r="N269" i="1"/>
  <c r="N286" i="1"/>
  <c r="N303" i="1"/>
  <c r="N331" i="1"/>
  <c r="N234" i="1"/>
  <c r="N178" i="1"/>
  <c r="N210" i="1"/>
  <c r="N217" i="1"/>
  <c r="N256" i="1"/>
  <c r="N270" i="1"/>
  <c r="E156" i="2"/>
  <c r="D167" i="2"/>
  <c r="N512" i="1"/>
  <c r="D510" i="1"/>
  <c r="F119" i="2" s="1"/>
  <c r="G119" i="2" s="1"/>
  <c r="N510" i="1"/>
  <c r="N347" i="1"/>
  <c r="N333" i="1"/>
  <c r="P377" i="1"/>
  <c r="Q422" i="1"/>
  <c r="M392" i="1"/>
  <c r="P392" i="1"/>
  <c r="Q81" i="1"/>
  <c r="P422" i="1"/>
  <c r="M167" i="1"/>
  <c r="N167" i="1" s="1"/>
  <c r="P167" i="1"/>
  <c r="N392" i="1" l="1"/>
  <c r="I156" i="2"/>
  <c r="G156" i="2"/>
  <c r="F510" i="1"/>
  <c r="E119" i="2" s="1"/>
  <c r="Q510" i="1"/>
  <c r="P510" i="1"/>
</calcChain>
</file>

<file path=xl/sharedStrings.xml><?xml version="1.0" encoding="utf-8"?>
<sst xmlns="http://schemas.openxmlformats.org/spreadsheetml/2006/main" count="17" uniqueCount="16">
  <si>
    <t>Chinese Weekly Crush</t>
  </si>
  <si>
    <t>Chinese Meal Production</t>
  </si>
  <si>
    <t>Chinese SBO Production</t>
  </si>
  <si>
    <t>Chinese Soybean Port Stocks</t>
  </si>
  <si>
    <t>Chinese SBO Port Stocks</t>
  </si>
  <si>
    <t>Chinese SBM Port Stocks</t>
  </si>
  <si>
    <t>SBM Yield</t>
  </si>
  <si>
    <t>SBO Yield</t>
  </si>
  <si>
    <t>Combined Yield</t>
  </si>
  <si>
    <t>Annual Crush Rate (million tonnes)</t>
  </si>
  <si>
    <t>Port Stocks Days of Coverage</t>
  </si>
  <si>
    <t>Soybean Crush Margin - Dalian - Imported Soybeans</t>
  </si>
  <si>
    <t/>
  </si>
  <si>
    <t>Monthly Meal Production</t>
  </si>
  <si>
    <t>Monthly Oil Production</t>
  </si>
  <si>
    <t>Monthly Crush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</si>
</sst>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_);[Red]\(#,##0.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/>
    <xf numFmtId="40" fontId="2" fillId="0" borderId="0" xfId="0" applyNumberFormat="1" applyFont="1"/>
    <xf numFmtId="38" fontId="2" fillId="0" borderId="0" xfId="0" applyNumberFormat="1" applyFont="1"/>
    <xf numFmtId="164" fontId="1" fillId="0" borderId="0" xfId="0" applyNumberFormat="1" applyFont="1"/>
    <xf numFmtId="40" fontId="3" fillId="0" borderId="0" xfId="0" applyNumberFormat="1" applyFont="1"/>
    <xf numFmtId="165" fontId="1" fillId="0" borderId="0" xfId="0" applyNumberFormat="1" applyFont="1"/>
    <xf numFmtId="0" fontId="2" fillId="0" borderId="0" xfId="0" applyFont="1"/>
    <xf numFmtId="40" fontId="4" fillId="0" borderId="0" xfId="0" applyNumberFormat="1" applyFont="1"/>
    <xf numFmtId="38" fontId="4" fillId="0" borderId="0" xfId="0" applyNumberFormat="1" applyFont="1"/>
    <xf numFmtId="165" fontId="5" fillId="0" borderId="0" xfId="0" applyNumberFormat="1" applyFont="1"/>
    <xf numFmtId="38" fontId="3" fillId="0" borderId="0" xfId="0" applyNumberFormat="1" applyFont="1"/>
    <xf numFmtId="165" fontId="6" fillId="0" borderId="0" xfId="0" applyNumberFormat="1" applyFont="1"/>
    <xf numFmtId="0" fontId="7" fillId="0" borderId="0" xfId="0" applyFont="1"/>
    <xf numFmtId="14" fontId="8" fillId="0" borderId="0" xfId="0" applyNumberFormat="1" applyFont="1"/>
    <xf numFmtId="0" fontId="8" fillId="0" borderId="0" xfId="0" applyFont="1"/>
    <xf numFmtId="40" fontId="8" fillId="0" borderId="0" xfId="0" applyNumberFormat="1" applyFont="1"/>
    <xf numFmtId="38" fontId="8" fillId="0" borderId="0" xfId="0" applyNumberFormat="1" applyFont="1"/>
    <xf numFmtId="165" fontId="8" fillId="0" borderId="0" xfId="0" applyNumberFormat="1" applyFont="1"/>
    <xf numFmtId="2" fontId="9" fillId="0" borderId="0" xfId="0" applyNumberFormat="1" applyFont="1"/>
    <xf numFmtId="1" fontId="9" fillId="0" borderId="0" xfId="0" applyNumberFormat="1" applyFont="1"/>
    <xf numFmtId="0" fontId="9" fillId="0" borderId="0" xfId="0" applyFont="1"/>
    <xf numFmtId="14" fontId="2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38" fontId="2" fillId="2" borderId="0" xfId="0" applyNumberFormat="1" applyFont="1" applyFill="1"/>
    <xf numFmtId="14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China: Weekly Soybean Stocks</a:t>
            </a:r>
            <a:r>
              <a:rPr lang="en-US" sz="2400" baseline="0"/>
              <a:t> and Crush Volume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60146630748211E-2"/>
          <c:y val="0.11286686250898305"/>
          <c:w val="0.83600965879220845"/>
          <c:h val="0.7999074675750496"/>
        </c:manualLayout>
      </c:layout>
      <c:lineChart>
        <c:grouping val="standard"/>
        <c:varyColors val="0"/>
        <c:ser>
          <c:idx val="0"/>
          <c:order val="0"/>
          <c:tx>
            <c:strRef>
              <c:f>Weekly!$D$1</c:f>
              <c:strCache>
                <c:ptCount val="1"/>
                <c:pt idx="0">
                  <c:v>Chinese Weekly Crush</c:v>
                </c:pt>
              </c:strCache>
            </c:strRef>
          </c:tx>
          <c:spPr>
            <a:ln w="158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15875">
                <a:solidFill>
                  <a:srgbClr val="D7BA2F"/>
                </a:solidFill>
              </a:ln>
              <a:effectLst/>
            </c:spPr>
          </c:marker>
          <c:cat>
            <c:numRef>
              <c:f>Weekly!$A$492:$A$750</c:f>
              <c:numCache>
                <c:formatCode>m/d/yyyy</c:formatCode>
                <c:ptCount val="259"/>
                <c:pt idx="0">
                  <c:v>43710</c:v>
                </c:pt>
                <c:pt idx="1">
                  <c:v>43717</c:v>
                </c:pt>
                <c:pt idx="2">
                  <c:v>43724</c:v>
                </c:pt>
                <c:pt idx="3">
                  <c:v>43731</c:v>
                </c:pt>
                <c:pt idx="4">
                  <c:v>43738</c:v>
                </c:pt>
                <c:pt idx="5">
                  <c:v>43745</c:v>
                </c:pt>
                <c:pt idx="6">
                  <c:v>43752</c:v>
                </c:pt>
                <c:pt idx="7">
                  <c:v>43759</c:v>
                </c:pt>
                <c:pt idx="8">
                  <c:v>43766</c:v>
                </c:pt>
                <c:pt idx="9">
                  <c:v>43773</c:v>
                </c:pt>
                <c:pt idx="10">
                  <c:v>43780</c:v>
                </c:pt>
                <c:pt idx="11">
                  <c:v>43787</c:v>
                </c:pt>
                <c:pt idx="12">
                  <c:v>43794</c:v>
                </c:pt>
                <c:pt idx="13">
                  <c:v>43801</c:v>
                </c:pt>
                <c:pt idx="14">
                  <c:v>43808</c:v>
                </c:pt>
                <c:pt idx="15">
                  <c:v>43815</c:v>
                </c:pt>
                <c:pt idx="16">
                  <c:v>43822</c:v>
                </c:pt>
                <c:pt idx="17">
                  <c:v>43829</c:v>
                </c:pt>
                <c:pt idx="18">
                  <c:v>43836</c:v>
                </c:pt>
                <c:pt idx="19">
                  <c:v>43843</c:v>
                </c:pt>
                <c:pt idx="20">
                  <c:v>43850</c:v>
                </c:pt>
                <c:pt idx="21">
                  <c:v>43857</c:v>
                </c:pt>
                <c:pt idx="22">
                  <c:v>43864</c:v>
                </c:pt>
                <c:pt idx="23">
                  <c:v>43871</c:v>
                </c:pt>
                <c:pt idx="24">
                  <c:v>43878</c:v>
                </c:pt>
                <c:pt idx="25">
                  <c:v>43885</c:v>
                </c:pt>
                <c:pt idx="26">
                  <c:v>43892</c:v>
                </c:pt>
                <c:pt idx="27">
                  <c:v>43899</c:v>
                </c:pt>
                <c:pt idx="28">
                  <c:v>43906</c:v>
                </c:pt>
                <c:pt idx="29">
                  <c:v>43913</c:v>
                </c:pt>
                <c:pt idx="30">
                  <c:v>43920</c:v>
                </c:pt>
                <c:pt idx="31">
                  <c:v>43927</c:v>
                </c:pt>
                <c:pt idx="32">
                  <c:v>43934</c:v>
                </c:pt>
                <c:pt idx="33">
                  <c:v>43941</c:v>
                </c:pt>
                <c:pt idx="34">
                  <c:v>43948</c:v>
                </c:pt>
                <c:pt idx="35">
                  <c:v>43955</c:v>
                </c:pt>
                <c:pt idx="36">
                  <c:v>43962</c:v>
                </c:pt>
                <c:pt idx="37">
                  <c:v>43969</c:v>
                </c:pt>
                <c:pt idx="38">
                  <c:v>43976</c:v>
                </c:pt>
                <c:pt idx="39">
                  <c:v>43983</c:v>
                </c:pt>
                <c:pt idx="40">
                  <c:v>43990</c:v>
                </c:pt>
                <c:pt idx="41">
                  <c:v>43997</c:v>
                </c:pt>
                <c:pt idx="42">
                  <c:v>44004</c:v>
                </c:pt>
                <c:pt idx="43">
                  <c:v>44011</c:v>
                </c:pt>
                <c:pt idx="44">
                  <c:v>44018</c:v>
                </c:pt>
                <c:pt idx="45">
                  <c:v>44025</c:v>
                </c:pt>
                <c:pt idx="46">
                  <c:v>44032</c:v>
                </c:pt>
                <c:pt idx="47">
                  <c:v>44039</c:v>
                </c:pt>
                <c:pt idx="48">
                  <c:v>44046</c:v>
                </c:pt>
                <c:pt idx="49">
                  <c:v>44053</c:v>
                </c:pt>
                <c:pt idx="50">
                  <c:v>44060</c:v>
                </c:pt>
                <c:pt idx="51">
                  <c:v>44067</c:v>
                </c:pt>
                <c:pt idx="52">
                  <c:v>44074</c:v>
                </c:pt>
                <c:pt idx="53">
                  <c:v>44081</c:v>
                </c:pt>
                <c:pt idx="54">
                  <c:v>44088</c:v>
                </c:pt>
                <c:pt idx="55">
                  <c:v>44095</c:v>
                </c:pt>
                <c:pt idx="56">
                  <c:v>44102</c:v>
                </c:pt>
                <c:pt idx="57">
                  <c:v>44109</c:v>
                </c:pt>
                <c:pt idx="58">
                  <c:v>44116</c:v>
                </c:pt>
                <c:pt idx="59">
                  <c:v>44123</c:v>
                </c:pt>
                <c:pt idx="60">
                  <c:v>44130</c:v>
                </c:pt>
                <c:pt idx="61">
                  <c:v>44137</c:v>
                </c:pt>
                <c:pt idx="62">
                  <c:v>44144</c:v>
                </c:pt>
                <c:pt idx="63">
                  <c:v>44151</c:v>
                </c:pt>
                <c:pt idx="64">
                  <c:v>44158</c:v>
                </c:pt>
                <c:pt idx="65">
                  <c:v>44165</c:v>
                </c:pt>
                <c:pt idx="66">
                  <c:v>44172</c:v>
                </c:pt>
                <c:pt idx="67">
                  <c:v>44179</c:v>
                </c:pt>
                <c:pt idx="68">
                  <c:v>44186</c:v>
                </c:pt>
                <c:pt idx="69">
                  <c:v>44193</c:v>
                </c:pt>
                <c:pt idx="70">
                  <c:v>44200</c:v>
                </c:pt>
                <c:pt idx="71">
                  <c:v>44207</c:v>
                </c:pt>
                <c:pt idx="72">
                  <c:v>44214</c:v>
                </c:pt>
                <c:pt idx="73">
                  <c:v>44221</c:v>
                </c:pt>
                <c:pt idx="74">
                  <c:v>44228</c:v>
                </c:pt>
                <c:pt idx="75">
                  <c:v>44235</c:v>
                </c:pt>
                <c:pt idx="76">
                  <c:v>44242</c:v>
                </c:pt>
                <c:pt idx="77">
                  <c:v>44249</c:v>
                </c:pt>
                <c:pt idx="78">
                  <c:v>44256</c:v>
                </c:pt>
                <c:pt idx="79">
                  <c:v>44266</c:v>
                </c:pt>
                <c:pt idx="80">
                  <c:v>44273</c:v>
                </c:pt>
                <c:pt idx="81">
                  <c:v>44280</c:v>
                </c:pt>
                <c:pt idx="82">
                  <c:v>44287</c:v>
                </c:pt>
                <c:pt idx="83">
                  <c:v>44294</c:v>
                </c:pt>
                <c:pt idx="84">
                  <c:v>44301</c:v>
                </c:pt>
                <c:pt idx="85">
                  <c:v>44308</c:v>
                </c:pt>
                <c:pt idx="86">
                  <c:v>44315</c:v>
                </c:pt>
                <c:pt idx="87">
                  <c:v>44322</c:v>
                </c:pt>
                <c:pt idx="88">
                  <c:v>44329</c:v>
                </c:pt>
                <c:pt idx="89">
                  <c:v>44336</c:v>
                </c:pt>
                <c:pt idx="90">
                  <c:v>44343</c:v>
                </c:pt>
                <c:pt idx="91">
                  <c:v>44350</c:v>
                </c:pt>
                <c:pt idx="92">
                  <c:v>44357</c:v>
                </c:pt>
                <c:pt idx="93">
                  <c:v>44364</c:v>
                </c:pt>
                <c:pt idx="94">
                  <c:v>44371</c:v>
                </c:pt>
                <c:pt idx="95">
                  <c:v>44378</c:v>
                </c:pt>
                <c:pt idx="96">
                  <c:v>44385</c:v>
                </c:pt>
                <c:pt idx="97">
                  <c:v>44392</c:v>
                </c:pt>
                <c:pt idx="98">
                  <c:v>44399</c:v>
                </c:pt>
                <c:pt idx="99">
                  <c:v>44406</c:v>
                </c:pt>
                <c:pt idx="100">
                  <c:v>44413</c:v>
                </c:pt>
                <c:pt idx="101">
                  <c:v>44420</c:v>
                </c:pt>
                <c:pt idx="102">
                  <c:v>44427</c:v>
                </c:pt>
                <c:pt idx="103">
                  <c:v>44434</c:v>
                </c:pt>
                <c:pt idx="104">
                  <c:v>44441</c:v>
                </c:pt>
                <c:pt idx="105">
                  <c:v>44448</c:v>
                </c:pt>
                <c:pt idx="106">
                  <c:v>44455</c:v>
                </c:pt>
                <c:pt idx="107">
                  <c:v>44462</c:v>
                </c:pt>
                <c:pt idx="108">
                  <c:v>44469</c:v>
                </c:pt>
                <c:pt idx="109">
                  <c:v>44476</c:v>
                </c:pt>
                <c:pt idx="110">
                  <c:v>44483</c:v>
                </c:pt>
                <c:pt idx="111">
                  <c:v>44490</c:v>
                </c:pt>
                <c:pt idx="112">
                  <c:v>44497</c:v>
                </c:pt>
                <c:pt idx="113">
                  <c:v>44504</c:v>
                </c:pt>
                <c:pt idx="114">
                  <c:v>44511</c:v>
                </c:pt>
                <c:pt idx="115">
                  <c:v>44518</c:v>
                </c:pt>
                <c:pt idx="116">
                  <c:v>44525</c:v>
                </c:pt>
                <c:pt idx="117">
                  <c:v>44532</c:v>
                </c:pt>
                <c:pt idx="118">
                  <c:v>44539</c:v>
                </c:pt>
                <c:pt idx="119">
                  <c:v>44546</c:v>
                </c:pt>
                <c:pt idx="120">
                  <c:v>44553</c:v>
                </c:pt>
                <c:pt idx="121">
                  <c:v>44560</c:v>
                </c:pt>
                <c:pt idx="122">
                  <c:v>44567</c:v>
                </c:pt>
                <c:pt idx="123">
                  <c:v>44574</c:v>
                </c:pt>
                <c:pt idx="124">
                  <c:v>44581</c:v>
                </c:pt>
                <c:pt idx="125">
                  <c:v>44588</c:v>
                </c:pt>
                <c:pt idx="126">
                  <c:v>44595</c:v>
                </c:pt>
                <c:pt idx="127">
                  <c:v>44602</c:v>
                </c:pt>
                <c:pt idx="128">
                  <c:v>44609</c:v>
                </c:pt>
                <c:pt idx="129">
                  <c:v>44616</c:v>
                </c:pt>
                <c:pt idx="130">
                  <c:v>44623</c:v>
                </c:pt>
                <c:pt idx="131">
                  <c:v>44630</c:v>
                </c:pt>
                <c:pt idx="132">
                  <c:v>44637</c:v>
                </c:pt>
                <c:pt idx="133">
                  <c:v>44644</c:v>
                </c:pt>
                <c:pt idx="134">
                  <c:v>44651</c:v>
                </c:pt>
                <c:pt idx="135">
                  <c:v>44658</c:v>
                </c:pt>
                <c:pt idx="136">
                  <c:v>44665</c:v>
                </c:pt>
                <c:pt idx="137">
                  <c:v>44672</c:v>
                </c:pt>
                <c:pt idx="138">
                  <c:v>44679</c:v>
                </c:pt>
                <c:pt idx="139">
                  <c:v>44686</c:v>
                </c:pt>
                <c:pt idx="140">
                  <c:v>44693</c:v>
                </c:pt>
                <c:pt idx="141">
                  <c:v>44700</c:v>
                </c:pt>
                <c:pt idx="142">
                  <c:v>44707</c:v>
                </c:pt>
                <c:pt idx="143">
                  <c:v>44714</c:v>
                </c:pt>
                <c:pt idx="144">
                  <c:v>44721</c:v>
                </c:pt>
                <c:pt idx="145">
                  <c:v>44728</c:v>
                </c:pt>
                <c:pt idx="146">
                  <c:v>44735</c:v>
                </c:pt>
                <c:pt idx="147">
                  <c:v>44742</c:v>
                </c:pt>
                <c:pt idx="148">
                  <c:v>44749</c:v>
                </c:pt>
                <c:pt idx="149">
                  <c:v>44756</c:v>
                </c:pt>
                <c:pt idx="150">
                  <c:v>44763</c:v>
                </c:pt>
                <c:pt idx="151">
                  <c:v>44770</c:v>
                </c:pt>
                <c:pt idx="152">
                  <c:v>44777</c:v>
                </c:pt>
                <c:pt idx="153">
                  <c:v>44784</c:v>
                </c:pt>
                <c:pt idx="154">
                  <c:v>44791</c:v>
                </c:pt>
                <c:pt idx="155">
                  <c:v>44798</c:v>
                </c:pt>
                <c:pt idx="156">
                  <c:v>44805</c:v>
                </c:pt>
                <c:pt idx="157">
                  <c:v>44812</c:v>
                </c:pt>
                <c:pt idx="158">
                  <c:v>44819</c:v>
                </c:pt>
                <c:pt idx="159">
                  <c:v>44826</c:v>
                </c:pt>
                <c:pt idx="160">
                  <c:v>44833</c:v>
                </c:pt>
                <c:pt idx="161">
                  <c:v>44840</c:v>
                </c:pt>
                <c:pt idx="162">
                  <c:v>44847</c:v>
                </c:pt>
                <c:pt idx="163">
                  <c:v>44854</c:v>
                </c:pt>
                <c:pt idx="164">
                  <c:v>44861</c:v>
                </c:pt>
                <c:pt idx="165">
                  <c:v>44868</c:v>
                </c:pt>
                <c:pt idx="166">
                  <c:v>44875</c:v>
                </c:pt>
                <c:pt idx="167">
                  <c:v>44882</c:v>
                </c:pt>
                <c:pt idx="168">
                  <c:v>44889</c:v>
                </c:pt>
                <c:pt idx="169">
                  <c:v>44896</c:v>
                </c:pt>
                <c:pt idx="170">
                  <c:v>44903</c:v>
                </c:pt>
                <c:pt idx="171">
                  <c:v>44910</c:v>
                </c:pt>
                <c:pt idx="172">
                  <c:v>44917</c:v>
                </c:pt>
                <c:pt idx="173">
                  <c:v>44924</c:v>
                </c:pt>
                <c:pt idx="174">
                  <c:v>44931</c:v>
                </c:pt>
                <c:pt idx="175">
                  <c:v>44938</c:v>
                </c:pt>
                <c:pt idx="176">
                  <c:v>44945</c:v>
                </c:pt>
                <c:pt idx="177">
                  <c:v>44952</c:v>
                </c:pt>
                <c:pt idx="178">
                  <c:v>44959</c:v>
                </c:pt>
                <c:pt idx="179">
                  <c:v>44966</c:v>
                </c:pt>
                <c:pt idx="180">
                  <c:v>44973</c:v>
                </c:pt>
                <c:pt idx="181">
                  <c:v>44980</c:v>
                </c:pt>
                <c:pt idx="182">
                  <c:v>44987</c:v>
                </c:pt>
                <c:pt idx="183">
                  <c:v>44994</c:v>
                </c:pt>
                <c:pt idx="184">
                  <c:v>45001</c:v>
                </c:pt>
                <c:pt idx="185">
                  <c:v>45008</c:v>
                </c:pt>
                <c:pt idx="186">
                  <c:v>45015</c:v>
                </c:pt>
                <c:pt idx="187">
                  <c:v>45022</c:v>
                </c:pt>
                <c:pt idx="188">
                  <c:v>45029</c:v>
                </c:pt>
                <c:pt idx="189">
                  <c:v>45036</c:v>
                </c:pt>
                <c:pt idx="190">
                  <c:v>45043</c:v>
                </c:pt>
                <c:pt idx="191">
                  <c:v>45050</c:v>
                </c:pt>
                <c:pt idx="192">
                  <c:v>45057</c:v>
                </c:pt>
                <c:pt idx="193">
                  <c:v>45064</c:v>
                </c:pt>
                <c:pt idx="194">
                  <c:v>45071</c:v>
                </c:pt>
                <c:pt idx="195">
                  <c:v>45078</c:v>
                </c:pt>
                <c:pt idx="196">
                  <c:v>45085</c:v>
                </c:pt>
                <c:pt idx="197">
                  <c:v>45092</c:v>
                </c:pt>
                <c:pt idx="198">
                  <c:v>45099</c:v>
                </c:pt>
                <c:pt idx="199">
                  <c:v>45106</c:v>
                </c:pt>
                <c:pt idx="200">
                  <c:v>45113</c:v>
                </c:pt>
                <c:pt idx="201">
                  <c:v>45120</c:v>
                </c:pt>
                <c:pt idx="202">
                  <c:v>45127</c:v>
                </c:pt>
                <c:pt idx="203">
                  <c:v>45134</c:v>
                </c:pt>
                <c:pt idx="204">
                  <c:v>45141</c:v>
                </c:pt>
                <c:pt idx="205">
                  <c:v>45148</c:v>
                </c:pt>
                <c:pt idx="206">
                  <c:v>45155</c:v>
                </c:pt>
                <c:pt idx="207">
                  <c:v>45162</c:v>
                </c:pt>
                <c:pt idx="208">
                  <c:v>45169</c:v>
                </c:pt>
                <c:pt idx="209">
                  <c:v>45176</c:v>
                </c:pt>
                <c:pt idx="210">
                  <c:v>45183</c:v>
                </c:pt>
                <c:pt idx="211">
                  <c:v>45189</c:v>
                </c:pt>
                <c:pt idx="212">
                  <c:v>45196</c:v>
                </c:pt>
                <c:pt idx="213">
                  <c:v>45210</c:v>
                </c:pt>
                <c:pt idx="214">
                  <c:v>45217</c:v>
                </c:pt>
                <c:pt idx="215">
                  <c:v>45224</c:v>
                </c:pt>
                <c:pt idx="216">
                  <c:v>45231</c:v>
                </c:pt>
                <c:pt idx="217">
                  <c:v>45238</c:v>
                </c:pt>
                <c:pt idx="218">
                  <c:v>45245</c:v>
                </c:pt>
                <c:pt idx="219">
                  <c:v>45252</c:v>
                </c:pt>
                <c:pt idx="220">
                  <c:v>45259</c:v>
                </c:pt>
                <c:pt idx="221">
                  <c:v>45266</c:v>
                </c:pt>
                <c:pt idx="222">
                  <c:v>45273</c:v>
                </c:pt>
                <c:pt idx="223">
                  <c:v>45280</c:v>
                </c:pt>
                <c:pt idx="224">
                  <c:v>45289</c:v>
                </c:pt>
                <c:pt idx="225">
                  <c:v>45294</c:v>
                </c:pt>
                <c:pt idx="226">
                  <c:v>45301</c:v>
                </c:pt>
                <c:pt idx="227">
                  <c:v>45308</c:v>
                </c:pt>
                <c:pt idx="228">
                  <c:v>45315</c:v>
                </c:pt>
                <c:pt idx="229">
                  <c:v>45322</c:v>
                </c:pt>
                <c:pt idx="230">
                  <c:v>45329</c:v>
                </c:pt>
                <c:pt idx="231">
                  <c:v>45334</c:v>
                </c:pt>
                <c:pt idx="232">
                  <c:v>45350</c:v>
                </c:pt>
                <c:pt idx="233">
                  <c:v>45366</c:v>
                </c:pt>
                <c:pt idx="234">
                  <c:v>45373</c:v>
                </c:pt>
                <c:pt idx="235">
                  <c:v>45380</c:v>
                </c:pt>
                <c:pt idx="236">
                  <c:v>45387</c:v>
                </c:pt>
                <c:pt idx="237">
                  <c:v>45394</c:v>
                </c:pt>
                <c:pt idx="238">
                  <c:v>45401</c:v>
                </c:pt>
                <c:pt idx="239">
                  <c:v>45408</c:v>
                </c:pt>
                <c:pt idx="240">
                  <c:v>45415</c:v>
                </c:pt>
                <c:pt idx="241">
                  <c:v>45422</c:v>
                </c:pt>
                <c:pt idx="242">
                  <c:v>45429</c:v>
                </c:pt>
                <c:pt idx="243">
                  <c:v>45436</c:v>
                </c:pt>
                <c:pt idx="244">
                  <c:v>45443</c:v>
                </c:pt>
                <c:pt idx="245">
                  <c:v>45450</c:v>
                </c:pt>
                <c:pt idx="246">
                  <c:v>45457</c:v>
                </c:pt>
                <c:pt idx="247">
                  <c:v>45464</c:v>
                </c:pt>
                <c:pt idx="248">
                  <c:v>45471</c:v>
                </c:pt>
                <c:pt idx="249">
                  <c:v>45478</c:v>
                </c:pt>
                <c:pt idx="250">
                  <c:v>45485</c:v>
                </c:pt>
                <c:pt idx="251">
                  <c:v>45492</c:v>
                </c:pt>
                <c:pt idx="252">
                  <c:v>45499</c:v>
                </c:pt>
                <c:pt idx="253">
                  <c:v>45506</c:v>
                </c:pt>
                <c:pt idx="254">
                  <c:v>45513</c:v>
                </c:pt>
                <c:pt idx="255">
                  <c:v>45520</c:v>
                </c:pt>
                <c:pt idx="256">
                  <c:v>45527</c:v>
                </c:pt>
                <c:pt idx="257">
                  <c:v>45534</c:v>
                </c:pt>
                <c:pt idx="258">
                  <c:v>45541</c:v>
                </c:pt>
              </c:numCache>
            </c:numRef>
          </c:cat>
          <c:val>
            <c:numRef>
              <c:f>Weekly!$D$492:$D$750</c:f>
              <c:numCache>
                <c:formatCode>#,##0.00_);[Red]\(#,##0.00\)</c:formatCode>
                <c:ptCount val="259"/>
                <c:pt idx="0">
                  <c:v>1.9004000000000001</c:v>
                </c:pt>
                <c:pt idx="1">
                  <c:v>1.81315</c:v>
                </c:pt>
                <c:pt idx="2">
                  <c:v>1.7997000000000001</c:v>
                </c:pt>
                <c:pt idx="3">
                  <c:v>1.829</c:v>
                </c:pt>
                <c:pt idx="4">
                  <c:v>1.81515</c:v>
                </c:pt>
                <c:pt idx="6">
                  <c:v>1.1556999999999999</c:v>
                </c:pt>
                <c:pt idx="7">
                  <c:v>1.7278</c:v>
                </c:pt>
                <c:pt idx="8">
                  <c:v>1.7499499999999999</c:v>
                </c:pt>
                <c:pt idx="9">
                  <c:v>1.5544500000000001</c:v>
                </c:pt>
                <c:pt idx="10">
                  <c:v>1.54745</c:v>
                </c:pt>
                <c:pt idx="11">
                  <c:v>1.6351</c:v>
                </c:pt>
                <c:pt idx="12">
                  <c:v>1.7706999999999999</c:v>
                </c:pt>
                <c:pt idx="13">
                  <c:v>1.77535</c:v>
                </c:pt>
                <c:pt idx="14">
                  <c:v>1.6526000000000001</c:v>
                </c:pt>
                <c:pt idx="15">
                  <c:v>1.667</c:v>
                </c:pt>
                <c:pt idx="16">
                  <c:v>1.9987999999999999</c:v>
                </c:pt>
                <c:pt idx="17">
                  <c:v>1.9987999999999999</c:v>
                </c:pt>
                <c:pt idx="18">
                  <c:v>2.0585986668746146</c:v>
                </c:pt>
                <c:pt idx="19">
                  <c:v>2.0400999999999998</c:v>
                </c:pt>
                <c:pt idx="20">
                  <c:v>2.0017</c:v>
                </c:pt>
                <c:pt idx="21">
                  <c:v>0.94199999999999995</c:v>
                </c:pt>
                <c:pt idx="22">
                  <c:v>5.2699999999999997E-2</c:v>
                </c:pt>
                <c:pt idx="23">
                  <c:v>0.78749999999999998</c:v>
                </c:pt>
                <c:pt idx="24">
                  <c:v>1.5755999999999999</c:v>
                </c:pt>
                <c:pt idx="25">
                  <c:v>1.8088</c:v>
                </c:pt>
                <c:pt idx="26">
                  <c:v>1.9272</c:v>
                </c:pt>
                <c:pt idx="27">
                  <c:v>1.6593</c:v>
                </c:pt>
                <c:pt idx="28">
                  <c:v>1.4711000000000001</c:v>
                </c:pt>
                <c:pt idx="29">
                  <c:v>1.4761</c:v>
                </c:pt>
                <c:pt idx="30">
                  <c:v>1.4383999999999999</c:v>
                </c:pt>
                <c:pt idx="31">
                  <c:v>1.3566</c:v>
                </c:pt>
                <c:pt idx="32">
                  <c:v>1.5824</c:v>
                </c:pt>
                <c:pt idx="33">
                  <c:v>1.6749000000000001</c:v>
                </c:pt>
                <c:pt idx="34">
                  <c:v>1.7769999999999999</c:v>
                </c:pt>
                <c:pt idx="35">
                  <c:v>1.7495000000000001</c:v>
                </c:pt>
                <c:pt idx="36">
                  <c:v>1.9121999999999999</c:v>
                </c:pt>
                <c:pt idx="37">
                  <c:v>2.0975000000000001</c:v>
                </c:pt>
                <c:pt idx="38">
                  <c:v>2.0661</c:v>
                </c:pt>
                <c:pt idx="39">
                  <c:v>1.9155500000000001</c:v>
                </c:pt>
                <c:pt idx="40">
                  <c:v>2.052</c:v>
                </c:pt>
                <c:pt idx="41">
                  <c:v>2.1381999999999999</c:v>
                </c:pt>
                <c:pt idx="42">
                  <c:v>2.0310000000000001</c:v>
                </c:pt>
                <c:pt idx="43">
                  <c:v>2.0427</c:v>
                </c:pt>
                <c:pt idx="44">
                  <c:v>1.9996</c:v>
                </c:pt>
                <c:pt idx="45">
                  <c:v>2.0634999999999999</c:v>
                </c:pt>
                <c:pt idx="46">
                  <c:v>1.9553</c:v>
                </c:pt>
                <c:pt idx="47">
                  <c:v>1.98</c:v>
                </c:pt>
                <c:pt idx="48">
                  <c:v>2.0444</c:v>
                </c:pt>
                <c:pt idx="49">
                  <c:v>1.9658</c:v>
                </c:pt>
                <c:pt idx="50">
                  <c:v>2.0169999999999999</c:v>
                </c:pt>
                <c:pt idx="51">
                  <c:v>2.0381999999999998</c:v>
                </c:pt>
                <c:pt idx="52">
                  <c:v>1.95105</c:v>
                </c:pt>
                <c:pt idx="53">
                  <c:v>1.9716499999999999</c:v>
                </c:pt>
                <c:pt idx="54">
                  <c:v>2.1836500000000001</c:v>
                </c:pt>
                <c:pt idx="55">
                  <c:v>2.27325</c:v>
                </c:pt>
                <c:pt idx="56">
                  <c:v>1.8735999999999999</c:v>
                </c:pt>
                <c:pt idx="57">
                  <c:v>1.3875500000000001</c:v>
                </c:pt>
                <c:pt idx="58">
                  <c:v>2.0882999999999998</c:v>
                </c:pt>
                <c:pt idx="59">
                  <c:v>2.1972499999999999</c:v>
                </c:pt>
                <c:pt idx="60">
                  <c:v>2.09348</c:v>
                </c:pt>
                <c:pt idx="61">
                  <c:v>2.09558</c:v>
                </c:pt>
                <c:pt idx="62">
                  <c:v>2.1200800000000002</c:v>
                </c:pt>
                <c:pt idx="63">
                  <c:v>2.0356800000000002</c:v>
                </c:pt>
                <c:pt idx="64">
                  <c:v>1.84328</c:v>
                </c:pt>
                <c:pt idx="65">
                  <c:v>1.7896799999999999</c:v>
                </c:pt>
                <c:pt idx="66">
                  <c:v>1.95078</c:v>
                </c:pt>
                <c:pt idx="67">
                  <c:v>2.00718</c:v>
                </c:pt>
                <c:pt idx="68">
                  <c:v>1.88208</c:v>
                </c:pt>
                <c:pt idx="69">
                  <c:v>1.8599462029662295</c:v>
                </c:pt>
                <c:pt idx="70">
                  <c:v>1.68458</c:v>
                </c:pt>
                <c:pt idx="71">
                  <c:v>1.9819800000000001</c:v>
                </c:pt>
                <c:pt idx="72">
                  <c:v>2.1076199999999998</c:v>
                </c:pt>
                <c:pt idx="73">
                  <c:v>2.1488</c:v>
                </c:pt>
                <c:pt idx="74">
                  <c:v>1.9873000000000001</c:v>
                </c:pt>
                <c:pt idx="75">
                  <c:v>0.91359999999999997</c:v>
                </c:pt>
                <c:pt idx="76">
                  <c:v>0.32900000000000001</c:v>
                </c:pt>
                <c:pt idx="77">
                  <c:v>1.5192000000000001</c:v>
                </c:pt>
                <c:pt idx="78">
                  <c:v>1.6815</c:v>
                </c:pt>
                <c:pt idx="79">
                  <c:v>1.4487000000000001</c:v>
                </c:pt>
                <c:pt idx="80">
                  <c:v>1.57</c:v>
                </c:pt>
                <c:pt idx="81">
                  <c:v>1.56</c:v>
                </c:pt>
                <c:pt idx="82">
                  <c:v>1.55</c:v>
                </c:pt>
                <c:pt idx="83">
                  <c:v>1.36</c:v>
                </c:pt>
                <c:pt idx="84">
                  <c:v>1.62</c:v>
                </c:pt>
                <c:pt idx="85">
                  <c:v>1.78</c:v>
                </c:pt>
                <c:pt idx="86" formatCode="General">
                  <c:v>1.82</c:v>
                </c:pt>
                <c:pt idx="88" formatCode="General">
                  <c:v>1.88</c:v>
                </c:pt>
                <c:pt idx="89" formatCode="General">
                  <c:v>1.92</c:v>
                </c:pt>
                <c:pt idx="90" formatCode="General">
                  <c:v>2.0699999999999998</c:v>
                </c:pt>
                <c:pt idx="91" formatCode="General">
                  <c:v>2.02</c:v>
                </c:pt>
                <c:pt idx="92" formatCode="General">
                  <c:v>1.95</c:v>
                </c:pt>
                <c:pt idx="93" formatCode="General">
                  <c:v>1.9</c:v>
                </c:pt>
                <c:pt idx="94" formatCode="General">
                  <c:v>1.72</c:v>
                </c:pt>
                <c:pt idx="95" formatCode="General">
                  <c:v>1.69</c:v>
                </c:pt>
                <c:pt idx="96" formatCode="General">
                  <c:v>1.78</c:v>
                </c:pt>
                <c:pt idx="97" formatCode="General">
                  <c:v>1.73</c:v>
                </c:pt>
                <c:pt idx="98" formatCode="General">
                  <c:v>1.88</c:v>
                </c:pt>
                <c:pt idx="99" formatCode="General">
                  <c:v>1.72</c:v>
                </c:pt>
                <c:pt idx="100" formatCode="General">
                  <c:v>1.78</c:v>
                </c:pt>
                <c:pt idx="101" formatCode="General">
                  <c:v>1.97</c:v>
                </c:pt>
                <c:pt idx="102" formatCode="General">
                  <c:v>2.0099999999999998</c:v>
                </c:pt>
                <c:pt idx="103" formatCode="General">
                  <c:v>1.98</c:v>
                </c:pt>
                <c:pt idx="104" formatCode="General">
                  <c:v>1.73</c:v>
                </c:pt>
                <c:pt idx="105" formatCode="General">
                  <c:v>1.86</c:v>
                </c:pt>
                <c:pt idx="106" formatCode="General">
                  <c:v>1.89</c:v>
                </c:pt>
                <c:pt idx="107" formatCode="General">
                  <c:v>1.71</c:v>
                </c:pt>
                <c:pt idx="109" formatCode="General">
                  <c:v>1.41</c:v>
                </c:pt>
                <c:pt idx="110" formatCode="General">
                  <c:v>1.67</c:v>
                </c:pt>
                <c:pt idx="111" formatCode="General">
                  <c:v>1.6</c:v>
                </c:pt>
                <c:pt idx="112" formatCode="General">
                  <c:v>1.89</c:v>
                </c:pt>
                <c:pt idx="113" formatCode="General">
                  <c:v>2.0699999999999998</c:v>
                </c:pt>
                <c:pt idx="114" formatCode="General">
                  <c:v>1.95</c:v>
                </c:pt>
                <c:pt idx="115" formatCode="General">
                  <c:v>1.89</c:v>
                </c:pt>
                <c:pt idx="116" formatCode="General">
                  <c:v>2.02</c:v>
                </c:pt>
                <c:pt idx="117" formatCode="General">
                  <c:v>1.89</c:v>
                </c:pt>
                <c:pt idx="118" formatCode="General">
                  <c:v>1.91</c:v>
                </c:pt>
                <c:pt idx="119" formatCode="General">
                  <c:v>1.84</c:v>
                </c:pt>
                <c:pt idx="120" formatCode="General">
                  <c:v>1.79</c:v>
                </c:pt>
                <c:pt idx="121" formatCode="General">
                  <c:v>1.59</c:v>
                </c:pt>
                <c:pt idx="122" formatCode="General">
                  <c:v>1.46</c:v>
                </c:pt>
                <c:pt idx="123" formatCode="General">
                  <c:v>1.89</c:v>
                </c:pt>
                <c:pt idx="124" formatCode="General">
                  <c:v>2.15</c:v>
                </c:pt>
                <c:pt idx="126" formatCode="General">
                  <c:v>1.173</c:v>
                </c:pt>
                <c:pt idx="127" formatCode="General">
                  <c:v>1.7</c:v>
                </c:pt>
                <c:pt idx="128" formatCode="General">
                  <c:v>1.7</c:v>
                </c:pt>
                <c:pt idx="129" formatCode="General">
                  <c:v>1.71</c:v>
                </c:pt>
                <c:pt idx="130" formatCode="General">
                  <c:v>1.48</c:v>
                </c:pt>
                <c:pt idx="131" formatCode="General">
                  <c:v>1.44</c:v>
                </c:pt>
                <c:pt idx="132" formatCode="General">
                  <c:v>1.3</c:v>
                </c:pt>
                <c:pt idx="133" formatCode="General">
                  <c:v>1.2</c:v>
                </c:pt>
                <c:pt idx="134" formatCode="General">
                  <c:v>1.07</c:v>
                </c:pt>
                <c:pt idx="135" formatCode="General">
                  <c:v>1.22</c:v>
                </c:pt>
                <c:pt idx="136" formatCode="General">
                  <c:v>1.41</c:v>
                </c:pt>
                <c:pt idx="137" formatCode="General">
                  <c:v>1.65</c:v>
                </c:pt>
                <c:pt idx="138" formatCode="General">
                  <c:v>1.77</c:v>
                </c:pt>
                <c:pt idx="139" formatCode="General">
                  <c:v>1.71</c:v>
                </c:pt>
                <c:pt idx="140" formatCode="General">
                  <c:v>1.7</c:v>
                </c:pt>
                <c:pt idx="141" formatCode="General">
                  <c:v>1.93</c:v>
                </c:pt>
                <c:pt idx="142" formatCode="General">
                  <c:v>1.88</c:v>
                </c:pt>
                <c:pt idx="143" formatCode="General">
                  <c:v>1.64</c:v>
                </c:pt>
                <c:pt idx="144" formatCode="General">
                  <c:v>1.63</c:v>
                </c:pt>
                <c:pt idx="145" formatCode="General">
                  <c:v>1.88</c:v>
                </c:pt>
                <c:pt idx="146" formatCode="General">
                  <c:v>1.81</c:v>
                </c:pt>
                <c:pt idx="147" formatCode="General">
                  <c:v>1.82</c:v>
                </c:pt>
                <c:pt idx="148" formatCode="General">
                  <c:v>1.71</c:v>
                </c:pt>
                <c:pt idx="149" formatCode="General">
                  <c:v>1.7</c:v>
                </c:pt>
                <c:pt idx="150" formatCode="General">
                  <c:v>1.68</c:v>
                </c:pt>
                <c:pt idx="151" formatCode="General">
                  <c:v>1.74</c:v>
                </c:pt>
                <c:pt idx="152" formatCode="General">
                  <c:v>1.68</c:v>
                </c:pt>
                <c:pt idx="153" formatCode="General">
                  <c:v>1.66</c:v>
                </c:pt>
                <c:pt idx="154" formatCode="General">
                  <c:v>1.73</c:v>
                </c:pt>
                <c:pt idx="155" formatCode="General">
                  <c:v>1.98</c:v>
                </c:pt>
                <c:pt idx="156" formatCode="General">
                  <c:v>1.96</c:v>
                </c:pt>
                <c:pt idx="157" formatCode="General">
                  <c:v>1.96</c:v>
                </c:pt>
                <c:pt idx="158" formatCode="General">
                  <c:v>1.81</c:v>
                </c:pt>
                <c:pt idx="159" formatCode="General">
                  <c:v>2.0499999999999998</c:v>
                </c:pt>
                <c:pt idx="160" formatCode="General">
                  <c:v>1.52</c:v>
                </c:pt>
                <c:pt idx="162" formatCode="General">
                  <c:v>1.65</c:v>
                </c:pt>
                <c:pt idx="163" formatCode="General">
                  <c:v>1.61</c:v>
                </c:pt>
                <c:pt idx="164" formatCode="General">
                  <c:v>1.68</c:v>
                </c:pt>
                <c:pt idx="165" formatCode="General">
                  <c:v>1.52</c:v>
                </c:pt>
                <c:pt idx="166" formatCode="General">
                  <c:v>1.53</c:v>
                </c:pt>
                <c:pt idx="167" formatCode="General">
                  <c:v>1.53</c:v>
                </c:pt>
                <c:pt idx="168" formatCode="General">
                  <c:v>1.98</c:v>
                </c:pt>
                <c:pt idx="169" formatCode="General">
                  <c:v>2.0299999999999998</c:v>
                </c:pt>
                <c:pt idx="170" formatCode="General">
                  <c:v>1.98</c:v>
                </c:pt>
                <c:pt idx="171" formatCode="General">
                  <c:v>2.08</c:v>
                </c:pt>
                <c:pt idx="172" formatCode="General">
                  <c:v>2.11</c:v>
                </c:pt>
                <c:pt idx="173" formatCode="General">
                  <c:v>1.99</c:v>
                </c:pt>
                <c:pt idx="175" formatCode="General">
                  <c:v>2.08</c:v>
                </c:pt>
                <c:pt idx="176" formatCode="General">
                  <c:v>0.03</c:v>
                </c:pt>
                <c:pt idx="178" formatCode="General">
                  <c:v>1.28</c:v>
                </c:pt>
                <c:pt idx="179" formatCode="General">
                  <c:v>2.06</c:v>
                </c:pt>
                <c:pt idx="180" formatCode="General">
                  <c:v>1.71</c:v>
                </c:pt>
                <c:pt idx="181" formatCode="General">
                  <c:v>1.65</c:v>
                </c:pt>
                <c:pt idx="182" formatCode="General">
                  <c:v>1.47</c:v>
                </c:pt>
                <c:pt idx="183" formatCode="General">
                  <c:v>1.45</c:v>
                </c:pt>
                <c:pt idx="184" formatCode="General">
                  <c:v>1.53</c:v>
                </c:pt>
                <c:pt idx="185" formatCode="General">
                  <c:v>1.48</c:v>
                </c:pt>
                <c:pt idx="186" formatCode="General">
                  <c:v>1.38</c:v>
                </c:pt>
                <c:pt idx="187" formatCode="General">
                  <c:v>1.59</c:v>
                </c:pt>
                <c:pt idx="188" formatCode="General">
                  <c:v>1.64</c:v>
                </c:pt>
                <c:pt idx="189" formatCode="General">
                  <c:v>1.59</c:v>
                </c:pt>
                <c:pt idx="190" formatCode="General">
                  <c:v>1.64</c:v>
                </c:pt>
                <c:pt idx="191" formatCode="General">
                  <c:v>0.8</c:v>
                </c:pt>
                <c:pt idx="192" formatCode="General">
                  <c:v>1.98</c:v>
                </c:pt>
                <c:pt idx="193" formatCode="General">
                  <c:v>1.73</c:v>
                </c:pt>
                <c:pt idx="194" formatCode="General">
                  <c:v>1.89</c:v>
                </c:pt>
                <c:pt idx="195" formatCode="General">
                  <c:v>2.04</c:v>
                </c:pt>
                <c:pt idx="196" formatCode="General">
                  <c:v>2.16</c:v>
                </c:pt>
                <c:pt idx="197" formatCode="General">
                  <c:v>2.11</c:v>
                </c:pt>
                <c:pt idx="198" formatCode="General">
                  <c:v>2.2400000000000002</c:v>
                </c:pt>
                <c:pt idx="199" formatCode="General">
                  <c:v>2.08</c:v>
                </c:pt>
                <c:pt idx="200" formatCode="General">
                  <c:v>1.86</c:v>
                </c:pt>
                <c:pt idx="201" formatCode="General">
                  <c:v>1.77</c:v>
                </c:pt>
                <c:pt idx="202" formatCode="General">
                  <c:v>2.11</c:v>
                </c:pt>
                <c:pt idx="203" formatCode="General">
                  <c:v>2.2200000000000002</c:v>
                </c:pt>
                <c:pt idx="204" formatCode="General">
                  <c:v>2.16</c:v>
                </c:pt>
                <c:pt idx="205" formatCode="General">
                  <c:v>2.02</c:v>
                </c:pt>
                <c:pt idx="206" formatCode="General">
                  <c:v>2.1</c:v>
                </c:pt>
                <c:pt idx="207" formatCode="General">
                  <c:v>2.15</c:v>
                </c:pt>
                <c:pt idx="208" formatCode="General">
                  <c:v>2</c:v>
                </c:pt>
                <c:pt idx="209" formatCode="General">
                  <c:v>2.04</c:v>
                </c:pt>
                <c:pt idx="210" formatCode="General">
                  <c:v>1.97</c:v>
                </c:pt>
                <c:pt idx="211" formatCode="General">
                  <c:v>2.04</c:v>
                </c:pt>
                <c:pt idx="212" formatCode="General">
                  <c:v>2.15</c:v>
                </c:pt>
                <c:pt idx="213" formatCode="General">
                  <c:v>0.93</c:v>
                </c:pt>
                <c:pt idx="214" formatCode="General">
                  <c:v>1.57</c:v>
                </c:pt>
                <c:pt idx="215" formatCode="General">
                  <c:v>2.0299999999999998</c:v>
                </c:pt>
                <c:pt idx="216" formatCode="General">
                  <c:v>1.77</c:v>
                </c:pt>
                <c:pt idx="217" formatCode="General">
                  <c:v>1.7</c:v>
                </c:pt>
                <c:pt idx="218" formatCode="General">
                  <c:v>1.7</c:v>
                </c:pt>
                <c:pt idx="219" formatCode="General">
                  <c:v>1.85</c:v>
                </c:pt>
                <c:pt idx="220" formatCode="General">
                  <c:v>2.02</c:v>
                </c:pt>
                <c:pt idx="221" formatCode="General">
                  <c:v>2.02</c:v>
                </c:pt>
                <c:pt idx="222" formatCode="General">
                  <c:v>1.87</c:v>
                </c:pt>
                <c:pt idx="223" formatCode="General">
                  <c:v>1.88</c:v>
                </c:pt>
                <c:pt idx="224" formatCode="General">
                  <c:v>1.73</c:v>
                </c:pt>
                <c:pt idx="225" formatCode="General">
                  <c:v>1.8</c:v>
                </c:pt>
                <c:pt idx="226" formatCode="General">
                  <c:v>1.63</c:v>
                </c:pt>
                <c:pt idx="227" formatCode="General">
                  <c:v>1.73</c:v>
                </c:pt>
                <c:pt idx="228" formatCode="General">
                  <c:v>1.82</c:v>
                </c:pt>
                <c:pt idx="229" formatCode="General">
                  <c:v>1.99</c:v>
                </c:pt>
                <c:pt idx="230" formatCode="General">
                  <c:v>1.91</c:v>
                </c:pt>
                <c:pt idx="231" formatCode="General">
                  <c:v>0.79</c:v>
                </c:pt>
                <c:pt idx="232" formatCode="General">
                  <c:v>1.1299999999999999</c:v>
                </c:pt>
                <c:pt idx="233" formatCode="General">
                  <c:v>1.64</c:v>
                </c:pt>
                <c:pt idx="234" formatCode="General">
                  <c:v>1.53</c:v>
                </c:pt>
                <c:pt idx="235" formatCode="General">
                  <c:v>1.52</c:v>
                </c:pt>
                <c:pt idx="236" formatCode="General">
                  <c:v>1.52</c:v>
                </c:pt>
                <c:pt idx="237" formatCode="General">
                  <c:v>1.77</c:v>
                </c:pt>
                <c:pt idx="238" formatCode="General">
                  <c:v>1.95</c:v>
                </c:pt>
                <c:pt idx="239" formatCode="General">
                  <c:v>1.92</c:v>
                </c:pt>
                <c:pt idx="240" formatCode="General">
                  <c:v>1.72</c:v>
                </c:pt>
                <c:pt idx="241" formatCode="General">
                  <c:v>1.8</c:v>
                </c:pt>
                <c:pt idx="242" formatCode="General">
                  <c:v>1.89</c:v>
                </c:pt>
                <c:pt idx="243" formatCode="General">
                  <c:v>2.0099999999999998</c:v>
                </c:pt>
                <c:pt idx="244" formatCode="General">
                  <c:v>2.16</c:v>
                </c:pt>
                <c:pt idx="245" formatCode="General">
                  <c:v>1.97</c:v>
                </c:pt>
                <c:pt idx="246" formatCode="General">
                  <c:v>1.9</c:v>
                </c:pt>
                <c:pt idx="247" formatCode="General">
                  <c:v>1.94</c:v>
                </c:pt>
                <c:pt idx="248" formatCode="General">
                  <c:v>2.1800000000000002</c:v>
                </c:pt>
                <c:pt idx="249" formatCode="General">
                  <c:v>1.99</c:v>
                </c:pt>
                <c:pt idx="250" formatCode="General">
                  <c:v>2.06</c:v>
                </c:pt>
                <c:pt idx="251" formatCode="General">
                  <c:v>1.9</c:v>
                </c:pt>
                <c:pt idx="252" formatCode="General">
                  <c:v>1.97</c:v>
                </c:pt>
                <c:pt idx="253" formatCode="General">
                  <c:v>2.0699999999999998</c:v>
                </c:pt>
                <c:pt idx="254" formatCode="General">
                  <c:v>2.08</c:v>
                </c:pt>
                <c:pt idx="255" formatCode="General">
                  <c:v>2.02</c:v>
                </c:pt>
                <c:pt idx="256" formatCode="General">
                  <c:v>2.0499999999999998</c:v>
                </c:pt>
                <c:pt idx="257" formatCode="General">
                  <c:v>2.0499999999999998</c:v>
                </c:pt>
                <c:pt idx="258" formatCode="General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D-49A6-94BF-513B71EF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736"/>
        <c:axId val="819480544"/>
      </c:lineChart>
      <c:lineChart>
        <c:grouping val="standard"/>
        <c:varyColors val="0"/>
        <c:ser>
          <c:idx val="1"/>
          <c:order val="1"/>
          <c:tx>
            <c:strRef>
              <c:f>Weekly!$H$1</c:f>
              <c:strCache>
                <c:ptCount val="1"/>
                <c:pt idx="0">
                  <c:v>Chinese Soybean Port Stocks</c:v>
                </c:pt>
              </c:strCache>
            </c:strRef>
          </c:tx>
          <c:spPr>
            <a:ln w="15875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722E"/>
              </a:solidFill>
              <a:ln w="15875">
                <a:solidFill>
                  <a:srgbClr val="C4722E"/>
                </a:solidFill>
              </a:ln>
              <a:effectLst/>
            </c:spPr>
          </c:marker>
          <c:val>
            <c:numRef>
              <c:f>Weekly!$H$492:$H$750</c:f>
              <c:numCache>
                <c:formatCode>#,##0.00_);[Red]\(#,##0.00\)</c:formatCode>
                <c:ptCount val="259"/>
                <c:pt idx="0">
                  <c:v>6.4229999999999992</c:v>
                </c:pt>
                <c:pt idx="1">
                  <c:v>6.5739999999999998</c:v>
                </c:pt>
                <c:pt idx="2">
                  <c:v>6.5250000000000004</c:v>
                </c:pt>
                <c:pt idx="3">
                  <c:v>5.8339999999999996</c:v>
                </c:pt>
                <c:pt idx="4">
                  <c:v>5.226</c:v>
                </c:pt>
                <c:pt idx="6">
                  <c:v>5.2720000000000002</c:v>
                </c:pt>
                <c:pt idx="7">
                  <c:v>5.0489999999999995</c:v>
                </c:pt>
                <c:pt idx="8">
                  <c:v>4.6260000000000003</c:v>
                </c:pt>
                <c:pt idx="9">
                  <c:v>4.3739999999999997</c:v>
                </c:pt>
                <c:pt idx="10">
                  <c:v>4.532</c:v>
                </c:pt>
                <c:pt idx="11">
                  <c:v>4.4910000000000005</c:v>
                </c:pt>
                <c:pt idx="12">
                  <c:v>4.4050000000000002</c:v>
                </c:pt>
                <c:pt idx="13">
                  <c:v>4.3469999999999995</c:v>
                </c:pt>
                <c:pt idx="14">
                  <c:v>4.6930000000000005</c:v>
                </c:pt>
                <c:pt idx="15">
                  <c:v>4.7439999999999998</c:v>
                </c:pt>
                <c:pt idx="16">
                  <c:v>5.1679999999999993</c:v>
                </c:pt>
                <c:pt idx="17">
                  <c:v>4.7439999999999998</c:v>
                </c:pt>
                <c:pt idx="18">
                  <c:v>5.5712000000000002</c:v>
                </c:pt>
                <c:pt idx="19">
                  <c:v>5.3812999999999995</c:v>
                </c:pt>
                <c:pt idx="20">
                  <c:v>5.2003999999999992</c:v>
                </c:pt>
                <c:pt idx="23">
                  <c:v>6.1738999999999997</c:v>
                </c:pt>
                <c:pt idx="24">
                  <c:v>6.3426999999999998</c:v>
                </c:pt>
                <c:pt idx="25">
                  <c:v>5.6715</c:v>
                </c:pt>
                <c:pt idx="26">
                  <c:v>4.9161999999999999</c:v>
                </c:pt>
                <c:pt idx="27">
                  <c:v>3.9169</c:v>
                </c:pt>
                <c:pt idx="28">
                  <c:v>3.3689</c:v>
                </c:pt>
                <c:pt idx="29">
                  <c:v>3.5470999999999999</c:v>
                </c:pt>
                <c:pt idx="30">
                  <c:v>3.4898000000000002</c:v>
                </c:pt>
                <c:pt idx="31">
                  <c:v>3.6738999999999997</c:v>
                </c:pt>
                <c:pt idx="32">
                  <c:v>3.4074</c:v>
                </c:pt>
                <c:pt idx="33">
                  <c:v>3.7673000000000001</c:v>
                </c:pt>
                <c:pt idx="34">
                  <c:v>4.2625000000000002</c:v>
                </c:pt>
                <c:pt idx="35">
                  <c:v>4.3416000000000006</c:v>
                </c:pt>
                <c:pt idx="36">
                  <c:v>5.2992999999999997</c:v>
                </c:pt>
                <c:pt idx="37">
                  <c:v>5.8888999999999996</c:v>
                </c:pt>
                <c:pt idx="38">
                  <c:v>6.0004</c:v>
                </c:pt>
                <c:pt idx="39">
                  <c:v>6.2752999999999997</c:v>
                </c:pt>
                <c:pt idx="40">
                  <c:v>6.5129999999999999</c:v>
                </c:pt>
                <c:pt idx="41">
                  <c:v>6.5625</c:v>
                </c:pt>
                <c:pt idx="42">
                  <c:v>7.2134999999999998</c:v>
                </c:pt>
                <c:pt idx="43">
                  <c:v>7.1577000000000002</c:v>
                </c:pt>
                <c:pt idx="44">
                  <c:v>7.1825000000000001</c:v>
                </c:pt>
                <c:pt idx="45">
                  <c:v>7.3902000000000001</c:v>
                </c:pt>
                <c:pt idx="46">
                  <c:v>7.0091000000000001</c:v>
                </c:pt>
                <c:pt idx="47">
                  <c:v>7.2481000000000009</c:v>
                </c:pt>
                <c:pt idx="48">
                  <c:v>7.4871000000000008</c:v>
                </c:pt>
                <c:pt idx="49">
                  <c:v>7.6891999999999996</c:v>
                </c:pt>
                <c:pt idx="50">
                  <c:v>7.8329999999999993</c:v>
                </c:pt>
                <c:pt idx="51">
                  <c:v>7.8329999999999993</c:v>
                </c:pt>
                <c:pt idx="52">
                  <c:v>7.8098000000000001</c:v>
                </c:pt>
                <c:pt idx="53">
                  <c:v>7.9340000000000002</c:v>
                </c:pt>
                <c:pt idx="54">
                  <c:v>7.5637999999999996</c:v>
                </c:pt>
                <c:pt idx="55">
                  <c:v>7.4853999999999994</c:v>
                </c:pt>
                <c:pt idx="57">
                  <c:v>7.1227999999999998</c:v>
                </c:pt>
                <c:pt idx="58">
                  <c:v>7.0214999999999996</c:v>
                </c:pt>
                <c:pt idx="59">
                  <c:v>6.5763999999999996</c:v>
                </c:pt>
                <c:pt idx="60">
                  <c:v>6.9630999999999998</c:v>
                </c:pt>
                <c:pt idx="61">
                  <c:v>7.2403999999999993</c:v>
                </c:pt>
                <c:pt idx="62">
                  <c:v>7.2659000000000002</c:v>
                </c:pt>
                <c:pt idx="63">
                  <c:v>6.9699</c:v>
                </c:pt>
                <c:pt idx="64">
                  <c:v>6.4369000000000005</c:v>
                </c:pt>
                <c:pt idx="65">
                  <c:v>6.8207000000000004</c:v>
                </c:pt>
                <c:pt idx="66">
                  <c:v>6.7514000000000003</c:v>
                </c:pt>
                <c:pt idx="67">
                  <c:v>6.5823999999999998</c:v>
                </c:pt>
                <c:pt idx="68">
                  <c:v>6.6841999999999997</c:v>
                </c:pt>
                <c:pt idx="69">
                  <c:v>6.2144000000000004</c:v>
                </c:pt>
                <c:pt idx="70">
                  <c:v>6.4760999999999997</c:v>
                </c:pt>
                <c:pt idx="71">
                  <c:v>6.4253</c:v>
                </c:pt>
                <c:pt idx="72">
                  <c:v>5.8422999999999998</c:v>
                </c:pt>
                <c:pt idx="73">
                  <c:v>5.4873000000000003</c:v>
                </c:pt>
                <c:pt idx="74">
                  <c:v>4.8377999999999997</c:v>
                </c:pt>
                <c:pt idx="75">
                  <c:v>5.4472000000000005</c:v>
                </c:pt>
                <c:pt idx="76">
                  <c:v>5.7303999999999995</c:v>
                </c:pt>
                <c:pt idx="77">
                  <c:v>6.0152999999999999</c:v>
                </c:pt>
                <c:pt idx="78">
                  <c:v>5.7558000000000007</c:v>
                </c:pt>
                <c:pt idx="79">
                  <c:v>5.2652999999999999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237" formatCode="General">
                  <c:v>3.91</c:v>
                </c:pt>
                <c:pt idx="238" formatCode="General">
                  <c:v>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D-49A6-94BF-513B71EF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531320"/>
        <c:axId val="1267530992"/>
      </c:lineChart>
      <c:dateAx>
        <c:axId val="819468736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80544"/>
        <c:crosses val="autoZero"/>
        <c:auto val="1"/>
        <c:lblOffset val="100"/>
        <c:baseTimeUnit val="days"/>
        <c:majorUnit val="30"/>
        <c:majorTimeUnit val="days"/>
      </c:dateAx>
      <c:valAx>
        <c:axId val="8194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68736"/>
        <c:crosses val="autoZero"/>
        <c:crossBetween val="between"/>
      </c:valAx>
      <c:valAx>
        <c:axId val="1267530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7531320"/>
        <c:crosses val="max"/>
        <c:crossBetween val="between"/>
      </c:valAx>
      <c:catAx>
        <c:axId val="1267531320"/>
        <c:scaling>
          <c:orientation val="minMax"/>
        </c:scaling>
        <c:delete val="1"/>
        <c:axPos val="b"/>
        <c:majorTickMark val="out"/>
        <c:minorTickMark val="none"/>
        <c:tickLblPos val="nextTo"/>
        <c:crossAx val="1267530992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43233493505494702"/>
          <c:y val="0.67587755582687326"/>
          <c:w val="0.32057151508094617"/>
          <c:h val="0.10256578838620864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18850086395286"/>
          <c:y val="0.18164520322249753"/>
          <c:w val="0.86610401265128412"/>
          <c:h val="0.72643570080632935"/>
        </c:manualLayout>
      </c:layout>
      <c:lineChart>
        <c:grouping val="standard"/>
        <c:varyColors val="0"/>
        <c:ser>
          <c:idx val="0"/>
          <c:order val="0"/>
          <c:tx>
            <c:strRef>
              <c:f>Weekly!$S$1</c:f>
              <c:strCache>
                <c:ptCount val="1"/>
                <c:pt idx="0">
                  <c:v>Soybean Crush Margin - Dalian - Imported Soybeans</c:v>
                </c:pt>
              </c:strCache>
            </c:strRef>
          </c:tx>
          <c:spPr>
            <a:ln w="19050" cap="rnd">
              <a:solidFill>
                <a:srgbClr val="C4722E"/>
              </a:solidFill>
              <a:round/>
            </a:ln>
            <a:effectLst/>
          </c:spPr>
          <c:marker>
            <c:symbol val="none"/>
          </c:marker>
          <c:cat>
            <c:numRef>
              <c:f>Weekly!$A$2:$A$750</c:f>
              <c:numCache>
                <c:formatCode>m/d/yyyy</c:formatCode>
                <c:ptCount val="749"/>
                <c:pt idx="0">
                  <c:v>40280</c:v>
                </c:pt>
                <c:pt idx="1">
                  <c:v>40287</c:v>
                </c:pt>
                <c:pt idx="2">
                  <c:v>40294</c:v>
                </c:pt>
                <c:pt idx="3">
                  <c:v>40301</c:v>
                </c:pt>
                <c:pt idx="4">
                  <c:v>40308</c:v>
                </c:pt>
                <c:pt idx="5">
                  <c:v>40315</c:v>
                </c:pt>
                <c:pt idx="6">
                  <c:v>40322</c:v>
                </c:pt>
                <c:pt idx="7">
                  <c:v>40329</c:v>
                </c:pt>
                <c:pt idx="8">
                  <c:v>40336</c:v>
                </c:pt>
                <c:pt idx="9">
                  <c:v>40343</c:v>
                </c:pt>
                <c:pt idx="10">
                  <c:v>40350</c:v>
                </c:pt>
                <c:pt idx="11">
                  <c:v>40357</c:v>
                </c:pt>
                <c:pt idx="12">
                  <c:v>40364</c:v>
                </c:pt>
                <c:pt idx="13">
                  <c:v>40371</c:v>
                </c:pt>
                <c:pt idx="14">
                  <c:v>40378</c:v>
                </c:pt>
                <c:pt idx="15">
                  <c:v>40385</c:v>
                </c:pt>
                <c:pt idx="16">
                  <c:v>40392</c:v>
                </c:pt>
                <c:pt idx="17">
                  <c:v>40399</c:v>
                </c:pt>
                <c:pt idx="18">
                  <c:v>40406</c:v>
                </c:pt>
                <c:pt idx="19">
                  <c:v>40413</c:v>
                </c:pt>
                <c:pt idx="20">
                  <c:v>40420</c:v>
                </c:pt>
                <c:pt idx="21">
                  <c:v>40427</c:v>
                </c:pt>
                <c:pt idx="22">
                  <c:v>40434</c:v>
                </c:pt>
                <c:pt idx="23">
                  <c:v>40441</c:v>
                </c:pt>
                <c:pt idx="24">
                  <c:v>40448</c:v>
                </c:pt>
                <c:pt idx="25">
                  <c:v>40455</c:v>
                </c:pt>
                <c:pt idx="26">
                  <c:v>40462</c:v>
                </c:pt>
                <c:pt idx="27">
                  <c:v>40469</c:v>
                </c:pt>
                <c:pt idx="28">
                  <c:v>40476</c:v>
                </c:pt>
                <c:pt idx="29">
                  <c:v>40483</c:v>
                </c:pt>
                <c:pt idx="30">
                  <c:v>40490</c:v>
                </c:pt>
                <c:pt idx="31">
                  <c:v>40497</c:v>
                </c:pt>
                <c:pt idx="32">
                  <c:v>40504</c:v>
                </c:pt>
                <c:pt idx="33">
                  <c:v>40511</c:v>
                </c:pt>
                <c:pt idx="34">
                  <c:v>40518</c:v>
                </c:pt>
                <c:pt idx="35">
                  <c:v>40525</c:v>
                </c:pt>
                <c:pt idx="36">
                  <c:v>40532</c:v>
                </c:pt>
                <c:pt idx="37">
                  <c:v>40539</c:v>
                </c:pt>
                <c:pt idx="38">
                  <c:v>40546</c:v>
                </c:pt>
                <c:pt idx="39">
                  <c:v>40553</c:v>
                </c:pt>
                <c:pt idx="40">
                  <c:v>40560</c:v>
                </c:pt>
                <c:pt idx="41">
                  <c:v>40567</c:v>
                </c:pt>
                <c:pt idx="42">
                  <c:v>40574</c:v>
                </c:pt>
                <c:pt idx="43">
                  <c:v>40581</c:v>
                </c:pt>
                <c:pt idx="44">
                  <c:v>40588</c:v>
                </c:pt>
                <c:pt idx="45">
                  <c:v>40595</c:v>
                </c:pt>
                <c:pt idx="46">
                  <c:v>40602</c:v>
                </c:pt>
                <c:pt idx="47">
                  <c:v>40609</c:v>
                </c:pt>
                <c:pt idx="48">
                  <c:v>40616</c:v>
                </c:pt>
                <c:pt idx="49">
                  <c:v>40623</c:v>
                </c:pt>
                <c:pt idx="50">
                  <c:v>40630</c:v>
                </c:pt>
                <c:pt idx="51">
                  <c:v>40637</c:v>
                </c:pt>
                <c:pt idx="52">
                  <c:v>40644</c:v>
                </c:pt>
                <c:pt idx="53">
                  <c:v>40651</c:v>
                </c:pt>
                <c:pt idx="54">
                  <c:v>40658</c:v>
                </c:pt>
                <c:pt idx="55">
                  <c:v>40665</c:v>
                </c:pt>
                <c:pt idx="56">
                  <c:v>40672</c:v>
                </c:pt>
                <c:pt idx="57">
                  <c:v>40679</c:v>
                </c:pt>
                <c:pt idx="58">
                  <c:v>40686</c:v>
                </c:pt>
                <c:pt idx="59">
                  <c:v>40693</c:v>
                </c:pt>
                <c:pt idx="60">
                  <c:v>40700</c:v>
                </c:pt>
                <c:pt idx="61">
                  <c:v>40707</c:v>
                </c:pt>
                <c:pt idx="62">
                  <c:v>40714</c:v>
                </c:pt>
                <c:pt idx="63">
                  <c:v>40721</c:v>
                </c:pt>
                <c:pt idx="64">
                  <c:v>40728</c:v>
                </c:pt>
                <c:pt idx="65">
                  <c:v>40735</c:v>
                </c:pt>
                <c:pt idx="66">
                  <c:v>40742</c:v>
                </c:pt>
                <c:pt idx="67">
                  <c:v>40749</c:v>
                </c:pt>
                <c:pt idx="68">
                  <c:v>40756</c:v>
                </c:pt>
                <c:pt idx="69">
                  <c:v>40763</c:v>
                </c:pt>
                <c:pt idx="70">
                  <c:v>40770</c:v>
                </c:pt>
                <c:pt idx="71">
                  <c:v>40777</c:v>
                </c:pt>
                <c:pt idx="72">
                  <c:v>40784</c:v>
                </c:pt>
                <c:pt idx="73">
                  <c:v>40791</c:v>
                </c:pt>
                <c:pt idx="74">
                  <c:v>40798</c:v>
                </c:pt>
                <c:pt idx="75">
                  <c:v>40805</c:v>
                </c:pt>
                <c:pt idx="76">
                  <c:v>40812</c:v>
                </c:pt>
                <c:pt idx="77">
                  <c:v>40819</c:v>
                </c:pt>
                <c:pt idx="78">
                  <c:v>40826</c:v>
                </c:pt>
                <c:pt idx="79">
                  <c:v>40833</c:v>
                </c:pt>
                <c:pt idx="80">
                  <c:v>40840</c:v>
                </c:pt>
                <c:pt idx="81">
                  <c:v>40847</c:v>
                </c:pt>
                <c:pt idx="82">
                  <c:v>40854</c:v>
                </c:pt>
                <c:pt idx="83">
                  <c:v>40861</c:v>
                </c:pt>
                <c:pt idx="84">
                  <c:v>40868</c:v>
                </c:pt>
                <c:pt idx="85">
                  <c:v>40875</c:v>
                </c:pt>
                <c:pt idx="86">
                  <c:v>40882</c:v>
                </c:pt>
                <c:pt idx="87">
                  <c:v>40889</c:v>
                </c:pt>
                <c:pt idx="88">
                  <c:v>40896</c:v>
                </c:pt>
                <c:pt idx="89">
                  <c:v>40903</c:v>
                </c:pt>
                <c:pt idx="90">
                  <c:v>40910</c:v>
                </c:pt>
                <c:pt idx="91">
                  <c:v>40917</c:v>
                </c:pt>
                <c:pt idx="92">
                  <c:v>40924</c:v>
                </c:pt>
                <c:pt idx="93">
                  <c:v>40931</c:v>
                </c:pt>
                <c:pt idx="94">
                  <c:v>40938</c:v>
                </c:pt>
                <c:pt idx="95">
                  <c:v>40945</c:v>
                </c:pt>
                <c:pt idx="96">
                  <c:v>40952</c:v>
                </c:pt>
                <c:pt idx="97">
                  <c:v>40959</c:v>
                </c:pt>
                <c:pt idx="98">
                  <c:v>40966</c:v>
                </c:pt>
                <c:pt idx="99">
                  <c:v>40973</c:v>
                </c:pt>
                <c:pt idx="100">
                  <c:v>40980</c:v>
                </c:pt>
                <c:pt idx="101">
                  <c:v>40987</c:v>
                </c:pt>
                <c:pt idx="102">
                  <c:v>40994</c:v>
                </c:pt>
                <c:pt idx="103">
                  <c:v>41001</c:v>
                </c:pt>
                <c:pt idx="104">
                  <c:v>41008</c:v>
                </c:pt>
                <c:pt idx="105">
                  <c:v>41015</c:v>
                </c:pt>
                <c:pt idx="106">
                  <c:v>41022</c:v>
                </c:pt>
                <c:pt idx="107">
                  <c:v>41029</c:v>
                </c:pt>
                <c:pt idx="108">
                  <c:v>41036</c:v>
                </c:pt>
                <c:pt idx="109">
                  <c:v>41043</c:v>
                </c:pt>
                <c:pt idx="110">
                  <c:v>41050</c:v>
                </c:pt>
                <c:pt idx="111">
                  <c:v>41057</c:v>
                </c:pt>
                <c:pt idx="112">
                  <c:v>41064</c:v>
                </c:pt>
                <c:pt idx="113">
                  <c:v>41071</c:v>
                </c:pt>
                <c:pt idx="114">
                  <c:v>41078</c:v>
                </c:pt>
                <c:pt idx="115">
                  <c:v>41085</c:v>
                </c:pt>
                <c:pt idx="116">
                  <c:v>41092</c:v>
                </c:pt>
                <c:pt idx="117">
                  <c:v>41099</c:v>
                </c:pt>
                <c:pt idx="118">
                  <c:v>41106</c:v>
                </c:pt>
                <c:pt idx="119">
                  <c:v>41113</c:v>
                </c:pt>
                <c:pt idx="120">
                  <c:v>41120</c:v>
                </c:pt>
                <c:pt idx="121">
                  <c:v>41127</c:v>
                </c:pt>
                <c:pt idx="122">
                  <c:v>41134</c:v>
                </c:pt>
                <c:pt idx="123">
                  <c:v>41141</c:v>
                </c:pt>
                <c:pt idx="124">
                  <c:v>41148</c:v>
                </c:pt>
                <c:pt idx="125">
                  <c:v>41155</c:v>
                </c:pt>
                <c:pt idx="126">
                  <c:v>41162</c:v>
                </c:pt>
                <c:pt idx="127">
                  <c:v>41169</c:v>
                </c:pt>
                <c:pt idx="128">
                  <c:v>41176</c:v>
                </c:pt>
                <c:pt idx="129">
                  <c:v>41183</c:v>
                </c:pt>
                <c:pt idx="130">
                  <c:v>41190</c:v>
                </c:pt>
                <c:pt idx="131">
                  <c:v>41197</c:v>
                </c:pt>
                <c:pt idx="132">
                  <c:v>41204</c:v>
                </c:pt>
                <c:pt idx="133">
                  <c:v>41211</c:v>
                </c:pt>
                <c:pt idx="134">
                  <c:v>41218</c:v>
                </c:pt>
                <c:pt idx="135">
                  <c:v>41225</c:v>
                </c:pt>
                <c:pt idx="136">
                  <c:v>41232</c:v>
                </c:pt>
                <c:pt idx="137">
                  <c:v>41239</c:v>
                </c:pt>
                <c:pt idx="138">
                  <c:v>41246</c:v>
                </c:pt>
                <c:pt idx="139">
                  <c:v>41253</c:v>
                </c:pt>
                <c:pt idx="140">
                  <c:v>41260</c:v>
                </c:pt>
                <c:pt idx="141">
                  <c:v>41267</c:v>
                </c:pt>
                <c:pt idx="142">
                  <c:v>41274</c:v>
                </c:pt>
                <c:pt idx="143">
                  <c:v>41281</c:v>
                </c:pt>
                <c:pt idx="144">
                  <c:v>41288</c:v>
                </c:pt>
                <c:pt idx="145">
                  <c:v>41295</c:v>
                </c:pt>
                <c:pt idx="146">
                  <c:v>41302</c:v>
                </c:pt>
                <c:pt idx="147">
                  <c:v>41309</c:v>
                </c:pt>
                <c:pt idx="148">
                  <c:v>41316</c:v>
                </c:pt>
                <c:pt idx="149">
                  <c:v>41323</c:v>
                </c:pt>
                <c:pt idx="150">
                  <c:v>41330</c:v>
                </c:pt>
                <c:pt idx="151">
                  <c:v>41337</c:v>
                </c:pt>
                <c:pt idx="152">
                  <c:v>41344</c:v>
                </c:pt>
                <c:pt idx="153">
                  <c:v>41351</c:v>
                </c:pt>
                <c:pt idx="154">
                  <c:v>41358</c:v>
                </c:pt>
                <c:pt idx="155">
                  <c:v>41365</c:v>
                </c:pt>
                <c:pt idx="156">
                  <c:v>41372</c:v>
                </c:pt>
                <c:pt idx="157">
                  <c:v>41379</c:v>
                </c:pt>
                <c:pt idx="158">
                  <c:v>41386</c:v>
                </c:pt>
                <c:pt idx="159">
                  <c:v>41393</c:v>
                </c:pt>
                <c:pt idx="160">
                  <c:v>41400</c:v>
                </c:pt>
                <c:pt idx="161">
                  <c:v>41407</c:v>
                </c:pt>
                <c:pt idx="162">
                  <c:v>41414</c:v>
                </c:pt>
                <c:pt idx="163">
                  <c:v>41421</c:v>
                </c:pt>
                <c:pt idx="164">
                  <c:v>41428</c:v>
                </c:pt>
                <c:pt idx="165">
                  <c:v>41435</c:v>
                </c:pt>
                <c:pt idx="166">
                  <c:v>41442</c:v>
                </c:pt>
                <c:pt idx="167">
                  <c:v>41449</c:v>
                </c:pt>
                <c:pt idx="168">
                  <c:v>41456</c:v>
                </c:pt>
                <c:pt idx="169">
                  <c:v>41463</c:v>
                </c:pt>
                <c:pt idx="170">
                  <c:v>41470</c:v>
                </c:pt>
                <c:pt idx="171">
                  <c:v>41477</c:v>
                </c:pt>
                <c:pt idx="172">
                  <c:v>41484</c:v>
                </c:pt>
                <c:pt idx="173">
                  <c:v>41491</c:v>
                </c:pt>
                <c:pt idx="174">
                  <c:v>41498</c:v>
                </c:pt>
                <c:pt idx="175">
                  <c:v>41505</c:v>
                </c:pt>
                <c:pt idx="176">
                  <c:v>41512</c:v>
                </c:pt>
                <c:pt idx="177">
                  <c:v>41519</c:v>
                </c:pt>
                <c:pt idx="178">
                  <c:v>41526</c:v>
                </c:pt>
                <c:pt idx="179">
                  <c:v>41533</c:v>
                </c:pt>
                <c:pt idx="180">
                  <c:v>41540</c:v>
                </c:pt>
                <c:pt idx="181">
                  <c:v>41547</c:v>
                </c:pt>
                <c:pt idx="182">
                  <c:v>41554</c:v>
                </c:pt>
                <c:pt idx="183">
                  <c:v>41561</c:v>
                </c:pt>
                <c:pt idx="184">
                  <c:v>41568</c:v>
                </c:pt>
                <c:pt idx="185">
                  <c:v>41575</c:v>
                </c:pt>
                <c:pt idx="186">
                  <c:v>41582</c:v>
                </c:pt>
                <c:pt idx="187">
                  <c:v>41589</c:v>
                </c:pt>
                <c:pt idx="188">
                  <c:v>41596</c:v>
                </c:pt>
                <c:pt idx="189">
                  <c:v>41603</c:v>
                </c:pt>
                <c:pt idx="190">
                  <c:v>41610</c:v>
                </c:pt>
                <c:pt idx="191">
                  <c:v>41617</c:v>
                </c:pt>
                <c:pt idx="192">
                  <c:v>41624</c:v>
                </c:pt>
                <c:pt idx="193">
                  <c:v>41631</c:v>
                </c:pt>
                <c:pt idx="194">
                  <c:v>41638</c:v>
                </c:pt>
                <c:pt idx="195">
                  <c:v>41645</c:v>
                </c:pt>
                <c:pt idx="196">
                  <c:v>41652</c:v>
                </c:pt>
                <c:pt idx="197">
                  <c:v>41659</c:v>
                </c:pt>
                <c:pt idx="198">
                  <c:v>41666</c:v>
                </c:pt>
                <c:pt idx="199">
                  <c:v>41673</c:v>
                </c:pt>
                <c:pt idx="200">
                  <c:v>41680</c:v>
                </c:pt>
                <c:pt idx="201">
                  <c:v>41687</c:v>
                </c:pt>
                <c:pt idx="202">
                  <c:v>41694</c:v>
                </c:pt>
                <c:pt idx="203">
                  <c:v>41701</c:v>
                </c:pt>
                <c:pt idx="204">
                  <c:v>41708</c:v>
                </c:pt>
                <c:pt idx="205">
                  <c:v>41715</c:v>
                </c:pt>
                <c:pt idx="206">
                  <c:v>41722</c:v>
                </c:pt>
                <c:pt idx="207">
                  <c:v>41729</c:v>
                </c:pt>
                <c:pt idx="208">
                  <c:v>41736</c:v>
                </c:pt>
                <c:pt idx="209">
                  <c:v>41743</c:v>
                </c:pt>
                <c:pt idx="210">
                  <c:v>41750</c:v>
                </c:pt>
                <c:pt idx="211">
                  <c:v>41757</c:v>
                </c:pt>
                <c:pt idx="212">
                  <c:v>41764</c:v>
                </c:pt>
                <c:pt idx="213">
                  <c:v>41771</c:v>
                </c:pt>
                <c:pt idx="214">
                  <c:v>41778</c:v>
                </c:pt>
                <c:pt idx="215">
                  <c:v>41785</c:v>
                </c:pt>
                <c:pt idx="216">
                  <c:v>41792</c:v>
                </c:pt>
                <c:pt idx="217">
                  <c:v>41799</c:v>
                </c:pt>
                <c:pt idx="218">
                  <c:v>41806</c:v>
                </c:pt>
                <c:pt idx="219">
                  <c:v>41813</c:v>
                </c:pt>
                <c:pt idx="220">
                  <c:v>41820</c:v>
                </c:pt>
                <c:pt idx="221">
                  <c:v>41827</c:v>
                </c:pt>
                <c:pt idx="222">
                  <c:v>41834</c:v>
                </c:pt>
                <c:pt idx="223">
                  <c:v>41841</c:v>
                </c:pt>
                <c:pt idx="224">
                  <c:v>41848</c:v>
                </c:pt>
                <c:pt idx="225">
                  <c:v>41855</c:v>
                </c:pt>
                <c:pt idx="226">
                  <c:v>41862</c:v>
                </c:pt>
                <c:pt idx="227">
                  <c:v>41869</c:v>
                </c:pt>
                <c:pt idx="228">
                  <c:v>41876</c:v>
                </c:pt>
                <c:pt idx="229">
                  <c:v>41883</c:v>
                </c:pt>
                <c:pt idx="230">
                  <c:v>41890</c:v>
                </c:pt>
                <c:pt idx="231">
                  <c:v>41897</c:v>
                </c:pt>
                <c:pt idx="232">
                  <c:v>41904</c:v>
                </c:pt>
                <c:pt idx="233">
                  <c:v>41911</c:v>
                </c:pt>
                <c:pt idx="234">
                  <c:v>41918</c:v>
                </c:pt>
                <c:pt idx="235">
                  <c:v>41925</c:v>
                </c:pt>
                <c:pt idx="236">
                  <c:v>41932</c:v>
                </c:pt>
                <c:pt idx="237">
                  <c:v>41939</c:v>
                </c:pt>
                <c:pt idx="238">
                  <c:v>41946</c:v>
                </c:pt>
                <c:pt idx="239">
                  <c:v>41953</c:v>
                </c:pt>
                <c:pt idx="240">
                  <c:v>41960</c:v>
                </c:pt>
                <c:pt idx="241">
                  <c:v>41967</c:v>
                </c:pt>
                <c:pt idx="242">
                  <c:v>41974</c:v>
                </c:pt>
                <c:pt idx="243">
                  <c:v>41981</c:v>
                </c:pt>
                <c:pt idx="244">
                  <c:v>41988</c:v>
                </c:pt>
                <c:pt idx="245">
                  <c:v>41995</c:v>
                </c:pt>
                <c:pt idx="246">
                  <c:v>42002</c:v>
                </c:pt>
                <c:pt idx="247">
                  <c:v>42009</c:v>
                </c:pt>
                <c:pt idx="248">
                  <c:v>42016</c:v>
                </c:pt>
                <c:pt idx="249">
                  <c:v>42023</c:v>
                </c:pt>
                <c:pt idx="250">
                  <c:v>42030</c:v>
                </c:pt>
                <c:pt idx="251">
                  <c:v>42037</c:v>
                </c:pt>
                <c:pt idx="252">
                  <c:v>42044</c:v>
                </c:pt>
                <c:pt idx="253">
                  <c:v>42051</c:v>
                </c:pt>
                <c:pt idx="254">
                  <c:v>42058</c:v>
                </c:pt>
                <c:pt idx="255">
                  <c:v>42065</c:v>
                </c:pt>
                <c:pt idx="256">
                  <c:v>42072</c:v>
                </c:pt>
                <c:pt idx="257">
                  <c:v>42079</c:v>
                </c:pt>
                <c:pt idx="258">
                  <c:v>42086</c:v>
                </c:pt>
                <c:pt idx="259">
                  <c:v>42093</c:v>
                </c:pt>
                <c:pt idx="260">
                  <c:v>42100</c:v>
                </c:pt>
                <c:pt idx="261">
                  <c:v>42107</c:v>
                </c:pt>
                <c:pt idx="262">
                  <c:v>42114</c:v>
                </c:pt>
                <c:pt idx="263">
                  <c:v>42121</c:v>
                </c:pt>
                <c:pt idx="264">
                  <c:v>42128</c:v>
                </c:pt>
                <c:pt idx="265">
                  <c:v>42135</c:v>
                </c:pt>
                <c:pt idx="266">
                  <c:v>42142</c:v>
                </c:pt>
                <c:pt idx="267">
                  <c:v>42149</c:v>
                </c:pt>
                <c:pt idx="268">
                  <c:v>42156</c:v>
                </c:pt>
                <c:pt idx="269">
                  <c:v>42163</c:v>
                </c:pt>
                <c:pt idx="270">
                  <c:v>42170</c:v>
                </c:pt>
                <c:pt idx="271">
                  <c:v>42177</c:v>
                </c:pt>
                <c:pt idx="272">
                  <c:v>42184</c:v>
                </c:pt>
                <c:pt idx="273">
                  <c:v>42191</c:v>
                </c:pt>
                <c:pt idx="274">
                  <c:v>42198</c:v>
                </c:pt>
                <c:pt idx="275">
                  <c:v>42205</c:v>
                </c:pt>
                <c:pt idx="276">
                  <c:v>42212</c:v>
                </c:pt>
                <c:pt idx="277">
                  <c:v>42219</c:v>
                </c:pt>
                <c:pt idx="278">
                  <c:v>42226</c:v>
                </c:pt>
                <c:pt idx="279">
                  <c:v>42233</c:v>
                </c:pt>
                <c:pt idx="280">
                  <c:v>42240</c:v>
                </c:pt>
                <c:pt idx="281">
                  <c:v>42247</c:v>
                </c:pt>
                <c:pt idx="282">
                  <c:v>42254</c:v>
                </c:pt>
                <c:pt idx="283">
                  <c:v>42261</c:v>
                </c:pt>
                <c:pt idx="284">
                  <c:v>42268</c:v>
                </c:pt>
                <c:pt idx="285">
                  <c:v>42275</c:v>
                </c:pt>
                <c:pt idx="286">
                  <c:v>42282</c:v>
                </c:pt>
                <c:pt idx="287">
                  <c:v>42289</c:v>
                </c:pt>
                <c:pt idx="288">
                  <c:v>42296</c:v>
                </c:pt>
                <c:pt idx="289">
                  <c:v>42303</c:v>
                </c:pt>
                <c:pt idx="290">
                  <c:v>42310</c:v>
                </c:pt>
                <c:pt idx="291">
                  <c:v>42317</c:v>
                </c:pt>
                <c:pt idx="292">
                  <c:v>42324</c:v>
                </c:pt>
                <c:pt idx="293">
                  <c:v>42331</c:v>
                </c:pt>
                <c:pt idx="294">
                  <c:v>42338</c:v>
                </c:pt>
                <c:pt idx="295">
                  <c:v>42345</c:v>
                </c:pt>
                <c:pt idx="296">
                  <c:v>42352</c:v>
                </c:pt>
                <c:pt idx="297">
                  <c:v>42359</c:v>
                </c:pt>
                <c:pt idx="298">
                  <c:v>42366</c:v>
                </c:pt>
                <c:pt idx="299">
                  <c:v>42373</c:v>
                </c:pt>
                <c:pt idx="300">
                  <c:v>42380</c:v>
                </c:pt>
                <c:pt idx="301">
                  <c:v>42387</c:v>
                </c:pt>
                <c:pt idx="302">
                  <c:v>42394</c:v>
                </c:pt>
                <c:pt idx="303">
                  <c:v>42401</c:v>
                </c:pt>
                <c:pt idx="304">
                  <c:v>42408</c:v>
                </c:pt>
                <c:pt idx="305">
                  <c:v>42415</c:v>
                </c:pt>
                <c:pt idx="306">
                  <c:v>42422</c:v>
                </c:pt>
                <c:pt idx="307">
                  <c:v>42429</c:v>
                </c:pt>
                <c:pt idx="308">
                  <c:v>42436</c:v>
                </c:pt>
                <c:pt idx="309">
                  <c:v>42443</c:v>
                </c:pt>
                <c:pt idx="310">
                  <c:v>42450</c:v>
                </c:pt>
                <c:pt idx="311">
                  <c:v>42457</c:v>
                </c:pt>
                <c:pt idx="312">
                  <c:v>42464</c:v>
                </c:pt>
                <c:pt idx="313">
                  <c:v>42471</c:v>
                </c:pt>
                <c:pt idx="314">
                  <c:v>42478</c:v>
                </c:pt>
                <c:pt idx="315">
                  <c:v>42485</c:v>
                </c:pt>
                <c:pt idx="316">
                  <c:v>42492</c:v>
                </c:pt>
                <c:pt idx="317">
                  <c:v>42499</c:v>
                </c:pt>
                <c:pt idx="318">
                  <c:v>42506</c:v>
                </c:pt>
                <c:pt idx="319">
                  <c:v>42513</c:v>
                </c:pt>
                <c:pt idx="320">
                  <c:v>42520</c:v>
                </c:pt>
                <c:pt idx="321">
                  <c:v>42527</c:v>
                </c:pt>
                <c:pt idx="322">
                  <c:v>42534</c:v>
                </c:pt>
                <c:pt idx="323">
                  <c:v>42541</c:v>
                </c:pt>
                <c:pt idx="324">
                  <c:v>42548</c:v>
                </c:pt>
                <c:pt idx="325">
                  <c:v>42555</c:v>
                </c:pt>
                <c:pt idx="326">
                  <c:v>42562</c:v>
                </c:pt>
                <c:pt idx="327">
                  <c:v>42569</c:v>
                </c:pt>
                <c:pt idx="328">
                  <c:v>42576</c:v>
                </c:pt>
                <c:pt idx="329">
                  <c:v>42583</c:v>
                </c:pt>
                <c:pt idx="330">
                  <c:v>42590</c:v>
                </c:pt>
                <c:pt idx="331">
                  <c:v>42597</c:v>
                </c:pt>
                <c:pt idx="332">
                  <c:v>42604</c:v>
                </c:pt>
                <c:pt idx="333">
                  <c:v>42611</c:v>
                </c:pt>
                <c:pt idx="334">
                  <c:v>42618</c:v>
                </c:pt>
                <c:pt idx="335">
                  <c:v>42625</c:v>
                </c:pt>
                <c:pt idx="336">
                  <c:v>42632</c:v>
                </c:pt>
                <c:pt idx="337">
                  <c:v>42639</c:v>
                </c:pt>
                <c:pt idx="338">
                  <c:v>42646</c:v>
                </c:pt>
                <c:pt idx="339">
                  <c:v>42653</c:v>
                </c:pt>
                <c:pt idx="340">
                  <c:v>42660</c:v>
                </c:pt>
                <c:pt idx="341">
                  <c:v>42667</c:v>
                </c:pt>
                <c:pt idx="342">
                  <c:v>42674</c:v>
                </c:pt>
                <c:pt idx="343">
                  <c:v>42681</c:v>
                </c:pt>
                <c:pt idx="344">
                  <c:v>42688</c:v>
                </c:pt>
                <c:pt idx="345">
                  <c:v>42695</c:v>
                </c:pt>
                <c:pt idx="346">
                  <c:v>42702</c:v>
                </c:pt>
                <c:pt idx="347">
                  <c:v>42709</c:v>
                </c:pt>
                <c:pt idx="348">
                  <c:v>42716</c:v>
                </c:pt>
                <c:pt idx="349">
                  <c:v>42723</c:v>
                </c:pt>
                <c:pt idx="350">
                  <c:v>42730</c:v>
                </c:pt>
                <c:pt idx="351">
                  <c:v>42737</c:v>
                </c:pt>
                <c:pt idx="352">
                  <c:v>42744</c:v>
                </c:pt>
                <c:pt idx="353">
                  <c:v>42751</c:v>
                </c:pt>
                <c:pt idx="354">
                  <c:v>42758</c:v>
                </c:pt>
                <c:pt idx="355">
                  <c:v>42765</c:v>
                </c:pt>
                <c:pt idx="356">
                  <c:v>42772</c:v>
                </c:pt>
                <c:pt idx="357">
                  <c:v>42779</c:v>
                </c:pt>
                <c:pt idx="358">
                  <c:v>42786</c:v>
                </c:pt>
                <c:pt idx="359">
                  <c:v>42793</c:v>
                </c:pt>
                <c:pt idx="360">
                  <c:v>42800</c:v>
                </c:pt>
                <c:pt idx="361">
                  <c:v>42807</c:v>
                </c:pt>
                <c:pt idx="362">
                  <c:v>42814</c:v>
                </c:pt>
                <c:pt idx="363">
                  <c:v>42821</c:v>
                </c:pt>
                <c:pt idx="364">
                  <c:v>42828</c:v>
                </c:pt>
                <c:pt idx="365">
                  <c:v>42835</c:v>
                </c:pt>
                <c:pt idx="366">
                  <c:v>42842</c:v>
                </c:pt>
                <c:pt idx="367">
                  <c:v>42849</c:v>
                </c:pt>
                <c:pt idx="368">
                  <c:v>42856</c:v>
                </c:pt>
                <c:pt idx="369">
                  <c:v>42863</c:v>
                </c:pt>
                <c:pt idx="370">
                  <c:v>42870</c:v>
                </c:pt>
                <c:pt idx="371">
                  <c:v>42877</c:v>
                </c:pt>
                <c:pt idx="372">
                  <c:v>42884</c:v>
                </c:pt>
                <c:pt idx="373">
                  <c:v>42891</c:v>
                </c:pt>
                <c:pt idx="374">
                  <c:v>42898</c:v>
                </c:pt>
                <c:pt idx="375">
                  <c:v>42905</c:v>
                </c:pt>
                <c:pt idx="376">
                  <c:v>42912</c:v>
                </c:pt>
                <c:pt idx="377">
                  <c:v>42919</c:v>
                </c:pt>
                <c:pt idx="378">
                  <c:v>42926</c:v>
                </c:pt>
                <c:pt idx="379">
                  <c:v>42933</c:v>
                </c:pt>
                <c:pt idx="380">
                  <c:v>42940</c:v>
                </c:pt>
                <c:pt idx="381">
                  <c:v>42947</c:v>
                </c:pt>
                <c:pt idx="382">
                  <c:v>42954</c:v>
                </c:pt>
                <c:pt idx="383">
                  <c:v>42961</c:v>
                </c:pt>
                <c:pt idx="384">
                  <c:v>42968</c:v>
                </c:pt>
                <c:pt idx="385">
                  <c:v>42975</c:v>
                </c:pt>
                <c:pt idx="386">
                  <c:v>42982</c:v>
                </c:pt>
                <c:pt idx="387">
                  <c:v>42989</c:v>
                </c:pt>
                <c:pt idx="388">
                  <c:v>42996</c:v>
                </c:pt>
                <c:pt idx="389">
                  <c:v>43003</c:v>
                </c:pt>
                <c:pt idx="390">
                  <c:v>43010</c:v>
                </c:pt>
                <c:pt idx="391">
                  <c:v>43017</c:v>
                </c:pt>
                <c:pt idx="392">
                  <c:v>43024</c:v>
                </c:pt>
                <c:pt idx="393">
                  <c:v>43031</c:v>
                </c:pt>
                <c:pt idx="394">
                  <c:v>43038</c:v>
                </c:pt>
                <c:pt idx="395">
                  <c:v>43045</c:v>
                </c:pt>
                <c:pt idx="396">
                  <c:v>43052</c:v>
                </c:pt>
                <c:pt idx="397">
                  <c:v>43059</c:v>
                </c:pt>
                <c:pt idx="398">
                  <c:v>43066</c:v>
                </c:pt>
                <c:pt idx="399">
                  <c:v>43073</c:v>
                </c:pt>
                <c:pt idx="400">
                  <c:v>43080</c:v>
                </c:pt>
                <c:pt idx="401">
                  <c:v>43087</c:v>
                </c:pt>
                <c:pt idx="402">
                  <c:v>43094</c:v>
                </c:pt>
                <c:pt idx="403">
                  <c:v>43101</c:v>
                </c:pt>
                <c:pt idx="404">
                  <c:v>43108</c:v>
                </c:pt>
                <c:pt idx="405">
                  <c:v>43115</c:v>
                </c:pt>
                <c:pt idx="406">
                  <c:v>43122</c:v>
                </c:pt>
                <c:pt idx="407">
                  <c:v>43129</c:v>
                </c:pt>
                <c:pt idx="408">
                  <c:v>43136</c:v>
                </c:pt>
                <c:pt idx="409">
                  <c:v>43143</c:v>
                </c:pt>
                <c:pt idx="410">
                  <c:v>43150</c:v>
                </c:pt>
                <c:pt idx="411">
                  <c:v>43157</c:v>
                </c:pt>
                <c:pt idx="412">
                  <c:v>43164</c:v>
                </c:pt>
                <c:pt idx="413">
                  <c:v>43171</c:v>
                </c:pt>
                <c:pt idx="414">
                  <c:v>43178</c:v>
                </c:pt>
                <c:pt idx="415">
                  <c:v>43185</c:v>
                </c:pt>
                <c:pt idx="416">
                  <c:v>43192</c:v>
                </c:pt>
                <c:pt idx="417">
                  <c:v>43199</c:v>
                </c:pt>
                <c:pt idx="418">
                  <c:v>43206</c:v>
                </c:pt>
                <c:pt idx="419">
                  <c:v>43213</c:v>
                </c:pt>
                <c:pt idx="420">
                  <c:v>43220</c:v>
                </c:pt>
                <c:pt idx="421">
                  <c:v>43227</c:v>
                </c:pt>
                <c:pt idx="422">
                  <c:v>43234</c:v>
                </c:pt>
                <c:pt idx="423">
                  <c:v>43241</c:v>
                </c:pt>
                <c:pt idx="424">
                  <c:v>43248</c:v>
                </c:pt>
                <c:pt idx="425">
                  <c:v>43255</c:v>
                </c:pt>
                <c:pt idx="426">
                  <c:v>43262</c:v>
                </c:pt>
                <c:pt idx="427">
                  <c:v>43269</c:v>
                </c:pt>
                <c:pt idx="428">
                  <c:v>43276</c:v>
                </c:pt>
                <c:pt idx="429">
                  <c:v>43283</c:v>
                </c:pt>
                <c:pt idx="430">
                  <c:v>43290</c:v>
                </c:pt>
                <c:pt idx="431">
                  <c:v>43297</c:v>
                </c:pt>
                <c:pt idx="432">
                  <c:v>43304</c:v>
                </c:pt>
                <c:pt idx="433">
                  <c:v>43311</c:v>
                </c:pt>
                <c:pt idx="434">
                  <c:v>43318</c:v>
                </c:pt>
                <c:pt idx="435">
                  <c:v>43325</c:v>
                </c:pt>
                <c:pt idx="436">
                  <c:v>43332</c:v>
                </c:pt>
                <c:pt idx="437">
                  <c:v>43339</c:v>
                </c:pt>
                <c:pt idx="438">
                  <c:v>43346</c:v>
                </c:pt>
                <c:pt idx="439">
                  <c:v>43353</c:v>
                </c:pt>
                <c:pt idx="440">
                  <c:v>43360</c:v>
                </c:pt>
                <c:pt idx="441">
                  <c:v>43367</c:v>
                </c:pt>
                <c:pt idx="442">
                  <c:v>43374</c:v>
                </c:pt>
                <c:pt idx="443">
                  <c:v>43381</c:v>
                </c:pt>
                <c:pt idx="444">
                  <c:v>43388</c:v>
                </c:pt>
                <c:pt idx="445">
                  <c:v>43395</c:v>
                </c:pt>
                <c:pt idx="446">
                  <c:v>43402</c:v>
                </c:pt>
                <c:pt idx="447">
                  <c:v>43409</c:v>
                </c:pt>
                <c:pt idx="448">
                  <c:v>43416</c:v>
                </c:pt>
                <c:pt idx="449">
                  <c:v>43423</c:v>
                </c:pt>
                <c:pt idx="450">
                  <c:v>43430</c:v>
                </c:pt>
                <c:pt idx="451">
                  <c:v>43437</c:v>
                </c:pt>
                <c:pt idx="452">
                  <c:v>43444</c:v>
                </c:pt>
                <c:pt idx="453">
                  <c:v>43451</c:v>
                </c:pt>
                <c:pt idx="454">
                  <c:v>43458</c:v>
                </c:pt>
                <c:pt idx="455">
                  <c:v>43465</c:v>
                </c:pt>
                <c:pt idx="456">
                  <c:v>43472</c:v>
                </c:pt>
                <c:pt idx="457">
                  <c:v>43479</c:v>
                </c:pt>
                <c:pt idx="458">
                  <c:v>43486</c:v>
                </c:pt>
                <c:pt idx="459">
                  <c:v>43493</c:v>
                </c:pt>
                <c:pt idx="460">
                  <c:v>43500</c:v>
                </c:pt>
                <c:pt idx="461">
                  <c:v>43507</c:v>
                </c:pt>
                <c:pt idx="462">
                  <c:v>43514</c:v>
                </c:pt>
                <c:pt idx="463">
                  <c:v>43521</c:v>
                </c:pt>
                <c:pt idx="464">
                  <c:v>43528</c:v>
                </c:pt>
                <c:pt idx="465">
                  <c:v>43535</c:v>
                </c:pt>
                <c:pt idx="466">
                  <c:v>43542</c:v>
                </c:pt>
                <c:pt idx="467">
                  <c:v>43549</c:v>
                </c:pt>
                <c:pt idx="468">
                  <c:v>43556</c:v>
                </c:pt>
                <c:pt idx="469">
                  <c:v>43563</c:v>
                </c:pt>
                <c:pt idx="470">
                  <c:v>43570</c:v>
                </c:pt>
                <c:pt idx="471">
                  <c:v>43577</c:v>
                </c:pt>
                <c:pt idx="472">
                  <c:v>43584</c:v>
                </c:pt>
                <c:pt idx="473">
                  <c:v>43591</c:v>
                </c:pt>
                <c:pt idx="474">
                  <c:v>43598</c:v>
                </c:pt>
                <c:pt idx="475">
                  <c:v>43605</c:v>
                </c:pt>
                <c:pt idx="476">
                  <c:v>43612</c:v>
                </c:pt>
                <c:pt idx="477">
                  <c:v>43619</c:v>
                </c:pt>
                <c:pt idx="478">
                  <c:v>43626</c:v>
                </c:pt>
                <c:pt idx="479">
                  <c:v>43633</c:v>
                </c:pt>
                <c:pt idx="480">
                  <c:v>43640</c:v>
                </c:pt>
                <c:pt idx="481">
                  <c:v>43647</c:v>
                </c:pt>
                <c:pt idx="482">
                  <c:v>43654</c:v>
                </c:pt>
                <c:pt idx="483">
                  <c:v>43661</c:v>
                </c:pt>
                <c:pt idx="484">
                  <c:v>43668</c:v>
                </c:pt>
                <c:pt idx="485">
                  <c:v>43675</c:v>
                </c:pt>
                <c:pt idx="486">
                  <c:v>43682</c:v>
                </c:pt>
                <c:pt idx="487">
                  <c:v>43689</c:v>
                </c:pt>
                <c:pt idx="488">
                  <c:v>43696</c:v>
                </c:pt>
                <c:pt idx="489">
                  <c:v>43703</c:v>
                </c:pt>
                <c:pt idx="490">
                  <c:v>43710</c:v>
                </c:pt>
                <c:pt idx="491">
                  <c:v>43717</c:v>
                </c:pt>
                <c:pt idx="492">
                  <c:v>43724</c:v>
                </c:pt>
                <c:pt idx="493">
                  <c:v>43731</c:v>
                </c:pt>
                <c:pt idx="494">
                  <c:v>43738</c:v>
                </c:pt>
                <c:pt idx="495">
                  <c:v>43745</c:v>
                </c:pt>
                <c:pt idx="496">
                  <c:v>43752</c:v>
                </c:pt>
                <c:pt idx="497">
                  <c:v>43759</c:v>
                </c:pt>
                <c:pt idx="498">
                  <c:v>43766</c:v>
                </c:pt>
                <c:pt idx="499">
                  <c:v>43773</c:v>
                </c:pt>
                <c:pt idx="500">
                  <c:v>43780</c:v>
                </c:pt>
                <c:pt idx="501">
                  <c:v>43787</c:v>
                </c:pt>
                <c:pt idx="502">
                  <c:v>43794</c:v>
                </c:pt>
                <c:pt idx="503">
                  <c:v>43801</c:v>
                </c:pt>
                <c:pt idx="504">
                  <c:v>43808</c:v>
                </c:pt>
                <c:pt idx="505">
                  <c:v>43815</c:v>
                </c:pt>
                <c:pt idx="506">
                  <c:v>43822</c:v>
                </c:pt>
                <c:pt idx="507">
                  <c:v>43829</c:v>
                </c:pt>
                <c:pt idx="508">
                  <c:v>43836</c:v>
                </c:pt>
                <c:pt idx="509">
                  <c:v>43843</c:v>
                </c:pt>
                <c:pt idx="510">
                  <c:v>43850</c:v>
                </c:pt>
                <c:pt idx="511">
                  <c:v>43857</c:v>
                </c:pt>
                <c:pt idx="512">
                  <c:v>43864</c:v>
                </c:pt>
                <c:pt idx="513">
                  <c:v>43871</c:v>
                </c:pt>
                <c:pt idx="514">
                  <c:v>43878</c:v>
                </c:pt>
                <c:pt idx="515">
                  <c:v>43885</c:v>
                </c:pt>
                <c:pt idx="516">
                  <c:v>43892</c:v>
                </c:pt>
                <c:pt idx="517">
                  <c:v>43899</c:v>
                </c:pt>
                <c:pt idx="518">
                  <c:v>43906</c:v>
                </c:pt>
                <c:pt idx="519">
                  <c:v>43913</c:v>
                </c:pt>
                <c:pt idx="520">
                  <c:v>43920</c:v>
                </c:pt>
                <c:pt idx="521">
                  <c:v>43927</c:v>
                </c:pt>
                <c:pt idx="522">
                  <c:v>43934</c:v>
                </c:pt>
                <c:pt idx="523">
                  <c:v>43941</c:v>
                </c:pt>
                <c:pt idx="524">
                  <c:v>43948</c:v>
                </c:pt>
                <c:pt idx="525">
                  <c:v>43955</c:v>
                </c:pt>
                <c:pt idx="526">
                  <c:v>43962</c:v>
                </c:pt>
                <c:pt idx="527">
                  <c:v>43969</c:v>
                </c:pt>
                <c:pt idx="528">
                  <c:v>43976</c:v>
                </c:pt>
                <c:pt idx="529">
                  <c:v>43983</c:v>
                </c:pt>
                <c:pt idx="530">
                  <c:v>43990</c:v>
                </c:pt>
                <c:pt idx="531">
                  <c:v>43997</c:v>
                </c:pt>
                <c:pt idx="532">
                  <c:v>44004</c:v>
                </c:pt>
                <c:pt idx="533">
                  <c:v>44011</c:v>
                </c:pt>
                <c:pt idx="534">
                  <c:v>44018</c:v>
                </c:pt>
                <c:pt idx="535">
                  <c:v>44025</c:v>
                </c:pt>
                <c:pt idx="536">
                  <c:v>44032</c:v>
                </c:pt>
                <c:pt idx="537">
                  <c:v>44039</c:v>
                </c:pt>
                <c:pt idx="538">
                  <c:v>44046</c:v>
                </c:pt>
                <c:pt idx="539">
                  <c:v>44053</c:v>
                </c:pt>
                <c:pt idx="540">
                  <c:v>44060</c:v>
                </c:pt>
                <c:pt idx="541">
                  <c:v>44067</c:v>
                </c:pt>
                <c:pt idx="542">
                  <c:v>44074</c:v>
                </c:pt>
                <c:pt idx="543">
                  <c:v>44081</c:v>
                </c:pt>
                <c:pt idx="544">
                  <c:v>44088</c:v>
                </c:pt>
                <c:pt idx="545">
                  <c:v>44095</c:v>
                </c:pt>
                <c:pt idx="546">
                  <c:v>44102</c:v>
                </c:pt>
                <c:pt idx="547">
                  <c:v>44109</c:v>
                </c:pt>
                <c:pt idx="548">
                  <c:v>44116</c:v>
                </c:pt>
                <c:pt idx="549">
                  <c:v>44123</c:v>
                </c:pt>
                <c:pt idx="550">
                  <c:v>44130</c:v>
                </c:pt>
                <c:pt idx="551">
                  <c:v>44137</c:v>
                </c:pt>
                <c:pt idx="552">
                  <c:v>44144</c:v>
                </c:pt>
                <c:pt idx="553">
                  <c:v>44151</c:v>
                </c:pt>
                <c:pt idx="554">
                  <c:v>44158</c:v>
                </c:pt>
                <c:pt idx="555">
                  <c:v>44165</c:v>
                </c:pt>
                <c:pt idx="556">
                  <c:v>44172</c:v>
                </c:pt>
                <c:pt idx="557">
                  <c:v>44179</c:v>
                </c:pt>
                <c:pt idx="558">
                  <c:v>44186</c:v>
                </c:pt>
                <c:pt idx="559">
                  <c:v>44193</c:v>
                </c:pt>
                <c:pt idx="560">
                  <c:v>44200</c:v>
                </c:pt>
                <c:pt idx="561">
                  <c:v>44207</c:v>
                </c:pt>
                <c:pt idx="562">
                  <c:v>44214</c:v>
                </c:pt>
                <c:pt idx="563">
                  <c:v>44221</c:v>
                </c:pt>
                <c:pt idx="564">
                  <c:v>44228</c:v>
                </c:pt>
                <c:pt idx="565">
                  <c:v>44235</c:v>
                </c:pt>
                <c:pt idx="566">
                  <c:v>44242</c:v>
                </c:pt>
                <c:pt idx="567">
                  <c:v>44249</c:v>
                </c:pt>
                <c:pt idx="568">
                  <c:v>44256</c:v>
                </c:pt>
                <c:pt idx="569">
                  <c:v>44266</c:v>
                </c:pt>
                <c:pt idx="570">
                  <c:v>44273</c:v>
                </c:pt>
                <c:pt idx="571">
                  <c:v>44280</c:v>
                </c:pt>
                <c:pt idx="572">
                  <c:v>44287</c:v>
                </c:pt>
                <c:pt idx="573">
                  <c:v>44294</c:v>
                </c:pt>
                <c:pt idx="574">
                  <c:v>44301</c:v>
                </c:pt>
                <c:pt idx="575">
                  <c:v>44308</c:v>
                </c:pt>
                <c:pt idx="576">
                  <c:v>44315</c:v>
                </c:pt>
                <c:pt idx="577">
                  <c:v>44322</c:v>
                </c:pt>
                <c:pt idx="578">
                  <c:v>44329</c:v>
                </c:pt>
                <c:pt idx="579">
                  <c:v>44336</c:v>
                </c:pt>
                <c:pt idx="580">
                  <c:v>44343</c:v>
                </c:pt>
                <c:pt idx="581">
                  <c:v>44350</c:v>
                </c:pt>
                <c:pt idx="582">
                  <c:v>44357</c:v>
                </c:pt>
                <c:pt idx="583">
                  <c:v>44364</c:v>
                </c:pt>
                <c:pt idx="584">
                  <c:v>44371</c:v>
                </c:pt>
                <c:pt idx="585">
                  <c:v>44378</c:v>
                </c:pt>
                <c:pt idx="586">
                  <c:v>44385</c:v>
                </c:pt>
                <c:pt idx="587">
                  <c:v>44392</c:v>
                </c:pt>
                <c:pt idx="588">
                  <c:v>44399</c:v>
                </c:pt>
                <c:pt idx="589">
                  <c:v>44406</c:v>
                </c:pt>
                <c:pt idx="590">
                  <c:v>44413</c:v>
                </c:pt>
                <c:pt idx="591">
                  <c:v>44420</c:v>
                </c:pt>
                <c:pt idx="592">
                  <c:v>44427</c:v>
                </c:pt>
                <c:pt idx="593">
                  <c:v>44434</c:v>
                </c:pt>
                <c:pt idx="594">
                  <c:v>44441</c:v>
                </c:pt>
                <c:pt idx="595">
                  <c:v>44448</c:v>
                </c:pt>
                <c:pt idx="596">
                  <c:v>44455</c:v>
                </c:pt>
                <c:pt idx="597">
                  <c:v>44462</c:v>
                </c:pt>
                <c:pt idx="598">
                  <c:v>44469</c:v>
                </c:pt>
                <c:pt idx="599">
                  <c:v>44476</c:v>
                </c:pt>
                <c:pt idx="600">
                  <c:v>44483</c:v>
                </c:pt>
                <c:pt idx="601">
                  <c:v>44490</c:v>
                </c:pt>
                <c:pt idx="602">
                  <c:v>44497</c:v>
                </c:pt>
                <c:pt idx="603">
                  <c:v>44504</c:v>
                </c:pt>
                <c:pt idx="604">
                  <c:v>44511</c:v>
                </c:pt>
                <c:pt idx="605">
                  <c:v>44518</c:v>
                </c:pt>
                <c:pt idx="606">
                  <c:v>44525</c:v>
                </c:pt>
                <c:pt idx="607">
                  <c:v>44532</c:v>
                </c:pt>
                <c:pt idx="608">
                  <c:v>44539</c:v>
                </c:pt>
                <c:pt idx="609">
                  <c:v>44546</c:v>
                </c:pt>
                <c:pt idx="610">
                  <c:v>44553</c:v>
                </c:pt>
                <c:pt idx="611">
                  <c:v>44560</c:v>
                </c:pt>
                <c:pt idx="612">
                  <c:v>44567</c:v>
                </c:pt>
                <c:pt idx="613">
                  <c:v>44574</c:v>
                </c:pt>
                <c:pt idx="614">
                  <c:v>44581</c:v>
                </c:pt>
                <c:pt idx="615">
                  <c:v>44588</c:v>
                </c:pt>
                <c:pt idx="616">
                  <c:v>44595</c:v>
                </c:pt>
                <c:pt idx="617">
                  <c:v>44602</c:v>
                </c:pt>
                <c:pt idx="618">
                  <c:v>44609</c:v>
                </c:pt>
                <c:pt idx="619">
                  <c:v>44616</c:v>
                </c:pt>
                <c:pt idx="620">
                  <c:v>44623</c:v>
                </c:pt>
                <c:pt idx="621">
                  <c:v>44630</c:v>
                </c:pt>
                <c:pt idx="622">
                  <c:v>44637</c:v>
                </c:pt>
                <c:pt idx="623">
                  <c:v>44644</c:v>
                </c:pt>
                <c:pt idx="624">
                  <c:v>44651</c:v>
                </c:pt>
                <c:pt idx="625">
                  <c:v>44658</c:v>
                </c:pt>
                <c:pt idx="626">
                  <c:v>44665</c:v>
                </c:pt>
                <c:pt idx="627">
                  <c:v>44672</c:v>
                </c:pt>
                <c:pt idx="628">
                  <c:v>44679</c:v>
                </c:pt>
                <c:pt idx="629">
                  <c:v>44686</c:v>
                </c:pt>
                <c:pt idx="630">
                  <c:v>44693</c:v>
                </c:pt>
                <c:pt idx="631">
                  <c:v>44700</c:v>
                </c:pt>
                <c:pt idx="632">
                  <c:v>44707</c:v>
                </c:pt>
                <c:pt idx="633">
                  <c:v>44714</c:v>
                </c:pt>
                <c:pt idx="634">
                  <c:v>44721</c:v>
                </c:pt>
                <c:pt idx="635">
                  <c:v>44728</c:v>
                </c:pt>
                <c:pt idx="636">
                  <c:v>44735</c:v>
                </c:pt>
                <c:pt idx="637">
                  <c:v>44742</c:v>
                </c:pt>
                <c:pt idx="638">
                  <c:v>44749</c:v>
                </c:pt>
                <c:pt idx="639">
                  <c:v>44756</c:v>
                </c:pt>
                <c:pt idx="640">
                  <c:v>44763</c:v>
                </c:pt>
                <c:pt idx="641">
                  <c:v>44770</c:v>
                </c:pt>
                <c:pt idx="642">
                  <c:v>44777</c:v>
                </c:pt>
                <c:pt idx="643">
                  <c:v>44784</c:v>
                </c:pt>
                <c:pt idx="644">
                  <c:v>44791</c:v>
                </c:pt>
                <c:pt idx="645">
                  <c:v>44798</c:v>
                </c:pt>
                <c:pt idx="646">
                  <c:v>44805</c:v>
                </c:pt>
                <c:pt idx="647">
                  <c:v>44812</c:v>
                </c:pt>
                <c:pt idx="648">
                  <c:v>44819</c:v>
                </c:pt>
                <c:pt idx="649">
                  <c:v>44826</c:v>
                </c:pt>
                <c:pt idx="650">
                  <c:v>44833</c:v>
                </c:pt>
                <c:pt idx="651">
                  <c:v>44840</c:v>
                </c:pt>
                <c:pt idx="652">
                  <c:v>44847</c:v>
                </c:pt>
                <c:pt idx="653">
                  <c:v>44854</c:v>
                </c:pt>
                <c:pt idx="654">
                  <c:v>44861</c:v>
                </c:pt>
                <c:pt idx="655">
                  <c:v>44868</c:v>
                </c:pt>
                <c:pt idx="656">
                  <c:v>44875</c:v>
                </c:pt>
                <c:pt idx="657">
                  <c:v>44882</c:v>
                </c:pt>
                <c:pt idx="658">
                  <c:v>44889</c:v>
                </c:pt>
                <c:pt idx="659">
                  <c:v>44896</c:v>
                </c:pt>
                <c:pt idx="660">
                  <c:v>44903</c:v>
                </c:pt>
                <c:pt idx="661">
                  <c:v>44910</c:v>
                </c:pt>
                <c:pt idx="662">
                  <c:v>44917</c:v>
                </c:pt>
                <c:pt idx="663">
                  <c:v>44924</c:v>
                </c:pt>
                <c:pt idx="664">
                  <c:v>44931</c:v>
                </c:pt>
                <c:pt idx="665">
                  <c:v>44938</c:v>
                </c:pt>
                <c:pt idx="666">
                  <c:v>44945</c:v>
                </c:pt>
                <c:pt idx="667">
                  <c:v>44952</c:v>
                </c:pt>
                <c:pt idx="668">
                  <c:v>44959</c:v>
                </c:pt>
                <c:pt idx="669">
                  <c:v>44966</c:v>
                </c:pt>
                <c:pt idx="670">
                  <c:v>44973</c:v>
                </c:pt>
                <c:pt idx="671">
                  <c:v>44980</c:v>
                </c:pt>
                <c:pt idx="672">
                  <c:v>44987</c:v>
                </c:pt>
                <c:pt idx="673">
                  <c:v>44994</c:v>
                </c:pt>
                <c:pt idx="674">
                  <c:v>45001</c:v>
                </c:pt>
                <c:pt idx="675">
                  <c:v>45008</c:v>
                </c:pt>
                <c:pt idx="676">
                  <c:v>45015</c:v>
                </c:pt>
                <c:pt idx="677">
                  <c:v>45022</c:v>
                </c:pt>
                <c:pt idx="678">
                  <c:v>45029</c:v>
                </c:pt>
                <c:pt idx="679">
                  <c:v>45036</c:v>
                </c:pt>
                <c:pt idx="680">
                  <c:v>45043</c:v>
                </c:pt>
                <c:pt idx="681">
                  <c:v>45050</c:v>
                </c:pt>
                <c:pt idx="682">
                  <c:v>45057</c:v>
                </c:pt>
                <c:pt idx="683">
                  <c:v>45064</c:v>
                </c:pt>
                <c:pt idx="684">
                  <c:v>45071</c:v>
                </c:pt>
                <c:pt idx="685">
                  <c:v>45078</c:v>
                </c:pt>
                <c:pt idx="686">
                  <c:v>45085</c:v>
                </c:pt>
                <c:pt idx="687">
                  <c:v>45092</c:v>
                </c:pt>
                <c:pt idx="688">
                  <c:v>45099</c:v>
                </c:pt>
                <c:pt idx="689">
                  <c:v>45106</c:v>
                </c:pt>
                <c:pt idx="690">
                  <c:v>45113</c:v>
                </c:pt>
                <c:pt idx="691">
                  <c:v>45120</c:v>
                </c:pt>
                <c:pt idx="692">
                  <c:v>45127</c:v>
                </c:pt>
                <c:pt idx="693">
                  <c:v>45134</c:v>
                </c:pt>
                <c:pt idx="694">
                  <c:v>45141</c:v>
                </c:pt>
                <c:pt idx="695">
                  <c:v>45148</c:v>
                </c:pt>
                <c:pt idx="696">
                  <c:v>45155</c:v>
                </c:pt>
                <c:pt idx="697">
                  <c:v>45162</c:v>
                </c:pt>
                <c:pt idx="698">
                  <c:v>45169</c:v>
                </c:pt>
                <c:pt idx="699">
                  <c:v>45176</c:v>
                </c:pt>
                <c:pt idx="700">
                  <c:v>45183</c:v>
                </c:pt>
                <c:pt idx="701">
                  <c:v>45189</c:v>
                </c:pt>
                <c:pt idx="702">
                  <c:v>45196</c:v>
                </c:pt>
                <c:pt idx="703">
                  <c:v>45210</c:v>
                </c:pt>
                <c:pt idx="704">
                  <c:v>45217</c:v>
                </c:pt>
                <c:pt idx="705">
                  <c:v>45224</c:v>
                </c:pt>
                <c:pt idx="706">
                  <c:v>45231</c:v>
                </c:pt>
                <c:pt idx="707">
                  <c:v>45238</c:v>
                </c:pt>
                <c:pt idx="708">
                  <c:v>45245</c:v>
                </c:pt>
                <c:pt idx="709">
                  <c:v>45252</c:v>
                </c:pt>
                <c:pt idx="710">
                  <c:v>45259</c:v>
                </c:pt>
                <c:pt idx="711">
                  <c:v>45266</c:v>
                </c:pt>
                <c:pt idx="712">
                  <c:v>45273</c:v>
                </c:pt>
                <c:pt idx="713">
                  <c:v>45280</c:v>
                </c:pt>
                <c:pt idx="714">
                  <c:v>45289</c:v>
                </c:pt>
                <c:pt idx="715">
                  <c:v>45294</c:v>
                </c:pt>
                <c:pt idx="716">
                  <c:v>45301</c:v>
                </c:pt>
                <c:pt idx="717">
                  <c:v>45308</c:v>
                </c:pt>
                <c:pt idx="718">
                  <c:v>45315</c:v>
                </c:pt>
                <c:pt idx="719">
                  <c:v>45322</c:v>
                </c:pt>
                <c:pt idx="720">
                  <c:v>45329</c:v>
                </c:pt>
                <c:pt idx="721">
                  <c:v>45334</c:v>
                </c:pt>
                <c:pt idx="722">
                  <c:v>45350</c:v>
                </c:pt>
                <c:pt idx="723">
                  <c:v>45366</c:v>
                </c:pt>
                <c:pt idx="724">
                  <c:v>45373</c:v>
                </c:pt>
                <c:pt idx="725">
                  <c:v>45380</c:v>
                </c:pt>
                <c:pt idx="726">
                  <c:v>45387</c:v>
                </c:pt>
                <c:pt idx="727">
                  <c:v>45394</c:v>
                </c:pt>
                <c:pt idx="728">
                  <c:v>45401</c:v>
                </c:pt>
                <c:pt idx="729">
                  <c:v>45408</c:v>
                </c:pt>
                <c:pt idx="730">
                  <c:v>45415</c:v>
                </c:pt>
                <c:pt idx="731">
                  <c:v>45422</c:v>
                </c:pt>
                <c:pt idx="732">
                  <c:v>45429</c:v>
                </c:pt>
                <c:pt idx="733">
                  <c:v>45436</c:v>
                </c:pt>
                <c:pt idx="734">
                  <c:v>45443</c:v>
                </c:pt>
                <c:pt idx="735">
                  <c:v>45450</c:v>
                </c:pt>
                <c:pt idx="736">
                  <c:v>45457</c:v>
                </c:pt>
                <c:pt idx="737">
                  <c:v>45464</c:v>
                </c:pt>
                <c:pt idx="738">
                  <c:v>45471</c:v>
                </c:pt>
                <c:pt idx="739">
                  <c:v>45478</c:v>
                </c:pt>
                <c:pt idx="740">
                  <c:v>45485</c:v>
                </c:pt>
                <c:pt idx="741">
                  <c:v>45492</c:v>
                </c:pt>
                <c:pt idx="742">
                  <c:v>45499</c:v>
                </c:pt>
                <c:pt idx="743">
                  <c:v>45506</c:v>
                </c:pt>
                <c:pt idx="744">
                  <c:v>45513</c:v>
                </c:pt>
                <c:pt idx="745">
                  <c:v>45520</c:v>
                </c:pt>
                <c:pt idx="746">
                  <c:v>45527</c:v>
                </c:pt>
                <c:pt idx="747">
                  <c:v>45534</c:v>
                </c:pt>
                <c:pt idx="748">
                  <c:v>45541</c:v>
                </c:pt>
              </c:numCache>
            </c:numRef>
          </c:cat>
          <c:val>
            <c:numRef>
              <c:f>Weekly!$S$2:$S$750</c:f>
              <c:numCache>
                <c:formatCode>#,##0.00_);[Red]\(#,##0.00\)</c:formatCode>
                <c:ptCount val="749"/>
                <c:pt idx="0">
                  <c:v>74.75</c:v>
                </c:pt>
                <c:pt idx="1">
                  <c:v>74.75</c:v>
                </c:pt>
                <c:pt idx="2">
                  <c:v>74.75</c:v>
                </c:pt>
                <c:pt idx="3">
                  <c:v>118.3</c:v>
                </c:pt>
                <c:pt idx="4">
                  <c:v>79.05</c:v>
                </c:pt>
                <c:pt idx="5">
                  <c:v>47.75</c:v>
                </c:pt>
                <c:pt idx="6">
                  <c:v>-40</c:v>
                </c:pt>
                <c:pt idx="7">
                  <c:v>-60.65</c:v>
                </c:pt>
                <c:pt idx="8">
                  <c:v>-119.8</c:v>
                </c:pt>
                <c:pt idx="9">
                  <c:v>-119.8</c:v>
                </c:pt>
                <c:pt idx="10">
                  <c:v>-9.15</c:v>
                </c:pt>
                <c:pt idx="11">
                  <c:v>-17</c:v>
                </c:pt>
                <c:pt idx="12">
                  <c:v>22.25</c:v>
                </c:pt>
                <c:pt idx="13">
                  <c:v>118.5</c:v>
                </c:pt>
                <c:pt idx="14">
                  <c:v>118.5</c:v>
                </c:pt>
                <c:pt idx="15">
                  <c:v>130.30000000000001</c:v>
                </c:pt>
                <c:pt idx="16">
                  <c:v>198.1</c:v>
                </c:pt>
                <c:pt idx="17">
                  <c:v>149.5</c:v>
                </c:pt>
                <c:pt idx="18">
                  <c:v>175</c:v>
                </c:pt>
                <c:pt idx="19">
                  <c:v>165.75</c:v>
                </c:pt>
                <c:pt idx="20">
                  <c:v>165.75</c:v>
                </c:pt>
                <c:pt idx="21">
                  <c:v>65.75</c:v>
                </c:pt>
                <c:pt idx="22">
                  <c:v>6.5</c:v>
                </c:pt>
                <c:pt idx="23">
                  <c:v>6.5</c:v>
                </c:pt>
                <c:pt idx="24">
                  <c:v>215.25</c:v>
                </c:pt>
                <c:pt idx="25">
                  <c:v>310</c:v>
                </c:pt>
                <c:pt idx="26">
                  <c:v>381.75</c:v>
                </c:pt>
                <c:pt idx="27">
                  <c:v>274</c:v>
                </c:pt>
                <c:pt idx="28">
                  <c:v>131</c:v>
                </c:pt>
                <c:pt idx="29">
                  <c:v>339</c:v>
                </c:pt>
                <c:pt idx="30">
                  <c:v>407.5</c:v>
                </c:pt>
                <c:pt idx="31">
                  <c:v>407.5</c:v>
                </c:pt>
                <c:pt idx="32">
                  <c:v>60.5</c:v>
                </c:pt>
                <c:pt idx="33">
                  <c:v>-17.5</c:v>
                </c:pt>
                <c:pt idx="34">
                  <c:v>-17.5</c:v>
                </c:pt>
                <c:pt idx="35">
                  <c:v>-29</c:v>
                </c:pt>
                <c:pt idx="36">
                  <c:v>118</c:v>
                </c:pt>
                <c:pt idx="37">
                  <c:v>118</c:v>
                </c:pt>
                <c:pt idx="38">
                  <c:v>224.7</c:v>
                </c:pt>
                <c:pt idx="39">
                  <c:v>96.75</c:v>
                </c:pt>
                <c:pt idx="40">
                  <c:v>48.25</c:v>
                </c:pt>
                <c:pt idx="41">
                  <c:v>57.5</c:v>
                </c:pt>
                <c:pt idx="42">
                  <c:v>57.5</c:v>
                </c:pt>
                <c:pt idx="43">
                  <c:v>165.15</c:v>
                </c:pt>
                <c:pt idx="44">
                  <c:v>183.75</c:v>
                </c:pt>
                <c:pt idx="45">
                  <c:v>38.25</c:v>
                </c:pt>
                <c:pt idx="46">
                  <c:v>6.75</c:v>
                </c:pt>
                <c:pt idx="47">
                  <c:v>19.75</c:v>
                </c:pt>
                <c:pt idx="48">
                  <c:v>-91.55</c:v>
                </c:pt>
                <c:pt idx="49">
                  <c:v>-50.8</c:v>
                </c:pt>
                <c:pt idx="50">
                  <c:v>-27.25</c:v>
                </c:pt>
                <c:pt idx="51">
                  <c:v>-150.05000000000001</c:v>
                </c:pt>
                <c:pt idx="52">
                  <c:v>-68.55</c:v>
                </c:pt>
                <c:pt idx="53">
                  <c:v>-87.05</c:v>
                </c:pt>
                <c:pt idx="54">
                  <c:v>-26.3</c:v>
                </c:pt>
                <c:pt idx="55">
                  <c:v>-26.3</c:v>
                </c:pt>
                <c:pt idx="56">
                  <c:v>-51.25</c:v>
                </c:pt>
                <c:pt idx="57">
                  <c:v>-88.25</c:v>
                </c:pt>
                <c:pt idx="58">
                  <c:v>-88.25</c:v>
                </c:pt>
                <c:pt idx="59">
                  <c:v>-88.25</c:v>
                </c:pt>
                <c:pt idx="60">
                  <c:v>-88.25</c:v>
                </c:pt>
                <c:pt idx="61">
                  <c:v>104.45</c:v>
                </c:pt>
                <c:pt idx="62">
                  <c:v>85.95</c:v>
                </c:pt>
                <c:pt idx="63">
                  <c:v>101.65</c:v>
                </c:pt>
                <c:pt idx="64">
                  <c:v>101.65</c:v>
                </c:pt>
                <c:pt idx="65">
                  <c:v>-22.75</c:v>
                </c:pt>
                <c:pt idx="66">
                  <c:v>-95</c:v>
                </c:pt>
                <c:pt idx="67">
                  <c:v>-67.25</c:v>
                </c:pt>
                <c:pt idx="68">
                  <c:v>-77.349999999999994</c:v>
                </c:pt>
                <c:pt idx="69">
                  <c:v>-118</c:v>
                </c:pt>
                <c:pt idx="70">
                  <c:v>-150.80000000000001</c:v>
                </c:pt>
                <c:pt idx="71">
                  <c:v>-145.25</c:v>
                </c:pt>
                <c:pt idx="72">
                  <c:v>-17.7</c:v>
                </c:pt>
                <c:pt idx="73">
                  <c:v>-54.7</c:v>
                </c:pt>
                <c:pt idx="74">
                  <c:v>-54.7</c:v>
                </c:pt>
                <c:pt idx="75">
                  <c:v>-93.95</c:v>
                </c:pt>
                <c:pt idx="76">
                  <c:v>-178.55</c:v>
                </c:pt>
                <c:pt idx="77">
                  <c:v>-262.64999999999998</c:v>
                </c:pt>
                <c:pt idx="78">
                  <c:v>-262.64999999999998</c:v>
                </c:pt>
                <c:pt idx="79">
                  <c:v>-143.30000000000001</c:v>
                </c:pt>
                <c:pt idx="80">
                  <c:v>-183.95</c:v>
                </c:pt>
                <c:pt idx="81">
                  <c:v>-232.45</c:v>
                </c:pt>
                <c:pt idx="82">
                  <c:v>-313.75</c:v>
                </c:pt>
                <c:pt idx="83">
                  <c:v>-323</c:v>
                </c:pt>
                <c:pt idx="84">
                  <c:v>-320.64999999999998</c:v>
                </c:pt>
                <c:pt idx="85">
                  <c:v>-366.9</c:v>
                </c:pt>
                <c:pt idx="86">
                  <c:v>-366.9</c:v>
                </c:pt>
                <c:pt idx="87">
                  <c:v>-226.05</c:v>
                </c:pt>
                <c:pt idx="88">
                  <c:v>5.3</c:v>
                </c:pt>
                <c:pt idx="89">
                  <c:v>48.25</c:v>
                </c:pt>
                <c:pt idx="90">
                  <c:v>110.2</c:v>
                </c:pt>
                <c:pt idx="91">
                  <c:v>110.2</c:v>
                </c:pt>
                <c:pt idx="92">
                  <c:v>114.5</c:v>
                </c:pt>
                <c:pt idx="93">
                  <c:v>114.5</c:v>
                </c:pt>
                <c:pt idx="94">
                  <c:v>168.55</c:v>
                </c:pt>
                <c:pt idx="95">
                  <c:v>168.55</c:v>
                </c:pt>
                <c:pt idx="96">
                  <c:v>162.80000000000001</c:v>
                </c:pt>
                <c:pt idx="97">
                  <c:v>162.80000000000001</c:v>
                </c:pt>
                <c:pt idx="98">
                  <c:v>162.80000000000001</c:v>
                </c:pt>
                <c:pt idx="99">
                  <c:v>132.6</c:v>
                </c:pt>
                <c:pt idx="100">
                  <c:v>169.6</c:v>
                </c:pt>
                <c:pt idx="101">
                  <c:v>171</c:v>
                </c:pt>
                <c:pt idx="102">
                  <c:v>319.2</c:v>
                </c:pt>
                <c:pt idx="103">
                  <c:v>501.7</c:v>
                </c:pt>
                <c:pt idx="104">
                  <c:v>486</c:v>
                </c:pt>
                <c:pt idx="105">
                  <c:v>401.8</c:v>
                </c:pt>
                <c:pt idx="106">
                  <c:v>258.14999999999998</c:v>
                </c:pt>
                <c:pt idx="107">
                  <c:v>201.8</c:v>
                </c:pt>
                <c:pt idx="108">
                  <c:v>116.3</c:v>
                </c:pt>
                <c:pt idx="109">
                  <c:v>-20.5</c:v>
                </c:pt>
                <c:pt idx="110">
                  <c:v>-45.45</c:v>
                </c:pt>
                <c:pt idx="111">
                  <c:v>-123.1</c:v>
                </c:pt>
                <c:pt idx="112">
                  <c:v>-211.5</c:v>
                </c:pt>
                <c:pt idx="113">
                  <c:v>-211.5</c:v>
                </c:pt>
                <c:pt idx="114">
                  <c:v>-161.69999999999999</c:v>
                </c:pt>
                <c:pt idx="115">
                  <c:v>-33.299999999999997</c:v>
                </c:pt>
                <c:pt idx="116">
                  <c:v>49.3</c:v>
                </c:pt>
                <c:pt idx="117">
                  <c:v>49.3</c:v>
                </c:pt>
                <c:pt idx="118">
                  <c:v>234.75</c:v>
                </c:pt>
                <c:pt idx="119">
                  <c:v>96.55</c:v>
                </c:pt>
                <c:pt idx="120">
                  <c:v>130.25</c:v>
                </c:pt>
                <c:pt idx="121">
                  <c:v>152.69999999999999</c:v>
                </c:pt>
                <c:pt idx="122">
                  <c:v>160.75</c:v>
                </c:pt>
                <c:pt idx="123">
                  <c:v>250</c:v>
                </c:pt>
                <c:pt idx="124">
                  <c:v>313.3</c:v>
                </c:pt>
                <c:pt idx="125">
                  <c:v>380.8</c:v>
                </c:pt>
                <c:pt idx="126">
                  <c:v>380.8</c:v>
                </c:pt>
                <c:pt idx="127">
                  <c:v>320.85000000000002</c:v>
                </c:pt>
                <c:pt idx="128">
                  <c:v>266.55</c:v>
                </c:pt>
                <c:pt idx="130">
                  <c:v>26.7</c:v>
                </c:pt>
                <c:pt idx="131">
                  <c:v>-449.25</c:v>
                </c:pt>
                <c:pt idx="132">
                  <c:v>-425.3</c:v>
                </c:pt>
                <c:pt idx="133">
                  <c:v>-509.4</c:v>
                </c:pt>
                <c:pt idx="134">
                  <c:v>-575.5</c:v>
                </c:pt>
                <c:pt idx="135">
                  <c:v>-724</c:v>
                </c:pt>
                <c:pt idx="136">
                  <c:v>-862.4</c:v>
                </c:pt>
                <c:pt idx="137">
                  <c:v>-645.9</c:v>
                </c:pt>
                <c:pt idx="138">
                  <c:v>-436.25</c:v>
                </c:pt>
                <c:pt idx="139">
                  <c:v>-317.75</c:v>
                </c:pt>
                <c:pt idx="140">
                  <c:v>-88.75</c:v>
                </c:pt>
                <c:pt idx="141">
                  <c:v>-135.19999999999999</c:v>
                </c:pt>
                <c:pt idx="142">
                  <c:v>-329.6</c:v>
                </c:pt>
                <c:pt idx="143">
                  <c:v>-337.65</c:v>
                </c:pt>
                <c:pt idx="144">
                  <c:v>-306.7</c:v>
                </c:pt>
                <c:pt idx="145">
                  <c:v>-257.85000000000002</c:v>
                </c:pt>
                <c:pt idx="146">
                  <c:v>22.9</c:v>
                </c:pt>
                <c:pt idx="147">
                  <c:v>22.9</c:v>
                </c:pt>
                <c:pt idx="148">
                  <c:v>22.9</c:v>
                </c:pt>
                <c:pt idx="149">
                  <c:v>86.1</c:v>
                </c:pt>
                <c:pt idx="150">
                  <c:v>153.5</c:v>
                </c:pt>
                <c:pt idx="151">
                  <c:v>160.35</c:v>
                </c:pt>
                <c:pt idx="152">
                  <c:v>186</c:v>
                </c:pt>
                <c:pt idx="153">
                  <c:v>123.65</c:v>
                </c:pt>
                <c:pt idx="154">
                  <c:v>65.400000000000006</c:v>
                </c:pt>
                <c:pt idx="155">
                  <c:v>-101.6</c:v>
                </c:pt>
                <c:pt idx="156">
                  <c:v>-42.35</c:v>
                </c:pt>
                <c:pt idx="157">
                  <c:v>-44.75</c:v>
                </c:pt>
                <c:pt idx="158">
                  <c:v>-72.7</c:v>
                </c:pt>
                <c:pt idx="159">
                  <c:v>-104.9</c:v>
                </c:pt>
                <c:pt idx="160">
                  <c:v>-76.400000000000006</c:v>
                </c:pt>
                <c:pt idx="161">
                  <c:v>-41</c:v>
                </c:pt>
                <c:pt idx="162">
                  <c:v>48.75</c:v>
                </c:pt>
                <c:pt idx="163">
                  <c:v>129.25</c:v>
                </c:pt>
                <c:pt idx="164">
                  <c:v>25.65</c:v>
                </c:pt>
                <c:pt idx="165">
                  <c:v>25.65</c:v>
                </c:pt>
                <c:pt idx="166">
                  <c:v>-20.25</c:v>
                </c:pt>
                <c:pt idx="167">
                  <c:v>-159.5</c:v>
                </c:pt>
                <c:pt idx="168">
                  <c:v>-32.700000000000003</c:v>
                </c:pt>
                <c:pt idx="169">
                  <c:v>87.35</c:v>
                </c:pt>
                <c:pt idx="170">
                  <c:v>68.849999999999994</c:v>
                </c:pt>
                <c:pt idx="171">
                  <c:v>113.3</c:v>
                </c:pt>
                <c:pt idx="172">
                  <c:v>90.15</c:v>
                </c:pt>
                <c:pt idx="173">
                  <c:v>19.399999999999999</c:v>
                </c:pt>
                <c:pt idx="174">
                  <c:v>102.3</c:v>
                </c:pt>
                <c:pt idx="175">
                  <c:v>264.5</c:v>
                </c:pt>
                <c:pt idx="176">
                  <c:v>321.25</c:v>
                </c:pt>
                <c:pt idx="177">
                  <c:v>295.89999999999998</c:v>
                </c:pt>
                <c:pt idx="178">
                  <c:v>277.32</c:v>
                </c:pt>
                <c:pt idx="179">
                  <c:v>227.8</c:v>
                </c:pt>
                <c:pt idx="180">
                  <c:v>209.3</c:v>
                </c:pt>
                <c:pt idx="181">
                  <c:v>209.3</c:v>
                </c:pt>
                <c:pt idx="182">
                  <c:v>185.25</c:v>
                </c:pt>
                <c:pt idx="183">
                  <c:v>213</c:v>
                </c:pt>
                <c:pt idx="184">
                  <c:v>180.8</c:v>
                </c:pt>
                <c:pt idx="185">
                  <c:v>92.25</c:v>
                </c:pt>
                <c:pt idx="186">
                  <c:v>70.05</c:v>
                </c:pt>
                <c:pt idx="187">
                  <c:v>151.75</c:v>
                </c:pt>
                <c:pt idx="188">
                  <c:v>152.30000000000001</c:v>
                </c:pt>
                <c:pt idx="189">
                  <c:v>342.55</c:v>
                </c:pt>
                <c:pt idx="190">
                  <c:v>366.6</c:v>
                </c:pt>
                <c:pt idx="191">
                  <c:v>391.25</c:v>
                </c:pt>
                <c:pt idx="192">
                  <c:v>332.5</c:v>
                </c:pt>
                <c:pt idx="193">
                  <c:v>257.64999999999998</c:v>
                </c:pt>
                <c:pt idx="194">
                  <c:v>260.64999999999998</c:v>
                </c:pt>
                <c:pt idx="195">
                  <c:v>190.15</c:v>
                </c:pt>
                <c:pt idx="196">
                  <c:v>107.25</c:v>
                </c:pt>
                <c:pt idx="197">
                  <c:v>107.25</c:v>
                </c:pt>
                <c:pt idx="198">
                  <c:v>107.25</c:v>
                </c:pt>
                <c:pt idx="199">
                  <c:v>36</c:v>
                </c:pt>
                <c:pt idx="200">
                  <c:v>36</c:v>
                </c:pt>
                <c:pt idx="201">
                  <c:v>30.45</c:v>
                </c:pt>
                <c:pt idx="202">
                  <c:v>-113.5</c:v>
                </c:pt>
                <c:pt idx="203">
                  <c:v>-168.65</c:v>
                </c:pt>
                <c:pt idx="204">
                  <c:v>-239.9</c:v>
                </c:pt>
                <c:pt idx="205">
                  <c:v>-336.5</c:v>
                </c:pt>
                <c:pt idx="206">
                  <c:v>-283.75</c:v>
                </c:pt>
                <c:pt idx="207">
                  <c:v>-67.7</c:v>
                </c:pt>
                <c:pt idx="208">
                  <c:v>-244.5</c:v>
                </c:pt>
                <c:pt idx="209">
                  <c:v>-244.5</c:v>
                </c:pt>
                <c:pt idx="210">
                  <c:v>-244.5</c:v>
                </c:pt>
                <c:pt idx="211">
                  <c:v>-126.15</c:v>
                </c:pt>
                <c:pt idx="212">
                  <c:v>-201</c:v>
                </c:pt>
                <c:pt idx="213">
                  <c:v>-244.65</c:v>
                </c:pt>
                <c:pt idx="214">
                  <c:v>-189.5</c:v>
                </c:pt>
                <c:pt idx="215">
                  <c:v>-189.5</c:v>
                </c:pt>
                <c:pt idx="216">
                  <c:v>-288.5</c:v>
                </c:pt>
                <c:pt idx="217">
                  <c:v>-179.25</c:v>
                </c:pt>
                <c:pt idx="218">
                  <c:v>-179.25</c:v>
                </c:pt>
                <c:pt idx="219">
                  <c:v>-187.3</c:v>
                </c:pt>
                <c:pt idx="220">
                  <c:v>-230.65</c:v>
                </c:pt>
                <c:pt idx="221">
                  <c:v>-321.60000000000002</c:v>
                </c:pt>
                <c:pt idx="222">
                  <c:v>-364.25</c:v>
                </c:pt>
                <c:pt idx="223">
                  <c:v>-332.75</c:v>
                </c:pt>
                <c:pt idx="224">
                  <c:v>-292.5</c:v>
                </c:pt>
                <c:pt idx="225">
                  <c:v>-332.75</c:v>
                </c:pt>
                <c:pt idx="226">
                  <c:v>-348.85</c:v>
                </c:pt>
                <c:pt idx="227">
                  <c:v>-258.10000000000002</c:v>
                </c:pt>
                <c:pt idx="228">
                  <c:v>-269.75</c:v>
                </c:pt>
                <c:pt idx="229">
                  <c:v>-303.14999999999998</c:v>
                </c:pt>
                <c:pt idx="230">
                  <c:v>-334.15</c:v>
                </c:pt>
                <c:pt idx="231">
                  <c:v>-334.15</c:v>
                </c:pt>
                <c:pt idx="232">
                  <c:v>-84.15</c:v>
                </c:pt>
                <c:pt idx="233">
                  <c:v>-84.15</c:v>
                </c:pt>
                <c:pt idx="234">
                  <c:v>-25.4</c:v>
                </c:pt>
                <c:pt idx="235">
                  <c:v>58</c:v>
                </c:pt>
                <c:pt idx="236">
                  <c:v>98.75</c:v>
                </c:pt>
                <c:pt idx="237">
                  <c:v>182.15</c:v>
                </c:pt>
                <c:pt idx="238">
                  <c:v>159.85</c:v>
                </c:pt>
                <c:pt idx="239">
                  <c:v>235.7</c:v>
                </c:pt>
                <c:pt idx="240">
                  <c:v>155.05000000000001</c:v>
                </c:pt>
                <c:pt idx="241">
                  <c:v>138.94999999999999</c:v>
                </c:pt>
                <c:pt idx="242">
                  <c:v>102.45</c:v>
                </c:pt>
                <c:pt idx="243">
                  <c:v>102.45</c:v>
                </c:pt>
                <c:pt idx="244">
                  <c:v>161.19999999999999</c:v>
                </c:pt>
                <c:pt idx="245">
                  <c:v>161.19999999999999</c:v>
                </c:pt>
                <c:pt idx="246">
                  <c:v>177.3</c:v>
                </c:pt>
                <c:pt idx="247">
                  <c:v>237.05</c:v>
                </c:pt>
                <c:pt idx="248">
                  <c:v>110.75</c:v>
                </c:pt>
                <c:pt idx="249">
                  <c:v>70.5</c:v>
                </c:pt>
                <c:pt idx="250">
                  <c:v>92.75</c:v>
                </c:pt>
                <c:pt idx="251">
                  <c:v>45.1</c:v>
                </c:pt>
                <c:pt idx="252">
                  <c:v>95.1</c:v>
                </c:pt>
                <c:pt idx="253">
                  <c:v>95.1</c:v>
                </c:pt>
                <c:pt idx="254">
                  <c:v>223.9</c:v>
                </c:pt>
                <c:pt idx="255">
                  <c:v>255.45</c:v>
                </c:pt>
                <c:pt idx="256">
                  <c:v>231.3</c:v>
                </c:pt>
                <c:pt idx="257">
                  <c:v>192.25</c:v>
                </c:pt>
                <c:pt idx="258">
                  <c:v>176.15</c:v>
                </c:pt>
                <c:pt idx="259">
                  <c:v>162.44999999999999</c:v>
                </c:pt>
                <c:pt idx="260">
                  <c:v>114.15</c:v>
                </c:pt>
                <c:pt idx="261">
                  <c:v>85.55</c:v>
                </c:pt>
                <c:pt idx="262">
                  <c:v>45.3</c:v>
                </c:pt>
                <c:pt idx="263">
                  <c:v>109.7</c:v>
                </c:pt>
                <c:pt idx="264">
                  <c:v>137.44999999999999</c:v>
                </c:pt>
                <c:pt idx="265">
                  <c:v>124.25</c:v>
                </c:pt>
                <c:pt idx="266">
                  <c:v>59.85</c:v>
                </c:pt>
                <c:pt idx="267">
                  <c:v>-42.75</c:v>
                </c:pt>
                <c:pt idx="268">
                  <c:v>-36.75</c:v>
                </c:pt>
                <c:pt idx="269">
                  <c:v>13.05</c:v>
                </c:pt>
                <c:pt idx="270">
                  <c:v>-3.05</c:v>
                </c:pt>
                <c:pt idx="271">
                  <c:v>77.45</c:v>
                </c:pt>
                <c:pt idx="272">
                  <c:v>139.44999999999999</c:v>
                </c:pt>
                <c:pt idx="273">
                  <c:v>177.3</c:v>
                </c:pt>
                <c:pt idx="274">
                  <c:v>177.3</c:v>
                </c:pt>
                <c:pt idx="275">
                  <c:v>177.3</c:v>
                </c:pt>
                <c:pt idx="276">
                  <c:v>143.9</c:v>
                </c:pt>
                <c:pt idx="277">
                  <c:v>110.5</c:v>
                </c:pt>
                <c:pt idx="278">
                  <c:v>185.35</c:v>
                </c:pt>
                <c:pt idx="279">
                  <c:v>153.15</c:v>
                </c:pt>
                <c:pt idx="280">
                  <c:v>118.55</c:v>
                </c:pt>
                <c:pt idx="281">
                  <c:v>118.55</c:v>
                </c:pt>
                <c:pt idx="282">
                  <c:v>94.4</c:v>
                </c:pt>
                <c:pt idx="283">
                  <c:v>126.6</c:v>
                </c:pt>
                <c:pt idx="284">
                  <c:v>101.25</c:v>
                </c:pt>
                <c:pt idx="285">
                  <c:v>110.5</c:v>
                </c:pt>
                <c:pt idx="286">
                  <c:v>110.5</c:v>
                </c:pt>
                <c:pt idx="287">
                  <c:v>185.35</c:v>
                </c:pt>
                <c:pt idx="288">
                  <c:v>194.6</c:v>
                </c:pt>
                <c:pt idx="289">
                  <c:v>185.35</c:v>
                </c:pt>
                <c:pt idx="290">
                  <c:v>120.95</c:v>
                </c:pt>
                <c:pt idx="291">
                  <c:v>88.75</c:v>
                </c:pt>
                <c:pt idx="292">
                  <c:v>-1</c:v>
                </c:pt>
                <c:pt idx="293">
                  <c:v>111.85</c:v>
                </c:pt>
                <c:pt idx="294">
                  <c:v>146.44999999999999</c:v>
                </c:pt>
                <c:pt idx="295">
                  <c:v>113.05</c:v>
                </c:pt>
                <c:pt idx="296">
                  <c:v>105</c:v>
                </c:pt>
                <c:pt idx="297">
                  <c:v>114.25</c:v>
                </c:pt>
                <c:pt idx="298">
                  <c:v>114.25</c:v>
                </c:pt>
                <c:pt idx="299">
                  <c:v>88.4</c:v>
                </c:pt>
                <c:pt idx="300">
                  <c:v>71.099999999999994</c:v>
                </c:pt>
                <c:pt idx="301">
                  <c:v>131.1</c:v>
                </c:pt>
                <c:pt idx="302">
                  <c:v>128.19999999999999</c:v>
                </c:pt>
                <c:pt idx="303">
                  <c:v>128.19999999999999</c:v>
                </c:pt>
                <c:pt idx="305">
                  <c:v>172.05</c:v>
                </c:pt>
                <c:pt idx="306">
                  <c:v>82.3</c:v>
                </c:pt>
                <c:pt idx="307">
                  <c:v>36.5</c:v>
                </c:pt>
                <c:pt idx="308">
                  <c:v>34</c:v>
                </c:pt>
                <c:pt idx="309">
                  <c:v>36.4</c:v>
                </c:pt>
                <c:pt idx="310">
                  <c:v>36.4</c:v>
                </c:pt>
                <c:pt idx="311">
                  <c:v>89.5</c:v>
                </c:pt>
                <c:pt idx="312">
                  <c:v>89.5</c:v>
                </c:pt>
                <c:pt idx="313">
                  <c:v>108</c:v>
                </c:pt>
                <c:pt idx="314">
                  <c:v>328.45</c:v>
                </c:pt>
                <c:pt idx="315">
                  <c:v>328.45</c:v>
                </c:pt>
                <c:pt idx="316">
                  <c:v>220.4</c:v>
                </c:pt>
                <c:pt idx="317">
                  <c:v>275.75</c:v>
                </c:pt>
                <c:pt idx="318">
                  <c:v>364.3</c:v>
                </c:pt>
                <c:pt idx="319">
                  <c:v>290.3</c:v>
                </c:pt>
                <c:pt idx="320">
                  <c:v>454.9</c:v>
                </c:pt>
                <c:pt idx="321">
                  <c:v>544.65</c:v>
                </c:pt>
                <c:pt idx="322">
                  <c:v>661.8</c:v>
                </c:pt>
                <c:pt idx="323">
                  <c:v>635.25</c:v>
                </c:pt>
                <c:pt idx="324">
                  <c:v>548.65</c:v>
                </c:pt>
                <c:pt idx="325">
                  <c:v>492.3</c:v>
                </c:pt>
                <c:pt idx="326">
                  <c:v>19.649999999999999</c:v>
                </c:pt>
                <c:pt idx="327">
                  <c:v>-126.45</c:v>
                </c:pt>
                <c:pt idx="328">
                  <c:v>-159.85</c:v>
                </c:pt>
                <c:pt idx="329">
                  <c:v>-231.1</c:v>
                </c:pt>
                <c:pt idx="330">
                  <c:v>-164.3</c:v>
                </c:pt>
                <c:pt idx="331">
                  <c:v>-112</c:v>
                </c:pt>
                <c:pt idx="332">
                  <c:v>-95.8</c:v>
                </c:pt>
                <c:pt idx="333">
                  <c:v>-119.95</c:v>
                </c:pt>
                <c:pt idx="334">
                  <c:v>-63</c:v>
                </c:pt>
                <c:pt idx="335">
                  <c:v>-63</c:v>
                </c:pt>
                <c:pt idx="336">
                  <c:v>-31</c:v>
                </c:pt>
                <c:pt idx="337">
                  <c:v>-11</c:v>
                </c:pt>
                <c:pt idx="338">
                  <c:v>-11</c:v>
                </c:pt>
                <c:pt idx="339">
                  <c:v>-2</c:v>
                </c:pt>
                <c:pt idx="340">
                  <c:v>16</c:v>
                </c:pt>
                <c:pt idx="341">
                  <c:v>88.95</c:v>
                </c:pt>
                <c:pt idx="342">
                  <c:v>35</c:v>
                </c:pt>
                <c:pt idx="343">
                  <c:v>82</c:v>
                </c:pt>
                <c:pt idx="344">
                  <c:v>82</c:v>
                </c:pt>
                <c:pt idx="345">
                  <c:v>238</c:v>
                </c:pt>
                <c:pt idx="346">
                  <c:v>301</c:v>
                </c:pt>
                <c:pt idx="347">
                  <c:v>239</c:v>
                </c:pt>
                <c:pt idx="348">
                  <c:v>494</c:v>
                </c:pt>
                <c:pt idx="349">
                  <c:v>378</c:v>
                </c:pt>
                <c:pt idx="350">
                  <c:v>339</c:v>
                </c:pt>
                <c:pt idx="351">
                  <c:v>339</c:v>
                </c:pt>
                <c:pt idx="352">
                  <c:v>339</c:v>
                </c:pt>
                <c:pt idx="353">
                  <c:v>240</c:v>
                </c:pt>
                <c:pt idx="354">
                  <c:v>240</c:v>
                </c:pt>
                <c:pt idx="355">
                  <c:v>240</c:v>
                </c:pt>
                <c:pt idx="356">
                  <c:v>209</c:v>
                </c:pt>
                <c:pt idx="357">
                  <c:v>200</c:v>
                </c:pt>
                <c:pt idx="358">
                  <c:v>200</c:v>
                </c:pt>
                <c:pt idx="359">
                  <c:v>131</c:v>
                </c:pt>
                <c:pt idx="360">
                  <c:v>85</c:v>
                </c:pt>
                <c:pt idx="361">
                  <c:v>0.45</c:v>
                </c:pt>
                <c:pt idx="362">
                  <c:v>0.45</c:v>
                </c:pt>
                <c:pt idx="363">
                  <c:v>-79</c:v>
                </c:pt>
                <c:pt idx="364">
                  <c:v>-75</c:v>
                </c:pt>
                <c:pt idx="365">
                  <c:v>-46</c:v>
                </c:pt>
                <c:pt idx="366">
                  <c:v>-46</c:v>
                </c:pt>
                <c:pt idx="367">
                  <c:v>-55</c:v>
                </c:pt>
                <c:pt idx="368">
                  <c:v>-24</c:v>
                </c:pt>
                <c:pt idx="369">
                  <c:v>-50</c:v>
                </c:pt>
                <c:pt idx="370">
                  <c:v>-161</c:v>
                </c:pt>
                <c:pt idx="371">
                  <c:v>-71</c:v>
                </c:pt>
                <c:pt idx="372">
                  <c:v>-161</c:v>
                </c:pt>
                <c:pt idx="373">
                  <c:v>-97</c:v>
                </c:pt>
                <c:pt idx="374">
                  <c:v>-136</c:v>
                </c:pt>
                <c:pt idx="375">
                  <c:v>-136</c:v>
                </c:pt>
                <c:pt idx="376">
                  <c:v>-117</c:v>
                </c:pt>
                <c:pt idx="377">
                  <c:v>27.6</c:v>
                </c:pt>
                <c:pt idx="378">
                  <c:v>29.85</c:v>
                </c:pt>
                <c:pt idx="379">
                  <c:v>58</c:v>
                </c:pt>
                <c:pt idx="380">
                  <c:v>74</c:v>
                </c:pt>
                <c:pt idx="381">
                  <c:v>15.5</c:v>
                </c:pt>
                <c:pt idx="382">
                  <c:v>101</c:v>
                </c:pt>
                <c:pt idx="383">
                  <c:v>94</c:v>
                </c:pt>
                <c:pt idx="384">
                  <c:v>141</c:v>
                </c:pt>
                <c:pt idx="385">
                  <c:v>132</c:v>
                </c:pt>
                <c:pt idx="386">
                  <c:v>206</c:v>
                </c:pt>
                <c:pt idx="387">
                  <c:v>171</c:v>
                </c:pt>
                <c:pt idx="388">
                  <c:v>233</c:v>
                </c:pt>
                <c:pt idx="389">
                  <c:v>253</c:v>
                </c:pt>
                <c:pt idx="391">
                  <c:v>333</c:v>
                </c:pt>
                <c:pt idx="392">
                  <c:v>303</c:v>
                </c:pt>
                <c:pt idx="393">
                  <c:v>229</c:v>
                </c:pt>
                <c:pt idx="394">
                  <c:v>229</c:v>
                </c:pt>
                <c:pt idx="395">
                  <c:v>219</c:v>
                </c:pt>
                <c:pt idx="396">
                  <c:v>210</c:v>
                </c:pt>
                <c:pt idx="397">
                  <c:v>211</c:v>
                </c:pt>
                <c:pt idx="398">
                  <c:v>146</c:v>
                </c:pt>
                <c:pt idx="399">
                  <c:v>209</c:v>
                </c:pt>
                <c:pt idx="400">
                  <c:v>142</c:v>
                </c:pt>
                <c:pt idx="401">
                  <c:v>129</c:v>
                </c:pt>
                <c:pt idx="402">
                  <c:v>113</c:v>
                </c:pt>
                <c:pt idx="403">
                  <c:v>132</c:v>
                </c:pt>
                <c:pt idx="404">
                  <c:v>132</c:v>
                </c:pt>
                <c:pt idx="405">
                  <c:v>166</c:v>
                </c:pt>
                <c:pt idx="406">
                  <c:v>166</c:v>
                </c:pt>
                <c:pt idx="407">
                  <c:v>166</c:v>
                </c:pt>
                <c:pt idx="408">
                  <c:v>92</c:v>
                </c:pt>
                <c:pt idx="409">
                  <c:v>92</c:v>
                </c:pt>
                <c:pt idx="410">
                  <c:v>287</c:v>
                </c:pt>
                <c:pt idx="411">
                  <c:v>344</c:v>
                </c:pt>
                <c:pt idx="412">
                  <c:v>344</c:v>
                </c:pt>
                <c:pt idx="413">
                  <c:v>276</c:v>
                </c:pt>
                <c:pt idx="414">
                  <c:v>276</c:v>
                </c:pt>
                <c:pt idx="415">
                  <c:v>276</c:v>
                </c:pt>
                <c:pt idx="416">
                  <c:v>333</c:v>
                </c:pt>
                <c:pt idx="417">
                  <c:v>266</c:v>
                </c:pt>
                <c:pt idx="418">
                  <c:v>207</c:v>
                </c:pt>
                <c:pt idx="419">
                  <c:v>167</c:v>
                </c:pt>
                <c:pt idx="420">
                  <c:v>201</c:v>
                </c:pt>
                <c:pt idx="421">
                  <c:v>106</c:v>
                </c:pt>
                <c:pt idx="422">
                  <c:v>-8</c:v>
                </c:pt>
                <c:pt idx="423">
                  <c:v>92</c:v>
                </c:pt>
                <c:pt idx="424">
                  <c:v>83</c:v>
                </c:pt>
                <c:pt idx="425">
                  <c:v>-53</c:v>
                </c:pt>
                <c:pt idx="426">
                  <c:v>-63</c:v>
                </c:pt>
                <c:pt idx="427">
                  <c:v>95</c:v>
                </c:pt>
                <c:pt idx="428">
                  <c:v>128</c:v>
                </c:pt>
                <c:pt idx="429">
                  <c:v>128</c:v>
                </c:pt>
                <c:pt idx="430">
                  <c:v>140</c:v>
                </c:pt>
                <c:pt idx="431">
                  <c:v>140</c:v>
                </c:pt>
                <c:pt idx="432">
                  <c:v>99</c:v>
                </c:pt>
                <c:pt idx="433">
                  <c:v>69</c:v>
                </c:pt>
                <c:pt idx="434">
                  <c:v>158</c:v>
                </c:pt>
                <c:pt idx="435">
                  <c:v>148</c:v>
                </c:pt>
                <c:pt idx="436">
                  <c:v>78</c:v>
                </c:pt>
                <c:pt idx="437">
                  <c:v>117</c:v>
                </c:pt>
                <c:pt idx="438">
                  <c:v>136</c:v>
                </c:pt>
                <c:pt idx="439">
                  <c:v>157</c:v>
                </c:pt>
                <c:pt idx="440">
                  <c:v>157</c:v>
                </c:pt>
                <c:pt idx="441">
                  <c:v>375</c:v>
                </c:pt>
                <c:pt idx="443">
                  <c:v>364</c:v>
                </c:pt>
                <c:pt idx="444">
                  <c:v>364</c:v>
                </c:pt>
                <c:pt idx="445">
                  <c:v>354</c:v>
                </c:pt>
                <c:pt idx="446">
                  <c:v>124</c:v>
                </c:pt>
                <c:pt idx="447">
                  <c:v>49</c:v>
                </c:pt>
                <c:pt idx="448">
                  <c:v>1.25</c:v>
                </c:pt>
                <c:pt idx="449">
                  <c:v>10</c:v>
                </c:pt>
                <c:pt idx="450">
                  <c:v>-29</c:v>
                </c:pt>
                <c:pt idx="451">
                  <c:v>-29</c:v>
                </c:pt>
                <c:pt idx="452">
                  <c:v>-296</c:v>
                </c:pt>
                <c:pt idx="453">
                  <c:v>-401</c:v>
                </c:pt>
                <c:pt idx="454">
                  <c:v>-450</c:v>
                </c:pt>
                <c:pt idx="455">
                  <c:v>-415</c:v>
                </c:pt>
                <c:pt idx="456">
                  <c:v>-417</c:v>
                </c:pt>
                <c:pt idx="457">
                  <c:v>-207</c:v>
                </c:pt>
                <c:pt idx="458">
                  <c:v>-150</c:v>
                </c:pt>
                <c:pt idx="459">
                  <c:v>-180</c:v>
                </c:pt>
                <c:pt idx="461">
                  <c:v>-220</c:v>
                </c:pt>
                <c:pt idx="462">
                  <c:v>-250</c:v>
                </c:pt>
                <c:pt idx="463">
                  <c:v>-190</c:v>
                </c:pt>
                <c:pt idx="464">
                  <c:v>-201</c:v>
                </c:pt>
                <c:pt idx="465">
                  <c:v>-171</c:v>
                </c:pt>
                <c:pt idx="466">
                  <c:v>-215</c:v>
                </c:pt>
                <c:pt idx="467">
                  <c:v>-215</c:v>
                </c:pt>
                <c:pt idx="468">
                  <c:v>-276</c:v>
                </c:pt>
                <c:pt idx="469">
                  <c:v>-186</c:v>
                </c:pt>
                <c:pt idx="470">
                  <c:v>-186</c:v>
                </c:pt>
                <c:pt idx="471">
                  <c:v>-181</c:v>
                </c:pt>
                <c:pt idx="472">
                  <c:v>-181</c:v>
                </c:pt>
                <c:pt idx="473">
                  <c:v>-125</c:v>
                </c:pt>
                <c:pt idx="474">
                  <c:v>33</c:v>
                </c:pt>
                <c:pt idx="475">
                  <c:v>42</c:v>
                </c:pt>
                <c:pt idx="476">
                  <c:v>209</c:v>
                </c:pt>
                <c:pt idx="477">
                  <c:v>181</c:v>
                </c:pt>
                <c:pt idx="478">
                  <c:v>181</c:v>
                </c:pt>
                <c:pt idx="479">
                  <c:v>88</c:v>
                </c:pt>
                <c:pt idx="480">
                  <c:v>88</c:v>
                </c:pt>
                <c:pt idx="481">
                  <c:v>88</c:v>
                </c:pt>
                <c:pt idx="482">
                  <c:v>-85</c:v>
                </c:pt>
                <c:pt idx="483">
                  <c:v>-5</c:v>
                </c:pt>
                <c:pt idx="484">
                  <c:v>-61</c:v>
                </c:pt>
                <c:pt idx="485">
                  <c:v>-21</c:v>
                </c:pt>
                <c:pt idx="486">
                  <c:v>65.95</c:v>
                </c:pt>
                <c:pt idx="487">
                  <c:v>155.25</c:v>
                </c:pt>
                <c:pt idx="488">
                  <c:v>191.2</c:v>
                </c:pt>
                <c:pt idx="489">
                  <c:v>265</c:v>
                </c:pt>
                <c:pt idx="490">
                  <c:v>255.5</c:v>
                </c:pt>
                <c:pt idx="491">
                  <c:v>233.9</c:v>
                </c:pt>
                <c:pt idx="492">
                  <c:v>219.55</c:v>
                </c:pt>
                <c:pt idx="493">
                  <c:v>9.5500000000000007</c:v>
                </c:pt>
                <c:pt idx="494">
                  <c:v>-52.35</c:v>
                </c:pt>
                <c:pt idx="495">
                  <c:v>31.45</c:v>
                </c:pt>
                <c:pt idx="496">
                  <c:v>91.15</c:v>
                </c:pt>
                <c:pt idx="497">
                  <c:v>164.75</c:v>
                </c:pt>
                <c:pt idx="498">
                  <c:v>164.9</c:v>
                </c:pt>
                <c:pt idx="499">
                  <c:v>269.10000000000002</c:v>
                </c:pt>
                <c:pt idx="500">
                  <c:v>248.7</c:v>
                </c:pt>
                <c:pt idx="501">
                  <c:v>233.85</c:v>
                </c:pt>
                <c:pt idx="502">
                  <c:v>214.85</c:v>
                </c:pt>
                <c:pt idx="503">
                  <c:v>174.3</c:v>
                </c:pt>
                <c:pt idx="504">
                  <c:v>122.6</c:v>
                </c:pt>
                <c:pt idx="505">
                  <c:v>90.1</c:v>
                </c:pt>
                <c:pt idx="506">
                  <c:v>110.35</c:v>
                </c:pt>
                <c:pt idx="507">
                  <c:v>178.55</c:v>
                </c:pt>
                <c:pt idx="508">
                  <c:v>188.45</c:v>
                </c:pt>
                <c:pt idx="509">
                  <c:v>140.94999999999999</c:v>
                </c:pt>
                <c:pt idx="510">
                  <c:v>120.05</c:v>
                </c:pt>
                <c:pt idx="512">
                  <c:v>106.7</c:v>
                </c:pt>
                <c:pt idx="513">
                  <c:v>51.6</c:v>
                </c:pt>
                <c:pt idx="514">
                  <c:v>128.30000000000001</c:v>
                </c:pt>
                <c:pt idx="515">
                  <c:v>96</c:v>
                </c:pt>
                <c:pt idx="516">
                  <c:v>123.95</c:v>
                </c:pt>
                <c:pt idx="517">
                  <c:v>104.7</c:v>
                </c:pt>
                <c:pt idx="518">
                  <c:v>176.4</c:v>
                </c:pt>
                <c:pt idx="519">
                  <c:v>374.15</c:v>
                </c:pt>
                <c:pt idx="520">
                  <c:v>414.7</c:v>
                </c:pt>
                <c:pt idx="521">
                  <c:v>425.75</c:v>
                </c:pt>
                <c:pt idx="522">
                  <c:v>364.4</c:v>
                </c:pt>
                <c:pt idx="523">
                  <c:v>325.85000000000002</c:v>
                </c:pt>
                <c:pt idx="524">
                  <c:v>278.5</c:v>
                </c:pt>
                <c:pt idx="525">
                  <c:v>155.4</c:v>
                </c:pt>
                <c:pt idx="526">
                  <c:v>101.95</c:v>
                </c:pt>
                <c:pt idx="527">
                  <c:v>68.599999999999994</c:v>
                </c:pt>
                <c:pt idx="528">
                  <c:v>194.95</c:v>
                </c:pt>
                <c:pt idx="529">
                  <c:v>209.8</c:v>
                </c:pt>
                <c:pt idx="530">
                  <c:v>150.1</c:v>
                </c:pt>
                <c:pt idx="531">
                  <c:v>165.3</c:v>
                </c:pt>
                <c:pt idx="532">
                  <c:v>179.3</c:v>
                </c:pt>
                <c:pt idx="533">
                  <c:v>248.6</c:v>
                </c:pt>
                <c:pt idx="534">
                  <c:v>276.25</c:v>
                </c:pt>
                <c:pt idx="535">
                  <c:v>243.6</c:v>
                </c:pt>
                <c:pt idx="536">
                  <c:v>370.25</c:v>
                </c:pt>
                <c:pt idx="537">
                  <c:v>0</c:v>
                </c:pt>
                <c:pt idx="538">
                  <c:v>317</c:v>
                </c:pt>
                <c:pt idx="539">
                  <c:v>173.95</c:v>
                </c:pt>
                <c:pt idx="540">
                  <c:v>179.3</c:v>
                </c:pt>
                <c:pt idx="541">
                  <c:v>262.39999999999998</c:v>
                </c:pt>
                <c:pt idx="542">
                  <c:v>245.3</c:v>
                </c:pt>
                <c:pt idx="543">
                  <c:v>293.85000000000002</c:v>
                </c:pt>
                <c:pt idx="544">
                  <c:v>447.4</c:v>
                </c:pt>
                <c:pt idx="545">
                  <c:v>353.25</c:v>
                </c:pt>
                <c:pt idx="546">
                  <c:v>316.55</c:v>
                </c:pt>
                <c:pt idx="547">
                  <c:v>443.15</c:v>
                </c:pt>
                <c:pt idx="548">
                  <c:v>400.95</c:v>
                </c:pt>
                <c:pt idx="549">
                  <c:v>449.15</c:v>
                </c:pt>
                <c:pt idx="550">
                  <c:v>370.1</c:v>
                </c:pt>
                <c:pt idx="551">
                  <c:v>457</c:v>
                </c:pt>
                <c:pt idx="552">
                  <c:v>383.9</c:v>
                </c:pt>
                <c:pt idx="553">
                  <c:v>469.05</c:v>
                </c:pt>
                <c:pt idx="554">
                  <c:v>409.8</c:v>
                </c:pt>
                <c:pt idx="555">
                  <c:v>370.9</c:v>
                </c:pt>
                <c:pt idx="556">
                  <c:v>357.25</c:v>
                </c:pt>
                <c:pt idx="557">
                  <c:v>489.6</c:v>
                </c:pt>
                <c:pt idx="558">
                  <c:v>613.5</c:v>
                </c:pt>
                <c:pt idx="559">
                  <c:v>744.85</c:v>
                </c:pt>
                <c:pt idx="560">
                  <c:v>917.3</c:v>
                </c:pt>
                <c:pt idx="561">
                  <c:v>1211.0999999999999</c:v>
                </c:pt>
                <c:pt idx="562">
                  <c:v>1074.5999999999999</c:v>
                </c:pt>
                <c:pt idx="563">
                  <c:v>1124</c:v>
                </c:pt>
                <c:pt idx="564">
                  <c:v>1033.8</c:v>
                </c:pt>
                <c:pt idx="565">
                  <c:v>1088.9000000000001</c:v>
                </c:pt>
                <c:pt idx="566">
                  <c:v>943.7</c:v>
                </c:pt>
                <c:pt idx="567">
                  <c:v>821.3</c:v>
                </c:pt>
                <c:pt idx="568">
                  <c:v>755.4</c:v>
                </c:pt>
                <c:pt idx="569">
                  <c:v>666.7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2-4F19-955A-806994E0D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448072"/>
        <c:axId val="819448728"/>
      </c:lineChart>
      <c:dateAx>
        <c:axId val="819448072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48728"/>
        <c:crosses val="autoZero"/>
        <c:auto val="1"/>
        <c:lblOffset val="100"/>
        <c:baseTimeUnit val="days"/>
      </c:dateAx>
      <c:valAx>
        <c:axId val="81944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(CNY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48072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Weekly Chinese Soybean Oil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61827213925241"/>
          <c:y val="0.1071169024225954"/>
          <c:w val="0.87793669723080014"/>
          <c:h val="0.7597864573382547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722E"/>
              </a:solidFill>
              <a:ln w="15875">
                <a:solidFill>
                  <a:srgbClr val="C4722E"/>
                </a:solidFill>
              </a:ln>
              <a:effectLst/>
            </c:spPr>
          </c:marker>
          <c:cat>
            <c:numRef>
              <c:f>Weekly!$A$497:$A$750</c:f>
              <c:numCache>
                <c:formatCode>m/d/yyyy</c:formatCode>
                <c:ptCount val="254"/>
                <c:pt idx="0">
                  <c:v>43745</c:v>
                </c:pt>
                <c:pt idx="1">
                  <c:v>43752</c:v>
                </c:pt>
                <c:pt idx="2">
                  <c:v>43759</c:v>
                </c:pt>
                <c:pt idx="3">
                  <c:v>43766</c:v>
                </c:pt>
                <c:pt idx="4">
                  <c:v>43773</c:v>
                </c:pt>
                <c:pt idx="5">
                  <c:v>43780</c:v>
                </c:pt>
                <c:pt idx="6">
                  <c:v>43787</c:v>
                </c:pt>
                <c:pt idx="7">
                  <c:v>43794</c:v>
                </c:pt>
                <c:pt idx="8">
                  <c:v>43801</c:v>
                </c:pt>
                <c:pt idx="9">
                  <c:v>43808</c:v>
                </c:pt>
                <c:pt idx="10">
                  <c:v>43815</c:v>
                </c:pt>
                <c:pt idx="11">
                  <c:v>43822</c:v>
                </c:pt>
                <c:pt idx="12">
                  <c:v>43829</c:v>
                </c:pt>
                <c:pt idx="13">
                  <c:v>43836</c:v>
                </c:pt>
                <c:pt idx="14">
                  <c:v>43843</c:v>
                </c:pt>
                <c:pt idx="15">
                  <c:v>43850</c:v>
                </c:pt>
                <c:pt idx="16">
                  <c:v>43857</c:v>
                </c:pt>
                <c:pt idx="17">
                  <c:v>43864</c:v>
                </c:pt>
                <c:pt idx="18">
                  <c:v>43871</c:v>
                </c:pt>
                <c:pt idx="19">
                  <c:v>43878</c:v>
                </c:pt>
                <c:pt idx="20">
                  <c:v>43885</c:v>
                </c:pt>
                <c:pt idx="21">
                  <c:v>43892</c:v>
                </c:pt>
                <c:pt idx="22">
                  <c:v>43899</c:v>
                </c:pt>
                <c:pt idx="23">
                  <c:v>43906</c:v>
                </c:pt>
                <c:pt idx="24">
                  <c:v>43913</c:v>
                </c:pt>
                <c:pt idx="25">
                  <c:v>43920</c:v>
                </c:pt>
                <c:pt idx="26">
                  <c:v>43927</c:v>
                </c:pt>
                <c:pt idx="27">
                  <c:v>43934</c:v>
                </c:pt>
                <c:pt idx="28">
                  <c:v>43941</c:v>
                </c:pt>
                <c:pt idx="29">
                  <c:v>43948</c:v>
                </c:pt>
                <c:pt idx="30">
                  <c:v>43955</c:v>
                </c:pt>
                <c:pt idx="31">
                  <c:v>43962</c:v>
                </c:pt>
                <c:pt idx="32">
                  <c:v>43969</c:v>
                </c:pt>
                <c:pt idx="33">
                  <c:v>43976</c:v>
                </c:pt>
                <c:pt idx="34">
                  <c:v>43983</c:v>
                </c:pt>
                <c:pt idx="35">
                  <c:v>43990</c:v>
                </c:pt>
                <c:pt idx="36">
                  <c:v>43997</c:v>
                </c:pt>
                <c:pt idx="37">
                  <c:v>44004</c:v>
                </c:pt>
                <c:pt idx="38">
                  <c:v>44011</c:v>
                </c:pt>
                <c:pt idx="39">
                  <c:v>44018</c:v>
                </c:pt>
                <c:pt idx="40">
                  <c:v>44025</c:v>
                </c:pt>
                <c:pt idx="41">
                  <c:v>44032</c:v>
                </c:pt>
                <c:pt idx="42">
                  <c:v>44039</c:v>
                </c:pt>
                <c:pt idx="43">
                  <c:v>44046</c:v>
                </c:pt>
                <c:pt idx="44">
                  <c:v>44053</c:v>
                </c:pt>
                <c:pt idx="45">
                  <c:v>44060</c:v>
                </c:pt>
                <c:pt idx="46">
                  <c:v>44067</c:v>
                </c:pt>
                <c:pt idx="47">
                  <c:v>44074</c:v>
                </c:pt>
                <c:pt idx="48">
                  <c:v>44081</c:v>
                </c:pt>
                <c:pt idx="49">
                  <c:v>44088</c:v>
                </c:pt>
                <c:pt idx="50">
                  <c:v>44095</c:v>
                </c:pt>
                <c:pt idx="51">
                  <c:v>44102</c:v>
                </c:pt>
                <c:pt idx="52">
                  <c:v>44109</c:v>
                </c:pt>
                <c:pt idx="53">
                  <c:v>44116</c:v>
                </c:pt>
                <c:pt idx="54">
                  <c:v>44123</c:v>
                </c:pt>
                <c:pt idx="55">
                  <c:v>44130</c:v>
                </c:pt>
                <c:pt idx="56">
                  <c:v>44137</c:v>
                </c:pt>
                <c:pt idx="57">
                  <c:v>44144</c:v>
                </c:pt>
                <c:pt idx="58">
                  <c:v>44151</c:v>
                </c:pt>
                <c:pt idx="59">
                  <c:v>44158</c:v>
                </c:pt>
                <c:pt idx="60">
                  <c:v>44165</c:v>
                </c:pt>
                <c:pt idx="61">
                  <c:v>44172</c:v>
                </c:pt>
                <c:pt idx="62">
                  <c:v>44179</c:v>
                </c:pt>
                <c:pt idx="63">
                  <c:v>44186</c:v>
                </c:pt>
                <c:pt idx="64">
                  <c:v>44193</c:v>
                </c:pt>
                <c:pt idx="65">
                  <c:v>44200</c:v>
                </c:pt>
                <c:pt idx="66">
                  <c:v>44207</c:v>
                </c:pt>
                <c:pt idx="67">
                  <c:v>44214</c:v>
                </c:pt>
                <c:pt idx="68">
                  <c:v>44221</c:v>
                </c:pt>
                <c:pt idx="69">
                  <c:v>44228</c:v>
                </c:pt>
                <c:pt idx="70">
                  <c:v>44235</c:v>
                </c:pt>
                <c:pt idx="71">
                  <c:v>44242</c:v>
                </c:pt>
                <c:pt idx="72">
                  <c:v>44249</c:v>
                </c:pt>
                <c:pt idx="73">
                  <c:v>44256</c:v>
                </c:pt>
                <c:pt idx="74">
                  <c:v>44266</c:v>
                </c:pt>
                <c:pt idx="75">
                  <c:v>44273</c:v>
                </c:pt>
                <c:pt idx="76">
                  <c:v>44280</c:v>
                </c:pt>
                <c:pt idx="77">
                  <c:v>44287</c:v>
                </c:pt>
                <c:pt idx="78">
                  <c:v>44294</c:v>
                </c:pt>
                <c:pt idx="79">
                  <c:v>44301</c:v>
                </c:pt>
                <c:pt idx="80">
                  <c:v>44308</c:v>
                </c:pt>
                <c:pt idx="81">
                  <c:v>44315</c:v>
                </c:pt>
                <c:pt idx="82">
                  <c:v>44322</c:v>
                </c:pt>
                <c:pt idx="83">
                  <c:v>44329</c:v>
                </c:pt>
                <c:pt idx="84">
                  <c:v>44336</c:v>
                </c:pt>
                <c:pt idx="85">
                  <c:v>44343</c:v>
                </c:pt>
                <c:pt idx="86">
                  <c:v>44350</c:v>
                </c:pt>
                <c:pt idx="87">
                  <c:v>44357</c:v>
                </c:pt>
                <c:pt idx="88">
                  <c:v>44364</c:v>
                </c:pt>
                <c:pt idx="89">
                  <c:v>44371</c:v>
                </c:pt>
                <c:pt idx="90">
                  <c:v>44378</c:v>
                </c:pt>
                <c:pt idx="91">
                  <c:v>44385</c:v>
                </c:pt>
                <c:pt idx="92">
                  <c:v>44392</c:v>
                </c:pt>
                <c:pt idx="93">
                  <c:v>44399</c:v>
                </c:pt>
                <c:pt idx="94">
                  <c:v>44406</c:v>
                </c:pt>
                <c:pt idx="95">
                  <c:v>44413</c:v>
                </c:pt>
                <c:pt idx="96">
                  <c:v>44420</c:v>
                </c:pt>
                <c:pt idx="97">
                  <c:v>44427</c:v>
                </c:pt>
                <c:pt idx="98">
                  <c:v>44434</c:v>
                </c:pt>
                <c:pt idx="99">
                  <c:v>44441</c:v>
                </c:pt>
                <c:pt idx="100">
                  <c:v>44448</c:v>
                </c:pt>
                <c:pt idx="101">
                  <c:v>44455</c:v>
                </c:pt>
                <c:pt idx="102">
                  <c:v>44462</c:v>
                </c:pt>
                <c:pt idx="103">
                  <c:v>44469</c:v>
                </c:pt>
                <c:pt idx="104">
                  <c:v>44476</c:v>
                </c:pt>
                <c:pt idx="105">
                  <c:v>44483</c:v>
                </c:pt>
                <c:pt idx="106">
                  <c:v>44490</c:v>
                </c:pt>
                <c:pt idx="107">
                  <c:v>44497</c:v>
                </c:pt>
                <c:pt idx="108">
                  <c:v>44504</c:v>
                </c:pt>
                <c:pt idx="109">
                  <c:v>44511</c:v>
                </c:pt>
                <c:pt idx="110">
                  <c:v>44518</c:v>
                </c:pt>
                <c:pt idx="111">
                  <c:v>44525</c:v>
                </c:pt>
                <c:pt idx="112">
                  <c:v>44532</c:v>
                </c:pt>
                <c:pt idx="113">
                  <c:v>44539</c:v>
                </c:pt>
                <c:pt idx="114">
                  <c:v>44546</c:v>
                </c:pt>
                <c:pt idx="115">
                  <c:v>44553</c:v>
                </c:pt>
                <c:pt idx="116">
                  <c:v>44560</c:v>
                </c:pt>
                <c:pt idx="117">
                  <c:v>44567</c:v>
                </c:pt>
                <c:pt idx="118">
                  <c:v>44574</c:v>
                </c:pt>
                <c:pt idx="119">
                  <c:v>44581</c:v>
                </c:pt>
                <c:pt idx="120">
                  <c:v>44588</c:v>
                </c:pt>
                <c:pt idx="121">
                  <c:v>44595</c:v>
                </c:pt>
                <c:pt idx="122">
                  <c:v>44602</c:v>
                </c:pt>
                <c:pt idx="123">
                  <c:v>44609</c:v>
                </c:pt>
                <c:pt idx="124">
                  <c:v>44616</c:v>
                </c:pt>
                <c:pt idx="125">
                  <c:v>44623</c:v>
                </c:pt>
                <c:pt idx="126">
                  <c:v>44630</c:v>
                </c:pt>
                <c:pt idx="127">
                  <c:v>44637</c:v>
                </c:pt>
                <c:pt idx="128">
                  <c:v>44644</c:v>
                </c:pt>
                <c:pt idx="129">
                  <c:v>44651</c:v>
                </c:pt>
                <c:pt idx="130">
                  <c:v>44658</c:v>
                </c:pt>
                <c:pt idx="131">
                  <c:v>44665</c:v>
                </c:pt>
                <c:pt idx="132">
                  <c:v>44672</c:v>
                </c:pt>
                <c:pt idx="133">
                  <c:v>44679</c:v>
                </c:pt>
                <c:pt idx="134">
                  <c:v>44686</c:v>
                </c:pt>
                <c:pt idx="135">
                  <c:v>44693</c:v>
                </c:pt>
                <c:pt idx="136">
                  <c:v>44700</c:v>
                </c:pt>
                <c:pt idx="137">
                  <c:v>44707</c:v>
                </c:pt>
                <c:pt idx="138">
                  <c:v>44714</c:v>
                </c:pt>
                <c:pt idx="139">
                  <c:v>44721</c:v>
                </c:pt>
                <c:pt idx="140">
                  <c:v>44728</c:v>
                </c:pt>
                <c:pt idx="141">
                  <c:v>44735</c:v>
                </c:pt>
                <c:pt idx="142">
                  <c:v>44742</c:v>
                </c:pt>
                <c:pt idx="143">
                  <c:v>44749</c:v>
                </c:pt>
                <c:pt idx="144">
                  <c:v>44756</c:v>
                </c:pt>
                <c:pt idx="145">
                  <c:v>44763</c:v>
                </c:pt>
                <c:pt idx="146">
                  <c:v>44770</c:v>
                </c:pt>
                <c:pt idx="147">
                  <c:v>44777</c:v>
                </c:pt>
                <c:pt idx="148">
                  <c:v>44784</c:v>
                </c:pt>
                <c:pt idx="149">
                  <c:v>44791</c:v>
                </c:pt>
                <c:pt idx="150">
                  <c:v>44798</c:v>
                </c:pt>
                <c:pt idx="151">
                  <c:v>44805</c:v>
                </c:pt>
                <c:pt idx="152">
                  <c:v>44812</c:v>
                </c:pt>
                <c:pt idx="153">
                  <c:v>44819</c:v>
                </c:pt>
                <c:pt idx="154">
                  <c:v>44826</c:v>
                </c:pt>
                <c:pt idx="155">
                  <c:v>44833</c:v>
                </c:pt>
                <c:pt idx="156">
                  <c:v>44840</c:v>
                </c:pt>
                <c:pt idx="157">
                  <c:v>44847</c:v>
                </c:pt>
                <c:pt idx="158">
                  <c:v>44854</c:v>
                </c:pt>
                <c:pt idx="159">
                  <c:v>44861</c:v>
                </c:pt>
                <c:pt idx="160">
                  <c:v>44868</c:v>
                </c:pt>
                <c:pt idx="161">
                  <c:v>44875</c:v>
                </c:pt>
                <c:pt idx="162">
                  <c:v>44882</c:v>
                </c:pt>
                <c:pt idx="163">
                  <c:v>44889</c:v>
                </c:pt>
                <c:pt idx="164">
                  <c:v>44896</c:v>
                </c:pt>
                <c:pt idx="165">
                  <c:v>44903</c:v>
                </c:pt>
                <c:pt idx="166">
                  <c:v>44910</c:v>
                </c:pt>
                <c:pt idx="167">
                  <c:v>44917</c:v>
                </c:pt>
                <c:pt idx="168">
                  <c:v>44924</c:v>
                </c:pt>
                <c:pt idx="169">
                  <c:v>44931</c:v>
                </c:pt>
                <c:pt idx="170">
                  <c:v>44938</c:v>
                </c:pt>
                <c:pt idx="171">
                  <c:v>44945</c:v>
                </c:pt>
                <c:pt idx="172">
                  <c:v>44952</c:v>
                </c:pt>
                <c:pt idx="173">
                  <c:v>44959</c:v>
                </c:pt>
                <c:pt idx="174">
                  <c:v>44966</c:v>
                </c:pt>
                <c:pt idx="175">
                  <c:v>44973</c:v>
                </c:pt>
                <c:pt idx="176">
                  <c:v>44980</c:v>
                </c:pt>
                <c:pt idx="177">
                  <c:v>44987</c:v>
                </c:pt>
                <c:pt idx="178">
                  <c:v>44994</c:v>
                </c:pt>
                <c:pt idx="179">
                  <c:v>45001</c:v>
                </c:pt>
                <c:pt idx="180">
                  <c:v>45008</c:v>
                </c:pt>
                <c:pt idx="181">
                  <c:v>45015</c:v>
                </c:pt>
                <c:pt idx="182">
                  <c:v>45022</c:v>
                </c:pt>
                <c:pt idx="183">
                  <c:v>45029</c:v>
                </c:pt>
                <c:pt idx="184">
                  <c:v>45036</c:v>
                </c:pt>
                <c:pt idx="185">
                  <c:v>45043</c:v>
                </c:pt>
                <c:pt idx="186">
                  <c:v>45050</c:v>
                </c:pt>
                <c:pt idx="187">
                  <c:v>45057</c:v>
                </c:pt>
                <c:pt idx="188">
                  <c:v>45064</c:v>
                </c:pt>
                <c:pt idx="189">
                  <c:v>45071</c:v>
                </c:pt>
                <c:pt idx="190">
                  <c:v>45078</c:v>
                </c:pt>
                <c:pt idx="191">
                  <c:v>45085</c:v>
                </c:pt>
                <c:pt idx="192">
                  <c:v>45092</c:v>
                </c:pt>
                <c:pt idx="193">
                  <c:v>45099</c:v>
                </c:pt>
                <c:pt idx="194">
                  <c:v>45106</c:v>
                </c:pt>
                <c:pt idx="195">
                  <c:v>45113</c:v>
                </c:pt>
                <c:pt idx="196">
                  <c:v>45120</c:v>
                </c:pt>
                <c:pt idx="197">
                  <c:v>45127</c:v>
                </c:pt>
                <c:pt idx="198">
                  <c:v>45134</c:v>
                </c:pt>
                <c:pt idx="199">
                  <c:v>45141</c:v>
                </c:pt>
                <c:pt idx="200">
                  <c:v>45148</c:v>
                </c:pt>
                <c:pt idx="201">
                  <c:v>45155</c:v>
                </c:pt>
                <c:pt idx="202">
                  <c:v>45162</c:v>
                </c:pt>
                <c:pt idx="203">
                  <c:v>45169</c:v>
                </c:pt>
                <c:pt idx="204">
                  <c:v>45176</c:v>
                </c:pt>
                <c:pt idx="205">
                  <c:v>45183</c:v>
                </c:pt>
                <c:pt idx="206">
                  <c:v>45189</c:v>
                </c:pt>
                <c:pt idx="207">
                  <c:v>45196</c:v>
                </c:pt>
                <c:pt idx="208">
                  <c:v>45210</c:v>
                </c:pt>
                <c:pt idx="209">
                  <c:v>45217</c:v>
                </c:pt>
                <c:pt idx="210">
                  <c:v>45224</c:v>
                </c:pt>
                <c:pt idx="211">
                  <c:v>45231</c:v>
                </c:pt>
                <c:pt idx="212">
                  <c:v>45238</c:v>
                </c:pt>
                <c:pt idx="213">
                  <c:v>45245</c:v>
                </c:pt>
                <c:pt idx="214">
                  <c:v>45252</c:v>
                </c:pt>
                <c:pt idx="215">
                  <c:v>45259</c:v>
                </c:pt>
                <c:pt idx="216">
                  <c:v>45266</c:v>
                </c:pt>
                <c:pt idx="217">
                  <c:v>45273</c:v>
                </c:pt>
                <c:pt idx="218">
                  <c:v>45280</c:v>
                </c:pt>
                <c:pt idx="219">
                  <c:v>45289</c:v>
                </c:pt>
                <c:pt idx="220">
                  <c:v>45294</c:v>
                </c:pt>
                <c:pt idx="221">
                  <c:v>45301</c:v>
                </c:pt>
                <c:pt idx="222">
                  <c:v>45308</c:v>
                </c:pt>
                <c:pt idx="223">
                  <c:v>45315</c:v>
                </c:pt>
                <c:pt idx="224">
                  <c:v>45322</c:v>
                </c:pt>
                <c:pt idx="225">
                  <c:v>45329</c:v>
                </c:pt>
                <c:pt idx="226">
                  <c:v>45334</c:v>
                </c:pt>
                <c:pt idx="227">
                  <c:v>45350</c:v>
                </c:pt>
                <c:pt idx="228">
                  <c:v>45366</c:v>
                </c:pt>
                <c:pt idx="229">
                  <c:v>45373</c:v>
                </c:pt>
                <c:pt idx="230">
                  <c:v>45380</c:v>
                </c:pt>
                <c:pt idx="231">
                  <c:v>45387</c:v>
                </c:pt>
                <c:pt idx="232">
                  <c:v>45394</c:v>
                </c:pt>
                <c:pt idx="233">
                  <c:v>45401</c:v>
                </c:pt>
                <c:pt idx="234">
                  <c:v>45408</c:v>
                </c:pt>
                <c:pt idx="235">
                  <c:v>45415</c:v>
                </c:pt>
                <c:pt idx="236">
                  <c:v>45422</c:v>
                </c:pt>
                <c:pt idx="237">
                  <c:v>45429</c:v>
                </c:pt>
                <c:pt idx="238">
                  <c:v>45436</c:v>
                </c:pt>
                <c:pt idx="239">
                  <c:v>45443</c:v>
                </c:pt>
                <c:pt idx="240">
                  <c:v>45450</c:v>
                </c:pt>
                <c:pt idx="241">
                  <c:v>45457</c:v>
                </c:pt>
                <c:pt idx="242">
                  <c:v>45464</c:v>
                </c:pt>
                <c:pt idx="243">
                  <c:v>45471</c:v>
                </c:pt>
                <c:pt idx="244">
                  <c:v>45478</c:v>
                </c:pt>
                <c:pt idx="245">
                  <c:v>45485</c:v>
                </c:pt>
                <c:pt idx="246">
                  <c:v>45492</c:v>
                </c:pt>
                <c:pt idx="247">
                  <c:v>45499</c:v>
                </c:pt>
                <c:pt idx="248">
                  <c:v>45506</c:v>
                </c:pt>
                <c:pt idx="249">
                  <c:v>45513</c:v>
                </c:pt>
                <c:pt idx="250">
                  <c:v>45520</c:v>
                </c:pt>
                <c:pt idx="251">
                  <c:v>45527</c:v>
                </c:pt>
                <c:pt idx="252">
                  <c:v>45534</c:v>
                </c:pt>
                <c:pt idx="253">
                  <c:v>45541</c:v>
                </c:pt>
              </c:numCache>
            </c:numRef>
          </c:cat>
          <c:val>
            <c:numRef>
              <c:f>Weekly!$F$497:$F$750</c:f>
              <c:numCache>
                <c:formatCode>#,##0_);[Red]\(#,##0\)</c:formatCode>
                <c:ptCount val="254"/>
                <c:pt idx="1">
                  <c:v>219.583</c:v>
                </c:pt>
                <c:pt idx="2">
                  <c:v>328.28199999999998</c:v>
                </c:pt>
                <c:pt idx="3">
                  <c:v>332.49</c:v>
                </c:pt>
                <c:pt idx="4">
                  <c:v>295.34500000000003</c:v>
                </c:pt>
                <c:pt idx="5">
                  <c:v>294.01499999999999</c:v>
                </c:pt>
                <c:pt idx="6">
                  <c:v>294.01499999999999</c:v>
                </c:pt>
                <c:pt idx="7">
                  <c:v>336.43299999999999</c:v>
                </c:pt>
                <c:pt idx="8">
                  <c:v>337.31599999999997</c:v>
                </c:pt>
                <c:pt idx="9">
                  <c:v>313.99400000000003</c:v>
                </c:pt>
                <c:pt idx="10">
                  <c:v>316.73</c:v>
                </c:pt>
                <c:pt idx="11">
                  <c:v>352.73500000000001</c:v>
                </c:pt>
                <c:pt idx="12">
                  <c:v>379.77199999999999</c:v>
                </c:pt>
                <c:pt idx="13">
                  <c:v>391.13374670617679</c:v>
                </c:pt>
                <c:pt idx="14">
                  <c:v>387.61900000000003</c:v>
                </c:pt>
                <c:pt idx="15">
                  <c:v>380.32299999999998</c:v>
                </c:pt>
                <c:pt idx="16">
                  <c:v>178.98</c:v>
                </c:pt>
                <c:pt idx="17">
                  <c:v>10.013</c:v>
                </c:pt>
                <c:pt idx="18">
                  <c:v>149.625</c:v>
                </c:pt>
                <c:pt idx="19">
                  <c:v>299.36399999999998</c:v>
                </c:pt>
                <c:pt idx="20">
                  <c:v>343.67200000000003</c:v>
                </c:pt>
                <c:pt idx="21">
                  <c:v>366.16800000000001</c:v>
                </c:pt>
                <c:pt idx="22">
                  <c:v>315.267</c:v>
                </c:pt>
                <c:pt idx="23">
                  <c:v>279.50900000000001</c:v>
                </c:pt>
                <c:pt idx="24">
                  <c:v>263.45400000000001</c:v>
                </c:pt>
                <c:pt idx="25">
                  <c:v>273.29599999999999</c:v>
                </c:pt>
                <c:pt idx="26">
                  <c:v>257.75400000000002</c:v>
                </c:pt>
                <c:pt idx="27">
                  <c:v>300.65600000000001</c:v>
                </c:pt>
                <c:pt idx="28">
                  <c:v>318.23099999999999</c:v>
                </c:pt>
                <c:pt idx="29">
                  <c:v>337.63</c:v>
                </c:pt>
                <c:pt idx="30">
                  <c:v>332.40499999999997</c:v>
                </c:pt>
                <c:pt idx="31">
                  <c:v>363.31799999999998</c:v>
                </c:pt>
                <c:pt idx="32">
                  <c:v>398.52499999999998</c:v>
                </c:pt>
                <c:pt idx="33">
                  <c:v>392.55900000000003</c:v>
                </c:pt>
                <c:pt idx="34">
                  <c:v>363.95499999999998</c:v>
                </c:pt>
                <c:pt idx="35">
                  <c:v>389.88</c:v>
                </c:pt>
                <c:pt idx="36">
                  <c:v>406.25799999999998</c:v>
                </c:pt>
                <c:pt idx="37">
                  <c:v>385.89</c:v>
                </c:pt>
                <c:pt idx="38">
                  <c:v>388.113</c:v>
                </c:pt>
                <c:pt idx="39">
                  <c:v>379.92399999999998</c:v>
                </c:pt>
                <c:pt idx="40">
                  <c:v>392.065</c:v>
                </c:pt>
                <c:pt idx="41">
                  <c:v>371.50700000000001</c:v>
                </c:pt>
                <c:pt idx="42">
                  <c:v>376.2</c:v>
                </c:pt>
                <c:pt idx="43">
                  <c:v>388.43599999999998</c:v>
                </c:pt>
                <c:pt idx="44">
                  <c:v>373.50200000000001</c:v>
                </c:pt>
                <c:pt idx="45">
                  <c:v>383.23</c:v>
                </c:pt>
                <c:pt idx="46">
                  <c:v>387.25799999999998</c:v>
                </c:pt>
                <c:pt idx="47">
                  <c:v>370.7</c:v>
                </c:pt>
                <c:pt idx="48">
                  <c:v>374.61399999999998</c:v>
                </c:pt>
                <c:pt idx="49">
                  <c:v>414.89400000000001</c:v>
                </c:pt>
                <c:pt idx="50">
                  <c:v>431.91800000000001</c:v>
                </c:pt>
                <c:pt idx="51">
                  <c:v>355.98399999999998</c:v>
                </c:pt>
                <c:pt idx="52">
                  <c:v>263.63499999999999</c:v>
                </c:pt>
                <c:pt idx="53">
                  <c:v>396.77699999999999</c:v>
                </c:pt>
                <c:pt idx="54">
                  <c:v>417.47800000000001</c:v>
                </c:pt>
                <c:pt idx="55">
                  <c:v>397.76100000000002</c:v>
                </c:pt>
                <c:pt idx="56">
                  <c:v>398.16</c:v>
                </c:pt>
                <c:pt idx="57">
                  <c:v>402.815</c:v>
                </c:pt>
                <c:pt idx="58">
                  <c:v>386.779</c:v>
                </c:pt>
                <c:pt idx="59">
                  <c:v>350.22300000000001</c:v>
                </c:pt>
                <c:pt idx="60">
                  <c:v>340.03899999999999</c:v>
                </c:pt>
                <c:pt idx="61">
                  <c:v>370.64800000000002</c:v>
                </c:pt>
                <c:pt idx="62">
                  <c:v>381.36399999999998</c:v>
                </c:pt>
                <c:pt idx="63">
                  <c:v>357.59500000000003</c:v>
                </c:pt>
                <c:pt idx="64">
                  <c:v>353.3897785635836</c:v>
                </c:pt>
                <c:pt idx="65">
                  <c:v>320.07</c:v>
                </c:pt>
                <c:pt idx="66">
                  <c:v>376.57600000000002</c:v>
                </c:pt>
                <c:pt idx="67">
                  <c:v>400.44799999999998</c:v>
                </c:pt>
                <c:pt idx="68">
                  <c:v>408.27199999999999</c:v>
                </c:pt>
                <c:pt idx="69">
                  <c:v>377.58699999999999</c:v>
                </c:pt>
                <c:pt idx="70">
                  <c:v>173.584</c:v>
                </c:pt>
                <c:pt idx="71">
                  <c:v>62.51</c:v>
                </c:pt>
                <c:pt idx="72">
                  <c:v>288.64800000000002</c:v>
                </c:pt>
                <c:pt idx="73">
                  <c:v>319.48500000000001</c:v>
                </c:pt>
                <c:pt idx="74">
                  <c:v>275.25299999999999</c:v>
                </c:pt>
                <c:pt idx="75">
                  <c:v>298.3</c:v>
                </c:pt>
                <c:pt idx="76">
                  <c:v>296.39999999999998</c:v>
                </c:pt>
                <c:pt idx="77">
                  <c:v>294.50000000000006</c:v>
                </c:pt>
                <c:pt idx="78">
                  <c:v>258.40000000000003</c:v>
                </c:pt>
                <c:pt idx="79">
                  <c:v>307.8</c:v>
                </c:pt>
                <c:pt idx="80">
                  <c:v>338.2</c:v>
                </c:pt>
                <c:pt idx="81">
                  <c:v>345.8</c:v>
                </c:pt>
                <c:pt idx="83">
                  <c:v>357.2</c:v>
                </c:pt>
                <c:pt idx="84">
                  <c:v>364.8</c:v>
                </c:pt>
                <c:pt idx="85">
                  <c:v>393.29999999999995</c:v>
                </c:pt>
                <c:pt idx="86">
                  <c:v>383.8</c:v>
                </c:pt>
                <c:pt idx="87">
                  <c:v>370.5</c:v>
                </c:pt>
                <c:pt idx="88">
                  <c:v>361</c:v>
                </c:pt>
                <c:pt idx="89">
                  <c:v>326.79999999999995</c:v>
                </c:pt>
                <c:pt idx="90">
                  <c:v>321.10000000000002</c:v>
                </c:pt>
                <c:pt idx="91">
                  <c:v>338.2</c:v>
                </c:pt>
                <c:pt idx="92">
                  <c:v>328.7</c:v>
                </c:pt>
                <c:pt idx="93">
                  <c:v>357.2</c:v>
                </c:pt>
                <c:pt idx="94">
                  <c:v>326.79999999999995</c:v>
                </c:pt>
                <c:pt idx="95">
                  <c:v>338.2</c:v>
                </c:pt>
                <c:pt idx="96">
                  <c:v>374.3</c:v>
                </c:pt>
                <c:pt idx="97">
                  <c:v>381.9</c:v>
                </c:pt>
                <c:pt idx="98">
                  <c:v>376.2</c:v>
                </c:pt>
                <c:pt idx="99">
                  <c:v>328.7</c:v>
                </c:pt>
                <c:pt idx="100">
                  <c:v>353.40000000000003</c:v>
                </c:pt>
                <c:pt idx="101">
                  <c:v>359.09999999999997</c:v>
                </c:pt>
                <c:pt idx="102">
                  <c:v>324.90000000000003</c:v>
                </c:pt>
                <c:pt idx="104">
                  <c:v>267.89999999999998</c:v>
                </c:pt>
                <c:pt idx="105">
                  <c:v>317.29999999999995</c:v>
                </c:pt>
                <c:pt idx="106">
                  <c:v>304.00000000000006</c:v>
                </c:pt>
                <c:pt idx="107">
                  <c:v>359.09999999999997</c:v>
                </c:pt>
                <c:pt idx="108">
                  <c:v>393.29999999999995</c:v>
                </c:pt>
                <c:pt idx="109">
                  <c:v>370.5</c:v>
                </c:pt>
                <c:pt idx="110">
                  <c:v>359.09999999999997</c:v>
                </c:pt>
                <c:pt idx="111">
                  <c:v>383.8</c:v>
                </c:pt>
                <c:pt idx="112">
                  <c:v>359.09999999999997</c:v>
                </c:pt>
                <c:pt idx="113">
                  <c:v>362.9</c:v>
                </c:pt>
                <c:pt idx="114">
                  <c:v>349.6</c:v>
                </c:pt>
                <c:pt idx="115">
                  <c:v>340.1</c:v>
                </c:pt>
                <c:pt idx="116">
                  <c:v>302.10000000000002</c:v>
                </c:pt>
                <c:pt idx="117">
                  <c:v>277.39999999999998</c:v>
                </c:pt>
                <c:pt idx="118">
                  <c:v>359.09999999999997</c:v>
                </c:pt>
                <c:pt idx="119">
                  <c:v>408.5</c:v>
                </c:pt>
                <c:pt idx="121">
                  <c:v>222.87</c:v>
                </c:pt>
                <c:pt idx="122">
                  <c:v>323</c:v>
                </c:pt>
                <c:pt idx="123">
                  <c:v>323</c:v>
                </c:pt>
                <c:pt idx="124">
                  <c:v>324.90000000000003</c:v>
                </c:pt>
                <c:pt idx="125">
                  <c:v>281.2</c:v>
                </c:pt>
                <c:pt idx="126">
                  <c:v>273.60000000000002</c:v>
                </c:pt>
                <c:pt idx="127">
                  <c:v>247.00000000000003</c:v>
                </c:pt>
                <c:pt idx="128">
                  <c:v>227.99999999999997</c:v>
                </c:pt>
                <c:pt idx="129">
                  <c:v>203.3</c:v>
                </c:pt>
                <c:pt idx="130">
                  <c:v>231.8</c:v>
                </c:pt>
                <c:pt idx="131">
                  <c:v>267.89999999999998</c:v>
                </c:pt>
                <c:pt idx="132">
                  <c:v>313.5</c:v>
                </c:pt>
                <c:pt idx="133">
                  <c:v>336.3</c:v>
                </c:pt>
                <c:pt idx="134">
                  <c:v>324.90000000000003</c:v>
                </c:pt>
                <c:pt idx="135">
                  <c:v>323</c:v>
                </c:pt>
                <c:pt idx="136">
                  <c:v>366.7</c:v>
                </c:pt>
                <c:pt idx="137">
                  <c:v>357.2</c:v>
                </c:pt>
                <c:pt idx="138">
                  <c:v>311.59999999999997</c:v>
                </c:pt>
                <c:pt idx="139">
                  <c:v>309.7</c:v>
                </c:pt>
                <c:pt idx="140">
                  <c:v>357.2</c:v>
                </c:pt>
                <c:pt idx="141">
                  <c:v>343.90000000000003</c:v>
                </c:pt>
                <c:pt idx="142">
                  <c:v>345.8</c:v>
                </c:pt>
                <c:pt idx="143">
                  <c:v>324.90000000000003</c:v>
                </c:pt>
                <c:pt idx="144">
                  <c:v>323</c:v>
                </c:pt>
                <c:pt idx="145">
                  <c:v>319.2</c:v>
                </c:pt>
                <c:pt idx="146">
                  <c:v>330.6</c:v>
                </c:pt>
                <c:pt idx="147">
                  <c:v>319.2</c:v>
                </c:pt>
                <c:pt idx="148">
                  <c:v>315.40000000000003</c:v>
                </c:pt>
                <c:pt idx="149">
                  <c:v>328.7</c:v>
                </c:pt>
                <c:pt idx="150">
                  <c:v>376.2</c:v>
                </c:pt>
                <c:pt idx="151">
                  <c:v>372.40000000000003</c:v>
                </c:pt>
                <c:pt idx="152">
                  <c:v>372.40000000000003</c:v>
                </c:pt>
                <c:pt idx="153">
                  <c:v>343.90000000000003</c:v>
                </c:pt>
                <c:pt idx="154">
                  <c:v>389.49999999999994</c:v>
                </c:pt>
                <c:pt idx="155">
                  <c:v>288.8</c:v>
                </c:pt>
                <c:pt idx="157">
                  <c:v>313.5</c:v>
                </c:pt>
                <c:pt idx="158">
                  <c:v>305.89999999999998</c:v>
                </c:pt>
                <c:pt idx="159">
                  <c:v>319.2</c:v>
                </c:pt>
                <c:pt idx="160">
                  <c:v>288.8</c:v>
                </c:pt>
                <c:pt idx="161">
                  <c:v>290.7</c:v>
                </c:pt>
                <c:pt idx="162">
                  <c:v>290.7</c:v>
                </c:pt>
                <c:pt idx="163">
                  <c:v>376.2</c:v>
                </c:pt>
                <c:pt idx="164">
                  <c:v>385.7</c:v>
                </c:pt>
                <c:pt idx="165">
                  <c:v>376.2</c:v>
                </c:pt>
                <c:pt idx="166">
                  <c:v>395.2</c:v>
                </c:pt>
                <c:pt idx="167">
                  <c:v>400.9</c:v>
                </c:pt>
                <c:pt idx="168">
                  <c:v>378.09999999999997</c:v>
                </c:pt>
                <c:pt idx="170">
                  <c:v>395.2</c:v>
                </c:pt>
                <c:pt idx="171">
                  <c:v>5.7</c:v>
                </c:pt>
                <c:pt idx="173">
                  <c:v>243.2</c:v>
                </c:pt>
                <c:pt idx="174">
                  <c:v>391.40000000000003</c:v>
                </c:pt>
                <c:pt idx="175">
                  <c:v>324.90000000000003</c:v>
                </c:pt>
                <c:pt idx="176">
                  <c:v>313.5</c:v>
                </c:pt>
                <c:pt idx="177" formatCode="General">
                  <c:v>279.3</c:v>
                </c:pt>
                <c:pt idx="178" formatCode="General">
                  <c:v>275.49999999999994</c:v>
                </c:pt>
                <c:pt idx="179" formatCode="General">
                  <c:v>290.7</c:v>
                </c:pt>
                <c:pt idx="180" formatCode="General">
                  <c:v>281.2</c:v>
                </c:pt>
                <c:pt idx="181" formatCode="General">
                  <c:v>262.2</c:v>
                </c:pt>
                <c:pt idx="182" formatCode="General">
                  <c:v>302.10000000000002</c:v>
                </c:pt>
                <c:pt idx="183" formatCode="General">
                  <c:v>311.59999999999997</c:v>
                </c:pt>
                <c:pt idx="184" formatCode="General">
                  <c:v>302.10000000000002</c:v>
                </c:pt>
                <c:pt idx="185" formatCode="General">
                  <c:v>311.59999999999997</c:v>
                </c:pt>
                <c:pt idx="186" formatCode="General">
                  <c:v>152.00000000000003</c:v>
                </c:pt>
                <c:pt idx="187" formatCode="General">
                  <c:v>376.2</c:v>
                </c:pt>
                <c:pt idx="188" formatCode="General">
                  <c:v>328.7</c:v>
                </c:pt>
                <c:pt idx="189" formatCode="General">
                  <c:v>359.09999999999997</c:v>
                </c:pt>
                <c:pt idx="190" formatCode="General">
                  <c:v>387.6</c:v>
                </c:pt>
                <c:pt idx="191" formatCode="General">
                  <c:v>410.40000000000003</c:v>
                </c:pt>
                <c:pt idx="192" formatCode="General">
                  <c:v>400.9</c:v>
                </c:pt>
                <c:pt idx="193" formatCode="General">
                  <c:v>425.6</c:v>
                </c:pt>
                <c:pt idx="194" formatCode="General">
                  <c:v>395.2</c:v>
                </c:pt>
                <c:pt idx="195" formatCode="General">
                  <c:v>353.40000000000003</c:v>
                </c:pt>
                <c:pt idx="196" formatCode="General">
                  <c:v>336.3</c:v>
                </c:pt>
                <c:pt idx="197" formatCode="General">
                  <c:v>400.9</c:v>
                </c:pt>
                <c:pt idx="198" formatCode="General">
                  <c:v>421.80000000000007</c:v>
                </c:pt>
                <c:pt idx="199" formatCode="General">
                  <c:v>410.40000000000003</c:v>
                </c:pt>
                <c:pt idx="200" formatCode="General">
                  <c:v>383.8</c:v>
                </c:pt>
                <c:pt idx="201" formatCode="General">
                  <c:v>399</c:v>
                </c:pt>
                <c:pt idx="202" formatCode="General">
                  <c:v>408.5</c:v>
                </c:pt>
                <c:pt idx="203" formatCode="General">
                  <c:v>380</c:v>
                </c:pt>
                <c:pt idx="204" formatCode="General">
                  <c:v>387.6</c:v>
                </c:pt>
                <c:pt idx="205">
                  <c:v>374.3</c:v>
                </c:pt>
                <c:pt idx="206">
                  <c:v>387.6</c:v>
                </c:pt>
                <c:pt idx="207">
                  <c:v>408.5</c:v>
                </c:pt>
                <c:pt idx="208">
                  <c:v>176.70000000000002</c:v>
                </c:pt>
                <c:pt idx="209">
                  <c:v>298.3</c:v>
                </c:pt>
                <c:pt idx="210">
                  <c:v>385.7</c:v>
                </c:pt>
                <c:pt idx="211">
                  <c:v>336.3</c:v>
                </c:pt>
                <c:pt idx="212">
                  <c:v>323</c:v>
                </c:pt>
                <c:pt idx="213">
                  <c:v>323</c:v>
                </c:pt>
                <c:pt idx="214">
                  <c:v>351.50000000000006</c:v>
                </c:pt>
                <c:pt idx="215">
                  <c:v>383.8</c:v>
                </c:pt>
                <c:pt idx="216">
                  <c:v>383.8</c:v>
                </c:pt>
                <c:pt idx="217">
                  <c:v>355.3</c:v>
                </c:pt>
                <c:pt idx="218">
                  <c:v>357.2</c:v>
                </c:pt>
                <c:pt idx="219">
                  <c:v>328.7</c:v>
                </c:pt>
                <c:pt idx="220">
                  <c:v>342</c:v>
                </c:pt>
                <c:pt idx="221">
                  <c:v>309.7</c:v>
                </c:pt>
                <c:pt idx="222">
                  <c:v>328.7</c:v>
                </c:pt>
                <c:pt idx="223">
                  <c:v>345.8</c:v>
                </c:pt>
                <c:pt idx="224">
                  <c:v>378.09999999999997</c:v>
                </c:pt>
                <c:pt idx="225">
                  <c:v>362.9</c:v>
                </c:pt>
                <c:pt idx="226">
                  <c:v>150.10000000000002</c:v>
                </c:pt>
                <c:pt idx="227">
                  <c:v>214.69999999999996</c:v>
                </c:pt>
                <c:pt idx="228">
                  <c:v>311.59999999999997</c:v>
                </c:pt>
                <c:pt idx="229">
                  <c:v>290.7</c:v>
                </c:pt>
                <c:pt idx="230">
                  <c:v>288.8</c:v>
                </c:pt>
                <c:pt idx="231">
                  <c:v>288.8</c:v>
                </c:pt>
                <c:pt idx="232" formatCode="0">
                  <c:v>336.3</c:v>
                </c:pt>
                <c:pt idx="233" formatCode="0">
                  <c:v>370.5</c:v>
                </c:pt>
                <c:pt idx="234" formatCode="0">
                  <c:v>364.8</c:v>
                </c:pt>
                <c:pt idx="235" formatCode="0">
                  <c:v>326.79999999999995</c:v>
                </c:pt>
                <c:pt idx="236" formatCode="0">
                  <c:v>342</c:v>
                </c:pt>
                <c:pt idx="237" formatCode="0">
                  <c:v>359.09999999999997</c:v>
                </c:pt>
                <c:pt idx="238" formatCode="0">
                  <c:v>381.9</c:v>
                </c:pt>
                <c:pt idx="239" formatCode="0">
                  <c:v>410.40000000000003</c:v>
                </c:pt>
                <c:pt idx="240" formatCode="0">
                  <c:v>374.3</c:v>
                </c:pt>
                <c:pt idx="241" formatCode="0">
                  <c:v>361</c:v>
                </c:pt>
                <c:pt idx="242" formatCode="0">
                  <c:v>368.59999999999997</c:v>
                </c:pt>
                <c:pt idx="243" formatCode="General">
                  <c:v>414.2</c:v>
                </c:pt>
                <c:pt idx="244" formatCode="General">
                  <c:v>378.09999999999997</c:v>
                </c:pt>
                <c:pt idx="245" formatCode="General">
                  <c:v>391.40000000000003</c:v>
                </c:pt>
                <c:pt idx="246" formatCode="General">
                  <c:v>361</c:v>
                </c:pt>
                <c:pt idx="247" formatCode="General">
                  <c:v>374.3</c:v>
                </c:pt>
                <c:pt idx="248" formatCode="General">
                  <c:v>393.29999999999995</c:v>
                </c:pt>
                <c:pt idx="249" formatCode="General">
                  <c:v>395.2</c:v>
                </c:pt>
                <c:pt idx="250" formatCode="General">
                  <c:v>383.8</c:v>
                </c:pt>
                <c:pt idx="251" formatCode="General">
                  <c:v>389.49999999999994</c:v>
                </c:pt>
                <c:pt idx="252" formatCode="General">
                  <c:v>389.49999999999994</c:v>
                </c:pt>
                <c:pt idx="253" formatCode="General">
                  <c:v>418.00000000000006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A-4627-8153-7161CE20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975576"/>
        <c:axId val="1666974592"/>
      </c:lineChart>
      <c:dateAx>
        <c:axId val="166697557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66974592"/>
        <c:crosses val="autoZero"/>
        <c:auto val="1"/>
        <c:lblOffset val="100"/>
        <c:baseTimeUnit val="days"/>
      </c:dateAx>
      <c:valAx>
        <c:axId val="1666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66975576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213FD2-DC76-4809-ABC0-F38C7D4E83C9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6D6714-1F0D-4700-814F-6DC7167110A1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4403E6-67D1-4BF8-A7A6-2CF8723C6F92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229522" cy="80589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9261D-2E44-D794-3729-D22CB02907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0.02006</cdr:x>
      <cdr:y>0.95067</cdr:y>
    </cdr:from>
    <cdr:to>
      <cdr:x>0.22672</cdr:x>
      <cdr:y>0.99682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F06E9C-1452-4301-A325-B18555D6B837}"/>
            </a:ext>
          </a:extLst>
        </cdr:cNvPr>
        <cdr:cNvSpPr txBox="1"/>
      </cdr:nvSpPr>
      <cdr:spPr>
        <a:xfrm xmlns:a="http://schemas.openxmlformats.org/drawingml/2006/main">
          <a:off x="190500" y="5118652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4230350" cy="8058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87C38-9C40-DF62-9CAF-BC14E615F6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0.00535</cdr:x>
      <cdr:y>0.94526</cdr:y>
    </cdr:from>
    <cdr:to>
      <cdr:x>0.21201</cdr:x>
      <cdr:y>0.99141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73338C-D573-491E-98DE-B129BF1850F9}"/>
            </a:ext>
          </a:extLst>
        </cdr:cNvPr>
        <cdr:cNvSpPr txBox="1"/>
      </cdr:nvSpPr>
      <cdr:spPr>
        <a:xfrm xmlns:a="http://schemas.openxmlformats.org/drawingml/2006/main">
          <a:off x="50800" y="5089525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0E483-B16E-FC93-97E9-79F52DE9EF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0.94349</cdr:y>
    </cdr:from>
    <cdr:to>
      <cdr:x>0.20666</cdr:x>
      <cdr:y>0.98964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73338C-D573-491E-98DE-B129BF1850F9}"/>
            </a:ext>
          </a:extLst>
        </cdr:cNvPr>
        <cdr:cNvSpPr txBox="1"/>
      </cdr:nvSpPr>
      <cdr:spPr>
        <a:xfrm xmlns:a="http://schemas.openxmlformats.org/drawingml/2006/main">
          <a:off x="0" y="5080000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chinacrush%20-%20HOBO.xlsx" TargetMode="External"/><Relationship Id="rId1" Type="http://schemas.openxmlformats.org/officeDocument/2006/relationships/externalLinkPath" Target="/Users/torem/Dropbox/FM%20Files/HOBO/Biofuel%20Model/chinacrush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ekly"/>
      <sheetName val="Monthly"/>
      <sheetName val="Weekly Crush Vol - Port Stks"/>
      <sheetName val="Crush Margin - Dalian - Import"/>
      <sheetName val="SBO Production"/>
    </sheetNames>
    <sheetDataSet>
      <sheetData sheetId="0">
        <row r="1">
          <cell r="D1" t="str">
            <v>Chinese Weekly Crush</v>
          </cell>
          <cell r="H1" t="str">
            <v>Chinese Soybean Port Stocks</v>
          </cell>
          <cell r="S1" t="str">
            <v>Soybean Crush Margin - Dalian - Imported Soybeans</v>
          </cell>
        </row>
        <row r="2">
          <cell r="A2">
            <v>40280</v>
          </cell>
          <cell r="S2">
            <v>74.75</v>
          </cell>
        </row>
        <row r="3">
          <cell r="A3">
            <v>40287</v>
          </cell>
          <cell r="S3">
            <v>74.75</v>
          </cell>
        </row>
        <row r="4">
          <cell r="A4">
            <v>40294</v>
          </cell>
          <cell r="S4">
            <v>74.75</v>
          </cell>
        </row>
        <row r="5">
          <cell r="A5">
            <v>40301</v>
          </cell>
          <cell r="S5">
            <v>118.3</v>
          </cell>
        </row>
        <row r="6">
          <cell r="A6">
            <v>40308</v>
          </cell>
          <cell r="S6">
            <v>79.05</v>
          </cell>
        </row>
        <row r="7">
          <cell r="A7">
            <v>40315</v>
          </cell>
          <cell r="S7">
            <v>47.75</v>
          </cell>
        </row>
        <row r="8">
          <cell r="A8">
            <v>40322</v>
          </cell>
          <cell r="S8">
            <v>-40</v>
          </cell>
        </row>
        <row r="9">
          <cell r="A9">
            <v>40329</v>
          </cell>
          <cell r="S9">
            <v>-60.65</v>
          </cell>
        </row>
        <row r="10">
          <cell r="A10">
            <v>40336</v>
          </cell>
          <cell r="S10">
            <v>-119.8</v>
          </cell>
        </row>
        <row r="11">
          <cell r="A11">
            <v>40343</v>
          </cell>
          <cell r="S11">
            <v>-119.8</v>
          </cell>
        </row>
        <row r="12">
          <cell r="A12">
            <v>40350</v>
          </cell>
          <cell r="S12">
            <v>-9.15</v>
          </cell>
        </row>
        <row r="13">
          <cell r="A13">
            <v>40357</v>
          </cell>
          <cell r="S13">
            <v>-17</v>
          </cell>
        </row>
        <row r="14">
          <cell r="A14">
            <v>40364</v>
          </cell>
          <cell r="S14">
            <v>22.25</v>
          </cell>
        </row>
        <row r="15">
          <cell r="A15">
            <v>40371</v>
          </cell>
          <cell r="S15">
            <v>118.5</v>
          </cell>
        </row>
        <row r="16">
          <cell r="A16">
            <v>40378</v>
          </cell>
          <cell r="S16">
            <v>118.5</v>
          </cell>
        </row>
        <row r="17">
          <cell r="A17">
            <v>40385</v>
          </cell>
          <cell r="S17">
            <v>130.30000000000001</v>
          </cell>
        </row>
        <row r="18">
          <cell r="A18">
            <v>40392</v>
          </cell>
          <cell r="S18">
            <v>198.1</v>
          </cell>
        </row>
        <row r="19">
          <cell r="A19">
            <v>40399</v>
          </cell>
          <cell r="S19">
            <v>149.5</v>
          </cell>
        </row>
        <row r="20">
          <cell r="A20">
            <v>40406</v>
          </cell>
          <cell r="S20">
            <v>175</v>
          </cell>
        </row>
        <row r="21">
          <cell r="A21">
            <v>40413</v>
          </cell>
          <cell r="S21">
            <v>165.75</v>
          </cell>
        </row>
        <row r="22">
          <cell r="A22">
            <v>40420</v>
          </cell>
          <cell r="S22">
            <v>165.75</v>
          </cell>
        </row>
        <row r="23">
          <cell r="A23">
            <v>40427</v>
          </cell>
          <cell r="S23">
            <v>65.75</v>
          </cell>
        </row>
        <row r="24">
          <cell r="A24">
            <v>40434</v>
          </cell>
          <cell r="S24">
            <v>6.5</v>
          </cell>
        </row>
        <row r="25">
          <cell r="A25">
            <v>40441</v>
          </cell>
          <cell r="S25">
            <v>6.5</v>
          </cell>
        </row>
        <row r="26">
          <cell r="A26">
            <v>40448</v>
          </cell>
          <cell r="S26">
            <v>215.25</v>
          </cell>
        </row>
        <row r="27">
          <cell r="A27">
            <v>40455</v>
          </cell>
          <cell r="S27">
            <v>310</v>
          </cell>
        </row>
        <row r="28">
          <cell r="A28">
            <v>40462</v>
          </cell>
          <cell r="S28">
            <v>381.75</v>
          </cell>
        </row>
        <row r="29">
          <cell r="A29">
            <v>40469</v>
          </cell>
          <cell r="S29">
            <v>274</v>
          </cell>
        </row>
        <row r="30">
          <cell r="A30">
            <v>40476</v>
          </cell>
          <cell r="S30">
            <v>131</v>
          </cell>
        </row>
        <row r="31">
          <cell r="A31">
            <v>40483</v>
          </cell>
          <cell r="S31">
            <v>339</v>
          </cell>
        </row>
        <row r="32">
          <cell r="A32">
            <v>40490</v>
          </cell>
          <cell r="S32">
            <v>407.5</v>
          </cell>
        </row>
        <row r="33">
          <cell r="A33">
            <v>40497</v>
          </cell>
          <cell r="S33">
            <v>407.5</v>
          </cell>
        </row>
        <row r="34">
          <cell r="A34">
            <v>40504</v>
          </cell>
          <cell r="S34">
            <v>60.5</v>
          </cell>
        </row>
        <row r="35">
          <cell r="A35">
            <v>40511</v>
          </cell>
          <cell r="S35">
            <v>-17.5</v>
          </cell>
        </row>
        <row r="36">
          <cell r="A36">
            <v>40518</v>
          </cell>
          <cell r="S36">
            <v>-17.5</v>
          </cell>
        </row>
        <row r="37">
          <cell r="A37">
            <v>40525</v>
          </cell>
          <cell r="S37">
            <v>-29</v>
          </cell>
        </row>
        <row r="38">
          <cell r="A38">
            <v>40532</v>
          </cell>
          <cell r="S38">
            <v>118</v>
          </cell>
        </row>
        <row r="39">
          <cell r="A39">
            <v>40539</v>
          </cell>
          <cell r="S39">
            <v>118</v>
          </cell>
        </row>
        <row r="40">
          <cell r="A40">
            <v>40546</v>
          </cell>
          <cell r="S40">
            <v>224.7</v>
          </cell>
        </row>
        <row r="41">
          <cell r="A41">
            <v>40553</v>
          </cell>
          <cell r="S41">
            <v>96.75</v>
          </cell>
        </row>
        <row r="42">
          <cell r="A42">
            <v>40560</v>
          </cell>
          <cell r="S42">
            <v>48.25</v>
          </cell>
        </row>
        <row r="43">
          <cell r="A43">
            <v>40567</v>
          </cell>
          <cell r="S43">
            <v>57.5</v>
          </cell>
        </row>
        <row r="44">
          <cell r="A44">
            <v>40574</v>
          </cell>
          <cell r="S44">
            <v>57.5</v>
          </cell>
        </row>
        <row r="45">
          <cell r="A45">
            <v>40581</v>
          </cell>
          <cell r="S45">
            <v>165.15</v>
          </cell>
        </row>
        <row r="46">
          <cell r="A46">
            <v>40588</v>
          </cell>
          <cell r="S46">
            <v>183.75</v>
          </cell>
        </row>
        <row r="47">
          <cell r="A47">
            <v>40595</v>
          </cell>
          <cell r="S47">
            <v>38.25</v>
          </cell>
        </row>
        <row r="48">
          <cell r="A48">
            <v>40602</v>
          </cell>
          <cell r="S48">
            <v>6.75</v>
          </cell>
        </row>
        <row r="49">
          <cell r="A49">
            <v>40609</v>
          </cell>
          <cell r="S49">
            <v>19.75</v>
          </cell>
        </row>
        <row r="50">
          <cell r="A50">
            <v>40616</v>
          </cell>
          <cell r="S50">
            <v>-91.55</v>
          </cell>
        </row>
        <row r="51">
          <cell r="A51">
            <v>40623</v>
          </cell>
          <cell r="S51">
            <v>-50.8</v>
          </cell>
        </row>
        <row r="52">
          <cell r="A52">
            <v>40630</v>
          </cell>
          <cell r="S52">
            <v>-27.25</v>
          </cell>
        </row>
        <row r="53">
          <cell r="A53">
            <v>40637</v>
          </cell>
          <cell r="S53">
            <v>-150.05000000000001</v>
          </cell>
        </row>
        <row r="54">
          <cell r="A54">
            <v>40644</v>
          </cell>
          <cell r="S54">
            <v>-68.55</v>
          </cell>
        </row>
        <row r="55">
          <cell r="A55">
            <v>40651</v>
          </cell>
          <cell r="S55">
            <v>-87.05</v>
          </cell>
        </row>
        <row r="56">
          <cell r="A56">
            <v>40658</v>
          </cell>
          <cell r="S56">
            <v>-26.3</v>
          </cell>
        </row>
        <row r="57">
          <cell r="A57">
            <v>40665</v>
          </cell>
          <cell r="S57">
            <v>-26.3</v>
          </cell>
        </row>
        <row r="58">
          <cell r="A58">
            <v>40672</v>
          </cell>
          <cell r="S58">
            <v>-51.25</v>
          </cell>
        </row>
        <row r="59">
          <cell r="A59">
            <v>40679</v>
          </cell>
          <cell r="S59">
            <v>-88.25</v>
          </cell>
        </row>
        <row r="60">
          <cell r="A60">
            <v>40686</v>
          </cell>
          <cell r="S60">
            <v>-88.25</v>
          </cell>
        </row>
        <row r="61">
          <cell r="A61">
            <v>40693</v>
          </cell>
          <cell r="S61">
            <v>-88.25</v>
          </cell>
        </row>
        <row r="62">
          <cell r="A62">
            <v>40700</v>
          </cell>
          <cell r="S62">
            <v>-88.25</v>
          </cell>
        </row>
        <row r="63">
          <cell r="A63">
            <v>40707</v>
          </cell>
          <cell r="S63">
            <v>104.45</v>
          </cell>
        </row>
        <row r="64">
          <cell r="A64">
            <v>40714</v>
          </cell>
          <cell r="S64">
            <v>85.95</v>
          </cell>
        </row>
        <row r="65">
          <cell r="A65">
            <v>40721</v>
          </cell>
          <cell r="S65">
            <v>101.65</v>
          </cell>
        </row>
        <row r="66">
          <cell r="A66">
            <v>40728</v>
          </cell>
          <cell r="S66">
            <v>101.65</v>
          </cell>
        </row>
        <row r="67">
          <cell r="A67">
            <v>40735</v>
          </cell>
          <cell r="S67">
            <v>-22.75</v>
          </cell>
        </row>
        <row r="68">
          <cell r="A68">
            <v>40742</v>
          </cell>
          <cell r="S68">
            <v>-95</v>
          </cell>
        </row>
        <row r="69">
          <cell r="A69">
            <v>40749</v>
          </cell>
          <cell r="S69">
            <v>-67.25</v>
          </cell>
        </row>
        <row r="70">
          <cell r="A70">
            <v>40756</v>
          </cell>
          <cell r="S70">
            <v>-77.349999999999994</v>
          </cell>
        </row>
        <row r="71">
          <cell r="A71">
            <v>40763</v>
          </cell>
          <cell r="S71">
            <v>-118</v>
          </cell>
        </row>
        <row r="72">
          <cell r="A72">
            <v>40770</v>
          </cell>
          <cell r="S72">
            <v>-150.80000000000001</v>
          </cell>
        </row>
        <row r="73">
          <cell r="A73">
            <v>40777</v>
          </cell>
          <cell r="S73">
            <v>-145.25</v>
          </cell>
        </row>
        <row r="74">
          <cell r="A74">
            <v>40784</v>
          </cell>
          <cell r="S74">
            <v>-17.7</v>
          </cell>
        </row>
        <row r="75">
          <cell r="A75">
            <v>40791</v>
          </cell>
          <cell r="S75">
            <v>-54.7</v>
          </cell>
        </row>
        <row r="76">
          <cell r="A76">
            <v>40798</v>
          </cell>
          <cell r="S76">
            <v>-54.7</v>
          </cell>
        </row>
        <row r="77">
          <cell r="A77">
            <v>40805</v>
          </cell>
          <cell r="S77">
            <v>-93.95</v>
          </cell>
        </row>
        <row r="78">
          <cell r="A78">
            <v>40812</v>
          </cell>
          <cell r="S78">
            <v>-178.55</v>
          </cell>
        </row>
        <row r="79">
          <cell r="A79">
            <v>40819</v>
          </cell>
          <cell r="S79">
            <v>-262.64999999999998</v>
          </cell>
        </row>
        <row r="80">
          <cell r="A80">
            <v>40826</v>
          </cell>
          <cell r="S80">
            <v>-262.64999999999998</v>
          </cell>
        </row>
        <row r="81">
          <cell r="A81">
            <v>40833</v>
          </cell>
          <cell r="S81">
            <v>-143.30000000000001</v>
          </cell>
        </row>
        <row r="82">
          <cell r="A82">
            <v>40840</v>
          </cell>
          <cell r="S82">
            <v>-183.95</v>
          </cell>
        </row>
        <row r="83">
          <cell r="A83">
            <v>40847</v>
          </cell>
          <cell r="S83">
            <v>-232.45</v>
          </cell>
        </row>
        <row r="84">
          <cell r="A84">
            <v>40854</v>
          </cell>
          <cell r="S84">
            <v>-313.75</v>
          </cell>
        </row>
        <row r="85">
          <cell r="A85">
            <v>40861</v>
          </cell>
          <cell r="S85">
            <v>-323</v>
          </cell>
        </row>
        <row r="86">
          <cell r="A86">
            <v>40868</v>
          </cell>
          <cell r="S86">
            <v>-320.64999999999998</v>
          </cell>
        </row>
        <row r="87">
          <cell r="A87">
            <v>40875</v>
          </cell>
          <cell r="S87">
            <v>-366.9</v>
          </cell>
        </row>
        <row r="88">
          <cell r="A88">
            <v>40882</v>
          </cell>
          <cell r="S88">
            <v>-366.9</v>
          </cell>
        </row>
        <row r="89">
          <cell r="A89">
            <v>40889</v>
          </cell>
          <cell r="S89">
            <v>-226.05</v>
          </cell>
        </row>
        <row r="90">
          <cell r="A90">
            <v>40896</v>
          </cell>
          <cell r="S90">
            <v>5.3</v>
          </cell>
        </row>
        <row r="91">
          <cell r="A91">
            <v>40903</v>
          </cell>
          <cell r="S91">
            <v>48.25</v>
          </cell>
        </row>
        <row r="92">
          <cell r="A92">
            <v>40910</v>
          </cell>
          <cell r="S92">
            <v>110.2</v>
          </cell>
        </row>
        <row r="93">
          <cell r="A93">
            <v>40917</v>
          </cell>
          <cell r="S93">
            <v>110.2</v>
          </cell>
        </row>
        <row r="94">
          <cell r="A94">
            <v>40924</v>
          </cell>
          <cell r="S94">
            <v>114.5</v>
          </cell>
        </row>
        <row r="95">
          <cell r="A95">
            <v>40931</v>
          </cell>
          <cell r="S95">
            <v>114.5</v>
          </cell>
        </row>
        <row r="96">
          <cell r="A96">
            <v>40938</v>
          </cell>
          <cell r="S96">
            <v>168.55</v>
          </cell>
        </row>
        <row r="97">
          <cell r="A97">
            <v>40945</v>
          </cell>
          <cell r="S97">
            <v>168.55</v>
          </cell>
        </row>
        <row r="98">
          <cell r="A98">
            <v>40952</v>
          </cell>
          <cell r="S98">
            <v>162.80000000000001</v>
          </cell>
        </row>
        <row r="99">
          <cell r="A99">
            <v>40959</v>
          </cell>
          <cell r="S99">
            <v>162.80000000000001</v>
          </cell>
        </row>
        <row r="100">
          <cell r="A100">
            <v>40966</v>
          </cell>
          <cell r="S100">
            <v>162.80000000000001</v>
          </cell>
        </row>
        <row r="101">
          <cell r="A101">
            <v>40973</v>
          </cell>
          <cell r="S101">
            <v>132.6</v>
          </cell>
        </row>
        <row r="102">
          <cell r="A102">
            <v>40980</v>
          </cell>
          <cell r="S102">
            <v>169.6</v>
          </cell>
        </row>
        <row r="103">
          <cell r="A103">
            <v>40987</v>
          </cell>
          <cell r="S103">
            <v>171</v>
          </cell>
        </row>
        <row r="104">
          <cell r="A104">
            <v>40994</v>
          </cell>
          <cell r="S104">
            <v>319.2</v>
          </cell>
        </row>
        <row r="105">
          <cell r="A105">
            <v>41001</v>
          </cell>
          <cell r="S105">
            <v>501.7</v>
          </cell>
        </row>
        <row r="106">
          <cell r="A106">
            <v>41008</v>
          </cell>
          <cell r="S106">
            <v>486</v>
          </cell>
        </row>
        <row r="107">
          <cell r="A107">
            <v>41015</v>
          </cell>
          <cell r="S107">
            <v>401.8</v>
          </cell>
        </row>
        <row r="108">
          <cell r="A108">
            <v>41022</v>
          </cell>
          <cell r="S108">
            <v>258.14999999999998</v>
          </cell>
        </row>
        <row r="109">
          <cell r="A109">
            <v>41029</v>
          </cell>
          <cell r="S109">
            <v>201.8</v>
          </cell>
        </row>
        <row r="110">
          <cell r="A110">
            <v>41036</v>
          </cell>
          <cell r="S110">
            <v>116.3</v>
          </cell>
        </row>
        <row r="111">
          <cell r="A111">
            <v>41043</v>
          </cell>
          <cell r="S111">
            <v>-20.5</v>
          </cell>
        </row>
        <row r="112">
          <cell r="A112">
            <v>41050</v>
          </cell>
          <cell r="S112">
            <v>-45.45</v>
          </cell>
        </row>
        <row r="113">
          <cell r="A113">
            <v>41057</v>
          </cell>
          <cell r="S113">
            <v>-123.1</v>
          </cell>
        </row>
        <row r="114">
          <cell r="A114">
            <v>41064</v>
          </cell>
          <cell r="S114">
            <v>-211.5</v>
          </cell>
        </row>
        <row r="115">
          <cell r="A115">
            <v>41071</v>
          </cell>
          <cell r="S115">
            <v>-211.5</v>
          </cell>
        </row>
        <row r="116">
          <cell r="A116">
            <v>41078</v>
          </cell>
          <cell r="S116">
            <v>-161.69999999999999</v>
          </cell>
        </row>
        <row r="117">
          <cell r="A117">
            <v>41085</v>
          </cell>
          <cell r="S117">
            <v>-33.299999999999997</v>
          </cell>
        </row>
        <row r="118">
          <cell r="A118">
            <v>41092</v>
          </cell>
          <cell r="S118">
            <v>49.3</v>
          </cell>
        </row>
        <row r="119">
          <cell r="A119">
            <v>41099</v>
          </cell>
          <cell r="S119">
            <v>49.3</v>
          </cell>
        </row>
        <row r="120">
          <cell r="A120">
            <v>41106</v>
          </cell>
          <cell r="S120">
            <v>234.75</v>
          </cell>
        </row>
        <row r="121">
          <cell r="A121">
            <v>41113</v>
          </cell>
          <cell r="S121">
            <v>96.55</v>
          </cell>
        </row>
        <row r="122">
          <cell r="A122">
            <v>41120</v>
          </cell>
          <cell r="S122">
            <v>130.25</v>
          </cell>
        </row>
        <row r="123">
          <cell r="A123">
            <v>41127</v>
          </cell>
          <cell r="S123">
            <v>152.69999999999999</v>
          </cell>
        </row>
        <row r="124">
          <cell r="A124">
            <v>41134</v>
          </cell>
          <cell r="S124">
            <v>160.75</v>
          </cell>
        </row>
        <row r="125">
          <cell r="A125">
            <v>41141</v>
          </cell>
          <cell r="S125">
            <v>250</v>
          </cell>
        </row>
        <row r="126">
          <cell r="A126">
            <v>41148</v>
          </cell>
          <cell r="S126">
            <v>313.3</v>
          </cell>
        </row>
        <row r="127">
          <cell r="A127">
            <v>41155</v>
          </cell>
          <cell r="S127">
            <v>380.8</v>
          </cell>
        </row>
        <row r="128">
          <cell r="A128">
            <v>41162</v>
          </cell>
          <cell r="S128">
            <v>380.8</v>
          </cell>
        </row>
        <row r="129">
          <cell r="A129">
            <v>41169</v>
          </cell>
          <cell r="S129">
            <v>320.85000000000002</v>
          </cell>
        </row>
        <row r="130">
          <cell r="A130">
            <v>41176</v>
          </cell>
          <cell r="S130">
            <v>266.55</v>
          </cell>
        </row>
        <row r="131">
          <cell r="A131">
            <v>41183</v>
          </cell>
        </row>
        <row r="132">
          <cell r="A132">
            <v>41190</v>
          </cell>
          <cell r="S132">
            <v>26.7</v>
          </cell>
        </row>
        <row r="133">
          <cell r="A133">
            <v>41197</v>
          </cell>
          <cell r="S133">
            <v>-449.25</v>
          </cell>
        </row>
        <row r="134">
          <cell r="A134">
            <v>41204</v>
          </cell>
          <cell r="S134">
            <v>-425.3</v>
          </cell>
        </row>
        <row r="135">
          <cell r="A135">
            <v>41211</v>
          </cell>
          <cell r="S135">
            <v>-509.4</v>
          </cell>
        </row>
        <row r="136">
          <cell r="A136">
            <v>41218</v>
          </cell>
          <cell r="S136">
            <v>-575.5</v>
          </cell>
        </row>
        <row r="137">
          <cell r="A137">
            <v>41225</v>
          </cell>
          <cell r="S137">
            <v>-724</v>
          </cell>
        </row>
        <row r="138">
          <cell r="A138">
            <v>41232</v>
          </cell>
          <cell r="S138">
            <v>-862.4</v>
          </cell>
        </row>
        <row r="139">
          <cell r="A139">
            <v>41239</v>
          </cell>
          <cell r="S139">
            <v>-645.9</v>
          </cell>
        </row>
        <row r="140">
          <cell r="A140">
            <v>41246</v>
          </cell>
          <cell r="S140">
            <v>-436.25</v>
          </cell>
        </row>
        <row r="141">
          <cell r="A141">
            <v>41253</v>
          </cell>
          <cell r="S141">
            <v>-317.75</v>
          </cell>
        </row>
        <row r="142">
          <cell r="A142">
            <v>41260</v>
          </cell>
          <cell r="S142">
            <v>-88.75</v>
          </cell>
        </row>
        <row r="143">
          <cell r="A143">
            <v>41267</v>
          </cell>
          <cell r="S143">
            <v>-135.19999999999999</v>
          </cell>
        </row>
        <row r="144">
          <cell r="A144">
            <v>41274</v>
          </cell>
          <cell r="S144">
            <v>-329.6</v>
          </cell>
        </row>
        <row r="145">
          <cell r="A145">
            <v>41281</v>
          </cell>
          <cell r="S145">
            <v>-337.65</v>
          </cell>
        </row>
        <row r="146">
          <cell r="A146">
            <v>41288</v>
          </cell>
          <cell r="S146">
            <v>-306.7</v>
          </cell>
        </row>
        <row r="147">
          <cell r="A147">
            <v>41295</v>
          </cell>
          <cell r="S147">
            <v>-257.85000000000002</v>
          </cell>
        </row>
        <row r="148">
          <cell r="A148">
            <v>41302</v>
          </cell>
          <cell r="S148">
            <v>22.9</v>
          </cell>
        </row>
        <row r="149">
          <cell r="A149">
            <v>41309</v>
          </cell>
          <cell r="S149">
            <v>22.9</v>
          </cell>
        </row>
        <row r="150">
          <cell r="A150">
            <v>41316</v>
          </cell>
          <cell r="S150">
            <v>22.9</v>
          </cell>
        </row>
        <row r="151">
          <cell r="A151">
            <v>41323</v>
          </cell>
          <cell r="S151">
            <v>86.1</v>
          </cell>
        </row>
        <row r="152">
          <cell r="A152">
            <v>41330</v>
          </cell>
          <cell r="S152">
            <v>153.5</v>
          </cell>
        </row>
        <row r="153">
          <cell r="A153">
            <v>41337</v>
          </cell>
          <cell r="S153">
            <v>160.35</v>
          </cell>
        </row>
        <row r="154">
          <cell r="A154">
            <v>41344</v>
          </cell>
          <cell r="S154">
            <v>186</v>
          </cell>
        </row>
        <row r="155">
          <cell r="A155">
            <v>41351</v>
          </cell>
          <cell r="S155">
            <v>123.65</v>
          </cell>
        </row>
        <row r="156">
          <cell r="A156">
            <v>41358</v>
          </cell>
          <cell r="S156">
            <v>65.400000000000006</v>
          </cell>
        </row>
        <row r="157">
          <cell r="A157">
            <v>41365</v>
          </cell>
          <cell r="S157">
            <v>-101.6</v>
          </cell>
        </row>
        <row r="158">
          <cell r="A158">
            <v>41372</v>
          </cell>
          <cell r="S158">
            <v>-42.35</v>
          </cell>
        </row>
        <row r="159">
          <cell r="A159">
            <v>41379</v>
          </cell>
          <cell r="S159">
            <v>-44.75</v>
          </cell>
        </row>
        <row r="160">
          <cell r="A160">
            <v>41386</v>
          </cell>
          <cell r="S160">
            <v>-72.7</v>
          </cell>
        </row>
        <row r="161">
          <cell r="A161">
            <v>41393</v>
          </cell>
          <cell r="S161">
            <v>-104.9</v>
          </cell>
        </row>
        <row r="162">
          <cell r="A162">
            <v>41400</v>
          </cell>
          <cell r="S162">
            <v>-76.400000000000006</v>
          </cell>
        </row>
        <row r="163">
          <cell r="A163">
            <v>41407</v>
          </cell>
          <cell r="S163">
            <v>-41</v>
          </cell>
        </row>
        <row r="164">
          <cell r="A164">
            <v>41414</v>
          </cell>
          <cell r="S164">
            <v>48.75</v>
          </cell>
        </row>
        <row r="165">
          <cell r="A165">
            <v>41421</v>
          </cell>
          <cell r="S165">
            <v>129.25</v>
          </cell>
        </row>
        <row r="166">
          <cell r="A166">
            <v>41428</v>
          </cell>
          <cell r="S166">
            <v>25.65</v>
          </cell>
        </row>
        <row r="167">
          <cell r="A167">
            <v>41435</v>
          </cell>
          <cell r="S167">
            <v>25.65</v>
          </cell>
        </row>
        <row r="168">
          <cell r="A168">
            <v>41442</v>
          </cell>
          <cell r="S168">
            <v>-20.25</v>
          </cell>
        </row>
        <row r="169">
          <cell r="A169">
            <v>41449</v>
          </cell>
          <cell r="S169">
            <v>-159.5</v>
          </cell>
        </row>
        <row r="170">
          <cell r="A170">
            <v>41456</v>
          </cell>
          <cell r="S170">
            <v>-32.700000000000003</v>
          </cell>
        </row>
        <row r="171">
          <cell r="A171">
            <v>41463</v>
          </cell>
          <cell r="S171">
            <v>87.35</v>
          </cell>
        </row>
        <row r="172">
          <cell r="A172">
            <v>41470</v>
          </cell>
          <cell r="S172">
            <v>68.849999999999994</v>
          </cell>
        </row>
        <row r="173">
          <cell r="A173">
            <v>41477</v>
          </cell>
          <cell r="S173">
            <v>113.3</v>
          </cell>
        </row>
        <row r="174">
          <cell r="A174">
            <v>41484</v>
          </cell>
          <cell r="S174">
            <v>90.15</v>
          </cell>
        </row>
        <row r="175">
          <cell r="A175">
            <v>41491</v>
          </cell>
          <cell r="S175">
            <v>19.399999999999999</v>
          </cell>
        </row>
        <row r="176">
          <cell r="A176">
            <v>41498</v>
          </cell>
          <cell r="S176">
            <v>102.3</v>
          </cell>
        </row>
        <row r="177">
          <cell r="A177">
            <v>41505</v>
          </cell>
          <cell r="S177">
            <v>264.5</v>
          </cell>
        </row>
        <row r="178">
          <cell r="A178">
            <v>41512</v>
          </cell>
          <cell r="S178">
            <v>321.25</v>
          </cell>
        </row>
        <row r="179">
          <cell r="A179">
            <v>41519</v>
          </cell>
          <cell r="S179">
            <v>295.89999999999998</v>
          </cell>
        </row>
        <row r="180">
          <cell r="A180">
            <v>41526</v>
          </cell>
          <cell r="S180">
            <v>277.32</v>
          </cell>
        </row>
        <row r="181">
          <cell r="A181">
            <v>41533</v>
          </cell>
          <cell r="S181">
            <v>227.8</v>
          </cell>
        </row>
        <row r="182">
          <cell r="A182">
            <v>41540</v>
          </cell>
          <cell r="S182">
            <v>209.3</v>
          </cell>
        </row>
        <row r="183">
          <cell r="A183">
            <v>41547</v>
          </cell>
          <cell r="S183">
            <v>209.3</v>
          </cell>
        </row>
        <row r="184">
          <cell r="A184">
            <v>41554</v>
          </cell>
          <cell r="S184">
            <v>185.25</v>
          </cell>
        </row>
        <row r="185">
          <cell r="A185">
            <v>41561</v>
          </cell>
          <cell r="S185">
            <v>213</v>
          </cell>
        </row>
        <row r="186">
          <cell r="A186">
            <v>41568</v>
          </cell>
          <cell r="S186">
            <v>180.8</v>
          </cell>
        </row>
        <row r="187">
          <cell r="A187">
            <v>41575</v>
          </cell>
          <cell r="S187">
            <v>92.25</v>
          </cell>
        </row>
        <row r="188">
          <cell r="A188">
            <v>41582</v>
          </cell>
          <cell r="S188">
            <v>70.05</v>
          </cell>
        </row>
        <row r="189">
          <cell r="A189">
            <v>41589</v>
          </cell>
          <cell r="S189">
            <v>151.75</v>
          </cell>
        </row>
        <row r="190">
          <cell r="A190">
            <v>41596</v>
          </cell>
          <cell r="S190">
            <v>152.30000000000001</v>
          </cell>
        </row>
        <row r="191">
          <cell r="A191">
            <v>41603</v>
          </cell>
          <cell r="S191">
            <v>342.55</v>
          </cell>
        </row>
        <row r="192">
          <cell r="A192">
            <v>41610</v>
          </cell>
          <cell r="S192">
            <v>366.6</v>
          </cell>
        </row>
        <row r="193">
          <cell r="A193">
            <v>41617</v>
          </cell>
          <cell r="S193">
            <v>391.25</v>
          </cell>
        </row>
        <row r="194">
          <cell r="A194">
            <v>41624</v>
          </cell>
          <cell r="S194">
            <v>332.5</v>
          </cell>
        </row>
        <row r="195">
          <cell r="A195">
            <v>41631</v>
          </cell>
          <cell r="S195">
            <v>257.64999999999998</v>
          </cell>
        </row>
        <row r="196">
          <cell r="A196">
            <v>41638</v>
          </cell>
          <cell r="S196">
            <v>260.64999999999998</v>
          </cell>
        </row>
        <row r="197">
          <cell r="A197">
            <v>41645</v>
          </cell>
          <cell r="S197">
            <v>190.15</v>
          </cell>
        </row>
        <row r="198">
          <cell r="A198">
            <v>41652</v>
          </cell>
          <cell r="S198">
            <v>107.25</v>
          </cell>
        </row>
        <row r="199">
          <cell r="A199">
            <v>41659</v>
          </cell>
          <cell r="S199">
            <v>107.25</v>
          </cell>
        </row>
        <row r="200">
          <cell r="A200">
            <v>41666</v>
          </cell>
          <cell r="S200">
            <v>107.25</v>
          </cell>
        </row>
        <row r="201">
          <cell r="A201">
            <v>41673</v>
          </cell>
          <cell r="S201">
            <v>36</v>
          </cell>
        </row>
        <row r="202">
          <cell r="A202">
            <v>41680</v>
          </cell>
          <cell r="S202">
            <v>36</v>
          </cell>
        </row>
        <row r="203">
          <cell r="A203">
            <v>41687</v>
          </cell>
          <cell r="S203">
            <v>30.45</v>
          </cell>
        </row>
        <row r="204">
          <cell r="A204">
            <v>41694</v>
          </cell>
          <cell r="S204">
            <v>-113.5</v>
          </cell>
        </row>
        <row r="205">
          <cell r="A205">
            <v>41701</v>
          </cell>
          <cell r="S205">
            <v>-168.65</v>
          </cell>
        </row>
        <row r="206">
          <cell r="A206">
            <v>41708</v>
          </cell>
          <cell r="S206">
            <v>-239.9</v>
          </cell>
        </row>
        <row r="207">
          <cell r="A207">
            <v>41715</v>
          </cell>
          <cell r="S207">
            <v>-336.5</v>
          </cell>
        </row>
        <row r="208">
          <cell r="A208">
            <v>41722</v>
          </cell>
          <cell r="S208">
            <v>-283.75</v>
          </cell>
        </row>
        <row r="209">
          <cell r="A209">
            <v>41729</v>
          </cell>
          <cell r="S209">
            <v>-67.7</v>
          </cell>
        </row>
        <row r="210">
          <cell r="A210">
            <v>41736</v>
          </cell>
          <cell r="S210">
            <v>-244.5</v>
          </cell>
        </row>
        <row r="211">
          <cell r="A211">
            <v>41743</v>
          </cell>
          <cell r="S211">
            <v>-244.5</v>
          </cell>
        </row>
        <row r="212">
          <cell r="A212">
            <v>41750</v>
          </cell>
          <cell r="S212">
            <v>-244.5</v>
          </cell>
        </row>
        <row r="213">
          <cell r="A213">
            <v>41757</v>
          </cell>
          <cell r="S213">
            <v>-126.15</v>
          </cell>
        </row>
        <row r="214">
          <cell r="A214">
            <v>41764</v>
          </cell>
          <cell r="S214">
            <v>-201</v>
          </cell>
        </row>
        <row r="215">
          <cell r="A215">
            <v>41771</v>
          </cell>
          <cell r="S215">
            <v>-244.65</v>
          </cell>
        </row>
        <row r="216">
          <cell r="A216">
            <v>41778</v>
          </cell>
          <cell r="S216">
            <v>-189.5</v>
          </cell>
        </row>
        <row r="217">
          <cell r="A217">
            <v>41785</v>
          </cell>
          <cell r="S217">
            <v>-189.5</v>
          </cell>
        </row>
        <row r="218">
          <cell r="A218">
            <v>41792</v>
          </cell>
          <cell r="S218">
            <v>-288.5</v>
          </cell>
        </row>
        <row r="219">
          <cell r="A219">
            <v>41799</v>
          </cell>
          <cell r="S219">
            <v>-179.25</v>
          </cell>
        </row>
        <row r="220">
          <cell r="A220">
            <v>41806</v>
          </cell>
          <cell r="S220">
            <v>-179.25</v>
          </cell>
        </row>
        <row r="221">
          <cell r="A221">
            <v>41813</v>
          </cell>
          <cell r="S221">
            <v>-187.3</v>
          </cell>
        </row>
        <row r="222">
          <cell r="A222">
            <v>41820</v>
          </cell>
          <cell r="S222">
            <v>-230.65</v>
          </cell>
        </row>
        <row r="223">
          <cell r="A223">
            <v>41827</v>
          </cell>
          <cell r="S223">
            <v>-321.60000000000002</v>
          </cell>
        </row>
        <row r="224">
          <cell r="A224">
            <v>41834</v>
          </cell>
          <cell r="S224">
            <v>-364.25</v>
          </cell>
        </row>
        <row r="225">
          <cell r="A225">
            <v>41841</v>
          </cell>
          <cell r="S225">
            <v>-332.75</v>
          </cell>
        </row>
        <row r="226">
          <cell r="A226">
            <v>41848</v>
          </cell>
          <cell r="S226">
            <v>-292.5</v>
          </cell>
        </row>
        <row r="227">
          <cell r="A227">
            <v>41855</v>
          </cell>
          <cell r="S227">
            <v>-332.75</v>
          </cell>
        </row>
        <row r="228">
          <cell r="A228">
            <v>41862</v>
          </cell>
          <cell r="S228">
            <v>-348.85</v>
          </cell>
        </row>
        <row r="229">
          <cell r="A229">
            <v>41869</v>
          </cell>
          <cell r="S229">
            <v>-258.10000000000002</v>
          </cell>
        </row>
        <row r="230">
          <cell r="A230">
            <v>41876</v>
          </cell>
          <cell r="S230">
            <v>-269.75</v>
          </cell>
        </row>
        <row r="231">
          <cell r="A231">
            <v>41883</v>
          </cell>
          <cell r="S231">
            <v>-303.14999999999998</v>
          </cell>
        </row>
        <row r="232">
          <cell r="A232">
            <v>41890</v>
          </cell>
          <cell r="S232">
            <v>-334.15</v>
          </cell>
        </row>
        <row r="233">
          <cell r="A233">
            <v>41897</v>
          </cell>
          <cell r="S233">
            <v>-334.15</v>
          </cell>
        </row>
        <row r="234">
          <cell r="A234">
            <v>41904</v>
          </cell>
          <cell r="S234">
            <v>-84.15</v>
          </cell>
        </row>
        <row r="235">
          <cell r="A235">
            <v>41911</v>
          </cell>
          <cell r="S235">
            <v>-84.15</v>
          </cell>
        </row>
        <row r="236">
          <cell r="A236">
            <v>41918</v>
          </cell>
          <cell r="S236">
            <v>-25.4</v>
          </cell>
        </row>
        <row r="237">
          <cell r="A237">
            <v>41925</v>
          </cell>
          <cell r="S237">
            <v>58</v>
          </cell>
        </row>
        <row r="238">
          <cell r="A238">
            <v>41932</v>
          </cell>
          <cell r="S238">
            <v>98.75</v>
          </cell>
        </row>
        <row r="239">
          <cell r="A239">
            <v>41939</v>
          </cell>
          <cell r="S239">
            <v>182.15</v>
          </cell>
        </row>
        <row r="240">
          <cell r="A240">
            <v>41946</v>
          </cell>
          <cell r="S240">
            <v>159.85</v>
          </cell>
        </row>
        <row r="241">
          <cell r="A241">
            <v>41953</v>
          </cell>
          <cell r="S241">
            <v>235.7</v>
          </cell>
        </row>
        <row r="242">
          <cell r="A242">
            <v>41960</v>
          </cell>
          <cell r="S242">
            <v>155.05000000000001</v>
          </cell>
        </row>
        <row r="243">
          <cell r="A243">
            <v>41967</v>
          </cell>
          <cell r="S243">
            <v>138.94999999999999</v>
          </cell>
        </row>
        <row r="244">
          <cell r="A244">
            <v>41974</v>
          </cell>
          <cell r="S244">
            <v>102.45</v>
          </cell>
        </row>
        <row r="245">
          <cell r="A245">
            <v>41981</v>
          </cell>
          <cell r="S245">
            <v>102.45</v>
          </cell>
        </row>
        <row r="246">
          <cell r="A246">
            <v>41988</v>
          </cell>
          <cell r="S246">
            <v>161.19999999999999</v>
          </cell>
        </row>
        <row r="247">
          <cell r="A247">
            <v>41995</v>
          </cell>
          <cell r="S247">
            <v>161.19999999999999</v>
          </cell>
        </row>
        <row r="248">
          <cell r="A248">
            <v>42002</v>
          </cell>
          <cell r="S248">
            <v>177.3</v>
          </cell>
        </row>
        <row r="249">
          <cell r="A249">
            <v>42009</v>
          </cell>
          <cell r="S249">
            <v>237.05</v>
          </cell>
        </row>
        <row r="250">
          <cell r="A250">
            <v>42016</v>
          </cell>
          <cell r="S250">
            <v>110.75</v>
          </cell>
        </row>
        <row r="251">
          <cell r="A251">
            <v>42023</v>
          </cell>
          <cell r="S251">
            <v>70.5</v>
          </cell>
        </row>
        <row r="252">
          <cell r="A252">
            <v>42030</v>
          </cell>
          <cell r="S252">
            <v>92.75</v>
          </cell>
        </row>
        <row r="253">
          <cell r="A253">
            <v>42037</v>
          </cell>
          <cell r="S253">
            <v>45.1</v>
          </cell>
        </row>
        <row r="254">
          <cell r="A254">
            <v>42044</v>
          </cell>
          <cell r="S254">
            <v>95.1</v>
          </cell>
        </row>
        <row r="255">
          <cell r="A255">
            <v>42051</v>
          </cell>
          <cell r="S255">
            <v>95.1</v>
          </cell>
        </row>
        <row r="256">
          <cell r="A256">
            <v>42058</v>
          </cell>
          <cell r="S256">
            <v>223.9</v>
          </cell>
        </row>
        <row r="257">
          <cell r="A257">
            <v>42065</v>
          </cell>
          <cell r="S257">
            <v>255.45</v>
          </cell>
        </row>
        <row r="258">
          <cell r="A258">
            <v>42072</v>
          </cell>
          <cell r="S258">
            <v>231.3</v>
          </cell>
        </row>
        <row r="259">
          <cell r="A259">
            <v>42079</v>
          </cell>
          <cell r="S259">
            <v>192.25</v>
          </cell>
        </row>
        <row r="260">
          <cell r="A260">
            <v>42086</v>
          </cell>
          <cell r="S260">
            <v>176.15</v>
          </cell>
        </row>
        <row r="261">
          <cell r="A261">
            <v>42093</v>
          </cell>
          <cell r="S261">
            <v>162.44999999999999</v>
          </cell>
        </row>
        <row r="262">
          <cell r="A262">
            <v>42100</v>
          </cell>
          <cell r="S262">
            <v>114.15</v>
          </cell>
        </row>
        <row r="263">
          <cell r="A263">
            <v>42107</v>
          </cell>
          <cell r="S263">
            <v>85.55</v>
          </cell>
        </row>
        <row r="264">
          <cell r="A264">
            <v>42114</v>
          </cell>
          <cell r="S264">
            <v>45.3</v>
          </cell>
        </row>
        <row r="265">
          <cell r="A265">
            <v>42121</v>
          </cell>
          <cell r="S265">
            <v>109.7</v>
          </cell>
        </row>
        <row r="266">
          <cell r="A266">
            <v>42128</v>
          </cell>
          <cell r="S266">
            <v>137.44999999999999</v>
          </cell>
        </row>
        <row r="267">
          <cell r="A267">
            <v>42135</v>
          </cell>
          <cell r="S267">
            <v>124.25</v>
          </cell>
        </row>
        <row r="268">
          <cell r="A268">
            <v>42142</v>
          </cell>
          <cell r="S268">
            <v>59.85</v>
          </cell>
        </row>
        <row r="269">
          <cell r="A269">
            <v>42149</v>
          </cell>
          <cell r="S269">
            <v>-42.75</v>
          </cell>
        </row>
        <row r="270">
          <cell r="A270">
            <v>42156</v>
          </cell>
          <cell r="S270">
            <v>-36.75</v>
          </cell>
        </row>
        <row r="271">
          <cell r="A271">
            <v>42163</v>
          </cell>
          <cell r="S271">
            <v>13.05</v>
          </cell>
        </row>
        <row r="272">
          <cell r="A272">
            <v>42170</v>
          </cell>
          <cell r="S272">
            <v>-3.05</v>
          </cell>
        </row>
        <row r="273">
          <cell r="A273">
            <v>42177</v>
          </cell>
          <cell r="S273">
            <v>77.45</v>
          </cell>
        </row>
        <row r="274">
          <cell r="A274">
            <v>42184</v>
          </cell>
          <cell r="S274">
            <v>139.44999999999999</v>
          </cell>
        </row>
        <row r="275">
          <cell r="A275">
            <v>42191</v>
          </cell>
          <cell r="S275">
            <v>177.3</v>
          </cell>
        </row>
        <row r="276">
          <cell r="A276">
            <v>42198</v>
          </cell>
          <cell r="S276">
            <v>177.3</v>
          </cell>
        </row>
        <row r="277">
          <cell r="A277">
            <v>42205</v>
          </cell>
          <cell r="S277">
            <v>177.3</v>
          </cell>
        </row>
        <row r="278">
          <cell r="A278">
            <v>42212</v>
          </cell>
          <cell r="S278">
            <v>143.9</v>
          </cell>
        </row>
        <row r="279">
          <cell r="A279">
            <v>42219</v>
          </cell>
          <cell r="S279">
            <v>110.5</v>
          </cell>
        </row>
        <row r="280">
          <cell r="A280">
            <v>42226</v>
          </cell>
          <cell r="S280">
            <v>185.35</v>
          </cell>
        </row>
        <row r="281">
          <cell r="A281">
            <v>42233</v>
          </cell>
          <cell r="S281">
            <v>153.15</v>
          </cell>
        </row>
        <row r="282">
          <cell r="A282">
            <v>42240</v>
          </cell>
          <cell r="S282">
            <v>118.55</v>
          </cell>
        </row>
        <row r="283">
          <cell r="A283">
            <v>42247</v>
          </cell>
          <cell r="S283">
            <v>118.55</v>
          </cell>
        </row>
        <row r="284">
          <cell r="A284">
            <v>42254</v>
          </cell>
          <cell r="S284">
            <v>94.4</v>
          </cell>
        </row>
        <row r="285">
          <cell r="A285">
            <v>42261</v>
          </cell>
          <cell r="S285">
            <v>126.6</v>
          </cell>
        </row>
        <row r="286">
          <cell r="A286">
            <v>42268</v>
          </cell>
          <cell r="S286">
            <v>101.25</v>
          </cell>
        </row>
        <row r="287">
          <cell r="A287">
            <v>42275</v>
          </cell>
          <cell r="S287">
            <v>110.5</v>
          </cell>
        </row>
        <row r="288">
          <cell r="A288">
            <v>42282</v>
          </cell>
          <cell r="S288">
            <v>110.5</v>
          </cell>
        </row>
        <row r="289">
          <cell r="A289">
            <v>42289</v>
          </cell>
          <cell r="S289">
            <v>185.35</v>
          </cell>
        </row>
        <row r="290">
          <cell r="A290">
            <v>42296</v>
          </cell>
          <cell r="S290">
            <v>194.6</v>
          </cell>
        </row>
        <row r="291">
          <cell r="A291">
            <v>42303</v>
          </cell>
          <cell r="S291">
            <v>185.35</v>
          </cell>
        </row>
        <row r="292">
          <cell r="A292">
            <v>42310</v>
          </cell>
          <cell r="S292">
            <v>120.95</v>
          </cell>
        </row>
        <row r="293">
          <cell r="A293">
            <v>42317</v>
          </cell>
          <cell r="S293">
            <v>88.75</v>
          </cell>
        </row>
        <row r="294">
          <cell r="A294">
            <v>42324</v>
          </cell>
          <cell r="S294">
            <v>-1</v>
          </cell>
        </row>
        <row r="295">
          <cell r="A295">
            <v>42331</v>
          </cell>
          <cell r="S295">
            <v>111.85</v>
          </cell>
        </row>
        <row r="296">
          <cell r="A296">
            <v>42338</v>
          </cell>
          <cell r="S296">
            <v>146.44999999999999</v>
          </cell>
        </row>
        <row r="297">
          <cell r="A297">
            <v>42345</v>
          </cell>
          <cell r="S297">
            <v>113.05</v>
          </cell>
        </row>
        <row r="298">
          <cell r="A298">
            <v>42352</v>
          </cell>
          <cell r="S298">
            <v>105</v>
          </cell>
        </row>
        <row r="299">
          <cell r="A299">
            <v>42359</v>
          </cell>
          <cell r="S299">
            <v>114.25</v>
          </cell>
        </row>
        <row r="300">
          <cell r="A300">
            <v>42366</v>
          </cell>
          <cell r="S300">
            <v>114.25</v>
          </cell>
        </row>
        <row r="301">
          <cell r="A301">
            <v>42373</v>
          </cell>
          <cell r="S301">
            <v>88.4</v>
          </cell>
        </row>
        <row r="302">
          <cell r="A302">
            <v>42380</v>
          </cell>
          <cell r="S302">
            <v>71.099999999999994</v>
          </cell>
        </row>
        <row r="303">
          <cell r="A303">
            <v>42387</v>
          </cell>
          <cell r="S303">
            <v>131.1</v>
          </cell>
        </row>
        <row r="304">
          <cell r="A304">
            <v>42394</v>
          </cell>
          <cell r="S304">
            <v>128.19999999999999</v>
          </cell>
        </row>
        <row r="305">
          <cell r="A305">
            <v>42401</v>
          </cell>
          <cell r="S305">
            <v>128.19999999999999</v>
          </cell>
        </row>
        <row r="306">
          <cell r="A306">
            <v>42408</v>
          </cell>
        </row>
        <row r="307">
          <cell r="A307">
            <v>42415</v>
          </cell>
          <cell r="S307">
            <v>172.05</v>
          </cell>
        </row>
        <row r="308">
          <cell r="A308">
            <v>42422</v>
          </cell>
          <cell r="S308">
            <v>82.3</v>
          </cell>
        </row>
        <row r="309">
          <cell r="A309">
            <v>42429</v>
          </cell>
          <cell r="S309">
            <v>36.5</v>
          </cell>
        </row>
        <row r="310">
          <cell r="A310">
            <v>42436</v>
          </cell>
          <cell r="S310">
            <v>34</v>
          </cell>
        </row>
        <row r="311">
          <cell r="A311">
            <v>42443</v>
          </cell>
          <cell r="S311">
            <v>36.4</v>
          </cell>
        </row>
        <row r="312">
          <cell r="A312">
            <v>42450</v>
          </cell>
          <cell r="S312">
            <v>36.4</v>
          </cell>
        </row>
        <row r="313">
          <cell r="A313">
            <v>42457</v>
          </cell>
          <cell r="S313">
            <v>89.5</v>
          </cell>
        </row>
        <row r="314">
          <cell r="A314">
            <v>42464</v>
          </cell>
          <cell r="S314">
            <v>89.5</v>
          </cell>
        </row>
        <row r="315">
          <cell r="A315">
            <v>42471</v>
          </cell>
          <cell r="S315">
            <v>108</v>
          </cell>
        </row>
        <row r="316">
          <cell r="A316">
            <v>42478</v>
          </cell>
          <cell r="S316">
            <v>328.45</v>
          </cell>
        </row>
        <row r="317">
          <cell r="A317">
            <v>42485</v>
          </cell>
          <cell r="S317">
            <v>328.45</v>
          </cell>
        </row>
        <row r="318">
          <cell r="A318">
            <v>42492</v>
          </cell>
          <cell r="S318">
            <v>220.4</v>
          </cell>
        </row>
        <row r="319">
          <cell r="A319">
            <v>42499</v>
          </cell>
          <cell r="S319">
            <v>275.75</v>
          </cell>
        </row>
        <row r="320">
          <cell r="A320">
            <v>42506</v>
          </cell>
          <cell r="S320">
            <v>364.3</v>
          </cell>
        </row>
        <row r="321">
          <cell r="A321">
            <v>42513</v>
          </cell>
          <cell r="S321">
            <v>290.3</v>
          </cell>
        </row>
        <row r="322">
          <cell r="A322">
            <v>42520</v>
          </cell>
          <cell r="S322">
            <v>454.9</v>
          </cell>
        </row>
        <row r="323">
          <cell r="A323">
            <v>42527</v>
          </cell>
          <cell r="S323">
            <v>544.65</v>
          </cell>
        </row>
        <row r="324">
          <cell r="A324">
            <v>42534</v>
          </cell>
          <cell r="S324">
            <v>661.8</v>
          </cell>
        </row>
        <row r="325">
          <cell r="A325">
            <v>42541</v>
          </cell>
          <cell r="S325">
            <v>635.25</v>
          </cell>
        </row>
        <row r="326">
          <cell r="A326">
            <v>42548</v>
          </cell>
          <cell r="S326">
            <v>548.65</v>
          </cell>
        </row>
        <row r="327">
          <cell r="A327">
            <v>42555</v>
          </cell>
          <cell r="S327">
            <v>492.3</v>
          </cell>
        </row>
        <row r="328">
          <cell r="A328">
            <v>42562</v>
          </cell>
          <cell r="S328">
            <v>19.649999999999999</v>
          </cell>
        </row>
        <row r="329">
          <cell r="A329">
            <v>42569</v>
          </cell>
          <cell r="S329">
            <v>-126.45</v>
          </cell>
        </row>
        <row r="330">
          <cell r="A330">
            <v>42576</v>
          </cell>
          <cell r="S330">
            <v>-159.85</v>
          </cell>
        </row>
        <row r="331">
          <cell r="A331">
            <v>42583</v>
          </cell>
          <cell r="S331">
            <v>-231.1</v>
          </cell>
        </row>
        <row r="332">
          <cell r="A332">
            <v>42590</v>
          </cell>
          <cell r="S332">
            <v>-164.3</v>
          </cell>
        </row>
        <row r="333">
          <cell r="A333">
            <v>42597</v>
          </cell>
          <cell r="S333">
            <v>-112</v>
          </cell>
        </row>
        <row r="334">
          <cell r="A334">
            <v>42604</v>
          </cell>
          <cell r="S334">
            <v>-95.8</v>
          </cell>
        </row>
        <row r="335">
          <cell r="A335">
            <v>42611</v>
          </cell>
          <cell r="S335">
            <v>-119.95</v>
          </cell>
        </row>
        <row r="336">
          <cell r="A336">
            <v>42618</v>
          </cell>
          <cell r="S336">
            <v>-63</v>
          </cell>
        </row>
        <row r="337">
          <cell r="A337">
            <v>42625</v>
          </cell>
          <cell r="S337">
            <v>-63</v>
          </cell>
        </row>
        <row r="338">
          <cell r="A338">
            <v>42632</v>
          </cell>
          <cell r="S338">
            <v>-31</v>
          </cell>
        </row>
        <row r="339">
          <cell r="A339">
            <v>42639</v>
          </cell>
          <cell r="S339">
            <v>-11</v>
          </cell>
        </row>
        <row r="340">
          <cell r="A340">
            <v>42646</v>
          </cell>
          <cell r="S340">
            <v>-11</v>
          </cell>
        </row>
        <row r="341">
          <cell r="A341">
            <v>42653</v>
          </cell>
          <cell r="S341">
            <v>-2</v>
          </cell>
        </row>
        <row r="342">
          <cell r="A342">
            <v>42660</v>
          </cell>
          <cell r="S342">
            <v>16</v>
          </cell>
        </row>
        <row r="343">
          <cell r="A343">
            <v>42667</v>
          </cell>
          <cell r="S343">
            <v>88.95</v>
          </cell>
        </row>
        <row r="344">
          <cell r="A344">
            <v>42674</v>
          </cell>
          <cell r="S344">
            <v>35</v>
          </cell>
        </row>
        <row r="345">
          <cell r="A345">
            <v>42681</v>
          </cell>
          <cell r="S345">
            <v>82</v>
          </cell>
        </row>
        <row r="346">
          <cell r="A346">
            <v>42688</v>
          </cell>
          <cell r="S346">
            <v>82</v>
          </cell>
        </row>
        <row r="347">
          <cell r="A347">
            <v>42695</v>
          </cell>
          <cell r="S347">
            <v>238</v>
          </cell>
        </row>
        <row r="348">
          <cell r="A348">
            <v>42702</v>
          </cell>
          <cell r="S348">
            <v>301</v>
          </cell>
        </row>
        <row r="349">
          <cell r="A349">
            <v>42709</v>
          </cell>
          <cell r="S349">
            <v>239</v>
          </cell>
        </row>
        <row r="350">
          <cell r="A350">
            <v>42716</v>
          </cell>
          <cell r="S350">
            <v>494</v>
          </cell>
        </row>
        <row r="351">
          <cell r="A351">
            <v>42723</v>
          </cell>
          <cell r="S351">
            <v>378</v>
          </cell>
        </row>
        <row r="352">
          <cell r="A352">
            <v>42730</v>
          </cell>
          <cell r="S352">
            <v>339</v>
          </cell>
        </row>
        <row r="353">
          <cell r="A353">
            <v>42737</v>
          </cell>
          <cell r="S353">
            <v>339</v>
          </cell>
        </row>
        <row r="354">
          <cell r="A354">
            <v>42744</v>
          </cell>
          <cell r="S354">
            <v>339</v>
          </cell>
        </row>
        <row r="355">
          <cell r="A355">
            <v>42751</v>
          </cell>
          <cell r="S355">
            <v>240</v>
          </cell>
        </row>
        <row r="356">
          <cell r="A356">
            <v>42758</v>
          </cell>
          <cell r="S356">
            <v>240</v>
          </cell>
        </row>
        <row r="357">
          <cell r="A357">
            <v>42765</v>
          </cell>
          <cell r="S357">
            <v>240</v>
          </cell>
        </row>
        <row r="358">
          <cell r="A358">
            <v>42772</v>
          </cell>
          <cell r="S358">
            <v>209</v>
          </cell>
        </row>
        <row r="359">
          <cell r="A359">
            <v>42779</v>
          </cell>
          <cell r="S359">
            <v>200</v>
          </cell>
        </row>
        <row r="360">
          <cell r="A360">
            <v>42786</v>
          </cell>
          <cell r="S360">
            <v>200</v>
          </cell>
        </row>
        <row r="361">
          <cell r="A361">
            <v>42793</v>
          </cell>
          <cell r="S361">
            <v>131</v>
          </cell>
        </row>
        <row r="362">
          <cell r="A362">
            <v>42800</v>
          </cell>
          <cell r="S362">
            <v>85</v>
          </cell>
        </row>
        <row r="363">
          <cell r="A363">
            <v>42807</v>
          </cell>
          <cell r="S363">
            <v>0.45</v>
          </cell>
        </row>
        <row r="364">
          <cell r="A364">
            <v>42814</v>
          </cell>
          <cell r="S364">
            <v>0.45</v>
          </cell>
        </row>
        <row r="365">
          <cell r="A365">
            <v>42821</v>
          </cell>
          <cell r="S365">
            <v>-79</v>
          </cell>
        </row>
        <row r="366">
          <cell r="A366">
            <v>42828</v>
          </cell>
          <cell r="S366">
            <v>-75</v>
          </cell>
        </row>
        <row r="367">
          <cell r="A367">
            <v>42835</v>
          </cell>
          <cell r="S367">
            <v>-46</v>
          </cell>
        </row>
        <row r="368">
          <cell r="A368">
            <v>42842</v>
          </cell>
          <cell r="S368">
            <v>-46</v>
          </cell>
        </row>
        <row r="369">
          <cell r="A369">
            <v>42849</v>
          </cell>
          <cell r="S369">
            <v>-55</v>
          </cell>
        </row>
        <row r="370">
          <cell r="A370">
            <v>42856</v>
          </cell>
          <cell r="S370">
            <v>-24</v>
          </cell>
        </row>
        <row r="371">
          <cell r="A371">
            <v>42863</v>
          </cell>
          <cell r="S371">
            <v>-50</v>
          </cell>
        </row>
        <row r="372">
          <cell r="A372">
            <v>42870</v>
          </cell>
          <cell r="S372">
            <v>-161</v>
          </cell>
        </row>
        <row r="373">
          <cell r="A373">
            <v>42877</v>
          </cell>
          <cell r="S373">
            <v>-71</v>
          </cell>
        </row>
        <row r="374">
          <cell r="A374">
            <v>42884</v>
          </cell>
          <cell r="S374">
            <v>-161</v>
          </cell>
        </row>
        <row r="375">
          <cell r="A375">
            <v>42891</v>
          </cell>
          <cell r="S375">
            <v>-97</v>
          </cell>
        </row>
        <row r="376">
          <cell r="A376">
            <v>42898</v>
          </cell>
          <cell r="S376">
            <v>-136</v>
          </cell>
        </row>
        <row r="377">
          <cell r="A377">
            <v>42905</v>
          </cell>
          <cell r="S377">
            <v>-136</v>
          </cell>
        </row>
        <row r="378">
          <cell r="A378">
            <v>42912</v>
          </cell>
          <cell r="S378">
            <v>-117</v>
          </cell>
        </row>
        <row r="379">
          <cell r="A379">
            <v>42919</v>
          </cell>
          <cell r="S379">
            <v>27.6</v>
          </cell>
        </row>
        <row r="380">
          <cell r="A380">
            <v>42926</v>
          </cell>
          <cell r="S380">
            <v>29.85</v>
          </cell>
        </row>
        <row r="381">
          <cell r="A381">
            <v>42933</v>
          </cell>
          <cell r="S381">
            <v>58</v>
          </cell>
        </row>
        <row r="382">
          <cell r="A382">
            <v>42940</v>
          </cell>
          <cell r="S382">
            <v>74</v>
          </cell>
        </row>
        <row r="383">
          <cell r="A383">
            <v>42947</v>
          </cell>
          <cell r="S383">
            <v>15.5</v>
          </cell>
        </row>
        <row r="384">
          <cell r="A384">
            <v>42954</v>
          </cell>
          <cell r="S384">
            <v>101</v>
          </cell>
        </row>
        <row r="385">
          <cell r="A385">
            <v>42961</v>
          </cell>
          <cell r="S385">
            <v>94</v>
          </cell>
        </row>
        <row r="386">
          <cell r="A386">
            <v>42968</v>
          </cell>
          <cell r="S386">
            <v>141</v>
          </cell>
        </row>
        <row r="387">
          <cell r="A387">
            <v>42975</v>
          </cell>
          <cell r="S387">
            <v>132</v>
          </cell>
        </row>
        <row r="388">
          <cell r="A388">
            <v>42982</v>
          </cell>
          <cell r="S388">
            <v>206</v>
          </cell>
        </row>
        <row r="389">
          <cell r="A389">
            <v>42989</v>
          </cell>
          <cell r="S389">
            <v>171</v>
          </cell>
        </row>
        <row r="390">
          <cell r="A390">
            <v>42996</v>
          </cell>
          <cell r="S390">
            <v>233</v>
          </cell>
        </row>
        <row r="391">
          <cell r="A391">
            <v>43003</v>
          </cell>
          <cell r="S391">
            <v>253</v>
          </cell>
        </row>
        <row r="392">
          <cell r="A392">
            <v>43010</v>
          </cell>
        </row>
        <row r="393">
          <cell r="A393">
            <v>43017</v>
          </cell>
          <cell r="S393">
            <v>333</v>
          </cell>
        </row>
        <row r="394">
          <cell r="A394">
            <v>43024</v>
          </cell>
          <cell r="S394">
            <v>303</v>
          </cell>
        </row>
        <row r="395">
          <cell r="A395">
            <v>43031</v>
          </cell>
          <cell r="S395">
            <v>229</v>
          </cell>
        </row>
        <row r="396">
          <cell r="A396">
            <v>43038</v>
          </cell>
          <cell r="S396">
            <v>229</v>
          </cell>
        </row>
        <row r="397">
          <cell r="A397">
            <v>43045</v>
          </cell>
          <cell r="S397">
            <v>219</v>
          </cell>
        </row>
        <row r="398">
          <cell r="A398">
            <v>43052</v>
          </cell>
          <cell r="S398">
            <v>210</v>
          </cell>
        </row>
        <row r="399">
          <cell r="A399">
            <v>43059</v>
          </cell>
          <cell r="S399">
            <v>211</v>
          </cell>
        </row>
        <row r="400">
          <cell r="A400">
            <v>43066</v>
          </cell>
          <cell r="S400">
            <v>146</v>
          </cell>
        </row>
        <row r="401">
          <cell r="A401">
            <v>43073</v>
          </cell>
          <cell r="S401">
            <v>209</v>
          </cell>
        </row>
        <row r="402">
          <cell r="A402">
            <v>43080</v>
          </cell>
          <cell r="S402">
            <v>142</v>
          </cell>
        </row>
        <row r="403">
          <cell r="A403">
            <v>43087</v>
          </cell>
          <cell r="S403">
            <v>129</v>
          </cell>
        </row>
        <row r="404">
          <cell r="A404">
            <v>43094</v>
          </cell>
          <cell r="S404">
            <v>113</v>
          </cell>
        </row>
        <row r="405">
          <cell r="A405">
            <v>43101</v>
          </cell>
          <cell r="S405">
            <v>132</v>
          </cell>
        </row>
        <row r="406">
          <cell r="A406">
            <v>43108</v>
          </cell>
          <cell r="S406">
            <v>132</v>
          </cell>
        </row>
        <row r="407">
          <cell r="A407">
            <v>43115</v>
          </cell>
          <cell r="S407">
            <v>166</v>
          </cell>
        </row>
        <row r="408">
          <cell r="A408">
            <v>43122</v>
          </cell>
          <cell r="S408">
            <v>166</v>
          </cell>
        </row>
        <row r="409">
          <cell r="A409">
            <v>43129</v>
          </cell>
          <cell r="S409">
            <v>166</v>
          </cell>
        </row>
        <row r="410">
          <cell r="A410">
            <v>43136</v>
          </cell>
          <cell r="S410">
            <v>92</v>
          </cell>
        </row>
        <row r="411">
          <cell r="A411">
            <v>43143</v>
          </cell>
          <cell r="S411">
            <v>92</v>
          </cell>
        </row>
        <row r="412">
          <cell r="A412">
            <v>43150</v>
          </cell>
          <cell r="S412">
            <v>287</v>
          </cell>
        </row>
        <row r="413">
          <cell r="A413">
            <v>43157</v>
          </cell>
          <cell r="S413">
            <v>344</v>
          </cell>
        </row>
        <row r="414">
          <cell r="A414">
            <v>43164</v>
          </cell>
          <cell r="S414">
            <v>344</v>
          </cell>
        </row>
        <row r="415">
          <cell r="A415">
            <v>43171</v>
          </cell>
          <cell r="S415">
            <v>276</v>
          </cell>
        </row>
        <row r="416">
          <cell r="A416">
            <v>43178</v>
          </cell>
          <cell r="S416">
            <v>276</v>
          </cell>
        </row>
        <row r="417">
          <cell r="A417">
            <v>43185</v>
          </cell>
          <cell r="S417">
            <v>276</v>
          </cell>
        </row>
        <row r="418">
          <cell r="A418">
            <v>43192</v>
          </cell>
          <cell r="S418">
            <v>333</v>
          </cell>
        </row>
        <row r="419">
          <cell r="A419">
            <v>43199</v>
          </cell>
          <cell r="S419">
            <v>266</v>
          </cell>
        </row>
        <row r="420">
          <cell r="A420">
            <v>43206</v>
          </cell>
          <cell r="S420">
            <v>207</v>
          </cell>
        </row>
        <row r="421">
          <cell r="A421">
            <v>43213</v>
          </cell>
          <cell r="S421">
            <v>167</v>
          </cell>
        </row>
        <row r="422">
          <cell r="A422">
            <v>43220</v>
          </cell>
          <cell r="S422">
            <v>201</v>
          </cell>
        </row>
        <row r="423">
          <cell r="A423">
            <v>43227</v>
          </cell>
          <cell r="S423">
            <v>106</v>
          </cell>
        </row>
        <row r="424">
          <cell r="A424">
            <v>43234</v>
          </cell>
          <cell r="S424">
            <v>-8</v>
          </cell>
        </row>
        <row r="425">
          <cell r="A425">
            <v>43241</v>
          </cell>
          <cell r="S425">
            <v>92</v>
          </cell>
        </row>
        <row r="426">
          <cell r="A426">
            <v>43248</v>
          </cell>
          <cell r="S426">
            <v>83</v>
          </cell>
        </row>
        <row r="427">
          <cell r="A427">
            <v>43255</v>
          </cell>
          <cell r="S427">
            <v>-53</v>
          </cell>
        </row>
        <row r="428">
          <cell r="A428">
            <v>43262</v>
          </cell>
          <cell r="S428">
            <v>-63</v>
          </cell>
        </row>
        <row r="429">
          <cell r="A429">
            <v>43269</v>
          </cell>
          <cell r="S429">
            <v>95</v>
          </cell>
        </row>
        <row r="430">
          <cell r="A430">
            <v>43276</v>
          </cell>
          <cell r="S430">
            <v>128</v>
          </cell>
        </row>
        <row r="431">
          <cell r="A431">
            <v>43283</v>
          </cell>
          <cell r="S431">
            <v>128</v>
          </cell>
        </row>
        <row r="432">
          <cell r="A432">
            <v>43290</v>
          </cell>
          <cell r="S432">
            <v>140</v>
          </cell>
        </row>
        <row r="433">
          <cell r="A433">
            <v>43297</v>
          </cell>
          <cell r="S433">
            <v>140</v>
          </cell>
        </row>
        <row r="434">
          <cell r="A434">
            <v>43304</v>
          </cell>
          <cell r="S434">
            <v>99</v>
          </cell>
        </row>
        <row r="435">
          <cell r="A435">
            <v>43311</v>
          </cell>
          <cell r="S435">
            <v>69</v>
          </cell>
        </row>
        <row r="436">
          <cell r="A436">
            <v>43318</v>
          </cell>
          <cell r="S436">
            <v>158</v>
          </cell>
        </row>
        <row r="437">
          <cell r="A437">
            <v>43325</v>
          </cell>
          <cell r="S437">
            <v>148</v>
          </cell>
        </row>
        <row r="438">
          <cell r="A438">
            <v>43332</v>
          </cell>
          <cell r="S438">
            <v>78</v>
          </cell>
        </row>
        <row r="439">
          <cell r="A439">
            <v>43339</v>
          </cell>
          <cell r="S439">
            <v>117</v>
          </cell>
        </row>
        <row r="440">
          <cell r="A440">
            <v>43346</v>
          </cell>
          <cell r="S440">
            <v>136</v>
          </cell>
        </row>
        <row r="441">
          <cell r="A441">
            <v>43353</v>
          </cell>
          <cell r="S441">
            <v>157</v>
          </cell>
        </row>
        <row r="442">
          <cell r="A442">
            <v>43360</v>
          </cell>
          <cell r="S442">
            <v>157</v>
          </cell>
        </row>
        <row r="443">
          <cell r="A443">
            <v>43367</v>
          </cell>
          <cell r="S443">
            <v>375</v>
          </cell>
        </row>
        <row r="444">
          <cell r="A444">
            <v>43374</v>
          </cell>
        </row>
        <row r="445">
          <cell r="A445">
            <v>43381</v>
          </cell>
          <cell r="S445">
            <v>364</v>
          </cell>
        </row>
        <row r="446">
          <cell r="A446">
            <v>43388</v>
          </cell>
          <cell r="S446">
            <v>364</v>
          </cell>
        </row>
        <row r="447">
          <cell r="A447">
            <v>43395</v>
          </cell>
          <cell r="S447">
            <v>354</v>
          </cell>
        </row>
        <row r="448">
          <cell r="A448">
            <v>43402</v>
          </cell>
          <cell r="S448">
            <v>124</v>
          </cell>
        </row>
        <row r="449">
          <cell r="A449">
            <v>43409</v>
          </cell>
          <cell r="S449">
            <v>49</v>
          </cell>
        </row>
        <row r="450">
          <cell r="A450">
            <v>43416</v>
          </cell>
          <cell r="S450">
            <v>1.25</v>
          </cell>
        </row>
        <row r="451">
          <cell r="A451">
            <v>43423</v>
          </cell>
          <cell r="S451">
            <v>10</v>
          </cell>
        </row>
        <row r="452">
          <cell r="A452">
            <v>43430</v>
          </cell>
          <cell r="S452">
            <v>-29</v>
          </cell>
        </row>
        <row r="453">
          <cell r="A453">
            <v>43437</v>
          </cell>
          <cell r="S453">
            <v>-29</v>
          </cell>
        </row>
        <row r="454">
          <cell r="A454">
            <v>43444</v>
          </cell>
          <cell r="S454">
            <v>-296</v>
          </cell>
        </row>
        <row r="455">
          <cell r="A455">
            <v>43451</v>
          </cell>
          <cell r="S455">
            <v>-401</v>
          </cell>
        </row>
        <row r="456">
          <cell r="A456">
            <v>43458</v>
          </cell>
          <cell r="S456">
            <v>-450</v>
          </cell>
        </row>
        <row r="457">
          <cell r="A457">
            <v>43465</v>
          </cell>
          <cell r="S457">
            <v>-415</v>
          </cell>
        </row>
        <row r="458">
          <cell r="A458">
            <v>43472</v>
          </cell>
          <cell r="S458">
            <v>-417</v>
          </cell>
        </row>
        <row r="459">
          <cell r="A459">
            <v>43479</v>
          </cell>
          <cell r="S459">
            <v>-207</v>
          </cell>
        </row>
        <row r="460">
          <cell r="A460">
            <v>43486</v>
          </cell>
          <cell r="S460">
            <v>-150</v>
          </cell>
        </row>
        <row r="461">
          <cell r="A461">
            <v>43493</v>
          </cell>
          <cell r="S461">
            <v>-180</v>
          </cell>
        </row>
        <row r="462">
          <cell r="A462">
            <v>43500</v>
          </cell>
        </row>
        <row r="463">
          <cell r="A463">
            <v>43507</v>
          </cell>
          <cell r="S463">
            <v>-220</v>
          </cell>
        </row>
        <row r="464">
          <cell r="A464">
            <v>43514</v>
          </cell>
          <cell r="S464">
            <v>-250</v>
          </cell>
        </row>
        <row r="465">
          <cell r="A465">
            <v>43521</v>
          </cell>
          <cell r="S465">
            <v>-190</v>
          </cell>
        </row>
        <row r="466">
          <cell r="A466">
            <v>43528</v>
          </cell>
          <cell r="S466">
            <v>-201</v>
          </cell>
        </row>
        <row r="467">
          <cell r="A467">
            <v>43535</v>
          </cell>
          <cell r="S467">
            <v>-171</v>
          </cell>
        </row>
        <row r="468">
          <cell r="A468">
            <v>43542</v>
          </cell>
          <cell r="S468">
            <v>-215</v>
          </cell>
        </row>
        <row r="469">
          <cell r="A469">
            <v>43549</v>
          </cell>
          <cell r="S469">
            <v>-215</v>
          </cell>
        </row>
        <row r="470">
          <cell r="A470">
            <v>43556</v>
          </cell>
          <cell r="S470">
            <v>-276</v>
          </cell>
        </row>
        <row r="471">
          <cell r="A471">
            <v>43563</v>
          </cell>
          <cell r="S471">
            <v>-186</v>
          </cell>
        </row>
        <row r="472">
          <cell r="A472">
            <v>43570</v>
          </cell>
          <cell r="S472">
            <v>-186</v>
          </cell>
        </row>
        <row r="473">
          <cell r="A473">
            <v>43577</v>
          </cell>
          <cell r="S473">
            <v>-181</v>
          </cell>
        </row>
        <row r="474">
          <cell r="A474">
            <v>43584</v>
          </cell>
          <cell r="S474">
            <v>-181</v>
          </cell>
        </row>
        <row r="475">
          <cell r="A475">
            <v>43591</v>
          </cell>
          <cell r="S475">
            <v>-125</v>
          </cell>
        </row>
        <row r="476">
          <cell r="A476">
            <v>43598</v>
          </cell>
          <cell r="S476">
            <v>33</v>
          </cell>
        </row>
        <row r="477">
          <cell r="A477">
            <v>43605</v>
          </cell>
          <cell r="S477">
            <v>42</v>
          </cell>
        </row>
        <row r="478">
          <cell r="A478">
            <v>43612</v>
          </cell>
          <cell r="S478">
            <v>209</v>
          </cell>
        </row>
        <row r="479">
          <cell r="A479">
            <v>43619</v>
          </cell>
          <cell r="S479">
            <v>181</v>
          </cell>
        </row>
        <row r="480">
          <cell r="A480">
            <v>43626</v>
          </cell>
          <cell r="S480">
            <v>181</v>
          </cell>
        </row>
        <row r="481">
          <cell r="A481">
            <v>43633</v>
          </cell>
          <cell r="S481">
            <v>88</v>
          </cell>
        </row>
        <row r="482">
          <cell r="A482">
            <v>43640</v>
          </cell>
          <cell r="S482">
            <v>88</v>
          </cell>
        </row>
        <row r="483">
          <cell r="A483">
            <v>43647</v>
          </cell>
          <cell r="S483">
            <v>88</v>
          </cell>
        </row>
        <row r="484">
          <cell r="A484">
            <v>43654</v>
          </cell>
          <cell r="S484">
            <v>-85</v>
          </cell>
        </row>
        <row r="485">
          <cell r="A485">
            <v>43661</v>
          </cell>
          <cell r="S485">
            <v>-5</v>
          </cell>
        </row>
        <row r="486">
          <cell r="A486">
            <v>43668</v>
          </cell>
          <cell r="S486">
            <v>-61</v>
          </cell>
        </row>
        <row r="487">
          <cell r="A487">
            <v>43675</v>
          </cell>
          <cell r="S487">
            <v>-21</v>
          </cell>
        </row>
        <row r="488">
          <cell r="A488">
            <v>43682</v>
          </cell>
          <cell r="S488">
            <v>65.95</v>
          </cell>
        </row>
        <row r="489">
          <cell r="A489">
            <v>43689</v>
          </cell>
          <cell r="S489">
            <v>155.25</v>
          </cell>
        </row>
        <row r="490">
          <cell r="A490">
            <v>43696</v>
          </cell>
          <cell r="S490">
            <v>191.2</v>
          </cell>
        </row>
        <row r="491">
          <cell r="A491">
            <v>43703</v>
          </cell>
          <cell r="S491">
            <v>265</v>
          </cell>
        </row>
        <row r="492">
          <cell r="A492">
            <v>43710</v>
          </cell>
          <cell r="D492">
            <v>1.9004000000000001</v>
          </cell>
          <cell r="H492">
            <v>6.4229999999999992</v>
          </cell>
          <cell r="S492">
            <v>255.5</v>
          </cell>
        </row>
        <row r="493">
          <cell r="A493">
            <v>43717</v>
          </cell>
          <cell r="D493">
            <v>1.81315</v>
          </cell>
          <cell r="H493">
            <v>6.5739999999999998</v>
          </cell>
          <cell r="S493">
            <v>233.9</v>
          </cell>
        </row>
        <row r="494">
          <cell r="A494">
            <v>43724</v>
          </cell>
          <cell r="D494">
            <v>1.7997000000000001</v>
          </cell>
          <cell r="H494">
            <v>6.5250000000000004</v>
          </cell>
          <cell r="S494">
            <v>219.55</v>
          </cell>
        </row>
        <row r="495">
          <cell r="A495">
            <v>43731</v>
          </cell>
          <cell r="D495">
            <v>1.829</v>
          </cell>
          <cell r="H495">
            <v>5.8339999999999996</v>
          </cell>
          <cell r="S495">
            <v>9.5500000000000007</v>
          </cell>
        </row>
        <row r="496">
          <cell r="A496">
            <v>43738</v>
          </cell>
          <cell r="D496">
            <v>1.81515</v>
          </cell>
          <cell r="H496">
            <v>5.226</v>
          </cell>
          <cell r="S496">
            <v>-52.35</v>
          </cell>
        </row>
        <row r="497">
          <cell r="A497">
            <v>43745</v>
          </cell>
          <cell r="S497">
            <v>31.45</v>
          </cell>
        </row>
        <row r="498">
          <cell r="A498">
            <v>43752</v>
          </cell>
          <cell r="D498">
            <v>1.1556999999999999</v>
          </cell>
          <cell r="F498">
            <v>219.583</v>
          </cell>
          <cell r="H498">
            <v>5.2720000000000002</v>
          </cell>
          <cell r="S498">
            <v>91.15</v>
          </cell>
        </row>
        <row r="499">
          <cell r="A499">
            <v>43759</v>
          </cell>
          <cell r="D499">
            <v>1.7278</v>
          </cell>
          <cell r="F499">
            <v>328.28199999999998</v>
          </cell>
          <cell r="H499">
            <v>5.0489999999999995</v>
          </cell>
          <cell r="S499">
            <v>164.75</v>
          </cell>
        </row>
        <row r="500">
          <cell r="A500">
            <v>43766</v>
          </cell>
          <cell r="D500">
            <v>1.7499499999999999</v>
          </cell>
          <cell r="F500">
            <v>332.49</v>
          </cell>
          <cell r="H500">
            <v>4.6260000000000003</v>
          </cell>
          <cell r="S500">
            <v>164.9</v>
          </cell>
        </row>
        <row r="501">
          <cell r="A501">
            <v>43773</v>
          </cell>
          <cell r="D501">
            <v>1.5544500000000001</v>
          </cell>
          <cell r="F501">
            <v>295.34500000000003</v>
          </cell>
          <cell r="H501">
            <v>4.3739999999999997</v>
          </cell>
          <cell r="S501">
            <v>269.10000000000002</v>
          </cell>
        </row>
        <row r="502">
          <cell r="A502">
            <v>43780</v>
          </cell>
          <cell r="D502">
            <v>1.54745</v>
          </cell>
          <cell r="F502">
            <v>294.01499999999999</v>
          </cell>
          <cell r="H502">
            <v>4.532</v>
          </cell>
          <cell r="S502">
            <v>248.7</v>
          </cell>
        </row>
        <row r="503">
          <cell r="A503">
            <v>43787</v>
          </cell>
          <cell r="D503">
            <v>1.6351</v>
          </cell>
          <cell r="F503">
            <v>294.01499999999999</v>
          </cell>
          <cell r="H503">
            <v>4.4910000000000005</v>
          </cell>
          <cell r="S503">
            <v>233.85</v>
          </cell>
        </row>
        <row r="504">
          <cell r="A504">
            <v>43794</v>
          </cell>
          <cell r="D504">
            <v>1.7706999999999999</v>
          </cell>
          <cell r="F504">
            <v>336.43299999999999</v>
          </cell>
          <cell r="H504">
            <v>4.4050000000000002</v>
          </cell>
          <cell r="S504">
            <v>214.85</v>
          </cell>
        </row>
        <row r="505">
          <cell r="A505">
            <v>43801</v>
          </cell>
          <cell r="D505">
            <v>1.77535</v>
          </cell>
          <cell r="F505">
            <v>337.31599999999997</v>
          </cell>
          <cell r="H505">
            <v>4.3469999999999995</v>
          </cell>
          <cell r="S505">
            <v>174.3</v>
          </cell>
        </row>
        <row r="506">
          <cell r="A506">
            <v>43808</v>
          </cell>
          <cell r="D506">
            <v>1.6526000000000001</v>
          </cell>
          <cell r="F506">
            <v>313.99400000000003</v>
          </cell>
          <cell r="H506">
            <v>4.6930000000000005</v>
          </cell>
          <cell r="S506">
            <v>122.6</v>
          </cell>
        </row>
        <row r="507">
          <cell r="A507">
            <v>43815</v>
          </cell>
          <cell r="D507">
            <v>1.667</v>
          </cell>
          <cell r="F507">
            <v>316.73</v>
          </cell>
          <cell r="H507">
            <v>4.7439999999999998</v>
          </cell>
          <cell r="S507">
            <v>90.1</v>
          </cell>
        </row>
        <row r="508">
          <cell r="A508">
            <v>43822</v>
          </cell>
          <cell r="D508">
            <v>1.9987999999999999</v>
          </cell>
          <cell r="F508">
            <v>352.73500000000001</v>
          </cell>
          <cell r="H508">
            <v>5.1679999999999993</v>
          </cell>
          <cell r="S508">
            <v>110.35</v>
          </cell>
        </row>
        <row r="509">
          <cell r="A509">
            <v>43829</v>
          </cell>
          <cell r="D509">
            <v>1.9987999999999999</v>
          </cell>
          <cell r="F509">
            <v>379.77199999999999</v>
          </cell>
          <cell r="H509">
            <v>4.7439999999999998</v>
          </cell>
          <cell r="S509">
            <v>178.55</v>
          </cell>
        </row>
        <row r="510">
          <cell r="A510">
            <v>43836</v>
          </cell>
          <cell r="D510">
            <v>2.0585986668746146</v>
          </cell>
          <cell r="F510">
            <v>391.13374670617679</v>
          </cell>
          <cell r="H510">
            <v>5.5712000000000002</v>
          </cell>
          <cell r="S510">
            <v>188.45</v>
          </cell>
        </row>
        <row r="511">
          <cell r="A511">
            <v>43843</v>
          </cell>
          <cell r="D511">
            <v>2.0400999999999998</v>
          </cell>
          <cell r="F511">
            <v>387.61900000000003</v>
          </cell>
          <cell r="H511">
            <v>5.3812999999999995</v>
          </cell>
          <cell r="S511">
            <v>140.94999999999999</v>
          </cell>
        </row>
        <row r="512">
          <cell r="A512">
            <v>43850</v>
          </cell>
          <cell r="D512">
            <v>2.0017</v>
          </cell>
          <cell r="F512">
            <v>380.32299999999998</v>
          </cell>
          <cell r="H512">
            <v>5.2003999999999992</v>
          </cell>
          <cell r="S512">
            <v>120.05</v>
          </cell>
        </row>
        <row r="513">
          <cell r="A513">
            <v>43857</v>
          </cell>
          <cell r="D513">
            <v>0.94199999999999995</v>
          </cell>
          <cell r="F513">
            <v>178.98</v>
          </cell>
        </row>
        <row r="514">
          <cell r="A514">
            <v>43864</v>
          </cell>
          <cell r="D514">
            <v>5.2699999999999997E-2</v>
          </cell>
          <cell r="F514">
            <v>10.013</v>
          </cell>
          <cell r="S514">
            <v>106.7</v>
          </cell>
        </row>
        <row r="515">
          <cell r="A515">
            <v>43871</v>
          </cell>
          <cell r="D515">
            <v>0.78749999999999998</v>
          </cell>
          <cell r="F515">
            <v>149.625</v>
          </cell>
          <cell r="H515">
            <v>6.1738999999999997</v>
          </cell>
          <cell r="S515">
            <v>51.6</v>
          </cell>
        </row>
        <row r="516">
          <cell r="A516">
            <v>43878</v>
          </cell>
          <cell r="D516">
            <v>1.5755999999999999</v>
          </cell>
          <cell r="F516">
            <v>299.36399999999998</v>
          </cell>
          <cell r="H516">
            <v>6.3426999999999998</v>
          </cell>
          <cell r="S516">
            <v>128.30000000000001</v>
          </cell>
        </row>
        <row r="517">
          <cell r="A517">
            <v>43885</v>
          </cell>
          <cell r="D517">
            <v>1.8088</v>
          </cell>
          <cell r="F517">
            <v>343.67200000000003</v>
          </cell>
          <cell r="H517">
            <v>5.6715</v>
          </cell>
          <cell r="S517">
            <v>96</v>
          </cell>
        </row>
        <row r="518">
          <cell r="A518">
            <v>43892</v>
          </cell>
          <cell r="D518">
            <v>1.9272</v>
          </cell>
          <cell r="F518">
            <v>366.16800000000001</v>
          </cell>
          <cell r="H518">
            <v>4.9161999999999999</v>
          </cell>
          <cell r="S518">
            <v>123.95</v>
          </cell>
        </row>
        <row r="519">
          <cell r="A519">
            <v>43899</v>
          </cell>
          <cell r="D519">
            <v>1.6593</v>
          </cell>
          <cell r="F519">
            <v>315.267</v>
          </cell>
          <cell r="H519">
            <v>3.9169</v>
          </cell>
          <cell r="S519">
            <v>104.7</v>
          </cell>
        </row>
        <row r="520">
          <cell r="A520">
            <v>43906</v>
          </cell>
          <cell r="D520">
            <v>1.4711000000000001</v>
          </cell>
          <cell r="F520">
            <v>279.50900000000001</v>
          </cell>
          <cell r="H520">
            <v>3.3689</v>
          </cell>
          <cell r="S520">
            <v>176.4</v>
          </cell>
        </row>
        <row r="521">
          <cell r="A521">
            <v>43913</v>
          </cell>
          <cell r="D521">
            <v>1.4761</v>
          </cell>
          <cell r="F521">
            <v>263.45400000000001</v>
          </cell>
          <cell r="H521">
            <v>3.5470999999999999</v>
          </cell>
          <cell r="S521">
            <v>374.15</v>
          </cell>
        </row>
        <row r="522">
          <cell r="A522">
            <v>43920</v>
          </cell>
          <cell r="D522">
            <v>1.4383999999999999</v>
          </cell>
          <cell r="F522">
            <v>273.29599999999999</v>
          </cell>
          <cell r="H522">
            <v>3.4898000000000002</v>
          </cell>
          <cell r="S522">
            <v>414.7</v>
          </cell>
        </row>
        <row r="523">
          <cell r="A523">
            <v>43927</v>
          </cell>
          <cell r="D523">
            <v>1.3566</v>
          </cell>
          <cell r="F523">
            <v>257.75400000000002</v>
          </cell>
          <cell r="H523">
            <v>3.6738999999999997</v>
          </cell>
          <cell r="S523">
            <v>425.75</v>
          </cell>
        </row>
        <row r="524">
          <cell r="A524">
            <v>43934</v>
          </cell>
          <cell r="D524">
            <v>1.5824</v>
          </cell>
          <cell r="F524">
            <v>300.65600000000001</v>
          </cell>
          <cell r="H524">
            <v>3.4074</v>
          </cell>
          <cell r="S524">
            <v>364.4</v>
          </cell>
        </row>
        <row r="525">
          <cell r="A525">
            <v>43941</v>
          </cell>
          <cell r="D525">
            <v>1.6749000000000001</v>
          </cell>
          <cell r="F525">
            <v>318.23099999999999</v>
          </cell>
          <cell r="H525">
            <v>3.7673000000000001</v>
          </cell>
          <cell r="S525">
            <v>325.85000000000002</v>
          </cell>
        </row>
        <row r="526">
          <cell r="A526">
            <v>43948</v>
          </cell>
          <cell r="D526">
            <v>1.7769999999999999</v>
          </cell>
          <cell r="F526">
            <v>337.63</v>
          </cell>
          <cell r="H526">
            <v>4.2625000000000002</v>
          </cell>
          <cell r="S526">
            <v>278.5</v>
          </cell>
        </row>
        <row r="527">
          <cell r="A527">
            <v>43955</v>
          </cell>
          <cell r="D527">
            <v>1.7495000000000001</v>
          </cell>
          <cell r="F527">
            <v>332.40499999999997</v>
          </cell>
          <cell r="H527">
            <v>4.3416000000000006</v>
          </cell>
          <cell r="S527">
            <v>155.4</v>
          </cell>
        </row>
        <row r="528">
          <cell r="A528">
            <v>43962</v>
          </cell>
          <cell r="D528">
            <v>1.9121999999999999</v>
          </cell>
          <cell r="F528">
            <v>363.31799999999998</v>
          </cell>
          <cell r="H528">
            <v>5.2992999999999997</v>
          </cell>
          <cell r="S528">
            <v>101.95</v>
          </cell>
        </row>
        <row r="529">
          <cell r="A529">
            <v>43969</v>
          </cell>
          <cell r="D529">
            <v>2.0975000000000001</v>
          </cell>
          <cell r="F529">
            <v>398.52499999999998</v>
          </cell>
          <cell r="H529">
            <v>5.8888999999999996</v>
          </cell>
          <cell r="S529">
            <v>68.599999999999994</v>
          </cell>
        </row>
        <row r="530">
          <cell r="A530">
            <v>43976</v>
          </cell>
          <cell r="D530">
            <v>2.0661</v>
          </cell>
          <cell r="F530">
            <v>392.55900000000003</v>
          </cell>
          <cell r="H530">
            <v>6.0004</v>
          </cell>
          <cell r="S530">
            <v>194.95</v>
          </cell>
        </row>
        <row r="531">
          <cell r="A531">
            <v>43983</v>
          </cell>
          <cell r="D531">
            <v>1.9155500000000001</v>
          </cell>
          <cell r="F531">
            <v>363.95499999999998</v>
          </cell>
          <cell r="H531">
            <v>6.2752999999999997</v>
          </cell>
          <cell r="S531">
            <v>209.8</v>
          </cell>
        </row>
        <row r="532">
          <cell r="A532">
            <v>43990</v>
          </cell>
          <cell r="D532">
            <v>2.052</v>
          </cell>
          <cell r="F532">
            <v>389.88</v>
          </cell>
          <cell r="H532">
            <v>6.5129999999999999</v>
          </cell>
          <cell r="S532">
            <v>150.1</v>
          </cell>
        </row>
        <row r="533">
          <cell r="A533">
            <v>43997</v>
          </cell>
          <cell r="D533">
            <v>2.1381999999999999</v>
          </cell>
          <cell r="F533">
            <v>406.25799999999998</v>
          </cell>
          <cell r="H533">
            <v>6.5625</v>
          </cell>
          <cell r="S533">
            <v>165.3</v>
          </cell>
        </row>
        <row r="534">
          <cell r="A534">
            <v>44004</v>
          </cell>
          <cell r="D534">
            <v>2.0310000000000001</v>
          </cell>
          <cell r="F534">
            <v>385.89</v>
          </cell>
          <cell r="H534">
            <v>7.2134999999999998</v>
          </cell>
          <cell r="S534">
            <v>179.3</v>
          </cell>
        </row>
        <row r="535">
          <cell r="A535">
            <v>44011</v>
          </cell>
          <cell r="D535">
            <v>2.0427</v>
          </cell>
          <cell r="F535">
            <v>388.113</v>
          </cell>
          <cell r="H535">
            <v>7.1577000000000002</v>
          </cell>
          <cell r="S535">
            <v>248.6</v>
          </cell>
        </row>
        <row r="536">
          <cell r="A536">
            <v>44018</v>
          </cell>
          <cell r="D536">
            <v>1.9996</v>
          </cell>
          <cell r="F536">
            <v>379.92399999999998</v>
          </cell>
          <cell r="H536">
            <v>7.1825000000000001</v>
          </cell>
          <cell r="S536">
            <v>276.25</v>
          </cell>
        </row>
        <row r="537">
          <cell r="A537">
            <v>44025</v>
          </cell>
          <cell r="D537">
            <v>2.0634999999999999</v>
          </cell>
          <cell r="F537">
            <v>392.065</v>
          </cell>
          <cell r="H537">
            <v>7.3902000000000001</v>
          </cell>
          <cell r="S537">
            <v>243.6</v>
          </cell>
        </row>
        <row r="538">
          <cell r="A538">
            <v>44032</v>
          </cell>
          <cell r="D538">
            <v>1.9553</v>
          </cell>
          <cell r="F538">
            <v>371.50700000000001</v>
          </cell>
          <cell r="H538">
            <v>7.0091000000000001</v>
          </cell>
          <cell r="S538">
            <v>370.25</v>
          </cell>
        </row>
        <row r="539">
          <cell r="A539">
            <v>44039</v>
          </cell>
          <cell r="D539">
            <v>1.98</v>
          </cell>
          <cell r="F539">
            <v>376.2</v>
          </cell>
          <cell r="H539">
            <v>7.2481000000000009</v>
          </cell>
          <cell r="S539" t="e">
            <v>#NAME?</v>
          </cell>
        </row>
        <row r="540">
          <cell r="A540">
            <v>44046</v>
          </cell>
          <cell r="D540">
            <v>2.0444</v>
          </cell>
          <cell r="F540">
            <v>388.43599999999998</v>
          </cell>
          <cell r="H540">
            <v>7.4871000000000008</v>
          </cell>
          <cell r="S540">
            <v>317</v>
          </cell>
        </row>
        <row r="541">
          <cell r="A541">
            <v>44053</v>
          </cell>
          <cell r="D541">
            <v>1.9658</v>
          </cell>
          <cell r="F541">
            <v>373.50200000000001</v>
          </cell>
          <cell r="H541">
            <v>7.6891999999999996</v>
          </cell>
          <cell r="S541">
            <v>173.95</v>
          </cell>
        </row>
        <row r="542">
          <cell r="A542">
            <v>44060</v>
          </cell>
          <cell r="D542">
            <v>2.0169999999999999</v>
          </cell>
          <cell r="F542">
            <v>383.23</v>
          </cell>
          <cell r="H542">
            <v>7.8329999999999993</v>
          </cell>
          <cell r="S542">
            <v>179.3</v>
          </cell>
        </row>
        <row r="543">
          <cell r="A543">
            <v>44067</v>
          </cell>
          <cell r="D543">
            <v>2.0381999999999998</v>
          </cell>
          <cell r="F543">
            <v>387.25799999999998</v>
          </cell>
          <cell r="H543">
            <v>7.8329999999999993</v>
          </cell>
          <cell r="S543">
            <v>262.39999999999998</v>
          </cell>
        </row>
        <row r="544">
          <cell r="A544">
            <v>44074</v>
          </cell>
          <cell r="D544">
            <v>1.95105</v>
          </cell>
          <cell r="F544">
            <v>370.7</v>
          </cell>
          <cell r="H544">
            <v>7.8098000000000001</v>
          </cell>
          <cell r="S544">
            <v>245.3</v>
          </cell>
        </row>
        <row r="545">
          <cell r="A545">
            <v>44081</v>
          </cell>
          <cell r="D545">
            <v>1.9716499999999999</v>
          </cell>
          <cell r="F545">
            <v>374.61399999999998</v>
          </cell>
          <cell r="H545">
            <v>7.9340000000000002</v>
          </cell>
          <cell r="S545">
            <v>293.85000000000002</v>
          </cell>
        </row>
        <row r="546">
          <cell r="A546">
            <v>44088</v>
          </cell>
          <cell r="D546">
            <v>2.1836500000000001</v>
          </cell>
          <cell r="F546">
            <v>414.89400000000001</v>
          </cell>
          <cell r="H546">
            <v>7.5637999999999996</v>
          </cell>
          <cell r="S546">
            <v>447.4</v>
          </cell>
        </row>
        <row r="547">
          <cell r="A547">
            <v>44095</v>
          </cell>
          <cell r="D547">
            <v>2.27325</v>
          </cell>
          <cell r="F547">
            <v>431.91800000000001</v>
          </cell>
          <cell r="H547">
            <v>7.4853999999999994</v>
          </cell>
          <cell r="S547">
            <v>353.25</v>
          </cell>
        </row>
        <row r="548">
          <cell r="A548">
            <v>44102</v>
          </cell>
          <cell r="D548">
            <v>1.8735999999999999</v>
          </cell>
          <cell r="F548">
            <v>355.98399999999998</v>
          </cell>
          <cell r="S548">
            <v>316.55</v>
          </cell>
        </row>
        <row r="549">
          <cell r="A549">
            <v>44109</v>
          </cell>
          <cell r="D549">
            <v>1.3875500000000001</v>
          </cell>
          <cell r="F549">
            <v>263.63499999999999</v>
          </cell>
          <cell r="H549">
            <v>7.1227999999999998</v>
          </cell>
          <cell r="S549">
            <v>443.15</v>
          </cell>
        </row>
        <row r="550">
          <cell r="A550">
            <v>44116</v>
          </cell>
          <cell r="D550">
            <v>2.0882999999999998</v>
          </cell>
          <cell r="F550">
            <v>396.77699999999999</v>
          </cell>
          <cell r="H550">
            <v>7.0214999999999996</v>
          </cell>
          <cell r="S550">
            <v>400.95</v>
          </cell>
        </row>
        <row r="551">
          <cell r="A551">
            <v>44123</v>
          </cell>
          <cell r="D551">
            <v>2.1972499999999999</v>
          </cell>
          <cell r="F551">
            <v>417.47800000000001</v>
          </cell>
          <cell r="H551">
            <v>6.5763999999999996</v>
          </cell>
          <cell r="S551">
            <v>449.15</v>
          </cell>
        </row>
        <row r="552">
          <cell r="A552">
            <v>44130</v>
          </cell>
          <cell r="D552">
            <v>2.09348</v>
          </cell>
          <cell r="F552">
            <v>397.76100000000002</v>
          </cell>
          <cell r="H552">
            <v>6.9630999999999998</v>
          </cell>
          <cell r="S552">
            <v>370.1</v>
          </cell>
        </row>
        <row r="553">
          <cell r="A553">
            <v>44137</v>
          </cell>
          <cell r="D553">
            <v>2.09558</v>
          </cell>
          <cell r="F553">
            <v>398.16</v>
          </cell>
          <cell r="H553">
            <v>7.2403999999999993</v>
          </cell>
          <cell r="S553">
            <v>457</v>
          </cell>
        </row>
        <row r="554">
          <cell r="A554">
            <v>44144</v>
          </cell>
          <cell r="D554">
            <v>2.1200800000000002</v>
          </cell>
          <cell r="F554">
            <v>402.815</v>
          </cell>
          <cell r="H554">
            <v>7.2659000000000002</v>
          </cell>
          <cell r="S554">
            <v>383.9</v>
          </cell>
        </row>
        <row r="555">
          <cell r="A555">
            <v>44151</v>
          </cell>
          <cell r="D555">
            <v>2.0356800000000002</v>
          </cell>
          <cell r="F555">
            <v>386.779</v>
          </cell>
          <cell r="H555">
            <v>6.9699</v>
          </cell>
          <cell r="S555">
            <v>469.05</v>
          </cell>
        </row>
        <row r="556">
          <cell r="A556">
            <v>44158</v>
          </cell>
          <cell r="D556">
            <v>1.84328</v>
          </cell>
          <cell r="F556">
            <v>350.22300000000001</v>
          </cell>
          <cell r="H556">
            <v>6.4369000000000005</v>
          </cell>
          <cell r="S556">
            <v>409.8</v>
          </cell>
        </row>
        <row r="557">
          <cell r="A557">
            <v>44165</v>
          </cell>
          <cell r="D557">
            <v>1.7896799999999999</v>
          </cell>
          <cell r="F557">
            <v>340.03899999999999</v>
          </cell>
          <cell r="H557">
            <v>6.8207000000000004</v>
          </cell>
          <cell r="S557">
            <v>370.9</v>
          </cell>
        </row>
        <row r="558">
          <cell r="A558">
            <v>44172</v>
          </cell>
          <cell r="D558">
            <v>1.95078</v>
          </cell>
          <cell r="F558">
            <v>370.64800000000002</v>
          </cell>
          <cell r="H558">
            <v>6.7514000000000003</v>
          </cell>
          <cell r="S558">
            <v>357.25</v>
          </cell>
        </row>
        <row r="559">
          <cell r="A559">
            <v>44179</v>
          </cell>
          <cell r="D559">
            <v>2.00718</v>
          </cell>
          <cell r="F559">
            <v>381.36399999999998</v>
          </cell>
          <cell r="H559">
            <v>6.5823999999999998</v>
          </cell>
          <cell r="S559">
            <v>489.6</v>
          </cell>
        </row>
        <row r="560">
          <cell r="A560">
            <v>44186</v>
          </cell>
          <cell r="D560">
            <v>1.88208</v>
          </cell>
          <cell r="F560">
            <v>357.59500000000003</v>
          </cell>
          <cell r="H560">
            <v>6.6841999999999997</v>
          </cell>
          <cell r="S560">
            <v>613.5</v>
          </cell>
        </row>
        <row r="561">
          <cell r="A561">
            <v>44193</v>
          </cell>
          <cell r="D561">
            <v>1.8599462029662295</v>
          </cell>
          <cell r="F561">
            <v>353.3897785635836</v>
          </cell>
          <cell r="H561">
            <v>6.2144000000000004</v>
          </cell>
          <cell r="S561">
            <v>744.85</v>
          </cell>
        </row>
        <row r="562">
          <cell r="A562">
            <v>44200</v>
          </cell>
          <cell r="D562">
            <v>1.68458</v>
          </cell>
          <cell r="F562">
            <v>320.07</v>
          </cell>
          <cell r="H562">
            <v>6.4760999999999997</v>
          </cell>
          <cell r="S562">
            <v>917.3</v>
          </cell>
        </row>
        <row r="563">
          <cell r="A563">
            <v>44207</v>
          </cell>
          <cell r="D563">
            <v>1.9819800000000001</v>
          </cell>
          <cell r="F563">
            <v>376.57600000000002</v>
          </cell>
          <cell r="H563">
            <v>6.4253</v>
          </cell>
          <cell r="S563">
            <v>1211.0999999999999</v>
          </cell>
        </row>
        <row r="564">
          <cell r="A564">
            <v>44214</v>
          </cell>
          <cell r="D564">
            <v>2.1076199999999998</v>
          </cell>
          <cell r="F564">
            <v>400.44799999999998</v>
          </cell>
          <cell r="H564">
            <v>5.8422999999999998</v>
          </cell>
          <cell r="S564">
            <v>1074.5999999999999</v>
          </cell>
        </row>
        <row r="565">
          <cell r="A565">
            <v>44221</v>
          </cell>
          <cell r="D565">
            <v>2.1488</v>
          </cell>
          <cell r="F565">
            <v>408.27199999999999</v>
          </cell>
          <cell r="H565">
            <v>5.4873000000000003</v>
          </cell>
          <cell r="S565">
            <v>1124</v>
          </cell>
        </row>
        <row r="566">
          <cell r="A566">
            <v>44228</v>
          </cell>
          <cell r="D566">
            <v>1.9873000000000001</v>
          </cell>
          <cell r="F566">
            <v>377.58699999999999</v>
          </cell>
          <cell r="H566">
            <v>4.8377999999999997</v>
          </cell>
          <cell r="S566">
            <v>1033.8</v>
          </cell>
        </row>
        <row r="567">
          <cell r="A567">
            <v>44235</v>
          </cell>
          <cell r="D567">
            <v>0.91359999999999997</v>
          </cell>
          <cell r="F567">
            <v>173.584</v>
          </cell>
          <cell r="H567">
            <v>5.4472000000000005</v>
          </cell>
          <cell r="S567">
            <v>1088.9000000000001</v>
          </cell>
        </row>
        <row r="568">
          <cell r="A568">
            <v>44242</v>
          </cell>
          <cell r="D568">
            <v>0.32900000000000001</v>
          </cell>
          <cell r="F568">
            <v>62.51</v>
          </cell>
          <cell r="H568">
            <v>5.7303999999999995</v>
          </cell>
          <cell r="S568">
            <v>943.7</v>
          </cell>
        </row>
        <row r="569">
          <cell r="A569">
            <v>44249</v>
          </cell>
          <cell r="D569">
            <v>1.5192000000000001</v>
          </cell>
          <cell r="F569">
            <v>288.64800000000002</v>
          </cell>
          <cell r="H569">
            <v>6.0152999999999999</v>
          </cell>
          <cell r="S569">
            <v>821.3</v>
          </cell>
        </row>
        <row r="570">
          <cell r="A570">
            <v>44256</v>
          </cell>
          <cell r="D570">
            <v>1.6815</v>
          </cell>
          <cell r="F570">
            <v>319.48500000000001</v>
          </cell>
          <cell r="H570">
            <v>5.7558000000000007</v>
          </cell>
          <cell r="S570">
            <v>755.4</v>
          </cell>
        </row>
        <row r="571">
          <cell r="A571">
            <v>44266</v>
          </cell>
          <cell r="D571">
            <v>1.4487000000000001</v>
          </cell>
          <cell r="F571">
            <v>275.25299999999999</v>
          </cell>
          <cell r="H571">
            <v>5.2652999999999999</v>
          </cell>
          <cell r="S571">
            <v>666.7</v>
          </cell>
        </row>
        <row r="572">
          <cell r="A572">
            <v>44273</v>
          </cell>
          <cell r="D572">
            <v>1.57</v>
          </cell>
          <cell r="F572">
            <v>298.3</v>
          </cell>
          <cell r="H572" t="e">
            <v>#NAME?</v>
          </cell>
          <cell r="S572" t="e">
            <v>#NAME?</v>
          </cell>
        </row>
        <row r="573">
          <cell r="A573">
            <v>44280</v>
          </cell>
          <cell r="D573">
            <v>1.56</v>
          </cell>
          <cell r="F573">
            <v>296.39999999999998</v>
          </cell>
          <cell r="H573" t="e">
            <v>#NAME?</v>
          </cell>
          <cell r="S573" t="e">
            <v>#NAME?</v>
          </cell>
        </row>
        <row r="574">
          <cell r="A574">
            <v>44287</v>
          </cell>
          <cell r="D574">
            <v>1.55</v>
          </cell>
          <cell r="F574">
            <v>294.50000000000006</v>
          </cell>
          <cell r="H574" t="e">
            <v>#NAME?</v>
          </cell>
          <cell r="S574" t="e">
            <v>#NAME?</v>
          </cell>
        </row>
        <row r="575">
          <cell r="A575">
            <v>44294</v>
          </cell>
          <cell r="D575">
            <v>1.36</v>
          </cell>
          <cell r="F575">
            <v>258.40000000000003</v>
          </cell>
          <cell r="H575" t="e">
            <v>#NAME?</v>
          </cell>
          <cell r="S575" t="e">
            <v>#NAME?</v>
          </cell>
        </row>
        <row r="576">
          <cell r="A576">
            <v>44301</v>
          </cell>
          <cell r="D576">
            <v>1.62</v>
          </cell>
          <cell r="F576">
            <v>307.8</v>
          </cell>
          <cell r="H576" t="e">
            <v>#NAME?</v>
          </cell>
          <cell r="S576" t="e">
            <v>#NAME?</v>
          </cell>
        </row>
        <row r="577">
          <cell r="A577">
            <v>44308</v>
          </cell>
          <cell r="D577">
            <v>1.78</v>
          </cell>
          <cell r="F577">
            <v>338.2</v>
          </cell>
          <cell r="H577" t="e">
            <v>#NAME?</v>
          </cell>
          <cell r="S577" t="e">
            <v>#NAME?</v>
          </cell>
        </row>
        <row r="578">
          <cell r="A578">
            <v>44315</v>
          </cell>
          <cell r="D578">
            <v>1.82</v>
          </cell>
          <cell r="F578">
            <v>345.8</v>
          </cell>
          <cell r="S578" t="e">
            <v>#NAME?</v>
          </cell>
        </row>
        <row r="579">
          <cell r="A579">
            <v>44322</v>
          </cell>
          <cell r="S579" t="e">
            <v>#NAME?</v>
          </cell>
        </row>
        <row r="580">
          <cell r="A580">
            <v>44329</v>
          </cell>
          <cell r="D580">
            <v>1.88</v>
          </cell>
          <cell r="F580">
            <v>357.2</v>
          </cell>
          <cell r="S580" t="e">
            <v>#NAME?</v>
          </cell>
        </row>
        <row r="581">
          <cell r="A581">
            <v>44336</v>
          </cell>
          <cell r="D581">
            <v>1.92</v>
          </cell>
          <cell r="F581">
            <v>364.8</v>
          </cell>
          <cell r="S581" t="e">
            <v>#NAME?</v>
          </cell>
        </row>
        <row r="582">
          <cell r="A582">
            <v>44343</v>
          </cell>
          <cell r="D582">
            <v>2.0699999999999998</v>
          </cell>
          <cell r="F582">
            <v>393.29999999999995</v>
          </cell>
          <cell r="S582" t="e">
            <v>#NAME?</v>
          </cell>
        </row>
        <row r="583">
          <cell r="A583">
            <v>44350</v>
          </cell>
          <cell r="D583">
            <v>2.02</v>
          </cell>
          <cell r="F583">
            <v>383.8</v>
          </cell>
          <cell r="S583" t="e">
            <v>#NAME?</v>
          </cell>
        </row>
        <row r="584">
          <cell r="A584">
            <v>44357</v>
          </cell>
          <cell r="D584">
            <v>1.95</v>
          </cell>
          <cell r="F584">
            <v>370.5</v>
          </cell>
          <cell r="S584" t="e">
            <v>#NAME?</v>
          </cell>
        </row>
        <row r="585">
          <cell r="A585">
            <v>44364</v>
          </cell>
          <cell r="D585">
            <v>1.9</v>
          </cell>
          <cell r="F585">
            <v>361</v>
          </cell>
          <cell r="S585" t="e">
            <v>#NAME?</v>
          </cell>
        </row>
        <row r="586">
          <cell r="A586">
            <v>44371</v>
          </cell>
          <cell r="D586">
            <v>1.72</v>
          </cell>
          <cell r="F586">
            <v>326.79999999999995</v>
          </cell>
          <cell r="S586" t="e">
            <v>#NAME?</v>
          </cell>
        </row>
        <row r="587">
          <cell r="A587">
            <v>44378</v>
          </cell>
          <cell r="D587">
            <v>1.69</v>
          </cell>
          <cell r="F587">
            <v>321.10000000000002</v>
          </cell>
          <cell r="S587" t="e">
            <v>#NAME?</v>
          </cell>
        </row>
        <row r="588">
          <cell r="A588">
            <v>44385</v>
          </cell>
          <cell r="D588">
            <v>1.78</v>
          </cell>
          <cell r="F588">
            <v>338.2</v>
          </cell>
          <cell r="S588" t="e">
            <v>#NAME?</v>
          </cell>
        </row>
        <row r="589">
          <cell r="A589">
            <v>44392</v>
          </cell>
          <cell r="D589">
            <v>1.73</v>
          </cell>
          <cell r="F589">
            <v>328.7</v>
          </cell>
          <cell r="S589" t="e">
            <v>#NAME?</v>
          </cell>
        </row>
        <row r="590">
          <cell r="A590">
            <v>44399</v>
          </cell>
          <cell r="D590">
            <v>1.88</v>
          </cell>
          <cell r="F590">
            <v>357.2</v>
          </cell>
          <cell r="S590" t="e">
            <v>#NAME?</v>
          </cell>
        </row>
        <row r="591">
          <cell r="A591">
            <v>44406</v>
          </cell>
          <cell r="D591">
            <v>1.72</v>
          </cell>
          <cell r="F591">
            <v>326.79999999999995</v>
          </cell>
          <cell r="S591" t="e">
            <v>#NAME?</v>
          </cell>
        </row>
        <row r="592">
          <cell r="A592">
            <v>44413</v>
          </cell>
          <cell r="D592">
            <v>1.78</v>
          </cell>
          <cell r="F592">
            <v>338.2</v>
          </cell>
          <cell r="S592" t="e">
            <v>#NAME?</v>
          </cell>
        </row>
        <row r="593">
          <cell r="A593">
            <v>44420</v>
          </cell>
          <cell r="D593">
            <v>1.97</v>
          </cell>
          <cell r="F593">
            <v>374.3</v>
          </cell>
          <cell r="S593" t="e">
            <v>#NAME?</v>
          </cell>
        </row>
        <row r="594">
          <cell r="A594">
            <v>44427</v>
          </cell>
          <cell r="D594">
            <v>2.0099999999999998</v>
          </cell>
          <cell r="F594">
            <v>381.9</v>
          </cell>
          <cell r="S594" t="e">
            <v>#NAME?</v>
          </cell>
        </row>
        <row r="595">
          <cell r="A595">
            <v>44434</v>
          </cell>
          <cell r="D595">
            <v>1.98</v>
          </cell>
          <cell r="F595">
            <v>376.2</v>
          </cell>
          <cell r="S595" t="e">
            <v>#NAME?</v>
          </cell>
        </row>
        <row r="596">
          <cell r="A596">
            <v>44441</v>
          </cell>
          <cell r="D596">
            <v>1.73</v>
          </cell>
          <cell r="F596">
            <v>328.7</v>
          </cell>
          <cell r="S596" t="e">
            <v>#NAME?</v>
          </cell>
        </row>
        <row r="597">
          <cell r="A597">
            <v>44448</v>
          </cell>
          <cell r="D597">
            <v>1.86</v>
          </cell>
          <cell r="F597">
            <v>353.40000000000003</v>
          </cell>
          <cell r="S597" t="e">
            <v>#NAME?</v>
          </cell>
        </row>
        <row r="598">
          <cell r="A598">
            <v>44455</v>
          </cell>
          <cell r="D598">
            <v>1.89</v>
          </cell>
          <cell r="F598">
            <v>359.09999999999997</v>
          </cell>
          <cell r="S598" t="e">
            <v>#NAME?</v>
          </cell>
        </row>
        <row r="599">
          <cell r="A599">
            <v>44462</v>
          </cell>
          <cell r="D599">
            <v>1.71</v>
          </cell>
          <cell r="F599">
            <v>324.90000000000003</v>
          </cell>
          <cell r="S599" t="e">
            <v>#NAME?</v>
          </cell>
        </row>
        <row r="600">
          <cell r="A600">
            <v>44469</v>
          </cell>
          <cell r="S600" t="e">
            <v>#NAME?</v>
          </cell>
        </row>
        <row r="601">
          <cell r="A601">
            <v>44476</v>
          </cell>
          <cell r="D601">
            <v>1.41</v>
          </cell>
          <cell r="F601">
            <v>267.89999999999998</v>
          </cell>
          <cell r="S601" t="e">
            <v>#NAME?</v>
          </cell>
        </row>
        <row r="602">
          <cell r="A602">
            <v>44483</v>
          </cell>
          <cell r="D602">
            <v>1.67</v>
          </cell>
          <cell r="F602">
            <v>317.29999999999995</v>
          </cell>
          <cell r="S602" t="e">
            <v>#NAME?</v>
          </cell>
        </row>
        <row r="603">
          <cell r="A603">
            <v>44490</v>
          </cell>
          <cell r="D603">
            <v>1.6</v>
          </cell>
          <cell r="F603">
            <v>304.00000000000006</v>
          </cell>
          <cell r="S603" t="e">
            <v>#NAME?</v>
          </cell>
        </row>
        <row r="604">
          <cell r="A604">
            <v>44497</v>
          </cell>
          <cell r="D604">
            <v>1.89</v>
          </cell>
          <cell r="F604">
            <v>359.09999999999997</v>
          </cell>
          <cell r="S604" t="e">
            <v>#NAME?</v>
          </cell>
        </row>
        <row r="605">
          <cell r="A605">
            <v>44504</v>
          </cell>
          <cell r="D605">
            <v>2.0699999999999998</v>
          </cell>
          <cell r="F605">
            <v>393.29999999999995</v>
          </cell>
          <cell r="S605" t="e">
            <v>#NAME?</v>
          </cell>
        </row>
        <row r="606">
          <cell r="A606">
            <v>44511</v>
          </cell>
          <cell r="D606">
            <v>1.95</v>
          </cell>
          <cell r="F606">
            <v>370.5</v>
          </cell>
          <cell r="S606" t="e">
            <v>#NAME?</v>
          </cell>
        </row>
        <row r="607">
          <cell r="A607">
            <v>44518</v>
          </cell>
          <cell r="D607">
            <v>1.89</v>
          </cell>
          <cell r="F607">
            <v>359.09999999999997</v>
          </cell>
          <cell r="S607" t="e">
            <v>#NAME?</v>
          </cell>
        </row>
        <row r="608">
          <cell r="A608">
            <v>44525</v>
          </cell>
          <cell r="D608">
            <v>2.02</v>
          </cell>
          <cell r="F608">
            <v>383.8</v>
          </cell>
          <cell r="S608" t="e">
            <v>#NAME?</v>
          </cell>
        </row>
        <row r="609">
          <cell r="A609">
            <v>44532</v>
          </cell>
          <cell r="D609">
            <v>1.89</v>
          </cell>
          <cell r="F609">
            <v>359.09999999999997</v>
          </cell>
          <cell r="S609" t="e">
            <v>#NAME?</v>
          </cell>
        </row>
        <row r="610">
          <cell r="A610">
            <v>44539</v>
          </cell>
          <cell r="D610">
            <v>1.91</v>
          </cell>
          <cell r="F610">
            <v>362.9</v>
          </cell>
          <cell r="S610" t="e">
            <v>#NAME?</v>
          </cell>
        </row>
        <row r="611">
          <cell r="A611">
            <v>44546</v>
          </cell>
          <cell r="D611">
            <v>1.84</v>
          </cell>
          <cell r="F611">
            <v>349.6</v>
          </cell>
          <cell r="S611" t="e">
            <v>#NAME?</v>
          </cell>
        </row>
        <row r="612">
          <cell r="A612">
            <v>44553</v>
          </cell>
          <cell r="D612">
            <v>1.79</v>
          </cell>
          <cell r="F612">
            <v>340.1</v>
          </cell>
          <cell r="S612" t="e">
            <v>#NAME?</v>
          </cell>
        </row>
        <row r="613">
          <cell r="A613">
            <v>44560</v>
          </cell>
          <cell r="D613">
            <v>1.59</v>
          </cell>
          <cell r="F613">
            <v>302.10000000000002</v>
          </cell>
          <cell r="S613" t="e">
            <v>#NAME?</v>
          </cell>
        </row>
        <row r="614">
          <cell r="A614">
            <v>44567</v>
          </cell>
          <cell r="D614">
            <v>1.46</v>
          </cell>
          <cell r="F614">
            <v>277.39999999999998</v>
          </cell>
          <cell r="S614" t="e">
            <v>#NAME?</v>
          </cell>
        </row>
        <row r="615">
          <cell r="A615">
            <v>44574</v>
          </cell>
          <cell r="D615">
            <v>1.89</v>
          </cell>
          <cell r="F615">
            <v>359.09999999999997</v>
          </cell>
          <cell r="S615" t="e">
            <v>#NAME?</v>
          </cell>
        </row>
        <row r="616">
          <cell r="A616">
            <v>44581</v>
          </cell>
          <cell r="D616">
            <v>2.15</v>
          </cell>
          <cell r="F616">
            <v>408.5</v>
          </cell>
          <cell r="S616" t="e">
            <v>#NAME?</v>
          </cell>
        </row>
        <row r="617">
          <cell r="A617">
            <v>44588</v>
          </cell>
          <cell r="S617" t="e">
            <v>#NAME?</v>
          </cell>
        </row>
        <row r="618">
          <cell r="A618">
            <v>44595</v>
          </cell>
          <cell r="D618">
            <v>1.173</v>
          </cell>
          <cell r="F618">
            <v>222.87</v>
          </cell>
          <cell r="S618" t="e">
            <v>#NAME?</v>
          </cell>
        </row>
        <row r="619">
          <cell r="A619">
            <v>44602</v>
          </cell>
          <cell r="D619">
            <v>1.7</v>
          </cell>
          <cell r="F619">
            <v>323</v>
          </cell>
          <cell r="S619" t="e">
            <v>#NAME?</v>
          </cell>
        </row>
        <row r="620">
          <cell r="A620">
            <v>44609</v>
          </cell>
          <cell r="D620">
            <v>1.7</v>
          </cell>
          <cell r="F620">
            <v>323</v>
          </cell>
          <cell r="S620" t="e">
            <v>#NAME?</v>
          </cell>
        </row>
        <row r="621">
          <cell r="A621">
            <v>44616</v>
          </cell>
          <cell r="D621">
            <v>1.71</v>
          </cell>
          <cell r="F621">
            <v>324.90000000000003</v>
          </cell>
          <cell r="S621" t="e">
            <v>#NAME?</v>
          </cell>
        </row>
        <row r="622">
          <cell r="A622">
            <v>44623</v>
          </cell>
          <cell r="D622">
            <v>1.48</v>
          </cell>
          <cell r="F622">
            <v>281.2</v>
          </cell>
          <cell r="S622" t="e">
            <v>#NAME?</v>
          </cell>
        </row>
        <row r="623">
          <cell r="A623">
            <v>44630</v>
          </cell>
          <cell r="D623">
            <v>1.44</v>
          </cell>
          <cell r="F623">
            <v>273.60000000000002</v>
          </cell>
          <cell r="S623" t="e">
            <v>#NAME?</v>
          </cell>
        </row>
        <row r="624">
          <cell r="A624">
            <v>44637</v>
          </cell>
          <cell r="D624">
            <v>1.3</v>
          </cell>
          <cell r="F624">
            <v>247.00000000000003</v>
          </cell>
          <cell r="S624" t="e">
            <v>#NAME?</v>
          </cell>
        </row>
        <row r="625">
          <cell r="A625">
            <v>44644</v>
          </cell>
          <cell r="D625">
            <v>1.2</v>
          </cell>
          <cell r="F625">
            <v>227.99999999999997</v>
          </cell>
          <cell r="S625" t="e">
            <v>#NAME?</v>
          </cell>
        </row>
        <row r="626">
          <cell r="A626">
            <v>44651</v>
          </cell>
          <cell r="D626">
            <v>1.07</v>
          </cell>
          <cell r="F626">
            <v>203.3</v>
          </cell>
          <cell r="S626" t="e">
            <v>#NAME?</v>
          </cell>
        </row>
        <row r="627">
          <cell r="A627">
            <v>44658</v>
          </cell>
          <cell r="D627">
            <v>1.22</v>
          </cell>
          <cell r="F627">
            <v>231.8</v>
          </cell>
          <cell r="S627" t="e">
            <v>#NAME?</v>
          </cell>
        </row>
        <row r="628">
          <cell r="A628">
            <v>44665</v>
          </cell>
          <cell r="D628">
            <v>1.41</v>
          </cell>
          <cell r="F628">
            <v>267.89999999999998</v>
          </cell>
          <cell r="S628" t="e">
            <v>#NAME?</v>
          </cell>
        </row>
        <row r="629">
          <cell r="A629">
            <v>44672</v>
          </cell>
          <cell r="D629">
            <v>1.65</v>
          </cell>
          <cell r="F629">
            <v>313.5</v>
          </cell>
          <cell r="S629" t="e">
            <v>#NAME?</v>
          </cell>
        </row>
        <row r="630">
          <cell r="A630">
            <v>44679</v>
          </cell>
          <cell r="D630">
            <v>1.77</v>
          </cell>
          <cell r="F630">
            <v>336.3</v>
          </cell>
          <cell r="S630" t="e">
            <v>#NAME?</v>
          </cell>
        </row>
        <row r="631">
          <cell r="A631">
            <v>44686</v>
          </cell>
          <cell r="D631">
            <v>1.71</v>
          </cell>
          <cell r="F631">
            <v>324.90000000000003</v>
          </cell>
          <cell r="S631" t="e">
            <v>#NAME?</v>
          </cell>
        </row>
        <row r="632">
          <cell r="A632">
            <v>44693</v>
          </cell>
          <cell r="D632">
            <v>1.7</v>
          </cell>
          <cell r="F632">
            <v>323</v>
          </cell>
          <cell r="S632" t="e">
            <v>#NAME?</v>
          </cell>
        </row>
        <row r="633">
          <cell r="A633">
            <v>44700</v>
          </cell>
          <cell r="D633">
            <v>1.93</v>
          </cell>
          <cell r="F633">
            <v>366.7</v>
          </cell>
          <cell r="S633" t="e">
            <v>#NAME?</v>
          </cell>
        </row>
        <row r="634">
          <cell r="A634">
            <v>44707</v>
          </cell>
          <cell r="D634">
            <v>1.88</v>
          </cell>
          <cell r="F634">
            <v>357.2</v>
          </cell>
          <cell r="S634" t="e">
            <v>#NAME?</v>
          </cell>
        </row>
        <row r="635">
          <cell r="A635">
            <v>44714</v>
          </cell>
          <cell r="D635">
            <v>1.64</v>
          </cell>
          <cell r="F635">
            <v>311.59999999999997</v>
          </cell>
          <cell r="S635" t="e">
            <v>#NAME?</v>
          </cell>
        </row>
        <row r="636">
          <cell r="A636">
            <v>44721</v>
          </cell>
          <cell r="D636">
            <v>1.63</v>
          </cell>
          <cell r="F636">
            <v>309.7</v>
          </cell>
          <cell r="S636" t="e">
            <v>#NAME?</v>
          </cell>
        </row>
        <row r="637">
          <cell r="A637">
            <v>44728</v>
          </cell>
          <cell r="D637">
            <v>1.88</v>
          </cell>
          <cell r="F637">
            <v>357.2</v>
          </cell>
          <cell r="S637" t="e">
            <v>#NAME?</v>
          </cell>
        </row>
        <row r="638">
          <cell r="A638">
            <v>44735</v>
          </cell>
          <cell r="D638">
            <v>1.81</v>
          </cell>
          <cell r="F638">
            <v>343.90000000000003</v>
          </cell>
          <cell r="S638" t="e">
            <v>#NAME?</v>
          </cell>
        </row>
        <row r="639">
          <cell r="A639">
            <v>44742</v>
          </cell>
          <cell r="D639">
            <v>1.82</v>
          </cell>
          <cell r="F639">
            <v>345.8</v>
          </cell>
          <cell r="S639" t="e">
            <v>#NAME?</v>
          </cell>
        </row>
        <row r="640">
          <cell r="A640">
            <v>44749</v>
          </cell>
          <cell r="D640">
            <v>1.71</v>
          </cell>
          <cell r="F640">
            <v>324.90000000000003</v>
          </cell>
          <cell r="S640" t="e">
            <v>#NAME?</v>
          </cell>
        </row>
        <row r="641">
          <cell r="A641">
            <v>44756</v>
          </cell>
          <cell r="D641">
            <v>1.7</v>
          </cell>
          <cell r="F641">
            <v>323</v>
          </cell>
          <cell r="S641" t="e">
            <v>#NAME?</v>
          </cell>
        </row>
        <row r="642">
          <cell r="A642">
            <v>44763</v>
          </cell>
          <cell r="D642">
            <v>1.68</v>
          </cell>
          <cell r="F642">
            <v>319.2</v>
          </cell>
          <cell r="S642" t="e">
            <v>#NAME?</v>
          </cell>
        </row>
        <row r="643">
          <cell r="A643">
            <v>44770</v>
          </cell>
          <cell r="D643">
            <v>1.74</v>
          </cell>
          <cell r="F643">
            <v>330.6</v>
          </cell>
          <cell r="S643" t="e">
            <v>#NAME?</v>
          </cell>
        </row>
        <row r="644">
          <cell r="A644">
            <v>44777</v>
          </cell>
          <cell r="D644">
            <v>1.68</v>
          </cell>
          <cell r="F644">
            <v>319.2</v>
          </cell>
          <cell r="S644" t="e">
            <v>#NAME?</v>
          </cell>
        </row>
        <row r="645">
          <cell r="A645">
            <v>44784</v>
          </cell>
          <cell r="D645">
            <v>1.66</v>
          </cell>
          <cell r="F645">
            <v>315.40000000000003</v>
          </cell>
          <cell r="S645" t="e">
            <v>#NAME?</v>
          </cell>
        </row>
        <row r="646">
          <cell r="A646">
            <v>44791</v>
          </cell>
          <cell r="D646">
            <v>1.73</v>
          </cell>
          <cell r="F646">
            <v>328.7</v>
          </cell>
          <cell r="S646" t="e">
            <v>#NAME?</v>
          </cell>
        </row>
        <row r="647">
          <cell r="A647">
            <v>44798</v>
          </cell>
          <cell r="D647">
            <v>1.98</v>
          </cell>
          <cell r="F647">
            <v>376.2</v>
          </cell>
          <cell r="S647" t="e">
            <v>#NAME?</v>
          </cell>
        </row>
        <row r="648">
          <cell r="A648">
            <v>44805</v>
          </cell>
          <cell r="D648">
            <v>1.96</v>
          </cell>
          <cell r="F648">
            <v>372.40000000000003</v>
          </cell>
          <cell r="S648" t="e">
            <v>#NAME?</v>
          </cell>
        </row>
        <row r="649">
          <cell r="A649">
            <v>44812</v>
          </cell>
          <cell r="D649">
            <v>1.96</v>
          </cell>
          <cell r="F649">
            <v>372.40000000000003</v>
          </cell>
          <cell r="S649" t="e">
            <v>#NAME?</v>
          </cell>
        </row>
        <row r="650">
          <cell r="A650">
            <v>44819</v>
          </cell>
          <cell r="D650">
            <v>1.81</v>
          </cell>
          <cell r="F650">
            <v>343.90000000000003</v>
          </cell>
          <cell r="S650" t="e">
            <v>#NAME?</v>
          </cell>
        </row>
        <row r="651">
          <cell r="A651">
            <v>44826</v>
          </cell>
          <cell r="D651">
            <v>2.0499999999999998</v>
          </cell>
          <cell r="F651">
            <v>389.49999999999994</v>
          </cell>
          <cell r="S651" t="e">
            <v>#NAME?</v>
          </cell>
        </row>
        <row r="652">
          <cell r="A652">
            <v>44833</v>
          </cell>
          <cell r="D652">
            <v>1.52</v>
          </cell>
          <cell r="F652">
            <v>288.8</v>
          </cell>
          <cell r="S652" t="e">
            <v>#NAME?</v>
          </cell>
        </row>
        <row r="653">
          <cell r="A653">
            <v>44840</v>
          </cell>
          <cell r="S653" t="e">
            <v>#NAME?</v>
          </cell>
        </row>
        <row r="654">
          <cell r="A654">
            <v>44847</v>
          </cell>
          <cell r="D654">
            <v>1.65</v>
          </cell>
          <cell r="F654">
            <v>313.5</v>
          </cell>
          <cell r="S654" t="e">
            <v>#NAME?</v>
          </cell>
        </row>
        <row r="655">
          <cell r="A655">
            <v>44854</v>
          </cell>
          <cell r="D655">
            <v>1.61</v>
          </cell>
          <cell r="F655">
            <v>305.89999999999998</v>
          </cell>
          <cell r="S655" t="e">
            <v>#NAME?</v>
          </cell>
        </row>
        <row r="656">
          <cell r="A656">
            <v>44861</v>
          </cell>
          <cell r="D656">
            <v>1.68</v>
          </cell>
          <cell r="F656">
            <v>319.2</v>
          </cell>
          <cell r="S656" t="e">
            <v>#NAME?</v>
          </cell>
        </row>
        <row r="657">
          <cell r="A657">
            <v>44868</v>
          </cell>
          <cell r="D657">
            <v>1.52</v>
          </cell>
          <cell r="F657">
            <v>288.8</v>
          </cell>
          <cell r="S657" t="e">
            <v>#NAME?</v>
          </cell>
        </row>
        <row r="658">
          <cell r="A658">
            <v>44875</v>
          </cell>
          <cell r="D658">
            <v>1.53</v>
          </cell>
          <cell r="F658">
            <v>290.7</v>
          </cell>
          <cell r="S658" t="e">
            <v>#NAME?</v>
          </cell>
        </row>
        <row r="659">
          <cell r="A659">
            <v>44882</v>
          </cell>
          <cell r="D659">
            <v>1.53</v>
          </cell>
          <cell r="F659">
            <v>290.7</v>
          </cell>
          <cell r="S659" t="e">
            <v>#NAME?</v>
          </cell>
        </row>
        <row r="660">
          <cell r="A660">
            <v>44889</v>
          </cell>
          <cell r="D660">
            <v>1.98</v>
          </cell>
          <cell r="F660">
            <v>376.2</v>
          </cell>
        </row>
        <row r="661">
          <cell r="A661">
            <v>44896</v>
          </cell>
          <cell r="D661">
            <v>2.0299999999999998</v>
          </cell>
          <cell r="F661">
            <v>385.7</v>
          </cell>
        </row>
        <row r="662">
          <cell r="A662">
            <v>44903</v>
          </cell>
          <cell r="D662">
            <v>1.98</v>
          </cell>
          <cell r="F662">
            <v>376.2</v>
          </cell>
        </row>
        <row r="663">
          <cell r="A663">
            <v>44910</v>
          </cell>
          <cell r="D663">
            <v>2.08</v>
          </cell>
          <cell r="F663">
            <v>395.2</v>
          </cell>
        </row>
        <row r="664">
          <cell r="A664">
            <v>44917</v>
          </cell>
          <cell r="D664">
            <v>2.11</v>
          </cell>
          <cell r="F664">
            <v>400.9</v>
          </cell>
        </row>
        <row r="665">
          <cell r="A665">
            <v>44924</v>
          </cell>
          <cell r="D665">
            <v>1.99</v>
          </cell>
          <cell r="F665">
            <v>378.09999999999997</v>
          </cell>
        </row>
        <row r="666">
          <cell r="A666">
            <v>44931</v>
          </cell>
        </row>
        <row r="667">
          <cell r="A667">
            <v>44938</v>
          </cell>
          <cell r="D667">
            <v>2.08</v>
          </cell>
          <cell r="F667">
            <v>395.2</v>
          </cell>
        </row>
        <row r="668">
          <cell r="A668">
            <v>44945</v>
          </cell>
          <cell r="D668">
            <v>0.03</v>
          </cell>
          <cell r="F668">
            <v>5.7</v>
          </cell>
        </row>
        <row r="669">
          <cell r="A669">
            <v>44952</v>
          </cell>
        </row>
        <row r="670">
          <cell r="A670">
            <v>44959</v>
          </cell>
          <cell r="D670">
            <v>1.28</v>
          </cell>
          <cell r="F670">
            <v>243.2</v>
          </cell>
        </row>
        <row r="671">
          <cell r="A671">
            <v>44966</v>
          </cell>
          <cell r="D671">
            <v>2.06</v>
          </cell>
          <cell r="F671">
            <v>391.40000000000003</v>
          </cell>
        </row>
        <row r="672">
          <cell r="A672">
            <v>44973</v>
          </cell>
          <cell r="D672">
            <v>1.71</v>
          </cell>
          <cell r="F672">
            <v>324.90000000000003</v>
          </cell>
        </row>
        <row r="673">
          <cell r="A673">
            <v>44980</v>
          </cell>
          <cell r="D673">
            <v>1.65</v>
          </cell>
          <cell r="F673">
            <v>313.5</v>
          </cell>
        </row>
        <row r="674">
          <cell r="A674">
            <v>44987</v>
          </cell>
          <cell r="D674">
            <v>1.47</v>
          </cell>
          <cell r="F674">
            <v>279.3</v>
          </cell>
        </row>
        <row r="675">
          <cell r="A675">
            <v>44994</v>
          </cell>
          <cell r="D675">
            <v>1.45</v>
          </cell>
          <cell r="F675">
            <v>275.49999999999994</v>
          </cell>
        </row>
        <row r="676">
          <cell r="A676">
            <v>45001</v>
          </cell>
          <cell r="D676">
            <v>1.53</v>
          </cell>
          <cell r="F676">
            <v>290.7</v>
          </cell>
        </row>
        <row r="677">
          <cell r="A677">
            <v>45008</v>
          </cell>
          <cell r="D677">
            <v>1.48</v>
          </cell>
          <cell r="F677">
            <v>281.2</v>
          </cell>
        </row>
        <row r="678">
          <cell r="A678">
            <v>45015</v>
          </cell>
          <cell r="D678">
            <v>1.38</v>
          </cell>
          <cell r="F678">
            <v>262.2</v>
          </cell>
        </row>
        <row r="679">
          <cell r="A679">
            <v>45022</v>
          </cell>
          <cell r="D679">
            <v>1.59</v>
          </cell>
          <cell r="F679">
            <v>302.10000000000002</v>
          </cell>
        </row>
        <row r="680">
          <cell r="A680">
            <v>45029</v>
          </cell>
          <cell r="D680">
            <v>1.64</v>
          </cell>
          <cell r="F680">
            <v>311.59999999999997</v>
          </cell>
        </row>
        <row r="681">
          <cell r="A681">
            <v>45036</v>
          </cell>
          <cell r="D681">
            <v>1.59</v>
          </cell>
          <cell r="F681">
            <v>302.10000000000002</v>
          </cell>
        </row>
        <row r="682">
          <cell r="A682">
            <v>45043</v>
          </cell>
          <cell r="D682">
            <v>1.64</v>
          </cell>
          <cell r="F682">
            <v>311.59999999999997</v>
          </cell>
        </row>
        <row r="683">
          <cell r="A683">
            <v>45050</v>
          </cell>
          <cell r="D683">
            <v>0.8</v>
          </cell>
          <cell r="F683">
            <v>152.00000000000003</v>
          </cell>
        </row>
        <row r="684">
          <cell r="A684">
            <v>45057</v>
          </cell>
          <cell r="D684">
            <v>1.98</v>
          </cell>
          <cell r="F684">
            <v>376.2</v>
          </cell>
        </row>
        <row r="685">
          <cell r="A685">
            <v>45064</v>
          </cell>
          <cell r="D685">
            <v>1.73</v>
          </cell>
          <cell r="F685">
            <v>328.7</v>
          </cell>
        </row>
        <row r="686">
          <cell r="A686">
            <v>45071</v>
          </cell>
          <cell r="D686">
            <v>1.89</v>
          </cell>
          <cell r="F686">
            <v>359.09999999999997</v>
          </cell>
        </row>
        <row r="687">
          <cell r="A687">
            <v>45078</v>
          </cell>
          <cell r="D687">
            <v>2.04</v>
          </cell>
          <cell r="F687">
            <v>387.6</v>
          </cell>
        </row>
        <row r="688">
          <cell r="A688">
            <v>45085</v>
          </cell>
          <cell r="D688">
            <v>2.16</v>
          </cell>
          <cell r="F688">
            <v>410.40000000000003</v>
          </cell>
        </row>
        <row r="689">
          <cell r="A689">
            <v>45092</v>
          </cell>
          <cell r="D689">
            <v>2.11</v>
          </cell>
          <cell r="F689">
            <v>400.9</v>
          </cell>
        </row>
        <row r="690">
          <cell r="A690">
            <v>45099</v>
          </cell>
          <cell r="D690">
            <v>2.2400000000000002</v>
          </cell>
          <cell r="F690">
            <v>425.6</v>
          </cell>
        </row>
        <row r="691">
          <cell r="A691">
            <v>45106</v>
          </cell>
          <cell r="D691">
            <v>2.08</v>
          </cell>
          <cell r="F691">
            <v>395.2</v>
          </cell>
        </row>
        <row r="692">
          <cell r="A692">
            <v>45113</v>
          </cell>
          <cell r="D692">
            <v>1.86</v>
          </cell>
          <cell r="F692">
            <v>353.40000000000003</v>
          </cell>
        </row>
        <row r="693">
          <cell r="A693">
            <v>45120</v>
          </cell>
          <cell r="D693">
            <v>1.77</v>
          </cell>
          <cell r="F693">
            <v>336.3</v>
          </cell>
        </row>
        <row r="694">
          <cell r="A694">
            <v>45127</v>
          </cell>
          <cell r="D694">
            <v>2.11</v>
          </cell>
          <cell r="F694">
            <v>400.9</v>
          </cell>
        </row>
        <row r="695">
          <cell r="A695">
            <v>45134</v>
          </cell>
          <cell r="D695">
            <v>2.2200000000000002</v>
          </cell>
          <cell r="F695">
            <v>421.80000000000007</v>
          </cell>
        </row>
        <row r="696">
          <cell r="A696">
            <v>45141</v>
          </cell>
          <cell r="D696">
            <v>2.16</v>
          </cell>
          <cell r="F696">
            <v>410.40000000000003</v>
          </cell>
        </row>
        <row r="697">
          <cell r="A697">
            <v>45148</v>
          </cell>
          <cell r="D697">
            <v>2.02</v>
          </cell>
          <cell r="F697">
            <v>383.8</v>
          </cell>
        </row>
        <row r="698">
          <cell r="A698">
            <v>45155</v>
          </cell>
          <cell r="D698">
            <v>2.1</v>
          </cell>
          <cell r="F698">
            <v>399</v>
          </cell>
        </row>
        <row r="699">
          <cell r="A699">
            <v>45162</v>
          </cell>
          <cell r="D699">
            <v>2.15</v>
          </cell>
          <cell r="F699">
            <v>408.5</v>
          </cell>
        </row>
        <row r="700">
          <cell r="A700">
            <v>45169</v>
          </cell>
          <cell r="D700">
            <v>2</v>
          </cell>
          <cell r="F700">
            <v>380</v>
          </cell>
        </row>
        <row r="701">
          <cell r="A701">
            <v>45176</v>
          </cell>
          <cell r="D701">
            <v>2.04</v>
          </cell>
          <cell r="F701">
            <v>387.6</v>
          </cell>
        </row>
        <row r="702">
          <cell r="A702">
            <v>45183</v>
          </cell>
          <cell r="D702">
            <v>1.97</v>
          </cell>
          <cell r="F702">
            <v>374.3</v>
          </cell>
        </row>
        <row r="703">
          <cell r="A703">
            <v>45189</v>
          </cell>
          <cell r="D703">
            <v>2.04</v>
          </cell>
          <cell r="F703">
            <v>387.6</v>
          </cell>
        </row>
        <row r="704">
          <cell r="A704">
            <v>45196</v>
          </cell>
          <cell r="D704">
            <v>2.15</v>
          </cell>
          <cell r="F704">
            <v>408.5</v>
          </cell>
        </row>
        <row r="705">
          <cell r="A705">
            <v>45210</v>
          </cell>
          <cell r="D705">
            <v>0.93</v>
          </cell>
          <cell r="F705">
            <v>176.70000000000002</v>
          </cell>
        </row>
        <row r="706">
          <cell r="A706">
            <v>45217</v>
          </cell>
          <cell r="D706">
            <v>1.57</v>
          </cell>
          <cell r="F706">
            <v>298.3</v>
          </cell>
        </row>
        <row r="707">
          <cell r="A707">
            <v>45224</v>
          </cell>
          <cell r="D707">
            <v>2.0299999999999998</v>
          </cell>
          <cell r="F707">
            <v>385.7</v>
          </cell>
        </row>
        <row r="708">
          <cell r="A708">
            <v>45231</v>
          </cell>
          <cell r="D708">
            <v>1.77</v>
          </cell>
          <cell r="F708">
            <v>336.3</v>
          </cell>
        </row>
        <row r="709">
          <cell r="A709">
            <v>45238</v>
          </cell>
          <cell r="D709">
            <v>1.7</v>
          </cell>
          <cell r="F709">
            <v>323</v>
          </cell>
        </row>
        <row r="710">
          <cell r="A710">
            <v>45245</v>
          </cell>
          <cell r="D710">
            <v>1.7</v>
          </cell>
          <cell r="F710">
            <v>323</v>
          </cell>
        </row>
        <row r="711">
          <cell r="A711">
            <v>45252</v>
          </cell>
          <cell r="D711">
            <v>1.85</v>
          </cell>
          <cell r="F711">
            <v>351.50000000000006</v>
          </cell>
        </row>
        <row r="712">
          <cell r="A712">
            <v>45259</v>
          </cell>
          <cell r="D712">
            <v>2.02</v>
          </cell>
          <cell r="F712">
            <v>383.8</v>
          </cell>
        </row>
        <row r="713">
          <cell r="A713">
            <v>45266</v>
          </cell>
          <cell r="D713">
            <v>2.02</v>
          </cell>
          <cell r="F713">
            <v>383.8</v>
          </cell>
        </row>
        <row r="714">
          <cell r="A714">
            <v>45273</v>
          </cell>
          <cell r="D714">
            <v>1.87</v>
          </cell>
          <cell r="F714">
            <v>355.3</v>
          </cell>
        </row>
        <row r="715">
          <cell r="A715">
            <v>45280</v>
          </cell>
          <cell r="D715">
            <v>1.88</v>
          </cell>
          <cell r="F715">
            <v>357.2</v>
          </cell>
        </row>
        <row r="716">
          <cell r="A716">
            <v>45289</v>
          </cell>
          <cell r="D716">
            <v>1.73</v>
          </cell>
          <cell r="F716">
            <v>328.7</v>
          </cell>
        </row>
        <row r="717">
          <cell r="A717">
            <v>45294</v>
          </cell>
          <cell r="D717">
            <v>1.8</v>
          </cell>
          <cell r="F717">
            <v>342</v>
          </cell>
        </row>
        <row r="718">
          <cell r="A718">
            <v>45301</v>
          </cell>
          <cell r="D718">
            <v>1.63</v>
          </cell>
          <cell r="F718">
            <v>309.7</v>
          </cell>
        </row>
        <row r="719">
          <cell r="A719">
            <v>45308</v>
          </cell>
          <cell r="D719">
            <v>1.73</v>
          </cell>
          <cell r="F719">
            <v>328.7</v>
          </cell>
        </row>
        <row r="720">
          <cell r="A720">
            <v>45315</v>
          </cell>
          <cell r="D720">
            <v>1.82</v>
          </cell>
          <cell r="F720">
            <v>345.8</v>
          </cell>
        </row>
        <row r="721">
          <cell r="A721">
            <v>45322</v>
          </cell>
          <cell r="D721">
            <v>1.99</v>
          </cell>
          <cell r="F721">
            <v>378.09999999999997</v>
          </cell>
        </row>
        <row r="722">
          <cell r="A722">
            <v>45329</v>
          </cell>
          <cell r="D722">
            <v>1.91</v>
          </cell>
          <cell r="F722">
            <v>362.9</v>
          </cell>
        </row>
        <row r="723">
          <cell r="A723">
            <v>45334</v>
          </cell>
          <cell r="D723">
            <v>0.79</v>
          </cell>
          <cell r="F723">
            <v>150.10000000000002</v>
          </cell>
        </row>
        <row r="724">
          <cell r="A724">
            <v>45350</v>
          </cell>
          <cell r="D724">
            <v>1.1299999999999999</v>
          </cell>
          <cell r="F724">
            <v>214.69999999999996</v>
          </cell>
        </row>
        <row r="725">
          <cell r="A725">
            <v>45366</v>
          </cell>
          <cell r="D725">
            <v>1.64</v>
          </cell>
          <cell r="F725">
            <v>311.59999999999997</v>
          </cell>
        </row>
        <row r="726">
          <cell r="A726">
            <v>45373</v>
          </cell>
          <cell r="D726">
            <v>1.53</v>
          </cell>
          <cell r="F726">
            <v>290.7</v>
          </cell>
        </row>
        <row r="727">
          <cell r="A727">
            <v>45380</v>
          </cell>
          <cell r="D727">
            <v>1.52</v>
          </cell>
          <cell r="F727">
            <v>288.8</v>
          </cell>
        </row>
        <row r="728">
          <cell r="A728">
            <v>45387</v>
          </cell>
          <cell r="D728">
            <v>1.52</v>
          </cell>
          <cell r="F728">
            <v>288.8</v>
          </cell>
        </row>
        <row r="729">
          <cell r="A729">
            <v>45394</v>
          </cell>
          <cell r="D729">
            <v>1.77</v>
          </cell>
          <cell r="F729">
            <v>336.3</v>
          </cell>
          <cell r="H729">
            <v>3.91</v>
          </cell>
        </row>
        <row r="730">
          <cell r="A730">
            <v>45401</v>
          </cell>
          <cell r="D730">
            <v>1.95</v>
          </cell>
          <cell r="F730">
            <v>370.5</v>
          </cell>
          <cell r="H730">
            <v>3.91</v>
          </cell>
        </row>
        <row r="731">
          <cell r="A731">
            <v>45408</v>
          </cell>
          <cell r="D731">
            <v>1.92</v>
          </cell>
          <cell r="F731">
            <v>364.8</v>
          </cell>
        </row>
        <row r="732">
          <cell r="A732">
            <v>45415</v>
          </cell>
          <cell r="D732">
            <v>1.72</v>
          </cell>
          <cell r="F732">
            <v>326.79999999999995</v>
          </cell>
        </row>
        <row r="733">
          <cell r="A733">
            <v>45422</v>
          </cell>
          <cell r="D733">
            <v>1.8</v>
          </cell>
          <cell r="F733">
            <v>342</v>
          </cell>
        </row>
        <row r="734">
          <cell r="A734">
            <v>45429</v>
          </cell>
          <cell r="D734">
            <v>1.89</v>
          </cell>
          <cell r="F734">
            <v>359.09999999999997</v>
          </cell>
        </row>
        <row r="735">
          <cell r="A735">
            <v>45436</v>
          </cell>
          <cell r="D735">
            <v>2.0099999999999998</v>
          </cell>
          <cell r="F735">
            <v>381.9</v>
          </cell>
        </row>
        <row r="736">
          <cell r="A736">
            <v>45443</v>
          </cell>
          <cell r="D736">
            <v>2.16</v>
          </cell>
          <cell r="F736">
            <v>410.40000000000003</v>
          </cell>
        </row>
        <row r="737">
          <cell r="A737">
            <v>45450</v>
          </cell>
          <cell r="D737">
            <v>1.97</v>
          </cell>
          <cell r="F737">
            <v>374.3</v>
          </cell>
        </row>
        <row r="738">
          <cell r="A738">
            <v>45457</v>
          </cell>
          <cell r="D738">
            <v>1.9</v>
          </cell>
          <cell r="F738">
            <v>361</v>
          </cell>
        </row>
        <row r="739">
          <cell r="A739">
            <v>45464</v>
          </cell>
          <cell r="D739">
            <v>1.94</v>
          </cell>
          <cell r="F739">
            <v>368.59999999999997</v>
          </cell>
        </row>
        <row r="740">
          <cell r="A740">
            <v>45471</v>
          </cell>
          <cell r="D740">
            <v>2.1800000000000002</v>
          </cell>
          <cell r="F740">
            <v>414.2</v>
          </cell>
        </row>
        <row r="741">
          <cell r="A741">
            <v>45478</v>
          </cell>
          <cell r="D741">
            <v>1.99</v>
          </cell>
          <cell r="F741">
            <v>378.09999999999997</v>
          </cell>
        </row>
        <row r="742">
          <cell r="A742">
            <v>45485</v>
          </cell>
          <cell r="D742">
            <v>2.06</v>
          </cell>
          <cell r="F742">
            <v>391.40000000000003</v>
          </cell>
        </row>
        <row r="743">
          <cell r="A743">
            <v>45492</v>
          </cell>
          <cell r="D743">
            <v>1.9</v>
          </cell>
          <cell r="F743">
            <v>361</v>
          </cell>
        </row>
        <row r="744">
          <cell r="A744">
            <v>45499</v>
          </cell>
          <cell r="D744">
            <v>1.97</v>
          </cell>
          <cell r="F744">
            <v>374.3</v>
          </cell>
        </row>
        <row r="745">
          <cell r="A745">
            <v>45506</v>
          </cell>
          <cell r="D745">
            <v>2.0699999999999998</v>
          </cell>
          <cell r="F745">
            <v>393.29999999999995</v>
          </cell>
        </row>
        <row r="746">
          <cell r="A746">
            <v>45513</v>
          </cell>
          <cell r="D746">
            <v>2.08</v>
          </cell>
          <cell r="F746">
            <v>395.2</v>
          </cell>
        </row>
        <row r="747">
          <cell r="A747">
            <v>45520</v>
          </cell>
          <cell r="D747">
            <v>2.02</v>
          </cell>
          <cell r="F747">
            <v>383.8</v>
          </cell>
        </row>
        <row r="748">
          <cell r="A748">
            <v>45527</v>
          </cell>
          <cell r="D748">
            <v>2.0499999999999998</v>
          </cell>
          <cell r="F748">
            <v>389.49999999999994</v>
          </cell>
        </row>
        <row r="749">
          <cell r="A749">
            <v>45534</v>
          </cell>
          <cell r="D749">
            <v>2.0499999999999998</v>
          </cell>
          <cell r="F749">
            <v>389.49999999999994</v>
          </cell>
        </row>
        <row r="750">
          <cell r="A750">
            <v>45541</v>
          </cell>
          <cell r="D750">
            <v>2.2000000000000002</v>
          </cell>
          <cell r="F750">
            <v>418.00000000000006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4E0C-F331-4F34-B6CC-8CE45F82DDB3}">
  <dimension ref="A1:BR1255"/>
  <sheetViews>
    <sheetView tabSelected="1" zoomScaleNormal="100" workbookViewId="0">
      <pane xSplit="1" ySplit="1" topLeftCell="F737" activePane="bottomRight" state="frozen"/>
      <selection pane="topRight" activeCell="B1" sqref="B1"/>
      <selection pane="bottomLeft" activeCell="A3" sqref="A3"/>
      <selection pane="bottomRight" activeCell="I738" sqref="I738"/>
    </sheetView>
  </sheetViews>
  <sheetFormatPr defaultColWidth="9.140625" defaultRowHeight="15" x14ac:dyDescent="0.25"/>
  <cols>
    <col min="1" max="1" width="12.5703125" style="1" bestFit="1" customWidth="1"/>
    <col min="2" max="2" width="9.140625" style="1"/>
    <col min="3" max="3" width="10" style="1" bestFit="1" customWidth="1"/>
    <col min="4" max="6" width="11.42578125" style="1" customWidth="1"/>
    <col min="8" max="10" width="11.42578125" style="1" customWidth="1"/>
    <col min="12" max="12" width="10.7109375" style="1" customWidth="1"/>
    <col min="13" max="14" width="10.7109375" customWidth="1"/>
    <col min="16" max="21" width="11.42578125" style="1" customWidth="1"/>
    <col min="22" max="23" width="9.140625" style="1"/>
    <col min="24" max="25" width="11.42578125" style="1" customWidth="1"/>
    <col min="26" max="51" width="9.140625" style="1"/>
    <col min="52" max="52" width="9.85546875" style="1" bestFit="1" customWidth="1"/>
    <col min="53" max="16384" width="9.140625" style="1"/>
  </cols>
  <sheetData>
    <row r="1" spans="1:19" ht="85.5" x14ac:dyDescent="0.25">
      <c r="D1" s="2" t="s">
        <v>0</v>
      </c>
      <c r="E1" s="2" t="s">
        <v>1</v>
      </c>
      <c r="F1" s="2" t="s">
        <v>2</v>
      </c>
      <c r="H1" s="2" t="s">
        <v>3</v>
      </c>
      <c r="I1" s="2" t="s">
        <v>4</v>
      </c>
      <c r="J1" s="2" t="s">
        <v>5</v>
      </c>
      <c r="L1" s="2" t="s">
        <v>6</v>
      </c>
      <c r="M1" s="2" t="s">
        <v>7</v>
      </c>
      <c r="N1" s="2" t="s">
        <v>8</v>
      </c>
      <c r="O1" s="2"/>
      <c r="P1" s="2" t="s">
        <v>9</v>
      </c>
      <c r="Q1" s="2" t="s">
        <v>10</v>
      </c>
      <c r="R1" s="2"/>
      <c r="S1" s="2" t="s">
        <v>11</v>
      </c>
    </row>
    <row r="2" spans="1:19" x14ac:dyDescent="0.25">
      <c r="A2" s="3">
        <v>40280</v>
      </c>
      <c r="B2" s="1">
        <f t="shared" ref="B2:B65" si="0">MONTH(A2)</f>
        <v>4</v>
      </c>
      <c r="C2" s="1">
        <f t="shared" ref="C2:C65" si="1">YEAR(A2)</f>
        <v>2010</v>
      </c>
      <c r="D2" s="4">
        <v>0.91549999999999998</v>
      </c>
      <c r="E2" s="4"/>
      <c r="F2" s="5"/>
      <c r="H2" s="4"/>
      <c r="I2" s="4"/>
      <c r="J2" s="4"/>
      <c r="P2" s="6">
        <f t="shared" ref="P2:P65" si="2">D2*52</f>
        <v>47.606000000000002</v>
      </c>
      <c r="S2" s="4">
        <v>74.75</v>
      </c>
    </row>
    <row r="3" spans="1:19" x14ac:dyDescent="0.25">
      <c r="A3" s="3">
        <v>40287</v>
      </c>
      <c r="B3" s="1">
        <f t="shared" si="0"/>
        <v>4</v>
      </c>
      <c r="C3" s="1">
        <f t="shared" si="1"/>
        <v>2010</v>
      </c>
      <c r="D3" s="4">
        <v>0.9194</v>
      </c>
      <c r="E3" s="4"/>
      <c r="F3" s="5"/>
      <c r="H3" s="4"/>
      <c r="I3" s="4"/>
      <c r="J3" s="4"/>
      <c r="P3" s="6">
        <f t="shared" si="2"/>
        <v>47.808799999999998</v>
      </c>
      <c r="S3" s="4">
        <v>74.75</v>
      </c>
    </row>
    <row r="4" spans="1:19" x14ac:dyDescent="0.25">
      <c r="A4" s="3">
        <v>40294</v>
      </c>
      <c r="B4" s="1">
        <f t="shared" si="0"/>
        <v>4</v>
      </c>
      <c r="C4" s="1">
        <f t="shared" si="1"/>
        <v>2010</v>
      </c>
      <c r="D4" s="4">
        <v>0.91920000000000002</v>
      </c>
      <c r="E4" s="4"/>
      <c r="F4" s="5"/>
      <c r="H4" s="4"/>
      <c r="I4" s="4"/>
      <c r="J4" s="4"/>
      <c r="P4" s="6">
        <f t="shared" si="2"/>
        <v>47.798400000000001</v>
      </c>
      <c r="S4" s="4">
        <v>74.75</v>
      </c>
    </row>
    <row r="5" spans="1:19" x14ac:dyDescent="0.25">
      <c r="A5" s="3">
        <v>40301</v>
      </c>
      <c r="B5" s="1">
        <f t="shared" si="0"/>
        <v>5</v>
      </c>
      <c r="C5" s="1">
        <f t="shared" si="1"/>
        <v>2010</v>
      </c>
      <c r="D5" s="4">
        <v>0.98585</v>
      </c>
      <c r="E5" s="4"/>
      <c r="F5" s="5"/>
      <c r="H5" s="4"/>
      <c r="I5" s="4"/>
      <c r="J5" s="4"/>
      <c r="P5" s="6">
        <f t="shared" si="2"/>
        <v>51.264200000000002</v>
      </c>
      <c r="S5" s="4">
        <v>118.3</v>
      </c>
    </row>
    <row r="6" spans="1:19" x14ac:dyDescent="0.25">
      <c r="A6" s="3">
        <v>40308</v>
      </c>
      <c r="B6" s="1">
        <f t="shared" si="0"/>
        <v>5</v>
      </c>
      <c r="C6" s="1">
        <f t="shared" si="1"/>
        <v>2010</v>
      </c>
      <c r="D6" s="4">
        <v>0.96135000000000004</v>
      </c>
      <c r="E6" s="4"/>
      <c r="F6" s="5"/>
      <c r="H6" s="4"/>
      <c r="I6" s="4"/>
      <c r="J6" s="4"/>
      <c r="P6" s="6">
        <f t="shared" si="2"/>
        <v>49.990200000000002</v>
      </c>
      <c r="S6" s="4">
        <v>79.05</v>
      </c>
    </row>
    <row r="7" spans="1:19" x14ac:dyDescent="0.25">
      <c r="A7" s="3">
        <v>40315</v>
      </c>
      <c r="B7" s="1">
        <f t="shared" si="0"/>
        <v>5</v>
      </c>
      <c r="C7" s="1">
        <f t="shared" si="1"/>
        <v>2010</v>
      </c>
      <c r="D7" s="4">
        <v>0.98729999999999996</v>
      </c>
      <c r="E7" s="4"/>
      <c r="F7" s="5"/>
      <c r="H7" s="4"/>
      <c r="I7" s="4"/>
      <c r="J7" s="4"/>
      <c r="P7" s="6">
        <f t="shared" si="2"/>
        <v>51.339599999999997</v>
      </c>
      <c r="S7" s="4">
        <v>47.75</v>
      </c>
    </row>
    <row r="8" spans="1:19" x14ac:dyDescent="0.25">
      <c r="A8" s="3">
        <v>40322</v>
      </c>
      <c r="B8" s="1">
        <f t="shared" si="0"/>
        <v>5</v>
      </c>
      <c r="C8" s="1">
        <f t="shared" si="1"/>
        <v>2010</v>
      </c>
      <c r="D8" s="4">
        <v>1.0085500000000001</v>
      </c>
      <c r="E8" s="4"/>
      <c r="F8" s="5"/>
      <c r="H8" s="4"/>
      <c r="I8" s="4"/>
      <c r="J8" s="4"/>
      <c r="P8" s="6">
        <f t="shared" si="2"/>
        <v>52.444600000000001</v>
      </c>
      <c r="S8" s="4">
        <v>-40</v>
      </c>
    </row>
    <row r="9" spans="1:19" x14ac:dyDescent="0.25">
      <c r="A9" s="3">
        <v>40329</v>
      </c>
      <c r="B9" s="1">
        <f t="shared" si="0"/>
        <v>5</v>
      </c>
      <c r="C9" s="1">
        <f t="shared" si="1"/>
        <v>2010</v>
      </c>
      <c r="D9" s="4">
        <v>0.97199999999999998</v>
      </c>
      <c r="E9" s="4"/>
      <c r="F9" s="5"/>
      <c r="H9" s="4"/>
      <c r="I9" s="4"/>
      <c r="J9" s="4"/>
      <c r="P9" s="6">
        <f t="shared" si="2"/>
        <v>50.543999999999997</v>
      </c>
      <c r="S9" s="4">
        <v>-60.65</v>
      </c>
    </row>
    <row r="10" spans="1:19" x14ac:dyDescent="0.25">
      <c r="A10" s="3">
        <v>40336</v>
      </c>
      <c r="B10" s="1">
        <f t="shared" si="0"/>
        <v>6</v>
      </c>
      <c r="C10" s="1">
        <f t="shared" si="1"/>
        <v>2010</v>
      </c>
      <c r="D10" s="4">
        <v>0.97299999999999998</v>
      </c>
      <c r="E10" s="4"/>
      <c r="F10" s="5"/>
      <c r="H10" s="4"/>
      <c r="I10" s="4"/>
      <c r="J10" s="4"/>
      <c r="P10" s="6">
        <f t="shared" si="2"/>
        <v>50.595999999999997</v>
      </c>
      <c r="S10" s="4">
        <v>-119.8</v>
      </c>
    </row>
    <row r="11" spans="1:19" x14ac:dyDescent="0.25">
      <c r="A11" s="3">
        <v>40343</v>
      </c>
      <c r="B11" s="1">
        <f t="shared" si="0"/>
        <v>6</v>
      </c>
      <c r="C11" s="1">
        <f t="shared" si="1"/>
        <v>2010</v>
      </c>
      <c r="D11" s="4">
        <v>1.0824499999999999</v>
      </c>
      <c r="E11" s="4"/>
      <c r="F11" s="5"/>
      <c r="H11" s="4"/>
      <c r="I11" s="4"/>
      <c r="J11" s="4"/>
      <c r="P11" s="6">
        <f t="shared" si="2"/>
        <v>56.287399999999998</v>
      </c>
      <c r="S11" s="4">
        <v>-119.8</v>
      </c>
    </row>
    <row r="12" spans="1:19" x14ac:dyDescent="0.25">
      <c r="A12" s="3">
        <v>40350</v>
      </c>
      <c r="B12" s="1">
        <f t="shared" si="0"/>
        <v>6</v>
      </c>
      <c r="C12" s="1">
        <f t="shared" si="1"/>
        <v>2010</v>
      </c>
      <c r="D12" s="4">
        <v>1.0886</v>
      </c>
      <c r="E12" s="4"/>
      <c r="F12" s="5"/>
      <c r="H12" s="4"/>
      <c r="I12" s="4"/>
      <c r="J12" s="4"/>
      <c r="P12" s="6">
        <f t="shared" si="2"/>
        <v>56.607199999999999</v>
      </c>
      <c r="S12" s="4">
        <v>-9.15</v>
      </c>
    </row>
    <row r="13" spans="1:19" x14ac:dyDescent="0.25">
      <c r="A13" s="3">
        <v>40357</v>
      </c>
      <c r="B13" s="1">
        <f t="shared" si="0"/>
        <v>6</v>
      </c>
      <c r="C13" s="1">
        <f t="shared" si="1"/>
        <v>2010</v>
      </c>
      <c r="D13" s="4">
        <v>1.0570999999999999</v>
      </c>
      <c r="E13" s="4"/>
      <c r="F13" s="5"/>
      <c r="H13" s="4"/>
      <c r="I13" s="4"/>
      <c r="J13" s="4"/>
      <c r="P13" s="6">
        <f t="shared" si="2"/>
        <v>54.969199999999994</v>
      </c>
      <c r="S13" s="4">
        <v>-17</v>
      </c>
    </row>
    <row r="14" spans="1:19" x14ac:dyDescent="0.25">
      <c r="A14" s="3">
        <v>40364</v>
      </c>
      <c r="B14" s="1">
        <f t="shared" si="0"/>
        <v>7</v>
      </c>
      <c r="C14" s="1">
        <f t="shared" si="1"/>
        <v>2010</v>
      </c>
      <c r="D14" s="4">
        <v>1.1034999999999999</v>
      </c>
      <c r="E14" s="4"/>
      <c r="F14" s="5"/>
      <c r="H14" s="4"/>
      <c r="I14" s="4"/>
      <c r="J14" s="4"/>
      <c r="P14" s="6">
        <f t="shared" si="2"/>
        <v>57.381999999999998</v>
      </c>
      <c r="S14" s="4">
        <v>22.25</v>
      </c>
    </row>
    <row r="15" spans="1:19" x14ac:dyDescent="0.25">
      <c r="A15" s="3">
        <v>40371</v>
      </c>
      <c r="B15" s="1">
        <f t="shared" si="0"/>
        <v>7</v>
      </c>
      <c r="C15" s="1">
        <f t="shared" si="1"/>
        <v>2010</v>
      </c>
      <c r="D15" s="4">
        <v>1.1500999999999999</v>
      </c>
      <c r="E15" s="4"/>
      <c r="F15" s="5"/>
      <c r="H15" s="4"/>
      <c r="I15" s="4"/>
      <c r="J15" s="4"/>
      <c r="P15" s="6">
        <f t="shared" si="2"/>
        <v>59.805199999999992</v>
      </c>
      <c r="S15" s="4">
        <v>118.5</v>
      </c>
    </row>
    <row r="16" spans="1:19" x14ac:dyDescent="0.25">
      <c r="A16" s="3">
        <v>40378</v>
      </c>
      <c r="B16" s="1">
        <f t="shared" si="0"/>
        <v>7</v>
      </c>
      <c r="C16" s="1">
        <f t="shared" si="1"/>
        <v>2010</v>
      </c>
      <c r="D16" s="4">
        <v>1.0128999999999999</v>
      </c>
      <c r="E16" s="4"/>
      <c r="F16" s="5"/>
      <c r="H16" s="4"/>
      <c r="I16" s="4"/>
      <c r="J16" s="4"/>
      <c r="P16" s="6">
        <f t="shared" si="2"/>
        <v>52.670799999999993</v>
      </c>
      <c r="S16" s="4">
        <v>118.5</v>
      </c>
    </row>
    <row r="17" spans="1:19" x14ac:dyDescent="0.25">
      <c r="A17" s="3">
        <v>40385</v>
      </c>
      <c r="B17" s="1">
        <f t="shared" si="0"/>
        <v>7</v>
      </c>
      <c r="C17" s="1">
        <f t="shared" si="1"/>
        <v>2010</v>
      </c>
      <c r="D17" s="4">
        <v>1.042</v>
      </c>
      <c r="E17" s="4"/>
      <c r="F17" s="5"/>
      <c r="H17" s="4"/>
      <c r="I17" s="4"/>
      <c r="J17" s="4"/>
      <c r="P17" s="6">
        <f t="shared" si="2"/>
        <v>54.184000000000005</v>
      </c>
      <c r="S17" s="4">
        <v>130.30000000000001</v>
      </c>
    </row>
    <row r="18" spans="1:19" x14ac:dyDescent="0.25">
      <c r="A18" s="3">
        <v>40392</v>
      </c>
      <c r="B18" s="1">
        <f t="shared" si="0"/>
        <v>8</v>
      </c>
      <c r="C18" s="1">
        <f t="shared" si="1"/>
        <v>2010</v>
      </c>
      <c r="D18" s="4">
        <v>1.1069</v>
      </c>
      <c r="E18" s="4"/>
      <c r="F18" s="5"/>
      <c r="H18" s="4"/>
      <c r="I18" s="4"/>
      <c r="J18" s="4"/>
      <c r="P18" s="6">
        <f t="shared" si="2"/>
        <v>57.558799999999998</v>
      </c>
      <c r="S18" s="4">
        <v>198.1</v>
      </c>
    </row>
    <row r="19" spans="1:19" x14ac:dyDescent="0.25">
      <c r="A19" s="3">
        <v>40399</v>
      </c>
      <c r="B19" s="1">
        <f t="shared" si="0"/>
        <v>8</v>
      </c>
      <c r="C19" s="1">
        <f t="shared" si="1"/>
        <v>2010</v>
      </c>
      <c r="D19" s="4">
        <v>1.1213</v>
      </c>
      <c r="E19" s="4"/>
      <c r="F19" s="5"/>
      <c r="H19" s="4"/>
      <c r="I19" s="4"/>
      <c r="J19" s="4"/>
      <c r="P19" s="6">
        <f t="shared" si="2"/>
        <v>58.307600000000001</v>
      </c>
      <c r="S19" s="4">
        <v>149.5</v>
      </c>
    </row>
    <row r="20" spans="1:19" x14ac:dyDescent="0.25">
      <c r="A20" s="3">
        <v>40406</v>
      </c>
      <c r="B20" s="1">
        <f t="shared" si="0"/>
        <v>8</v>
      </c>
      <c r="C20" s="1">
        <f t="shared" si="1"/>
        <v>2010</v>
      </c>
      <c r="D20" s="4">
        <v>1.13435</v>
      </c>
      <c r="E20" s="4"/>
      <c r="F20" s="5"/>
      <c r="H20" s="4">
        <v>6.02</v>
      </c>
      <c r="I20" s="4"/>
      <c r="J20" s="4"/>
      <c r="P20" s="6">
        <f t="shared" si="2"/>
        <v>58.986199999999997</v>
      </c>
      <c r="Q20" s="6">
        <f t="shared" ref="Q20:Q83" si="3">IF(H20="","",IF(D20="","",H20/(D20/7)))</f>
        <v>37.149028077753776</v>
      </c>
      <c r="S20" s="4">
        <v>175</v>
      </c>
    </row>
    <row r="21" spans="1:19" x14ac:dyDescent="0.25">
      <c r="A21" s="3">
        <v>40413</v>
      </c>
      <c r="B21" s="1">
        <f t="shared" si="0"/>
        <v>8</v>
      </c>
      <c r="C21" s="1">
        <f t="shared" si="1"/>
        <v>2010</v>
      </c>
      <c r="D21" s="4">
        <v>0.99124999999999996</v>
      </c>
      <c r="E21" s="4"/>
      <c r="F21" s="5"/>
      <c r="H21" s="4">
        <v>6.1</v>
      </c>
      <c r="I21" s="4"/>
      <c r="J21" s="4"/>
      <c r="P21" s="6">
        <f t="shared" si="2"/>
        <v>51.545000000000002</v>
      </c>
      <c r="Q21" s="6">
        <f t="shared" si="3"/>
        <v>43.07692307692308</v>
      </c>
      <c r="S21" s="4">
        <v>165.75</v>
      </c>
    </row>
    <row r="22" spans="1:19" x14ac:dyDescent="0.25">
      <c r="A22" s="3">
        <v>40420</v>
      </c>
      <c r="B22" s="1">
        <f t="shared" si="0"/>
        <v>8</v>
      </c>
      <c r="C22" s="1">
        <f t="shared" si="1"/>
        <v>2010</v>
      </c>
      <c r="D22" s="4">
        <v>1.0474000000000001</v>
      </c>
      <c r="E22" s="4"/>
      <c r="F22" s="5"/>
      <c r="H22" s="4">
        <v>6.0190000000000001</v>
      </c>
      <c r="I22" s="4"/>
      <c r="J22" s="4"/>
      <c r="P22" s="6">
        <f t="shared" si="2"/>
        <v>54.464800000000004</v>
      </c>
      <c r="Q22" s="6">
        <f t="shared" si="3"/>
        <v>40.226274584685882</v>
      </c>
      <c r="S22" s="4">
        <v>165.75</v>
      </c>
    </row>
    <row r="23" spans="1:19" x14ac:dyDescent="0.25">
      <c r="A23" s="3">
        <v>40427</v>
      </c>
      <c r="B23" s="1">
        <f t="shared" si="0"/>
        <v>9</v>
      </c>
      <c r="C23" s="1">
        <f t="shared" si="1"/>
        <v>2010</v>
      </c>
      <c r="D23" s="4">
        <v>1.0507</v>
      </c>
      <c r="E23" s="4"/>
      <c r="F23" s="5"/>
      <c r="H23" s="4">
        <v>5.8129999999999997</v>
      </c>
      <c r="I23" s="4"/>
      <c r="J23" s="4"/>
      <c r="P23" s="6">
        <f t="shared" si="2"/>
        <v>54.636399999999995</v>
      </c>
      <c r="Q23" s="6">
        <f t="shared" si="3"/>
        <v>38.727514990006668</v>
      </c>
      <c r="S23" s="4">
        <v>65.75</v>
      </c>
    </row>
    <row r="24" spans="1:19" x14ac:dyDescent="0.25">
      <c r="A24" s="3">
        <v>40434</v>
      </c>
      <c r="B24" s="1">
        <f t="shared" si="0"/>
        <v>9</v>
      </c>
      <c r="C24" s="1">
        <f t="shared" si="1"/>
        <v>2010</v>
      </c>
      <c r="D24" s="4">
        <v>1.1382000000000001</v>
      </c>
      <c r="E24" s="4"/>
      <c r="F24" s="5"/>
      <c r="H24" s="4">
        <v>6.0379999999999994</v>
      </c>
      <c r="I24" s="4"/>
      <c r="J24" s="4"/>
      <c r="P24" s="6">
        <f t="shared" si="2"/>
        <v>59.186400000000006</v>
      </c>
      <c r="Q24" s="6">
        <f t="shared" si="3"/>
        <v>37.134071340713398</v>
      </c>
      <c r="S24" s="4">
        <v>6.5</v>
      </c>
    </row>
    <row r="25" spans="1:19" x14ac:dyDescent="0.25">
      <c r="A25" s="3">
        <v>40441</v>
      </c>
      <c r="B25" s="1">
        <f t="shared" si="0"/>
        <v>9</v>
      </c>
      <c r="C25" s="1">
        <f t="shared" si="1"/>
        <v>2010</v>
      </c>
      <c r="D25" s="4">
        <v>1.1615</v>
      </c>
      <c r="E25" s="4"/>
      <c r="F25" s="5"/>
      <c r="H25" s="4">
        <v>5.8870000000000005</v>
      </c>
      <c r="I25" s="4"/>
      <c r="J25" s="4"/>
      <c r="P25" s="6">
        <f t="shared" si="2"/>
        <v>60.397999999999996</v>
      </c>
      <c r="Q25" s="6">
        <f t="shared" si="3"/>
        <v>35.479121825226002</v>
      </c>
      <c r="S25" s="4">
        <v>6.5</v>
      </c>
    </row>
    <row r="26" spans="1:19" x14ac:dyDescent="0.25">
      <c r="A26" s="3">
        <v>40448</v>
      </c>
      <c r="B26" s="1">
        <f t="shared" si="0"/>
        <v>9</v>
      </c>
      <c r="C26" s="1">
        <f t="shared" si="1"/>
        <v>2010</v>
      </c>
      <c r="D26" s="4">
        <v>1.0076000000000001</v>
      </c>
      <c r="E26" s="4"/>
      <c r="F26" s="5"/>
      <c r="H26" s="4">
        <v>5.8039999999999994</v>
      </c>
      <c r="I26" s="4"/>
      <c r="J26" s="4"/>
      <c r="P26" s="6">
        <f t="shared" si="2"/>
        <v>52.395200000000003</v>
      </c>
      <c r="Q26" s="6">
        <f t="shared" si="3"/>
        <v>40.321556173084552</v>
      </c>
      <c r="S26" s="4">
        <v>215.25</v>
      </c>
    </row>
    <row r="27" spans="1:19" x14ac:dyDescent="0.25">
      <c r="A27" s="3">
        <v>40455</v>
      </c>
      <c r="B27" s="1">
        <f t="shared" si="0"/>
        <v>10</v>
      </c>
      <c r="C27" s="1">
        <f t="shared" si="1"/>
        <v>2010</v>
      </c>
      <c r="D27" s="4">
        <v>0.88990000000000002</v>
      </c>
      <c r="E27" s="4"/>
      <c r="F27" s="5"/>
      <c r="H27" s="4"/>
      <c r="I27" s="4"/>
      <c r="J27" s="4"/>
      <c r="P27" s="6">
        <f t="shared" si="2"/>
        <v>46.274799999999999</v>
      </c>
      <c r="Q27" s="6" t="str">
        <f t="shared" si="3"/>
        <v/>
      </c>
      <c r="S27" s="4">
        <v>310</v>
      </c>
    </row>
    <row r="28" spans="1:19" x14ac:dyDescent="0.25">
      <c r="A28" s="3">
        <v>40462</v>
      </c>
      <c r="B28" s="1">
        <f t="shared" si="0"/>
        <v>10</v>
      </c>
      <c r="C28" s="1">
        <f t="shared" si="1"/>
        <v>2010</v>
      </c>
      <c r="D28" s="4">
        <v>1.1870000000000001</v>
      </c>
      <c r="E28" s="4"/>
      <c r="F28" s="5"/>
      <c r="H28" s="4">
        <v>5.6655999999999995</v>
      </c>
      <c r="I28" s="4"/>
      <c r="J28" s="4"/>
      <c r="P28" s="6">
        <f t="shared" si="2"/>
        <v>61.724000000000004</v>
      </c>
      <c r="Q28" s="6">
        <f t="shared" si="3"/>
        <v>33.411288963774219</v>
      </c>
      <c r="S28" s="4">
        <v>381.75</v>
      </c>
    </row>
    <row r="29" spans="1:19" x14ac:dyDescent="0.25">
      <c r="A29" s="3">
        <v>40469</v>
      </c>
      <c r="B29" s="1">
        <f t="shared" si="0"/>
        <v>10</v>
      </c>
      <c r="C29" s="1">
        <f t="shared" si="1"/>
        <v>2010</v>
      </c>
      <c r="D29" s="4">
        <v>1.2681</v>
      </c>
      <c r="E29" s="4"/>
      <c r="F29" s="5"/>
      <c r="H29" s="4">
        <v>5.4325000000000001</v>
      </c>
      <c r="I29" s="4"/>
      <c r="J29" s="4"/>
      <c r="P29" s="6">
        <f t="shared" si="2"/>
        <v>65.941199999999995</v>
      </c>
      <c r="Q29" s="6">
        <f t="shared" si="3"/>
        <v>29.987776989196437</v>
      </c>
      <c r="S29" s="4">
        <v>274</v>
      </c>
    </row>
    <row r="30" spans="1:19" x14ac:dyDescent="0.25">
      <c r="A30" s="3">
        <v>40476</v>
      </c>
      <c r="B30" s="1">
        <f t="shared" si="0"/>
        <v>10</v>
      </c>
      <c r="C30" s="1">
        <f t="shared" si="1"/>
        <v>2010</v>
      </c>
      <c r="D30" s="4">
        <v>1.1754500000000001</v>
      </c>
      <c r="E30" s="4"/>
      <c r="F30" s="5"/>
      <c r="H30" s="4">
        <v>5.3624999999999998</v>
      </c>
      <c r="I30" s="4"/>
      <c r="J30" s="4"/>
      <c r="P30" s="6">
        <f t="shared" si="2"/>
        <v>61.123400000000004</v>
      </c>
      <c r="Q30" s="6">
        <f t="shared" si="3"/>
        <v>31.934578246628949</v>
      </c>
      <c r="S30" s="4">
        <v>131</v>
      </c>
    </row>
    <row r="31" spans="1:19" x14ac:dyDescent="0.25">
      <c r="A31" s="3">
        <v>40483</v>
      </c>
      <c r="B31" s="1">
        <f t="shared" si="0"/>
        <v>11</v>
      </c>
      <c r="C31" s="1">
        <f t="shared" si="1"/>
        <v>2010</v>
      </c>
      <c r="D31" s="4">
        <v>1.1995</v>
      </c>
      <c r="E31" s="4"/>
      <c r="F31" s="5"/>
      <c r="H31" s="4">
        <v>5.63</v>
      </c>
      <c r="I31" s="4"/>
      <c r="J31" s="4"/>
      <c r="P31" s="6">
        <f t="shared" si="2"/>
        <v>62.374000000000002</v>
      </c>
      <c r="Q31" s="6">
        <f t="shared" si="3"/>
        <v>32.855356398499374</v>
      </c>
      <c r="S31" s="4">
        <v>339</v>
      </c>
    </row>
    <row r="32" spans="1:19" x14ac:dyDescent="0.25">
      <c r="A32" s="3">
        <v>40490</v>
      </c>
      <c r="B32" s="1">
        <f t="shared" si="0"/>
        <v>11</v>
      </c>
      <c r="C32" s="1">
        <f t="shared" si="1"/>
        <v>2010</v>
      </c>
      <c r="D32" s="4">
        <v>1.177</v>
      </c>
      <c r="E32" s="4"/>
      <c r="F32" s="5"/>
      <c r="H32" s="4">
        <v>5.835</v>
      </c>
      <c r="I32" s="4"/>
      <c r="J32" s="4"/>
      <c r="P32" s="6">
        <f t="shared" si="2"/>
        <v>61.204000000000001</v>
      </c>
      <c r="Q32" s="6">
        <f t="shared" si="3"/>
        <v>34.702633814783347</v>
      </c>
      <c r="S32" s="4">
        <v>407.5</v>
      </c>
    </row>
    <row r="33" spans="1:19" x14ac:dyDescent="0.25">
      <c r="A33" s="3">
        <v>40497</v>
      </c>
      <c r="B33" s="1">
        <f t="shared" si="0"/>
        <v>11</v>
      </c>
      <c r="C33" s="1">
        <f t="shared" si="1"/>
        <v>2010</v>
      </c>
      <c r="D33" s="4">
        <v>1.1934</v>
      </c>
      <c r="E33" s="4"/>
      <c r="F33" s="5"/>
      <c r="H33" s="4">
        <v>5.7685000000000004</v>
      </c>
      <c r="I33" s="4"/>
      <c r="J33" s="4"/>
      <c r="P33" s="6">
        <f t="shared" si="2"/>
        <v>62.056800000000003</v>
      </c>
      <c r="Q33" s="6">
        <f t="shared" si="3"/>
        <v>33.835679570973689</v>
      </c>
      <c r="S33" s="4">
        <v>407.5</v>
      </c>
    </row>
    <row r="34" spans="1:19" x14ac:dyDescent="0.25">
      <c r="A34" s="3">
        <v>40504</v>
      </c>
      <c r="B34" s="1">
        <f t="shared" si="0"/>
        <v>11</v>
      </c>
      <c r="C34" s="1">
        <f t="shared" si="1"/>
        <v>2010</v>
      </c>
      <c r="D34" s="4">
        <v>1.1566000000000001</v>
      </c>
      <c r="E34" s="4"/>
      <c r="F34" s="5"/>
      <c r="H34" s="4">
        <v>5.7726999999999995</v>
      </c>
      <c r="I34" s="4"/>
      <c r="J34" s="4"/>
      <c r="P34" s="6">
        <f t="shared" si="2"/>
        <v>60.143200000000007</v>
      </c>
      <c r="Q34" s="6">
        <f t="shared" si="3"/>
        <v>34.937662113090084</v>
      </c>
      <c r="S34" s="4">
        <v>60.5</v>
      </c>
    </row>
    <row r="35" spans="1:19" x14ac:dyDescent="0.25">
      <c r="A35" s="3">
        <v>40511</v>
      </c>
      <c r="B35" s="1">
        <f t="shared" si="0"/>
        <v>11</v>
      </c>
      <c r="C35" s="1">
        <f t="shared" si="1"/>
        <v>2010</v>
      </c>
      <c r="D35" s="4">
        <v>1.038</v>
      </c>
      <c r="E35" s="4"/>
      <c r="F35" s="5"/>
      <c r="H35" s="4">
        <v>5.9990999999999994</v>
      </c>
      <c r="I35" s="4"/>
      <c r="J35" s="4"/>
      <c r="P35" s="6">
        <f t="shared" si="2"/>
        <v>53.975999999999999</v>
      </c>
      <c r="Q35" s="6">
        <f t="shared" si="3"/>
        <v>40.456358381502881</v>
      </c>
      <c r="S35" s="4">
        <v>-17.5</v>
      </c>
    </row>
    <row r="36" spans="1:19" x14ac:dyDescent="0.25">
      <c r="A36" s="3">
        <v>40518</v>
      </c>
      <c r="B36" s="1">
        <f t="shared" si="0"/>
        <v>12</v>
      </c>
      <c r="C36" s="1">
        <f t="shared" si="1"/>
        <v>2010</v>
      </c>
      <c r="D36" s="4">
        <v>0.87429999999999997</v>
      </c>
      <c r="E36" s="4"/>
      <c r="F36" s="5"/>
      <c r="H36" s="4">
        <v>6.3447000000000005</v>
      </c>
      <c r="I36" s="4"/>
      <c r="J36" s="4"/>
      <c r="P36" s="6">
        <f t="shared" si="2"/>
        <v>45.4636</v>
      </c>
      <c r="Q36" s="6">
        <f t="shared" si="3"/>
        <v>50.7982385908727</v>
      </c>
      <c r="S36" s="4">
        <v>-17.5</v>
      </c>
    </row>
    <row r="37" spans="1:19" x14ac:dyDescent="0.25">
      <c r="A37" s="3">
        <v>40525</v>
      </c>
      <c r="B37" s="1">
        <f t="shared" si="0"/>
        <v>12</v>
      </c>
      <c r="C37" s="1">
        <f t="shared" si="1"/>
        <v>2010</v>
      </c>
      <c r="D37" s="4">
        <v>0.95250000000000001</v>
      </c>
      <c r="E37" s="4"/>
      <c r="F37" s="5"/>
      <c r="H37" s="4">
        <v>6.3733000000000004</v>
      </c>
      <c r="I37" s="4"/>
      <c r="J37" s="4"/>
      <c r="P37" s="6">
        <f t="shared" si="2"/>
        <v>49.53</v>
      </c>
      <c r="Q37" s="6">
        <f t="shared" si="3"/>
        <v>46.837900262467194</v>
      </c>
      <c r="S37" s="4">
        <v>-29</v>
      </c>
    </row>
    <row r="38" spans="1:19" x14ac:dyDescent="0.25">
      <c r="A38" s="3">
        <v>40532</v>
      </c>
      <c r="B38" s="1">
        <f t="shared" si="0"/>
        <v>12</v>
      </c>
      <c r="C38" s="1">
        <f t="shared" si="1"/>
        <v>2010</v>
      </c>
      <c r="D38" s="4">
        <v>1.0743499999999999</v>
      </c>
      <c r="E38" s="4"/>
      <c r="F38" s="5"/>
      <c r="H38" s="4">
        <v>6.3563000000000001</v>
      </c>
      <c r="I38" s="4"/>
      <c r="J38" s="4"/>
      <c r="P38" s="6">
        <f t="shared" si="2"/>
        <v>55.866199999999992</v>
      </c>
      <c r="Q38" s="6">
        <f t="shared" si="3"/>
        <v>41.414902033787875</v>
      </c>
      <c r="S38" s="4">
        <v>118</v>
      </c>
    </row>
    <row r="39" spans="1:19" x14ac:dyDescent="0.25">
      <c r="A39" s="3">
        <v>40539</v>
      </c>
      <c r="B39" s="1">
        <f t="shared" si="0"/>
        <v>12</v>
      </c>
      <c r="C39" s="1">
        <f t="shared" si="1"/>
        <v>2010</v>
      </c>
      <c r="D39" s="4">
        <v>0.99585000000000001</v>
      </c>
      <c r="E39" s="4"/>
      <c r="F39" s="5"/>
      <c r="H39" s="4">
        <v>6.2975000000000003</v>
      </c>
      <c r="I39" s="4"/>
      <c r="J39" s="4"/>
      <c r="P39" s="6">
        <f t="shared" si="2"/>
        <v>51.784199999999998</v>
      </c>
      <c r="Q39" s="6">
        <f t="shared" si="3"/>
        <v>44.266204749711306</v>
      </c>
      <c r="S39" s="4">
        <v>118</v>
      </c>
    </row>
    <row r="40" spans="1:19" x14ac:dyDescent="0.25">
      <c r="A40" s="3">
        <v>40546</v>
      </c>
      <c r="B40" s="1">
        <f t="shared" si="0"/>
        <v>1</v>
      </c>
      <c r="C40" s="1">
        <f t="shared" si="1"/>
        <v>2011</v>
      </c>
      <c r="D40" s="4">
        <v>1.0134000000000001</v>
      </c>
      <c r="E40" s="4"/>
      <c r="F40" s="5"/>
      <c r="H40" s="4">
        <v>6.2111000000000001</v>
      </c>
      <c r="I40" s="4"/>
      <c r="J40" s="4"/>
      <c r="P40" s="6">
        <f t="shared" si="2"/>
        <v>52.696800000000003</v>
      </c>
      <c r="Q40" s="6">
        <f t="shared" si="3"/>
        <v>42.902802447207421</v>
      </c>
      <c r="S40" s="4">
        <v>224.7</v>
      </c>
    </row>
    <row r="41" spans="1:19" x14ac:dyDescent="0.25">
      <c r="A41" s="3">
        <v>40553</v>
      </c>
      <c r="B41" s="1">
        <f t="shared" si="0"/>
        <v>1</v>
      </c>
      <c r="C41" s="1">
        <f t="shared" si="1"/>
        <v>2011</v>
      </c>
      <c r="D41" s="7">
        <f>AVERAGE(D40,D42)</f>
        <v>1.023825</v>
      </c>
      <c r="E41" s="4"/>
      <c r="F41" s="5"/>
      <c r="H41" s="4"/>
      <c r="I41" s="4"/>
      <c r="J41" s="4"/>
      <c r="P41" s="6">
        <f t="shared" si="2"/>
        <v>53.238900000000001</v>
      </c>
      <c r="Q41" s="6" t="str">
        <f t="shared" si="3"/>
        <v/>
      </c>
      <c r="S41" s="4">
        <v>96.75</v>
      </c>
    </row>
    <row r="42" spans="1:19" x14ac:dyDescent="0.25">
      <c r="A42" s="3">
        <v>40560</v>
      </c>
      <c r="B42" s="1">
        <f t="shared" si="0"/>
        <v>1</v>
      </c>
      <c r="C42" s="1">
        <f t="shared" si="1"/>
        <v>2011</v>
      </c>
      <c r="D42" s="4">
        <v>1.0342499999999999</v>
      </c>
      <c r="E42" s="4"/>
      <c r="F42" s="5"/>
      <c r="H42" s="4">
        <v>6.2290999999999999</v>
      </c>
      <c r="I42" s="4"/>
      <c r="J42" s="4"/>
      <c r="P42" s="6">
        <f t="shared" si="2"/>
        <v>53.780999999999992</v>
      </c>
      <c r="Q42" s="6">
        <f t="shared" si="3"/>
        <v>42.159729272419632</v>
      </c>
      <c r="S42" s="4">
        <v>48.25</v>
      </c>
    </row>
    <row r="43" spans="1:19" x14ac:dyDescent="0.25">
      <c r="A43" s="3">
        <v>40567</v>
      </c>
      <c r="B43" s="1">
        <f t="shared" si="0"/>
        <v>1</v>
      </c>
      <c r="C43" s="1">
        <f t="shared" si="1"/>
        <v>2011</v>
      </c>
      <c r="D43" s="4">
        <v>0.88949999999999996</v>
      </c>
      <c r="E43" s="4"/>
      <c r="F43" s="5"/>
      <c r="H43" s="4">
        <v>6.26</v>
      </c>
      <c r="I43" s="4"/>
      <c r="J43" s="4"/>
      <c r="P43" s="6">
        <f t="shared" si="2"/>
        <v>46.253999999999998</v>
      </c>
      <c r="Q43" s="6">
        <f t="shared" si="3"/>
        <v>49.263631253513211</v>
      </c>
      <c r="S43" s="4">
        <v>57.5</v>
      </c>
    </row>
    <row r="44" spans="1:19" x14ac:dyDescent="0.25">
      <c r="A44" s="3">
        <v>40574</v>
      </c>
      <c r="B44" s="1">
        <f t="shared" si="0"/>
        <v>1</v>
      </c>
      <c r="C44" s="1">
        <f t="shared" si="1"/>
        <v>2011</v>
      </c>
      <c r="D44" s="4">
        <v>0.24460000000000001</v>
      </c>
      <c r="E44" s="4"/>
      <c r="F44" s="5"/>
      <c r="H44" s="4"/>
      <c r="I44" s="4"/>
      <c r="J44" s="4"/>
      <c r="P44" s="6">
        <f t="shared" si="2"/>
        <v>12.719200000000001</v>
      </c>
      <c r="Q44" s="6" t="str">
        <f t="shared" si="3"/>
        <v/>
      </c>
      <c r="S44" s="4">
        <v>57.5</v>
      </c>
    </row>
    <row r="45" spans="1:19" x14ac:dyDescent="0.25">
      <c r="A45" s="3">
        <v>40581</v>
      </c>
      <c r="B45" s="1">
        <f t="shared" si="0"/>
        <v>2</v>
      </c>
      <c r="C45" s="1">
        <f t="shared" si="1"/>
        <v>2011</v>
      </c>
      <c r="D45" s="4">
        <v>0.28720000000000001</v>
      </c>
      <c r="E45" s="4"/>
      <c r="F45" s="5"/>
      <c r="H45" s="4"/>
      <c r="I45" s="4"/>
      <c r="J45" s="4"/>
      <c r="P45" s="6">
        <f t="shared" si="2"/>
        <v>14.9344</v>
      </c>
      <c r="Q45" s="6" t="str">
        <f t="shared" si="3"/>
        <v/>
      </c>
      <c r="S45" s="4">
        <v>165.15</v>
      </c>
    </row>
    <row r="46" spans="1:19" x14ac:dyDescent="0.25">
      <c r="A46" s="3">
        <v>40588</v>
      </c>
      <c r="B46" s="1">
        <f t="shared" si="0"/>
        <v>2</v>
      </c>
      <c r="C46" s="1">
        <f t="shared" si="1"/>
        <v>2011</v>
      </c>
      <c r="D46" s="4">
        <v>0.78195000000000003</v>
      </c>
      <c r="E46" s="4"/>
      <c r="F46" s="5"/>
      <c r="H46" s="4">
        <v>6.4007000000000005</v>
      </c>
      <c r="I46" s="4"/>
      <c r="J46" s="4"/>
      <c r="P46" s="6">
        <f t="shared" si="2"/>
        <v>40.6614</v>
      </c>
      <c r="Q46" s="6">
        <f t="shared" si="3"/>
        <v>57.298932156787515</v>
      </c>
      <c r="S46" s="4">
        <v>183.75</v>
      </c>
    </row>
    <row r="47" spans="1:19" x14ac:dyDescent="0.25">
      <c r="A47" s="3">
        <v>40595</v>
      </c>
      <c r="B47" s="1">
        <f t="shared" si="0"/>
        <v>2</v>
      </c>
      <c r="C47" s="1">
        <f t="shared" si="1"/>
        <v>2011</v>
      </c>
      <c r="D47" s="4">
        <v>0.93762000000000001</v>
      </c>
      <c r="E47" s="4"/>
      <c r="F47" s="5"/>
      <c r="H47" s="4">
        <v>6.3033999999999999</v>
      </c>
      <c r="I47" s="4"/>
      <c r="J47" s="4"/>
      <c r="P47" s="6">
        <f t="shared" si="2"/>
        <v>48.756239999999998</v>
      </c>
      <c r="Q47" s="6">
        <f t="shared" si="3"/>
        <v>47.059363068193939</v>
      </c>
      <c r="S47" s="4">
        <v>38.25</v>
      </c>
    </row>
    <row r="48" spans="1:19" x14ac:dyDescent="0.25">
      <c r="A48" s="3">
        <v>40602</v>
      </c>
      <c r="B48" s="1">
        <f t="shared" si="0"/>
        <v>2</v>
      </c>
      <c r="C48" s="1">
        <f t="shared" si="1"/>
        <v>2011</v>
      </c>
      <c r="D48" s="4">
        <v>0.99704999999999999</v>
      </c>
      <c r="E48" s="4"/>
      <c r="F48" s="5"/>
      <c r="H48" s="4"/>
      <c r="I48" s="4"/>
      <c r="J48" s="4"/>
      <c r="P48" s="6">
        <f t="shared" si="2"/>
        <v>51.846600000000002</v>
      </c>
      <c r="Q48" s="6" t="str">
        <f t="shared" si="3"/>
        <v/>
      </c>
      <c r="S48" s="4">
        <v>6.75</v>
      </c>
    </row>
    <row r="49" spans="1:19" x14ac:dyDescent="0.25">
      <c r="A49" s="3">
        <v>40609</v>
      </c>
      <c r="B49" s="1">
        <f t="shared" si="0"/>
        <v>3</v>
      </c>
      <c r="C49" s="1">
        <f t="shared" si="1"/>
        <v>2011</v>
      </c>
      <c r="D49" s="4">
        <v>0.93959999999999999</v>
      </c>
      <c r="E49" s="4"/>
      <c r="F49" s="5"/>
      <c r="H49" s="4">
        <v>5.9441999999999995</v>
      </c>
      <c r="I49" s="4"/>
      <c r="J49" s="4"/>
      <c r="P49" s="6">
        <f t="shared" si="2"/>
        <v>48.859200000000001</v>
      </c>
      <c r="Q49" s="6">
        <f t="shared" si="3"/>
        <v>44.284163473818644</v>
      </c>
      <c r="S49" s="4">
        <v>19.75</v>
      </c>
    </row>
    <row r="50" spans="1:19" x14ac:dyDescent="0.25">
      <c r="A50" s="3">
        <v>40616</v>
      </c>
      <c r="B50" s="1">
        <f t="shared" si="0"/>
        <v>3</v>
      </c>
      <c r="C50" s="1">
        <f t="shared" si="1"/>
        <v>2011</v>
      </c>
      <c r="D50" s="4">
        <v>0.91564999999999996</v>
      </c>
      <c r="E50" s="4"/>
      <c r="F50" s="5"/>
      <c r="H50" s="4">
        <v>5.9225000000000003</v>
      </c>
      <c r="I50" s="4"/>
      <c r="J50" s="4"/>
      <c r="P50" s="6">
        <f t="shared" si="2"/>
        <v>47.613799999999998</v>
      </c>
      <c r="Q50" s="6">
        <f t="shared" si="3"/>
        <v>45.276579479058597</v>
      </c>
      <c r="S50" s="4">
        <v>-91.55</v>
      </c>
    </row>
    <row r="51" spans="1:19" x14ac:dyDescent="0.25">
      <c r="A51" s="3">
        <v>40623</v>
      </c>
      <c r="B51" s="1">
        <f t="shared" si="0"/>
        <v>3</v>
      </c>
      <c r="C51" s="1">
        <f t="shared" si="1"/>
        <v>2011</v>
      </c>
      <c r="D51" s="4">
        <v>0.88915</v>
      </c>
      <c r="E51" s="4"/>
      <c r="F51" s="5"/>
      <c r="H51" s="4">
        <v>6.1478999999999999</v>
      </c>
      <c r="I51" s="4"/>
      <c r="J51" s="4"/>
      <c r="P51" s="6">
        <f t="shared" si="2"/>
        <v>46.235799999999998</v>
      </c>
      <c r="Q51" s="6">
        <f t="shared" si="3"/>
        <v>48.400494854636456</v>
      </c>
      <c r="S51" s="4">
        <v>-50.8</v>
      </c>
    </row>
    <row r="52" spans="1:19" x14ac:dyDescent="0.25">
      <c r="A52" s="3">
        <v>40630</v>
      </c>
      <c r="B52" s="1">
        <f t="shared" si="0"/>
        <v>3</v>
      </c>
      <c r="C52" s="1">
        <f t="shared" si="1"/>
        <v>2011</v>
      </c>
      <c r="D52" s="4">
        <v>0.82045000000000001</v>
      </c>
      <c r="E52" s="4"/>
      <c r="F52" s="5"/>
      <c r="H52" s="4">
        <v>6.1185999999999998</v>
      </c>
      <c r="I52" s="4"/>
      <c r="J52" s="4"/>
      <c r="P52" s="6">
        <f t="shared" si="2"/>
        <v>42.663400000000003</v>
      </c>
      <c r="Q52" s="6">
        <f t="shared" si="3"/>
        <v>52.203303065390941</v>
      </c>
      <c r="S52" s="4">
        <v>-27.25</v>
      </c>
    </row>
    <row r="53" spans="1:19" x14ac:dyDescent="0.25">
      <c r="A53" s="3">
        <v>40637</v>
      </c>
      <c r="B53" s="1">
        <f t="shared" si="0"/>
        <v>4</v>
      </c>
      <c r="C53" s="1">
        <f t="shared" si="1"/>
        <v>2011</v>
      </c>
      <c r="D53" s="4">
        <v>0.87655000000000005</v>
      </c>
      <c r="E53" s="4"/>
      <c r="F53" s="5"/>
      <c r="H53" s="4">
        <v>6.0132000000000003</v>
      </c>
      <c r="I53" s="4"/>
      <c r="J53" s="4"/>
      <c r="P53" s="6">
        <f t="shared" si="2"/>
        <v>45.580600000000004</v>
      </c>
      <c r="Q53" s="6">
        <f t="shared" si="3"/>
        <v>48.02053505219326</v>
      </c>
      <c r="S53" s="4">
        <v>-150.05000000000001</v>
      </c>
    </row>
    <row r="54" spans="1:19" x14ac:dyDescent="0.25">
      <c r="A54" s="3">
        <v>40644</v>
      </c>
      <c r="B54" s="1">
        <f t="shared" si="0"/>
        <v>4</v>
      </c>
      <c r="C54" s="1">
        <f t="shared" si="1"/>
        <v>2011</v>
      </c>
      <c r="D54" s="4">
        <v>0.96675</v>
      </c>
      <c r="E54" s="4"/>
      <c r="F54" s="5"/>
      <c r="H54" s="4">
        <v>6.0196000000000005</v>
      </c>
      <c r="I54" s="4"/>
      <c r="J54" s="4"/>
      <c r="P54" s="6">
        <f t="shared" si="2"/>
        <v>50.271000000000001</v>
      </c>
      <c r="Q54" s="6">
        <f t="shared" si="3"/>
        <v>43.586449444013454</v>
      </c>
      <c r="S54" s="4">
        <v>-68.55</v>
      </c>
    </row>
    <row r="55" spans="1:19" x14ac:dyDescent="0.25">
      <c r="A55" s="3">
        <v>40651</v>
      </c>
      <c r="B55" s="1">
        <f t="shared" si="0"/>
        <v>4</v>
      </c>
      <c r="C55" s="1">
        <f t="shared" si="1"/>
        <v>2011</v>
      </c>
      <c r="D55" s="4">
        <v>0.93955</v>
      </c>
      <c r="E55" s="4"/>
      <c r="F55" s="5"/>
      <c r="H55" s="4">
        <v>6.0709</v>
      </c>
      <c r="I55" s="4"/>
      <c r="J55" s="4"/>
      <c r="P55" s="6">
        <f t="shared" si="2"/>
        <v>48.8566</v>
      </c>
      <c r="Q55" s="6">
        <f t="shared" si="3"/>
        <v>45.230482677877703</v>
      </c>
      <c r="S55" s="4">
        <v>-87.05</v>
      </c>
    </row>
    <row r="56" spans="1:19" x14ac:dyDescent="0.25">
      <c r="A56" s="3">
        <v>40658</v>
      </c>
      <c r="B56" s="1">
        <f t="shared" si="0"/>
        <v>4</v>
      </c>
      <c r="C56" s="1">
        <f t="shared" si="1"/>
        <v>2011</v>
      </c>
      <c r="D56" s="4">
        <v>0.91500000000000004</v>
      </c>
      <c r="E56" s="4"/>
      <c r="F56" s="5"/>
      <c r="H56" s="4">
        <v>6.2801999999999998</v>
      </c>
      <c r="I56" s="4"/>
      <c r="J56" s="4"/>
      <c r="P56" s="6">
        <f t="shared" si="2"/>
        <v>47.58</v>
      </c>
      <c r="Q56" s="6">
        <f t="shared" si="3"/>
        <v>48.045245901639341</v>
      </c>
      <c r="S56" s="4">
        <v>-26.3</v>
      </c>
    </row>
    <row r="57" spans="1:19" x14ac:dyDescent="0.25">
      <c r="A57" s="3">
        <v>40665</v>
      </c>
      <c r="B57" s="1">
        <f t="shared" si="0"/>
        <v>5</v>
      </c>
      <c r="C57" s="1">
        <f t="shared" si="1"/>
        <v>2011</v>
      </c>
      <c r="D57" s="4">
        <v>0.97240000000000004</v>
      </c>
      <c r="E57" s="4"/>
      <c r="F57" s="5"/>
      <c r="H57" s="4">
        <v>6.5236000000000001</v>
      </c>
      <c r="I57" s="4"/>
      <c r="J57" s="4"/>
      <c r="P57" s="6">
        <f t="shared" si="2"/>
        <v>50.564800000000005</v>
      </c>
      <c r="Q57" s="6">
        <f t="shared" si="3"/>
        <v>46.961332784862201</v>
      </c>
      <c r="S57" s="4">
        <v>-26.3</v>
      </c>
    </row>
    <row r="58" spans="1:19" x14ac:dyDescent="0.25">
      <c r="A58" s="3">
        <v>40672</v>
      </c>
      <c r="B58" s="1">
        <f t="shared" si="0"/>
        <v>5</v>
      </c>
      <c r="C58" s="1">
        <f t="shared" si="1"/>
        <v>2011</v>
      </c>
      <c r="D58" s="4">
        <v>1.0904</v>
      </c>
      <c r="E58" s="4"/>
      <c r="F58" s="5"/>
      <c r="H58" s="4">
        <v>6.4001999999999999</v>
      </c>
      <c r="I58" s="4"/>
      <c r="J58" s="4"/>
      <c r="P58" s="6">
        <f t="shared" si="2"/>
        <v>56.700800000000001</v>
      </c>
      <c r="Q58" s="6">
        <f t="shared" si="3"/>
        <v>41.087123991195888</v>
      </c>
      <c r="S58" s="4">
        <v>-51.25</v>
      </c>
    </row>
    <row r="59" spans="1:19" x14ac:dyDescent="0.25">
      <c r="A59" s="3">
        <v>40679</v>
      </c>
      <c r="B59" s="1">
        <f t="shared" si="0"/>
        <v>5</v>
      </c>
      <c r="C59" s="1">
        <f t="shared" si="1"/>
        <v>2011</v>
      </c>
      <c r="D59" s="4">
        <v>1.00145</v>
      </c>
      <c r="E59" s="4"/>
      <c r="F59" s="5"/>
      <c r="H59" s="4">
        <v>6.4557000000000002</v>
      </c>
      <c r="I59" s="4"/>
      <c r="J59" s="4"/>
      <c r="P59" s="6">
        <f t="shared" si="2"/>
        <v>52.075399999999995</v>
      </c>
      <c r="Q59" s="6">
        <f t="shared" si="3"/>
        <v>45.12446951919717</v>
      </c>
      <c r="S59" s="4">
        <v>-88.25</v>
      </c>
    </row>
    <row r="60" spans="1:19" x14ac:dyDescent="0.25">
      <c r="A60" s="3">
        <v>40686</v>
      </c>
      <c r="B60" s="1">
        <f t="shared" si="0"/>
        <v>5</v>
      </c>
      <c r="C60" s="1">
        <f t="shared" si="1"/>
        <v>2011</v>
      </c>
      <c r="D60" s="4">
        <v>0.97509999999999997</v>
      </c>
      <c r="E60" s="4"/>
      <c r="F60" s="5"/>
      <c r="H60" s="4">
        <v>6.5462999999999996</v>
      </c>
      <c r="I60" s="4"/>
      <c r="J60" s="4"/>
      <c r="P60" s="6">
        <f t="shared" si="2"/>
        <v>50.705199999999998</v>
      </c>
      <c r="Q60" s="6">
        <f t="shared" si="3"/>
        <v>46.994256999282122</v>
      </c>
      <c r="S60" s="4">
        <v>-88.25</v>
      </c>
    </row>
    <row r="61" spans="1:19" x14ac:dyDescent="0.25">
      <c r="A61" s="3">
        <v>40693</v>
      </c>
      <c r="B61" s="1">
        <f t="shared" si="0"/>
        <v>5</v>
      </c>
      <c r="C61" s="1">
        <f t="shared" si="1"/>
        <v>2011</v>
      </c>
      <c r="D61" s="4">
        <v>1.0181</v>
      </c>
      <c r="E61" s="4"/>
      <c r="F61" s="5"/>
      <c r="H61" s="4">
        <v>6.6719000000000008</v>
      </c>
      <c r="I61" s="4"/>
      <c r="J61" s="4"/>
      <c r="P61" s="6">
        <f t="shared" si="2"/>
        <v>52.941200000000002</v>
      </c>
      <c r="Q61" s="6">
        <f t="shared" si="3"/>
        <v>45.872998723111685</v>
      </c>
      <c r="S61" s="4">
        <v>-88.25</v>
      </c>
    </row>
    <row r="62" spans="1:19" x14ac:dyDescent="0.25">
      <c r="A62" s="3">
        <v>40700</v>
      </c>
      <c r="B62" s="1">
        <f t="shared" si="0"/>
        <v>6</v>
      </c>
      <c r="C62" s="1">
        <f t="shared" si="1"/>
        <v>2011</v>
      </c>
      <c r="D62" s="4">
        <v>1.0051000000000001</v>
      </c>
      <c r="E62" s="4"/>
      <c r="F62" s="5"/>
      <c r="H62" s="4">
        <v>6.6924999999999999</v>
      </c>
      <c r="I62" s="4">
        <v>83.63</v>
      </c>
      <c r="J62" s="4"/>
      <c r="P62" s="6">
        <f t="shared" si="2"/>
        <v>52.265200000000007</v>
      </c>
      <c r="Q62" s="6">
        <f t="shared" si="3"/>
        <v>46.609790070639733</v>
      </c>
      <c r="S62" s="4">
        <v>-88.25</v>
      </c>
    </row>
    <row r="63" spans="1:19" x14ac:dyDescent="0.25">
      <c r="A63" s="3">
        <v>40707</v>
      </c>
      <c r="B63" s="1">
        <f t="shared" si="0"/>
        <v>6</v>
      </c>
      <c r="C63" s="1">
        <f t="shared" si="1"/>
        <v>2011</v>
      </c>
      <c r="D63" s="4">
        <v>1.0771999999999999</v>
      </c>
      <c r="E63" s="4"/>
      <c r="F63" s="5"/>
      <c r="H63" s="4">
        <v>6.6379999999999999</v>
      </c>
      <c r="I63" s="4">
        <v>82.93</v>
      </c>
      <c r="J63" s="4"/>
      <c r="P63" s="6">
        <f t="shared" si="2"/>
        <v>56.014399999999995</v>
      </c>
      <c r="Q63" s="6">
        <f t="shared" si="3"/>
        <v>43.135907909394732</v>
      </c>
      <c r="S63" s="4">
        <v>104.45</v>
      </c>
    </row>
    <row r="64" spans="1:19" x14ac:dyDescent="0.25">
      <c r="A64" s="3">
        <v>40714</v>
      </c>
      <c r="B64" s="1">
        <f t="shared" si="0"/>
        <v>6</v>
      </c>
      <c r="C64" s="1">
        <f t="shared" si="1"/>
        <v>2011</v>
      </c>
      <c r="D64" s="4">
        <v>1.0184</v>
      </c>
      <c r="E64" s="4"/>
      <c r="F64" s="5"/>
      <c r="H64" s="4">
        <v>6.6766999999999994</v>
      </c>
      <c r="I64" s="4">
        <v>83.59</v>
      </c>
      <c r="J64" s="4"/>
      <c r="P64" s="6">
        <f t="shared" si="2"/>
        <v>52.956800000000001</v>
      </c>
      <c r="Q64" s="6">
        <f t="shared" si="3"/>
        <v>45.892478397486251</v>
      </c>
      <c r="S64" s="4">
        <v>85.95</v>
      </c>
    </row>
    <row r="65" spans="1:19" x14ac:dyDescent="0.25">
      <c r="A65" s="3">
        <v>40721</v>
      </c>
      <c r="B65" s="1">
        <f t="shared" si="0"/>
        <v>6</v>
      </c>
      <c r="C65" s="1">
        <f t="shared" si="1"/>
        <v>2011</v>
      </c>
      <c r="D65" s="4">
        <v>1.0901000000000001</v>
      </c>
      <c r="E65" s="4"/>
      <c r="F65" s="5"/>
      <c r="H65" s="4">
        <v>6.8266999999999998</v>
      </c>
      <c r="I65" s="4">
        <v>90.28</v>
      </c>
      <c r="J65" s="4">
        <v>111.4</v>
      </c>
      <c r="P65" s="6">
        <f t="shared" si="2"/>
        <v>56.685200000000002</v>
      </c>
      <c r="Q65" s="6">
        <f t="shared" si="3"/>
        <v>43.837170901752131</v>
      </c>
      <c r="S65" s="4">
        <v>101.65</v>
      </c>
    </row>
    <row r="66" spans="1:19" x14ac:dyDescent="0.25">
      <c r="A66" s="3">
        <v>40728</v>
      </c>
      <c r="B66" s="1">
        <f t="shared" ref="B66:B129" si="4">MONTH(A66)</f>
        <v>7</v>
      </c>
      <c r="C66" s="1">
        <f t="shared" ref="C66:C129" si="5">YEAR(A66)</f>
        <v>2011</v>
      </c>
      <c r="D66" s="4">
        <v>1.0883499999999999</v>
      </c>
      <c r="E66" s="4"/>
      <c r="F66" s="5"/>
      <c r="H66" s="4">
        <v>6.9734000000000007</v>
      </c>
      <c r="I66" s="4">
        <v>89.85</v>
      </c>
      <c r="J66" s="4">
        <v>111.83</v>
      </c>
      <c r="P66" s="6">
        <f t="shared" ref="P66:P129" si="6">D66*52</f>
        <v>56.594199999999994</v>
      </c>
      <c r="Q66" s="6">
        <f t="shared" si="3"/>
        <v>44.851196765746323</v>
      </c>
      <c r="S66" s="4">
        <v>101.65</v>
      </c>
    </row>
    <row r="67" spans="1:19" x14ac:dyDescent="0.25">
      <c r="A67" s="3">
        <v>40735</v>
      </c>
      <c r="B67" s="1">
        <f t="shared" si="4"/>
        <v>7</v>
      </c>
      <c r="C67" s="1">
        <f t="shared" si="5"/>
        <v>2011</v>
      </c>
      <c r="D67" s="4">
        <v>1.1043000000000001</v>
      </c>
      <c r="E67" s="4"/>
      <c r="F67" s="5"/>
      <c r="H67" s="4">
        <v>7.0849000000000002</v>
      </c>
      <c r="I67" s="4">
        <v>91.38</v>
      </c>
      <c r="J67" s="4">
        <v>110.05</v>
      </c>
      <c r="P67" s="6">
        <f t="shared" si="6"/>
        <v>57.4236</v>
      </c>
      <c r="Q67" s="6">
        <f t="shared" si="3"/>
        <v>44.910169338042195</v>
      </c>
      <c r="S67" s="4">
        <v>-22.75</v>
      </c>
    </row>
    <row r="68" spans="1:19" x14ac:dyDescent="0.25">
      <c r="A68" s="3">
        <v>40742</v>
      </c>
      <c r="B68" s="1">
        <f t="shared" si="4"/>
        <v>7</v>
      </c>
      <c r="C68" s="1">
        <f t="shared" si="5"/>
        <v>2011</v>
      </c>
      <c r="D68" s="4">
        <v>1.1979</v>
      </c>
      <c r="E68" s="4"/>
      <c r="F68" s="5"/>
      <c r="H68" s="4">
        <v>6.9582000000000006</v>
      </c>
      <c r="I68" s="4">
        <v>89.21</v>
      </c>
      <c r="J68" s="4">
        <v>106.31</v>
      </c>
      <c r="P68" s="6">
        <f t="shared" si="6"/>
        <v>62.290799999999997</v>
      </c>
      <c r="Q68" s="6">
        <f t="shared" si="3"/>
        <v>40.660656148259456</v>
      </c>
      <c r="S68" s="4">
        <v>-95</v>
      </c>
    </row>
    <row r="69" spans="1:19" x14ac:dyDescent="0.25">
      <c r="A69" s="3">
        <v>40749</v>
      </c>
      <c r="B69" s="1">
        <f t="shared" si="4"/>
        <v>7</v>
      </c>
      <c r="C69" s="1">
        <f t="shared" si="5"/>
        <v>2011</v>
      </c>
      <c r="D69" s="4">
        <v>1.1711</v>
      </c>
      <c r="E69" s="4"/>
      <c r="F69" s="5"/>
      <c r="H69" s="4">
        <v>6.9390000000000001</v>
      </c>
      <c r="I69" s="4">
        <v>86.44</v>
      </c>
      <c r="J69" s="4">
        <v>108.2</v>
      </c>
      <c r="P69" s="6">
        <f t="shared" si="6"/>
        <v>60.897199999999998</v>
      </c>
      <c r="Q69" s="6">
        <f t="shared" si="3"/>
        <v>41.476389719067541</v>
      </c>
      <c r="S69" s="4">
        <v>-67.25</v>
      </c>
    </row>
    <row r="70" spans="1:19" x14ac:dyDescent="0.25">
      <c r="A70" s="3">
        <v>40756</v>
      </c>
      <c r="B70" s="1">
        <f t="shared" si="4"/>
        <v>8</v>
      </c>
      <c r="C70" s="1">
        <f t="shared" si="5"/>
        <v>2011</v>
      </c>
      <c r="D70" s="4">
        <v>1.1036999999999999</v>
      </c>
      <c r="E70" s="4"/>
      <c r="F70" s="5"/>
      <c r="H70" s="4">
        <v>6.96</v>
      </c>
      <c r="I70" s="4">
        <v>88.89</v>
      </c>
      <c r="J70" s="4">
        <v>101.38</v>
      </c>
      <c r="P70" s="6">
        <f t="shared" si="6"/>
        <v>57.392399999999995</v>
      </c>
      <c r="Q70" s="6">
        <f t="shared" si="3"/>
        <v>44.142430008154399</v>
      </c>
      <c r="S70" s="4">
        <v>-77.349999999999994</v>
      </c>
    </row>
    <row r="71" spans="1:19" x14ac:dyDescent="0.25">
      <c r="A71" s="3">
        <v>40763</v>
      </c>
      <c r="B71" s="1">
        <f t="shared" si="4"/>
        <v>8</v>
      </c>
      <c r="C71" s="1">
        <f t="shared" si="5"/>
        <v>2011</v>
      </c>
      <c r="D71" s="4">
        <v>1.0452999999999999</v>
      </c>
      <c r="E71" s="4"/>
      <c r="F71" s="5"/>
      <c r="H71" s="4">
        <v>6.8559999999999999</v>
      </c>
      <c r="I71" s="4">
        <v>90.09</v>
      </c>
      <c r="J71" s="4">
        <v>98</v>
      </c>
      <c r="P71" s="6">
        <f t="shared" si="6"/>
        <v>54.355599999999995</v>
      </c>
      <c r="Q71" s="6">
        <f t="shared" si="3"/>
        <v>45.912178322012821</v>
      </c>
      <c r="S71" s="4">
        <v>-118</v>
      </c>
    </row>
    <row r="72" spans="1:19" x14ac:dyDescent="0.25">
      <c r="A72" s="3">
        <v>40770</v>
      </c>
      <c r="B72" s="1">
        <f t="shared" si="4"/>
        <v>8</v>
      </c>
      <c r="C72" s="1">
        <f t="shared" si="5"/>
        <v>2011</v>
      </c>
      <c r="D72" s="4">
        <v>1.1047</v>
      </c>
      <c r="E72" s="4"/>
      <c r="F72" s="5"/>
      <c r="H72" s="4">
        <v>6.6866999999999992</v>
      </c>
      <c r="I72" s="4">
        <v>93.2</v>
      </c>
      <c r="J72" s="4">
        <v>93.08</v>
      </c>
      <c r="P72" s="6">
        <f t="shared" si="6"/>
        <v>57.444400000000002</v>
      </c>
      <c r="Q72" s="6">
        <f t="shared" si="3"/>
        <v>42.370688874807634</v>
      </c>
      <c r="S72" s="4">
        <v>-150.80000000000001</v>
      </c>
    </row>
    <row r="73" spans="1:19" x14ac:dyDescent="0.25">
      <c r="A73" s="3">
        <v>40777</v>
      </c>
      <c r="B73" s="1">
        <f t="shared" si="4"/>
        <v>8</v>
      </c>
      <c r="C73" s="1">
        <f t="shared" si="5"/>
        <v>2011</v>
      </c>
      <c r="D73" s="4">
        <v>1.1462000000000001</v>
      </c>
      <c r="E73" s="4"/>
      <c r="F73" s="5"/>
      <c r="H73" s="4">
        <v>6.5598000000000001</v>
      </c>
      <c r="I73" s="4">
        <v>93.46</v>
      </c>
      <c r="J73" s="4">
        <v>87.96</v>
      </c>
      <c r="P73" s="6">
        <f t="shared" si="6"/>
        <v>59.602400000000003</v>
      </c>
      <c r="Q73" s="6">
        <f t="shared" si="3"/>
        <v>40.061594835107307</v>
      </c>
      <c r="S73" s="4">
        <v>-145.25</v>
      </c>
    </row>
    <row r="74" spans="1:19" x14ac:dyDescent="0.25">
      <c r="A74" s="3">
        <v>40784</v>
      </c>
      <c r="B74" s="1">
        <f t="shared" si="4"/>
        <v>8</v>
      </c>
      <c r="C74" s="1">
        <f t="shared" si="5"/>
        <v>2011</v>
      </c>
      <c r="D74" s="4">
        <v>1.1721999999999999</v>
      </c>
      <c r="E74" s="4"/>
      <c r="F74" s="5"/>
      <c r="H74" s="4">
        <v>6.3991999999999996</v>
      </c>
      <c r="I74" s="4">
        <v>93.73</v>
      </c>
      <c r="J74" s="4">
        <v>89.5</v>
      </c>
      <c r="P74" s="6">
        <f t="shared" si="6"/>
        <v>60.954399999999993</v>
      </c>
      <c r="Q74" s="6">
        <f t="shared" si="3"/>
        <v>38.213956662685554</v>
      </c>
      <c r="S74" s="4">
        <v>-17.7</v>
      </c>
    </row>
    <row r="75" spans="1:19" x14ac:dyDescent="0.25">
      <c r="A75" s="3">
        <v>40791</v>
      </c>
      <c r="B75" s="1">
        <f t="shared" si="4"/>
        <v>9</v>
      </c>
      <c r="C75" s="1">
        <f t="shared" si="5"/>
        <v>2011</v>
      </c>
      <c r="D75" s="4">
        <v>1.1926000000000001</v>
      </c>
      <c r="E75" s="4"/>
      <c r="F75" s="5"/>
      <c r="H75" s="4">
        <v>6.0005999999999995</v>
      </c>
      <c r="I75" s="4">
        <v>92.56</v>
      </c>
      <c r="J75" s="4">
        <v>83.52</v>
      </c>
      <c r="P75" s="6">
        <f t="shared" si="6"/>
        <v>62.015200000000007</v>
      </c>
      <c r="Q75" s="6">
        <f t="shared" si="3"/>
        <v>35.220694281401975</v>
      </c>
      <c r="S75" s="4">
        <v>-54.7</v>
      </c>
    </row>
    <row r="76" spans="1:19" x14ac:dyDescent="0.25">
      <c r="A76" s="3">
        <v>40798</v>
      </c>
      <c r="B76" s="1">
        <f t="shared" si="4"/>
        <v>9</v>
      </c>
      <c r="C76" s="1">
        <f t="shared" si="5"/>
        <v>2011</v>
      </c>
      <c r="D76" s="4">
        <v>1.1415</v>
      </c>
      <c r="E76" s="4"/>
      <c r="F76" s="5"/>
      <c r="H76" s="4">
        <v>5.9089999999999998</v>
      </c>
      <c r="I76" s="4">
        <v>96.54</v>
      </c>
      <c r="J76" s="4">
        <v>78.41</v>
      </c>
      <c r="P76" s="6">
        <f t="shared" si="6"/>
        <v>59.357999999999997</v>
      </c>
      <c r="Q76" s="6">
        <f t="shared" si="3"/>
        <v>36.235654840122649</v>
      </c>
      <c r="S76" s="4">
        <v>-54.7</v>
      </c>
    </row>
    <row r="77" spans="1:19" x14ac:dyDescent="0.25">
      <c r="A77" s="3">
        <v>40805</v>
      </c>
      <c r="B77" s="1">
        <f t="shared" si="4"/>
        <v>9</v>
      </c>
      <c r="C77" s="1">
        <f t="shared" si="5"/>
        <v>2011</v>
      </c>
      <c r="D77" s="4">
        <v>1.1402000000000001</v>
      </c>
      <c r="E77" s="4"/>
      <c r="F77" s="5"/>
      <c r="H77" s="4">
        <v>5.9163999999999994</v>
      </c>
      <c r="I77" s="4">
        <v>95.98</v>
      </c>
      <c r="J77" s="4">
        <v>73.5</v>
      </c>
      <c r="P77" s="6">
        <f t="shared" si="6"/>
        <v>59.290400000000005</v>
      </c>
      <c r="Q77" s="6">
        <f t="shared" si="3"/>
        <v>36.322399579021216</v>
      </c>
      <c r="S77" s="4">
        <v>-93.95</v>
      </c>
    </row>
    <row r="78" spans="1:19" x14ac:dyDescent="0.25">
      <c r="A78" s="3">
        <v>40812</v>
      </c>
      <c r="B78" s="1">
        <f t="shared" si="4"/>
        <v>9</v>
      </c>
      <c r="C78" s="1">
        <f t="shared" si="5"/>
        <v>2011</v>
      </c>
      <c r="D78" s="4">
        <v>1.1585000000000001</v>
      </c>
      <c r="E78" s="4"/>
      <c r="F78" s="5"/>
      <c r="H78" s="4">
        <v>6.0179999999999998</v>
      </c>
      <c r="I78" s="4"/>
      <c r="J78" s="4"/>
      <c r="P78" s="6">
        <f t="shared" si="6"/>
        <v>60.242000000000004</v>
      </c>
      <c r="Q78" s="6">
        <f t="shared" si="3"/>
        <v>36.362537764350449</v>
      </c>
      <c r="S78" s="4">
        <v>-178.55</v>
      </c>
    </row>
    <row r="79" spans="1:19" x14ac:dyDescent="0.25">
      <c r="A79" s="3">
        <v>40819</v>
      </c>
      <c r="B79" s="1">
        <f t="shared" si="4"/>
        <v>10</v>
      </c>
      <c r="C79" s="1">
        <f t="shared" si="5"/>
        <v>2011</v>
      </c>
      <c r="D79" s="4">
        <v>0.79559999999999997</v>
      </c>
      <c r="E79" s="4"/>
      <c r="F79" s="5"/>
      <c r="H79" s="4"/>
      <c r="I79" s="4">
        <v>95.35</v>
      </c>
      <c r="J79" s="4">
        <v>53.7</v>
      </c>
      <c r="P79" s="6">
        <f t="shared" si="6"/>
        <v>41.371200000000002</v>
      </c>
      <c r="Q79" s="6" t="str">
        <f t="shared" si="3"/>
        <v/>
      </c>
      <c r="S79" s="4">
        <v>-262.64999999999998</v>
      </c>
    </row>
    <row r="80" spans="1:19" x14ac:dyDescent="0.25">
      <c r="A80" s="3">
        <v>40826</v>
      </c>
      <c r="B80" s="1">
        <f t="shared" si="4"/>
        <v>10</v>
      </c>
      <c r="C80" s="1">
        <f t="shared" si="5"/>
        <v>2011</v>
      </c>
      <c r="D80" s="4">
        <v>1.1811</v>
      </c>
      <c r="E80" s="4"/>
      <c r="F80" s="5"/>
      <c r="H80" s="4">
        <v>5.6592999999999991</v>
      </c>
      <c r="I80" s="4">
        <v>97.27</v>
      </c>
      <c r="J80" s="4">
        <v>55.85</v>
      </c>
      <c r="P80" s="6">
        <f t="shared" si="6"/>
        <v>61.417200000000001</v>
      </c>
      <c r="Q80" s="6">
        <f t="shared" si="3"/>
        <v>33.540851748370159</v>
      </c>
      <c r="S80" s="4">
        <v>-262.64999999999998</v>
      </c>
    </row>
    <row r="81" spans="1:19" x14ac:dyDescent="0.25">
      <c r="A81" s="3">
        <v>40833</v>
      </c>
      <c r="B81" s="1">
        <f t="shared" si="4"/>
        <v>10</v>
      </c>
      <c r="C81" s="1">
        <f t="shared" si="5"/>
        <v>2011</v>
      </c>
      <c r="D81" s="7">
        <f>AVERAGE(D80,D82)</f>
        <v>1.2659500000000001</v>
      </c>
      <c r="E81" s="4"/>
      <c r="F81" s="5"/>
      <c r="H81" s="4">
        <v>5.51</v>
      </c>
      <c r="I81" s="4">
        <v>98.97</v>
      </c>
      <c r="J81" s="4">
        <v>56.76</v>
      </c>
      <c r="P81" s="6">
        <f t="shared" si="6"/>
        <v>65.829400000000007</v>
      </c>
      <c r="Q81" s="6">
        <f t="shared" si="3"/>
        <v>30.467238042576717</v>
      </c>
      <c r="S81" s="4">
        <v>-143.30000000000001</v>
      </c>
    </row>
    <row r="82" spans="1:19" x14ac:dyDescent="0.25">
      <c r="A82" s="3">
        <v>40840</v>
      </c>
      <c r="B82" s="1">
        <f t="shared" si="4"/>
        <v>10</v>
      </c>
      <c r="C82" s="1">
        <f t="shared" si="5"/>
        <v>2011</v>
      </c>
      <c r="D82" s="4">
        <v>1.3508</v>
      </c>
      <c r="E82" s="4"/>
      <c r="F82" s="5"/>
      <c r="H82" s="4">
        <v>5.4278999999999993</v>
      </c>
      <c r="I82" s="4">
        <v>99.28</v>
      </c>
      <c r="J82" s="4">
        <v>66.8</v>
      </c>
      <c r="P82" s="6">
        <f t="shared" si="6"/>
        <v>70.241600000000005</v>
      </c>
      <c r="Q82" s="6">
        <f t="shared" si="3"/>
        <v>28.127998223275092</v>
      </c>
      <c r="S82" s="4">
        <v>-183.95</v>
      </c>
    </row>
    <row r="83" spans="1:19" x14ac:dyDescent="0.25">
      <c r="A83" s="3">
        <v>40847</v>
      </c>
      <c r="B83" s="1">
        <f t="shared" si="4"/>
        <v>10</v>
      </c>
      <c r="C83" s="1">
        <f t="shared" si="5"/>
        <v>2011</v>
      </c>
      <c r="D83" s="4">
        <v>1.1834</v>
      </c>
      <c r="E83" s="4"/>
      <c r="F83" s="5"/>
      <c r="H83" s="4">
        <v>5.3952</v>
      </c>
      <c r="I83" s="4">
        <v>102.34</v>
      </c>
      <c r="J83" s="4">
        <v>62.04</v>
      </c>
      <c r="P83" s="6">
        <f t="shared" si="6"/>
        <v>61.536799999999999</v>
      </c>
      <c r="Q83" s="6">
        <f t="shared" si="3"/>
        <v>31.913469663680921</v>
      </c>
      <c r="S83" s="4">
        <v>-232.45</v>
      </c>
    </row>
    <row r="84" spans="1:19" x14ac:dyDescent="0.25">
      <c r="A84" s="3">
        <v>40854</v>
      </c>
      <c r="B84" s="1">
        <f t="shared" si="4"/>
        <v>11</v>
      </c>
      <c r="C84" s="1">
        <f t="shared" si="5"/>
        <v>2011</v>
      </c>
      <c r="D84" s="4">
        <v>1.2602</v>
      </c>
      <c r="E84" s="4"/>
      <c r="F84" s="5"/>
      <c r="H84" s="4">
        <v>5.3574999999999999</v>
      </c>
      <c r="I84" s="4">
        <v>104.215</v>
      </c>
      <c r="J84" s="4">
        <v>60.27</v>
      </c>
      <c r="P84" s="6">
        <f t="shared" si="6"/>
        <v>65.5304</v>
      </c>
      <c r="Q84" s="6">
        <f t="shared" ref="Q84:Q147" si="7">IF(H84="","",IF(D84="","",H84/(D84/7)))</f>
        <v>29.759165211871132</v>
      </c>
      <c r="S84" s="4">
        <v>-313.75</v>
      </c>
    </row>
    <row r="85" spans="1:19" x14ac:dyDescent="0.25">
      <c r="A85" s="3">
        <v>40861</v>
      </c>
      <c r="B85" s="1">
        <f t="shared" si="4"/>
        <v>11</v>
      </c>
      <c r="C85" s="1">
        <f t="shared" si="5"/>
        <v>2011</v>
      </c>
      <c r="D85" s="4">
        <v>1.3383</v>
      </c>
      <c r="E85" s="4"/>
      <c r="F85" s="5"/>
      <c r="H85" s="4">
        <v>5.4312000000000005</v>
      </c>
      <c r="I85" s="4">
        <v>104.64</v>
      </c>
      <c r="J85" s="4">
        <v>64.06</v>
      </c>
      <c r="P85" s="6">
        <f t="shared" si="6"/>
        <v>69.5916</v>
      </c>
      <c r="Q85" s="6">
        <f t="shared" si="7"/>
        <v>28.407980273481282</v>
      </c>
      <c r="S85" s="4">
        <v>-323</v>
      </c>
    </row>
    <row r="86" spans="1:19" x14ac:dyDescent="0.25">
      <c r="A86" s="3">
        <v>40868</v>
      </c>
      <c r="B86" s="1">
        <f t="shared" si="4"/>
        <v>11</v>
      </c>
      <c r="C86" s="1">
        <f t="shared" si="5"/>
        <v>2011</v>
      </c>
      <c r="D86" s="4">
        <v>1.3057000000000001</v>
      </c>
      <c r="E86" s="4"/>
      <c r="F86" s="5"/>
      <c r="H86" s="4">
        <v>5.41</v>
      </c>
      <c r="I86" s="4">
        <v>107.44</v>
      </c>
      <c r="J86" s="4">
        <v>69.739999999999995</v>
      </c>
      <c r="P86" s="6">
        <f t="shared" si="6"/>
        <v>67.8964</v>
      </c>
      <c r="Q86" s="6">
        <f t="shared" si="7"/>
        <v>29.003599601746188</v>
      </c>
      <c r="S86" s="4">
        <v>-320.64999999999998</v>
      </c>
    </row>
    <row r="87" spans="1:19" x14ac:dyDescent="0.25">
      <c r="A87" s="3">
        <v>40875</v>
      </c>
      <c r="B87" s="1">
        <f t="shared" si="4"/>
        <v>11</v>
      </c>
      <c r="C87" s="1">
        <f t="shared" si="5"/>
        <v>2011</v>
      </c>
      <c r="D87" s="4">
        <v>1.1850000000000001</v>
      </c>
      <c r="E87" s="4"/>
      <c r="F87" s="5"/>
      <c r="H87" s="4">
        <v>5.3501000000000003</v>
      </c>
      <c r="I87" s="4">
        <v>106.14</v>
      </c>
      <c r="J87" s="4">
        <v>56.62</v>
      </c>
      <c r="P87" s="6">
        <f t="shared" si="6"/>
        <v>61.620000000000005</v>
      </c>
      <c r="Q87" s="6">
        <f t="shared" si="7"/>
        <v>31.60396624472574</v>
      </c>
      <c r="S87" s="4">
        <v>-366.9</v>
      </c>
    </row>
    <row r="88" spans="1:19" x14ac:dyDescent="0.25">
      <c r="A88" s="3">
        <v>40882</v>
      </c>
      <c r="B88" s="1">
        <f t="shared" si="4"/>
        <v>12</v>
      </c>
      <c r="C88" s="1">
        <f t="shared" si="5"/>
        <v>2011</v>
      </c>
      <c r="D88" s="4">
        <v>1.2414000000000001</v>
      </c>
      <c r="E88" s="4"/>
      <c r="F88" s="5"/>
      <c r="H88" s="4">
        <v>5.2571000000000003</v>
      </c>
      <c r="I88" s="4">
        <v>105.05</v>
      </c>
      <c r="J88" s="4">
        <v>61.48</v>
      </c>
      <c r="P88" s="6">
        <f t="shared" si="6"/>
        <v>64.552800000000005</v>
      </c>
      <c r="Q88" s="6">
        <f t="shared" si="7"/>
        <v>29.643708715965843</v>
      </c>
      <c r="S88" s="4">
        <v>-366.9</v>
      </c>
    </row>
    <row r="89" spans="1:19" x14ac:dyDescent="0.25">
      <c r="A89" s="3">
        <v>40889</v>
      </c>
      <c r="B89" s="1">
        <f t="shared" si="4"/>
        <v>12</v>
      </c>
      <c r="C89" s="1">
        <f t="shared" si="5"/>
        <v>2011</v>
      </c>
      <c r="D89" s="4">
        <v>1.2884</v>
      </c>
      <c r="E89" s="4"/>
      <c r="F89" s="5"/>
      <c r="H89" s="4">
        <v>5.1842999999999995</v>
      </c>
      <c r="I89" s="4">
        <v>105.435</v>
      </c>
      <c r="J89" s="4">
        <v>62.34</v>
      </c>
      <c r="P89" s="6">
        <f t="shared" si="6"/>
        <v>66.996799999999993</v>
      </c>
      <c r="Q89" s="6">
        <f t="shared" si="7"/>
        <v>28.166796026078853</v>
      </c>
      <c r="S89" s="4">
        <v>-226.05</v>
      </c>
    </row>
    <row r="90" spans="1:19" x14ac:dyDescent="0.25">
      <c r="A90" s="3">
        <v>40896</v>
      </c>
      <c r="B90" s="1">
        <f t="shared" si="4"/>
        <v>12</v>
      </c>
      <c r="C90" s="1">
        <f t="shared" si="5"/>
        <v>2011</v>
      </c>
      <c r="D90" s="4">
        <v>1.3332999999999999</v>
      </c>
      <c r="E90" s="4"/>
      <c r="F90" s="5"/>
      <c r="H90" s="4">
        <v>5.0757000000000003</v>
      </c>
      <c r="I90" s="4">
        <v>105.56</v>
      </c>
      <c r="J90" s="4">
        <v>58.54</v>
      </c>
      <c r="P90" s="6">
        <f t="shared" si="6"/>
        <v>69.331599999999995</v>
      </c>
      <c r="Q90" s="6">
        <f t="shared" si="7"/>
        <v>26.64809120228006</v>
      </c>
      <c r="S90" s="4">
        <v>5.3</v>
      </c>
    </row>
    <row r="91" spans="1:19" x14ac:dyDescent="0.25">
      <c r="A91" s="3">
        <v>40903</v>
      </c>
      <c r="B91" s="1">
        <f t="shared" si="4"/>
        <v>12</v>
      </c>
      <c r="C91" s="1">
        <f t="shared" si="5"/>
        <v>2011</v>
      </c>
      <c r="D91" s="7">
        <f>AVERAGE(D90,D92)</f>
        <v>1.3262999999999998</v>
      </c>
      <c r="E91" s="4"/>
      <c r="F91" s="5"/>
      <c r="H91" s="4">
        <v>5.1163999999999996</v>
      </c>
      <c r="I91" s="7">
        <f>AVERAGE(I90,I92)</f>
        <v>103.27000000000001</v>
      </c>
      <c r="J91" s="4">
        <v>59.25</v>
      </c>
      <c r="P91" s="6">
        <f t="shared" si="6"/>
        <v>68.96759999999999</v>
      </c>
      <c r="Q91" s="6">
        <f t="shared" si="7"/>
        <v>27.003543692980475</v>
      </c>
      <c r="S91" s="4">
        <v>48.25</v>
      </c>
    </row>
    <row r="92" spans="1:19" x14ac:dyDescent="0.25">
      <c r="A92" s="3">
        <v>40910</v>
      </c>
      <c r="B92" s="1">
        <f t="shared" si="4"/>
        <v>1</v>
      </c>
      <c r="C92" s="1">
        <f t="shared" si="5"/>
        <v>2012</v>
      </c>
      <c r="D92" s="4">
        <v>1.3192999999999999</v>
      </c>
      <c r="E92" s="4"/>
      <c r="F92" s="5"/>
      <c r="H92" s="4"/>
      <c r="I92" s="4">
        <v>100.98</v>
      </c>
      <c r="J92" s="4">
        <v>56.29</v>
      </c>
      <c r="P92" s="6">
        <f t="shared" si="6"/>
        <v>68.6036</v>
      </c>
      <c r="Q92" s="6" t="str">
        <f t="shared" si="7"/>
        <v/>
      </c>
      <c r="S92" s="4">
        <v>110.2</v>
      </c>
    </row>
    <row r="93" spans="1:19" x14ac:dyDescent="0.25">
      <c r="A93" s="3">
        <v>40917</v>
      </c>
      <c r="B93" s="1">
        <f t="shared" si="4"/>
        <v>1</v>
      </c>
      <c r="C93" s="1">
        <f t="shared" si="5"/>
        <v>2012</v>
      </c>
      <c r="D93" s="4">
        <v>1.3542000000000001</v>
      </c>
      <c r="E93" s="4"/>
      <c r="F93" s="5"/>
      <c r="H93" s="4">
        <v>4.9058999999999999</v>
      </c>
      <c r="I93" s="4">
        <v>99.3</v>
      </c>
      <c r="J93" s="4"/>
      <c r="P93" s="6">
        <f t="shared" si="6"/>
        <v>70.418400000000005</v>
      </c>
      <c r="Q93" s="6">
        <f t="shared" si="7"/>
        <v>25.35910500664599</v>
      </c>
      <c r="S93" s="4">
        <v>110.2</v>
      </c>
    </row>
    <row r="94" spans="1:19" x14ac:dyDescent="0.25">
      <c r="A94" s="3">
        <v>40924</v>
      </c>
      <c r="B94" s="1">
        <f t="shared" si="4"/>
        <v>1</v>
      </c>
      <c r="C94" s="1">
        <f t="shared" si="5"/>
        <v>2012</v>
      </c>
      <c r="D94" s="4">
        <v>1.0779000000000001</v>
      </c>
      <c r="E94" s="4"/>
      <c r="F94" s="5"/>
      <c r="H94" s="4"/>
      <c r="I94" s="7">
        <f>AVERAGE(I93,I95)</f>
        <v>98.974999999999994</v>
      </c>
      <c r="J94" s="4"/>
      <c r="P94" s="6">
        <f t="shared" si="6"/>
        <v>56.050800000000002</v>
      </c>
      <c r="Q94" s="6" t="str">
        <f t="shared" si="7"/>
        <v/>
      </c>
      <c r="S94" s="4">
        <v>114.5</v>
      </c>
    </row>
    <row r="95" spans="1:19" x14ac:dyDescent="0.25">
      <c r="A95" s="3">
        <v>40931</v>
      </c>
      <c r="B95" s="1">
        <f t="shared" si="4"/>
        <v>1</v>
      </c>
      <c r="C95" s="1">
        <f t="shared" si="5"/>
        <v>2012</v>
      </c>
      <c r="D95" s="4">
        <v>3.9800000000000002E-2</v>
      </c>
      <c r="E95" s="4"/>
      <c r="F95" s="5"/>
      <c r="H95" s="4">
        <v>5.7730999999999995</v>
      </c>
      <c r="I95" s="4">
        <v>98.65</v>
      </c>
      <c r="J95" s="4"/>
      <c r="P95" s="6">
        <f t="shared" si="6"/>
        <v>2.0696000000000003</v>
      </c>
      <c r="Q95" s="6">
        <f t="shared" si="7"/>
        <v>1015.3693467336682</v>
      </c>
      <c r="S95" s="4">
        <v>114.5</v>
      </c>
    </row>
    <row r="96" spans="1:19" x14ac:dyDescent="0.25">
      <c r="A96" s="3">
        <v>40938</v>
      </c>
      <c r="B96" s="1">
        <f t="shared" si="4"/>
        <v>1</v>
      </c>
      <c r="C96" s="1">
        <f t="shared" si="5"/>
        <v>2012</v>
      </c>
      <c r="D96" s="4">
        <v>0.61929999999999996</v>
      </c>
      <c r="E96" s="4"/>
      <c r="F96" s="5"/>
      <c r="H96" s="4"/>
      <c r="I96" s="4">
        <v>94.28</v>
      </c>
      <c r="J96" s="4"/>
      <c r="P96" s="6">
        <f t="shared" si="6"/>
        <v>32.203599999999994</v>
      </c>
      <c r="Q96" s="6" t="str">
        <f t="shared" si="7"/>
        <v/>
      </c>
      <c r="S96" s="4">
        <v>168.55</v>
      </c>
    </row>
    <row r="97" spans="1:19" x14ac:dyDescent="0.25">
      <c r="A97" s="3">
        <v>40945</v>
      </c>
      <c r="B97" s="1">
        <f t="shared" si="4"/>
        <v>2</v>
      </c>
      <c r="C97" s="1">
        <f t="shared" si="5"/>
        <v>2012</v>
      </c>
      <c r="D97" s="4">
        <v>1.1135999999999999</v>
      </c>
      <c r="E97" s="4"/>
      <c r="F97" s="5"/>
      <c r="H97" s="4">
        <v>5.6409000000000002</v>
      </c>
      <c r="I97" s="4">
        <v>93.14</v>
      </c>
      <c r="J97" s="4">
        <v>59.01</v>
      </c>
      <c r="P97" s="6">
        <f t="shared" si="6"/>
        <v>57.907199999999996</v>
      </c>
      <c r="Q97" s="6">
        <f t="shared" si="7"/>
        <v>35.458243534482762</v>
      </c>
      <c r="S97" s="4">
        <v>168.55</v>
      </c>
    </row>
    <row r="98" spans="1:19" x14ac:dyDescent="0.25">
      <c r="A98" s="3">
        <v>40952</v>
      </c>
      <c r="B98" s="1">
        <f t="shared" si="4"/>
        <v>2</v>
      </c>
      <c r="C98" s="1">
        <f t="shared" si="5"/>
        <v>2012</v>
      </c>
      <c r="D98" s="4">
        <v>1.2761</v>
      </c>
      <c r="E98" s="4"/>
      <c r="F98" s="5"/>
      <c r="H98" s="4">
        <v>5.399</v>
      </c>
      <c r="I98" s="4">
        <v>92.84</v>
      </c>
      <c r="J98" s="4">
        <v>59.83</v>
      </c>
      <c r="P98" s="6">
        <f t="shared" si="6"/>
        <v>66.357200000000006</v>
      </c>
      <c r="Q98" s="6">
        <f t="shared" si="7"/>
        <v>29.616017553483271</v>
      </c>
      <c r="S98" s="4">
        <v>162.80000000000001</v>
      </c>
    </row>
    <row r="99" spans="1:19" x14ac:dyDescent="0.25">
      <c r="A99" s="3">
        <v>40959</v>
      </c>
      <c r="B99" s="1">
        <f t="shared" si="4"/>
        <v>2</v>
      </c>
      <c r="C99" s="1">
        <f t="shared" si="5"/>
        <v>2012</v>
      </c>
      <c r="D99" s="4">
        <v>1.2769999999999999</v>
      </c>
      <c r="E99" s="4"/>
      <c r="F99" s="5"/>
      <c r="H99" s="4">
        <v>5.0977999999999994</v>
      </c>
      <c r="I99" s="4">
        <v>91.6</v>
      </c>
      <c r="J99" s="4">
        <v>69.62</v>
      </c>
      <c r="P99" s="6">
        <f t="shared" si="6"/>
        <v>66.403999999999996</v>
      </c>
      <c r="Q99" s="6">
        <f t="shared" si="7"/>
        <v>27.944087705559905</v>
      </c>
      <c r="S99" s="4">
        <v>162.80000000000001</v>
      </c>
    </row>
    <row r="100" spans="1:19" x14ac:dyDescent="0.25">
      <c r="A100" s="3">
        <v>40966</v>
      </c>
      <c r="B100" s="1">
        <f t="shared" si="4"/>
        <v>2</v>
      </c>
      <c r="C100" s="1">
        <f t="shared" si="5"/>
        <v>2012</v>
      </c>
      <c r="D100" s="4">
        <v>1.11635</v>
      </c>
      <c r="E100" s="4"/>
      <c r="F100" s="5"/>
      <c r="H100" s="4"/>
      <c r="I100" s="4">
        <v>87.295000000000002</v>
      </c>
      <c r="J100" s="4">
        <v>71.09</v>
      </c>
      <c r="P100" s="6">
        <f t="shared" si="6"/>
        <v>58.050199999999997</v>
      </c>
      <c r="Q100" s="6" t="str">
        <f t="shared" si="7"/>
        <v/>
      </c>
      <c r="S100" s="4">
        <v>162.80000000000001</v>
      </c>
    </row>
    <row r="101" spans="1:19" x14ac:dyDescent="0.25">
      <c r="A101" s="3">
        <v>40973</v>
      </c>
      <c r="B101" s="1">
        <f t="shared" si="4"/>
        <v>3</v>
      </c>
      <c r="C101" s="1">
        <f t="shared" si="5"/>
        <v>2012</v>
      </c>
      <c r="D101" s="4">
        <v>1.05585</v>
      </c>
      <c r="E101" s="4"/>
      <c r="F101" s="5"/>
      <c r="H101" s="4">
        <v>5.0102000000000002</v>
      </c>
      <c r="I101" s="4">
        <v>87.884</v>
      </c>
      <c r="J101" s="4">
        <v>79.42</v>
      </c>
      <c r="P101" s="6">
        <f t="shared" si="6"/>
        <v>54.904199999999996</v>
      </c>
      <c r="Q101" s="6">
        <f t="shared" si="7"/>
        <v>33.21627125065114</v>
      </c>
      <c r="S101" s="4">
        <v>132.6</v>
      </c>
    </row>
    <row r="102" spans="1:19" x14ac:dyDescent="0.25">
      <c r="A102" s="3">
        <v>40980</v>
      </c>
      <c r="B102" s="1">
        <f t="shared" si="4"/>
        <v>3</v>
      </c>
      <c r="C102" s="1">
        <f t="shared" si="5"/>
        <v>2012</v>
      </c>
      <c r="D102" s="4">
        <v>1.0704499999999999</v>
      </c>
      <c r="E102" s="4"/>
      <c r="F102" s="5"/>
      <c r="H102" s="4">
        <v>4.9604999999999997</v>
      </c>
      <c r="I102" s="4">
        <v>90.7</v>
      </c>
      <c r="J102" s="4">
        <v>69.430000000000007</v>
      </c>
      <c r="P102" s="6">
        <f t="shared" si="6"/>
        <v>55.663399999999996</v>
      </c>
      <c r="Q102" s="6">
        <f t="shared" si="7"/>
        <v>32.438226913914704</v>
      </c>
      <c r="S102" s="4">
        <v>169.6</v>
      </c>
    </row>
    <row r="103" spans="1:19" x14ac:dyDescent="0.25">
      <c r="A103" s="3">
        <v>40987</v>
      </c>
      <c r="B103" s="1">
        <f t="shared" si="4"/>
        <v>3</v>
      </c>
      <c r="C103" s="1">
        <f t="shared" si="5"/>
        <v>2012</v>
      </c>
      <c r="D103" s="4">
        <v>1.0785499999999999</v>
      </c>
      <c r="E103" s="4"/>
      <c r="F103" s="5"/>
      <c r="H103" s="4">
        <v>4.7657999999999996</v>
      </c>
      <c r="I103" s="4">
        <v>90.3</v>
      </c>
      <c r="J103" s="4">
        <v>64.42</v>
      </c>
      <c r="P103" s="6">
        <f t="shared" si="6"/>
        <v>56.084599999999995</v>
      </c>
      <c r="Q103" s="6">
        <f t="shared" si="7"/>
        <v>30.930972138519305</v>
      </c>
      <c r="S103" s="4">
        <v>171</v>
      </c>
    </row>
    <row r="104" spans="1:19" x14ac:dyDescent="0.25">
      <c r="A104" s="3">
        <v>40994</v>
      </c>
      <c r="B104" s="1">
        <f t="shared" si="4"/>
        <v>3</v>
      </c>
      <c r="C104" s="1">
        <f t="shared" si="5"/>
        <v>2012</v>
      </c>
      <c r="D104" s="4">
        <v>1.0682</v>
      </c>
      <c r="E104" s="4"/>
      <c r="F104" s="5"/>
      <c r="H104" s="4">
        <v>4.8170999999999999</v>
      </c>
      <c r="I104" s="7">
        <f>AVERAGE(I103,I105)</f>
        <v>88.12</v>
      </c>
      <c r="J104" s="4"/>
      <c r="P104" s="6">
        <f t="shared" si="6"/>
        <v>55.546400000000006</v>
      </c>
      <c r="Q104" s="6">
        <f t="shared" si="7"/>
        <v>31.566841415465266</v>
      </c>
      <c r="S104" s="4">
        <v>319.2</v>
      </c>
    </row>
    <row r="105" spans="1:19" x14ac:dyDescent="0.25">
      <c r="A105" s="3">
        <v>41001</v>
      </c>
      <c r="B105" s="1">
        <f t="shared" si="4"/>
        <v>4</v>
      </c>
      <c r="C105" s="1">
        <f t="shared" si="5"/>
        <v>2012</v>
      </c>
      <c r="D105" s="4">
        <v>0.98309999999999997</v>
      </c>
      <c r="E105" s="4"/>
      <c r="F105" s="5"/>
      <c r="H105" s="4">
        <v>4.7850000000000001</v>
      </c>
      <c r="I105" s="4">
        <v>85.94</v>
      </c>
      <c r="J105" s="4">
        <v>46.84</v>
      </c>
      <c r="P105" s="6">
        <f t="shared" si="6"/>
        <v>51.121200000000002</v>
      </c>
      <c r="Q105" s="6">
        <f t="shared" si="7"/>
        <v>34.070796460176993</v>
      </c>
      <c r="S105" s="4">
        <v>501.7</v>
      </c>
    </row>
    <row r="106" spans="1:19" x14ac:dyDescent="0.25">
      <c r="A106" s="3">
        <v>41008</v>
      </c>
      <c r="B106" s="1">
        <f t="shared" si="4"/>
        <v>4</v>
      </c>
      <c r="C106" s="1">
        <f t="shared" si="5"/>
        <v>2012</v>
      </c>
      <c r="D106" s="4">
        <v>0.95684999999999998</v>
      </c>
      <c r="E106" s="4"/>
      <c r="F106" s="5"/>
      <c r="H106" s="4">
        <v>4.5744999999999996</v>
      </c>
      <c r="I106" s="4">
        <v>82.71</v>
      </c>
      <c r="J106" s="4">
        <v>48.43</v>
      </c>
      <c r="P106" s="6">
        <f t="shared" si="6"/>
        <v>49.7562</v>
      </c>
      <c r="Q106" s="6">
        <f t="shared" si="7"/>
        <v>33.465537963108112</v>
      </c>
      <c r="S106" s="4">
        <v>486</v>
      </c>
    </row>
    <row r="107" spans="1:19" x14ac:dyDescent="0.25">
      <c r="A107" s="3">
        <v>41015</v>
      </c>
      <c r="B107" s="1">
        <f t="shared" si="4"/>
        <v>4</v>
      </c>
      <c r="C107" s="1">
        <f t="shared" si="5"/>
        <v>2012</v>
      </c>
      <c r="D107" s="4">
        <v>1.1250500000000001</v>
      </c>
      <c r="E107" s="4"/>
      <c r="F107" s="5"/>
      <c r="H107" s="4">
        <v>4.7545999999999999</v>
      </c>
      <c r="I107" s="4">
        <v>84.734999999999999</v>
      </c>
      <c r="J107" s="4">
        <v>57.75</v>
      </c>
      <c r="P107" s="6">
        <f t="shared" si="6"/>
        <v>58.502600000000008</v>
      </c>
      <c r="Q107" s="6">
        <f t="shared" si="7"/>
        <v>29.582862983867379</v>
      </c>
      <c r="S107" s="4">
        <v>401.8</v>
      </c>
    </row>
    <row r="108" spans="1:19" x14ac:dyDescent="0.25">
      <c r="A108" s="3">
        <v>41022</v>
      </c>
      <c r="B108" s="1">
        <f t="shared" si="4"/>
        <v>4</v>
      </c>
      <c r="C108" s="1">
        <f t="shared" si="5"/>
        <v>2012</v>
      </c>
      <c r="D108" s="4">
        <v>1.05135</v>
      </c>
      <c r="E108" s="4"/>
      <c r="F108" s="5"/>
      <c r="H108" s="4">
        <v>5.2402999999999995</v>
      </c>
      <c r="I108" s="7">
        <f>AVERAGE(I107,I109)</f>
        <v>87.922499999999999</v>
      </c>
      <c r="J108" s="4"/>
      <c r="P108" s="6">
        <f t="shared" si="6"/>
        <v>54.670200000000001</v>
      </c>
      <c r="Q108" s="6">
        <f t="shared" si="7"/>
        <v>34.890474152280397</v>
      </c>
      <c r="S108" s="4">
        <v>258.14999999999998</v>
      </c>
    </row>
    <row r="109" spans="1:19" x14ac:dyDescent="0.25">
      <c r="A109" s="3">
        <v>41029</v>
      </c>
      <c r="B109" s="1">
        <f t="shared" si="4"/>
        <v>4</v>
      </c>
      <c r="C109" s="1">
        <f t="shared" si="5"/>
        <v>2012</v>
      </c>
      <c r="D109" s="4">
        <v>1.0505</v>
      </c>
      <c r="E109" s="4"/>
      <c r="F109" s="5"/>
      <c r="H109" s="4"/>
      <c r="I109" s="4">
        <v>91.11</v>
      </c>
      <c r="J109" s="4">
        <v>55.97</v>
      </c>
      <c r="P109" s="6">
        <f t="shared" si="6"/>
        <v>54.625999999999998</v>
      </c>
      <c r="Q109" s="6" t="str">
        <f t="shared" si="7"/>
        <v/>
      </c>
      <c r="S109" s="4">
        <v>201.8</v>
      </c>
    </row>
    <row r="110" spans="1:19" x14ac:dyDescent="0.25">
      <c r="A110" s="3">
        <v>41036</v>
      </c>
      <c r="B110" s="1">
        <f t="shared" si="4"/>
        <v>5</v>
      </c>
      <c r="C110" s="1">
        <f t="shared" si="5"/>
        <v>2012</v>
      </c>
      <c r="D110" s="4">
        <v>1.1470499999999999</v>
      </c>
      <c r="E110" s="4"/>
      <c r="F110" s="5"/>
      <c r="H110" s="4">
        <v>5.4704999999999995</v>
      </c>
      <c r="I110" s="4">
        <v>94.06</v>
      </c>
      <c r="J110" s="4">
        <v>69.319999999999993</v>
      </c>
      <c r="P110" s="6">
        <f t="shared" si="6"/>
        <v>59.646599999999992</v>
      </c>
      <c r="Q110" s="6">
        <f t="shared" si="7"/>
        <v>33.384333725644041</v>
      </c>
      <c r="S110" s="4">
        <v>116.3</v>
      </c>
    </row>
    <row r="111" spans="1:19" x14ac:dyDescent="0.25">
      <c r="A111" s="3">
        <v>41043</v>
      </c>
      <c r="B111" s="1">
        <f t="shared" si="4"/>
        <v>5</v>
      </c>
      <c r="C111" s="1">
        <f t="shared" si="5"/>
        <v>2012</v>
      </c>
      <c r="D111" s="4">
        <v>1.1619999999999999</v>
      </c>
      <c r="E111" s="4"/>
      <c r="F111" s="5"/>
      <c r="H111" s="4">
        <v>5.5659999999999998</v>
      </c>
      <c r="I111" s="4">
        <v>94.42</v>
      </c>
      <c r="J111" s="4">
        <v>72.06</v>
      </c>
      <c r="P111" s="6">
        <f t="shared" si="6"/>
        <v>60.423999999999992</v>
      </c>
      <c r="Q111" s="6">
        <f t="shared" si="7"/>
        <v>33.53012048192771</v>
      </c>
      <c r="S111" s="4">
        <v>-20.5</v>
      </c>
    </row>
    <row r="112" spans="1:19" x14ac:dyDescent="0.25">
      <c r="A112" s="3">
        <v>41050</v>
      </c>
      <c r="B112" s="1">
        <f t="shared" si="4"/>
        <v>5</v>
      </c>
      <c r="C112" s="1">
        <f t="shared" si="5"/>
        <v>2012</v>
      </c>
      <c r="D112" s="4">
        <v>1.0502</v>
      </c>
      <c r="E112" s="4"/>
      <c r="F112" s="5"/>
      <c r="H112" s="4">
        <v>6.2732000000000001</v>
      </c>
      <c r="I112" s="4">
        <v>98.394999999999996</v>
      </c>
      <c r="J112" s="4">
        <v>69.61</v>
      </c>
      <c r="P112" s="6">
        <f t="shared" si="6"/>
        <v>54.610399999999998</v>
      </c>
      <c r="Q112" s="6">
        <f t="shared" si="7"/>
        <v>41.813368882117693</v>
      </c>
      <c r="S112" s="4">
        <v>-45.45</v>
      </c>
    </row>
    <row r="113" spans="1:19" x14ac:dyDescent="0.25">
      <c r="A113" s="3">
        <v>41057</v>
      </c>
      <c r="B113" s="1">
        <f t="shared" si="4"/>
        <v>5</v>
      </c>
      <c r="C113" s="1">
        <f t="shared" si="5"/>
        <v>2012</v>
      </c>
      <c r="D113" s="4">
        <v>1.1618999999999999</v>
      </c>
      <c r="E113" s="4"/>
      <c r="F113" s="5"/>
      <c r="H113" s="4"/>
      <c r="I113" s="4">
        <v>100.23</v>
      </c>
      <c r="J113" s="4">
        <v>74.91</v>
      </c>
      <c r="P113" s="6">
        <f t="shared" si="6"/>
        <v>60.418799999999997</v>
      </c>
      <c r="Q113" s="6" t="str">
        <f t="shared" si="7"/>
        <v/>
      </c>
      <c r="S113" s="4">
        <v>-123.1</v>
      </c>
    </row>
    <row r="114" spans="1:19" x14ac:dyDescent="0.25">
      <c r="A114" s="3">
        <v>41064</v>
      </c>
      <c r="B114" s="1">
        <f t="shared" si="4"/>
        <v>6</v>
      </c>
      <c r="C114" s="1">
        <f t="shared" si="5"/>
        <v>2012</v>
      </c>
      <c r="D114" s="4">
        <v>1.2010000000000001</v>
      </c>
      <c r="E114" s="4"/>
      <c r="F114" s="5"/>
      <c r="H114" s="4">
        <v>6.4052999999999995</v>
      </c>
      <c r="I114" s="4">
        <v>103.43</v>
      </c>
      <c r="J114" s="4">
        <v>74.489999999999995</v>
      </c>
      <c r="P114" s="6">
        <f t="shared" si="6"/>
        <v>62.452000000000005</v>
      </c>
      <c r="Q114" s="6">
        <f t="shared" si="7"/>
        <v>37.333139050791004</v>
      </c>
      <c r="S114" s="4">
        <v>-211.5</v>
      </c>
    </row>
    <row r="115" spans="1:19" x14ac:dyDescent="0.25">
      <c r="A115" s="3">
        <v>41071</v>
      </c>
      <c r="B115" s="1">
        <f t="shared" si="4"/>
        <v>6</v>
      </c>
      <c r="C115" s="1">
        <f t="shared" si="5"/>
        <v>2012</v>
      </c>
      <c r="D115" s="4">
        <v>1.1938</v>
      </c>
      <c r="E115" s="4"/>
      <c r="F115" s="5"/>
      <c r="H115" s="4">
        <v>6.4997000000000007</v>
      </c>
      <c r="I115" s="4">
        <v>108.044</v>
      </c>
      <c r="J115" s="4">
        <v>77.7</v>
      </c>
      <c r="P115" s="6">
        <f t="shared" si="6"/>
        <v>62.077599999999997</v>
      </c>
      <c r="Q115" s="6">
        <f t="shared" si="7"/>
        <v>38.111827776847051</v>
      </c>
      <c r="S115" s="4">
        <v>-211.5</v>
      </c>
    </row>
    <row r="116" spans="1:19" x14ac:dyDescent="0.25">
      <c r="A116" s="3">
        <v>41078</v>
      </c>
      <c r="B116" s="1">
        <f t="shared" si="4"/>
        <v>6</v>
      </c>
      <c r="C116" s="1">
        <f t="shared" si="5"/>
        <v>2012</v>
      </c>
      <c r="D116" s="4">
        <v>1.2007000000000001</v>
      </c>
      <c r="E116" s="4"/>
      <c r="F116" s="5"/>
      <c r="H116" s="4">
        <v>6.6246</v>
      </c>
      <c r="I116" s="4">
        <v>110.24</v>
      </c>
      <c r="J116" s="4">
        <v>83.19</v>
      </c>
      <c r="P116" s="6">
        <f t="shared" si="6"/>
        <v>62.436400000000006</v>
      </c>
      <c r="Q116" s="6">
        <f t="shared" si="7"/>
        <v>38.620971100191554</v>
      </c>
      <c r="S116" s="4">
        <v>-161.69999999999999</v>
      </c>
    </row>
    <row r="117" spans="1:19" x14ac:dyDescent="0.25">
      <c r="A117" s="3">
        <v>41085</v>
      </c>
      <c r="B117" s="1">
        <f t="shared" si="4"/>
        <v>6</v>
      </c>
      <c r="C117" s="1">
        <f t="shared" si="5"/>
        <v>2012</v>
      </c>
      <c r="D117" s="4">
        <v>1.1829000000000001</v>
      </c>
      <c r="E117" s="4"/>
      <c r="F117" s="5"/>
      <c r="H117" s="4">
        <v>6.7950999999999997</v>
      </c>
      <c r="I117" s="4">
        <v>117.6</v>
      </c>
      <c r="J117" s="4">
        <v>85.92</v>
      </c>
      <c r="P117" s="6">
        <f t="shared" si="6"/>
        <v>61.510800000000003</v>
      </c>
      <c r="Q117" s="6">
        <f t="shared" si="7"/>
        <v>40.211091385577816</v>
      </c>
      <c r="S117" s="4">
        <v>-33.299999999999997</v>
      </c>
    </row>
    <row r="118" spans="1:19" x14ac:dyDescent="0.25">
      <c r="A118" s="3">
        <v>41092</v>
      </c>
      <c r="B118" s="1">
        <f t="shared" si="4"/>
        <v>7</v>
      </c>
      <c r="C118" s="1">
        <f t="shared" si="5"/>
        <v>2012</v>
      </c>
      <c r="D118" s="4">
        <v>1.1369</v>
      </c>
      <c r="E118" s="4"/>
      <c r="F118" s="5"/>
      <c r="H118" s="4">
        <v>6.7734000000000005</v>
      </c>
      <c r="I118" s="4">
        <v>118.06</v>
      </c>
      <c r="J118" s="4">
        <v>94.85</v>
      </c>
      <c r="P118" s="6">
        <f t="shared" si="6"/>
        <v>59.1188</v>
      </c>
      <c r="Q118" s="6">
        <f t="shared" si="7"/>
        <v>41.704459495118307</v>
      </c>
      <c r="S118" s="4">
        <v>49.3</v>
      </c>
    </row>
    <row r="119" spans="1:19" x14ac:dyDescent="0.25">
      <c r="A119" s="3">
        <v>41099</v>
      </c>
      <c r="B119" s="1">
        <f t="shared" si="4"/>
        <v>7</v>
      </c>
      <c r="C119" s="1">
        <f t="shared" si="5"/>
        <v>2012</v>
      </c>
      <c r="D119" s="4">
        <v>1.17205</v>
      </c>
      <c r="E119" s="4"/>
      <c r="F119" s="5"/>
      <c r="H119" s="4">
        <v>6.6487999999999996</v>
      </c>
      <c r="I119" s="4">
        <v>115.32</v>
      </c>
      <c r="J119" s="4">
        <v>77.569999999999993</v>
      </c>
      <c r="P119" s="6">
        <f t="shared" si="6"/>
        <v>60.946600000000004</v>
      </c>
      <c r="Q119" s="6">
        <f t="shared" si="7"/>
        <v>39.709568704406806</v>
      </c>
      <c r="S119" s="4">
        <v>49.3</v>
      </c>
    </row>
    <row r="120" spans="1:19" x14ac:dyDescent="0.25">
      <c r="A120" s="3">
        <v>41106</v>
      </c>
      <c r="B120" s="1">
        <f t="shared" si="4"/>
        <v>7</v>
      </c>
      <c r="C120" s="1">
        <f t="shared" si="5"/>
        <v>2012</v>
      </c>
      <c r="D120" s="4">
        <v>1.2733000000000001</v>
      </c>
      <c r="E120" s="4"/>
      <c r="F120" s="5"/>
      <c r="H120" s="4">
        <v>6.62</v>
      </c>
      <c r="I120" s="4">
        <v>116.3</v>
      </c>
      <c r="J120" s="4">
        <v>86.37</v>
      </c>
      <c r="P120" s="6">
        <f t="shared" si="6"/>
        <v>66.211600000000004</v>
      </c>
      <c r="Q120" s="6">
        <f t="shared" si="7"/>
        <v>36.393622869708629</v>
      </c>
      <c r="S120" s="4">
        <v>234.75</v>
      </c>
    </row>
    <row r="121" spans="1:19" x14ac:dyDescent="0.25">
      <c r="A121" s="3">
        <v>41113</v>
      </c>
      <c r="B121" s="1">
        <f t="shared" si="4"/>
        <v>7</v>
      </c>
      <c r="C121" s="1">
        <f t="shared" si="5"/>
        <v>2012</v>
      </c>
      <c r="D121" s="4">
        <v>1.30975</v>
      </c>
      <c r="E121" s="4"/>
      <c r="F121" s="5"/>
      <c r="H121" s="4">
        <v>6.7160000000000002</v>
      </c>
      <c r="I121" s="4">
        <v>117.747</v>
      </c>
      <c r="J121" s="4">
        <v>85.28</v>
      </c>
      <c r="P121" s="6">
        <f t="shared" si="6"/>
        <v>68.106999999999999</v>
      </c>
      <c r="Q121" s="6">
        <f t="shared" si="7"/>
        <v>35.893872876503153</v>
      </c>
      <c r="S121" s="4">
        <v>96.55</v>
      </c>
    </row>
    <row r="122" spans="1:19" x14ac:dyDescent="0.25">
      <c r="A122" s="3">
        <v>41120</v>
      </c>
      <c r="B122" s="1">
        <f t="shared" si="4"/>
        <v>7</v>
      </c>
      <c r="C122" s="1">
        <f t="shared" si="5"/>
        <v>2012</v>
      </c>
      <c r="D122" s="4">
        <v>1.20065</v>
      </c>
      <c r="E122" s="4"/>
      <c r="F122" s="5"/>
      <c r="H122" s="4">
        <v>6.7189999999999994</v>
      </c>
      <c r="I122" s="4">
        <v>116.98</v>
      </c>
      <c r="J122" s="4">
        <v>83.8</v>
      </c>
      <c r="P122" s="6">
        <f t="shared" si="6"/>
        <v>62.433799999999998</v>
      </c>
      <c r="Q122" s="6">
        <f t="shared" si="7"/>
        <v>39.172947986507303</v>
      </c>
      <c r="S122" s="4">
        <v>130.25</v>
      </c>
    </row>
    <row r="123" spans="1:19" x14ac:dyDescent="0.25">
      <c r="A123" s="3">
        <v>41127</v>
      </c>
      <c r="B123" s="1">
        <f t="shared" si="4"/>
        <v>8</v>
      </c>
      <c r="C123" s="1">
        <f t="shared" si="5"/>
        <v>2012</v>
      </c>
      <c r="D123" s="4">
        <v>1.2294499999999999</v>
      </c>
      <c r="E123" s="4"/>
      <c r="F123" s="5"/>
      <c r="H123" s="4">
        <v>6.7029999999999994</v>
      </c>
      <c r="I123" s="4">
        <v>116.72</v>
      </c>
      <c r="J123" s="4">
        <v>88.78</v>
      </c>
      <c r="P123" s="6">
        <f t="shared" si="6"/>
        <v>63.931399999999996</v>
      </c>
      <c r="Q123" s="6">
        <f t="shared" si="7"/>
        <v>38.164219773069256</v>
      </c>
      <c r="S123" s="4">
        <v>152.69999999999999</v>
      </c>
    </row>
    <row r="124" spans="1:19" x14ac:dyDescent="0.25">
      <c r="A124" s="3">
        <v>41134</v>
      </c>
      <c r="B124" s="1">
        <f t="shared" si="4"/>
        <v>8</v>
      </c>
      <c r="C124" s="1">
        <f t="shared" si="5"/>
        <v>2012</v>
      </c>
      <c r="D124" s="4">
        <v>1.2486999999999999</v>
      </c>
      <c r="E124" s="4"/>
      <c r="F124" s="5"/>
      <c r="H124" s="4">
        <v>6.6170000000000009</v>
      </c>
      <c r="I124" s="4">
        <v>117.69</v>
      </c>
      <c r="J124" s="4">
        <v>104.74</v>
      </c>
      <c r="P124" s="6">
        <f t="shared" si="6"/>
        <v>64.932400000000001</v>
      </c>
      <c r="Q124" s="6">
        <f t="shared" si="7"/>
        <v>37.093777528629779</v>
      </c>
      <c r="S124" s="4">
        <v>160.75</v>
      </c>
    </row>
    <row r="125" spans="1:19" x14ac:dyDescent="0.25">
      <c r="A125" s="3">
        <v>41141</v>
      </c>
      <c r="B125" s="1">
        <f t="shared" si="4"/>
        <v>8</v>
      </c>
      <c r="C125" s="1">
        <f t="shared" si="5"/>
        <v>2012</v>
      </c>
      <c r="D125" s="4">
        <v>1.18005</v>
      </c>
      <c r="E125" s="4"/>
      <c r="F125" s="5"/>
      <c r="H125" s="4">
        <v>6.6210000000000004</v>
      </c>
      <c r="I125" s="4">
        <v>115.31</v>
      </c>
      <c r="J125" s="4">
        <v>89.32</v>
      </c>
      <c r="P125" s="6">
        <f t="shared" si="6"/>
        <v>61.3626</v>
      </c>
      <c r="Q125" s="6">
        <f t="shared" si="7"/>
        <v>39.275454429897039</v>
      </c>
      <c r="S125" s="4">
        <v>250</v>
      </c>
    </row>
    <row r="126" spans="1:19" x14ac:dyDescent="0.25">
      <c r="A126" s="3">
        <v>41148</v>
      </c>
      <c r="B126" s="1">
        <f t="shared" si="4"/>
        <v>8</v>
      </c>
      <c r="C126" s="1">
        <f t="shared" si="5"/>
        <v>2012</v>
      </c>
      <c r="D126" s="4">
        <v>1.2482</v>
      </c>
      <c r="E126" s="4"/>
      <c r="F126" s="5"/>
      <c r="H126" s="4">
        <v>6.6710000000000003</v>
      </c>
      <c r="I126" s="4">
        <v>114.93</v>
      </c>
      <c r="J126" s="4">
        <v>85.09</v>
      </c>
      <c r="P126" s="6">
        <f t="shared" si="6"/>
        <v>64.906400000000005</v>
      </c>
      <c r="Q126" s="6">
        <f t="shared" si="7"/>
        <v>37.41147252042942</v>
      </c>
      <c r="S126" s="4">
        <v>313.3</v>
      </c>
    </row>
    <row r="127" spans="1:19" x14ac:dyDescent="0.25">
      <c r="A127" s="3">
        <v>41155</v>
      </c>
      <c r="B127" s="1">
        <f t="shared" si="4"/>
        <v>9</v>
      </c>
      <c r="C127" s="1">
        <f t="shared" si="5"/>
        <v>2012</v>
      </c>
      <c r="D127" s="4">
        <v>1.2501</v>
      </c>
      <c r="E127" s="4"/>
      <c r="F127" s="5"/>
      <c r="H127" s="4">
        <v>6.7457000000000003</v>
      </c>
      <c r="I127" s="4">
        <v>117.705</v>
      </c>
      <c r="J127" s="4">
        <v>88.15</v>
      </c>
      <c r="P127" s="6">
        <f t="shared" si="6"/>
        <v>65.005200000000002</v>
      </c>
      <c r="Q127" s="6">
        <f t="shared" si="7"/>
        <v>37.772898168146547</v>
      </c>
      <c r="S127" s="4">
        <v>380.8</v>
      </c>
    </row>
    <row r="128" spans="1:19" x14ac:dyDescent="0.25">
      <c r="A128" s="3">
        <v>41162</v>
      </c>
      <c r="B128" s="1">
        <f t="shared" si="4"/>
        <v>9</v>
      </c>
      <c r="C128" s="1">
        <f t="shared" si="5"/>
        <v>2012</v>
      </c>
      <c r="D128" s="4">
        <v>1.37645</v>
      </c>
      <c r="E128" s="4"/>
      <c r="F128" s="5"/>
      <c r="H128" s="4">
        <v>6.7825999999999995</v>
      </c>
      <c r="I128" s="4">
        <v>124.37</v>
      </c>
      <c r="J128" s="4">
        <v>79.06</v>
      </c>
      <c r="P128" s="6">
        <f t="shared" si="6"/>
        <v>71.575400000000002</v>
      </c>
      <c r="Q128" s="6">
        <f t="shared" si="7"/>
        <v>34.493225326019832</v>
      </c>
      <c r="S128" s="4">
        <v>380.8</v>
      </c>
    </row>
    <row r="129" spans="1:19" x14ac:dyDescent="0.25">
      <c r="A129" s="3">
        <v>41169</v>
      </c>
      <c r="B129" s="1">
        <f t="shared" si="4"/>
        <v>9</v>
      </c>
      <c r="C129" s="1">
        <f t="shared" si="5"/>
        <v>2012</v>
      </c>
      <c r="D129" s="4">
        <v>1.5180199999999999</v>
      </c>
      <c r="E129" s="4"/>
      <c r="F129" s="5"/>
      <c r="H129" s="4">
        <v>6.4727999999999994</v>
      </c>
      <c r="I129" s="4">
        <v>122.92</v>
      </c>
      <c r="J129" s="4">
        <v>101.4</v>
      </c>
      <c r="P129" s="6">
        <f t="shared" si="6"/>
        <v>78.937039999999996</v>
      </c>
      <c r="Q129" s="6">
        <f t="shared" si="7"/>
        <v>29.847828091856496</v>
      </c>
      <c r="S129" s="4">
        <v>320.85000000000002</v>
      </c>
    </row>
    <row r="130" spans="1:19" x14ac:dyDescent="0.25">
      <c r="A130" s="3">
        <v>41176</v>
      </c>
      <c r="B130" s="1">
        <f t="shared" ref="B130:B193" si="8">MONTH(A130)</f>
        <v>9</v>
      </c>
      <c r="C130" s="1">
        <f t="shared" ref="C130:C193" si="9">YEAR(A130)</f>
        <v>2012</v>
      </c>
      <c r="D130" s="4">
        <v>1.4575</v>
      </c>
      <c r="E130" s="4"/>
      <c r="F130" s="5"/>
      <c r="H130" s="4">
        <v>5.9320000000000004</v>
      </c>
      <c r="I130" s="7">
        <f>AVERAGE(I129,I131)</f>
        <v>126.42500000000001</v>
      </c>
      <c r="J130" s="4"/>
      <c r="P130" s="6">
        <f t="shared" ref="P130:P193" si="10">D130*52</f>
        <v>75.790000000000006</v>
      </c>
      <c r="Q130" s="6">
        <f t="shared" si="7"/>
        <v>28.489879931389368</v>
      </c>
      <c r="S130" s="4">
        <v>266.55</v>
      </c>
    </row>
    <row r="131" spans="1:19" x14ac:dyDescent="0.25">
      <c r="A131" s="3">
        <v>41183</v>
      </c>
      <c r="B131" s="1">
        <f t="shared" si="8"/>
        <v>10</v>
      </c>
      <c r="C131" s="1">
        <f t="shared" si="9"/>
        <v>2012</v>
      </c>
      <c r="D131" s="4">
        <v>0.63692000000000004</v>
      </c>
      <c r="E131" s="4"/>
      <c r="F131" s="5"/>
      <c r="H131" s="4">
        <v>5.9603000000000002</v>
      </c>
      <c r="I131" s="4">
        <v>129.93</v>
      </c>
      <c r="J131" s="4">
        <v>81.349999999999994</v>
      </c>
      <c r="P131" s="6">
        <f t="shared" si="10"/>
        <v>33.119840000000003</v>
      </c>
      <c r="Q131" s="6">
        <f t="shared" si="7"/>
        <v>65.506029014632915</v>
      </c>
      <c r="S131" s="4"/>
    </row>
    <row r="132" spans="1:19" x14ac:dyDescent="0.25">
      <c r="A132" s="3">
        <v>41190</v>
      </c>
      <c r="B132" s="1">
        <f t="shared" si="8"/>
        <v>10</v>
      </c>
      <c r="C132" s="1">
        <f t="shared" si="9"/>
        <v>2012</v>
      </c>
      <c r="D132" s="4">
        <v>0.99128000000000005</v>
      </c>
      <c r="E132" s="4"/>
      <c r="F132" s="5"/>
      <c r="H132" s="4">
        <v>6.0850999999999997</v>
      </c>
      <c r="I132" s="4">
        <v>132.55000000000001</v>
      </c>
      <c r="J132" s="4">
        <v>82.54</v>
      </c>
      <c r="P132" s="6">
        <f t="shared" si="10"/>
        <v>51.546559999999999</v>
      </c>
      <c r="Q132" s="6">
        <f t="shared" si="7"/>
        <v>42.970401904608181</v>
      </c>
      <c r="S132" s="4">
        <v>26.7</v>
      </c>
    </row>
    <row r="133" spans="1:19" x14ac:dyDescent="0.25">
      <c r="A133" s="3">
        <v>41197</v>
      </c>
      <c r="B133" s="1">
        <f t="shared" si="8"/>
        <v>10</v>
      </c>
      <c r="C133" s="1">
        <f t="shared" si="9"/>
        <v>2012</v>
      </c>
      <c r="D133" s="4">
        <v>1.3129</v>
      </c>
      <c r="E133" s="4"/>
      <c r="F133" s="5"/>
      <c r="H133" s="4">
        <v>6.1154999999999999</v>
      </c>
      <c r="I133" s="4">
        <v>139.04</v>
      </c>
      <c r="J133" s="4">
        <v>83.42</v>
      </c>
      <c r="P133" s="6">
        <f t="shared" si="10"/>
        <v>68.270799999999994</v>
      </c>
      <c r="Q133" s="6">
        <f t="shared" si="7"/>
        <v>32.606062914159494</v>
      </c>
      <c r="S133" s="4">
        <v>-449.25</v>
      </c>
    </row>
    <row r="134" spans="1:19" x14ac:dyDescent="0.25">
      <c r="A134" s="3">
        <v>41204</v>
      </c>
      <c r="B134" s="1">
        <f t="shared" si="8"/>
        <v>10</v>
      </c>
      <c r="C134" s="1">
        <f t="shared" si="9"/>
        <v>2012</v>
      </c>
      <c r="D134" s="4">
        <v>1.3163</v>
      </c>
      <c r="E134" s="4"/>
      <c r="F134" s="5"/>
      <c r="H134" s="4">
        <v>5.3571</v>
      </c>
      <c r="I134" s="4">
        <v>136.97499999999999</v>
      </c>
      <c r="J134" s="4">
        <v>86.1</v>
      </c>
      <c r="P134" s="6">
        <f t="shared" si="10"/>
        <v>68.447599999999994</v>
      </c>
      <c r="Q134" s="6">
        <f t="shared" si="7"/>
        <v>28.488718377269617</v>
      </c>
      <c r="S134" s="4">
        <v>-425.3</v>
      </c>
    </row>
    <row r="135" spans="1:19" x14ac:dyDescent="0.25">
      <c r="A135" s="3">
        <v>41211</v>
      </c>
      <c r="B135" s="1">
        <f t="shared" si="8"/>
        <v>10</v>
      </c>
      <c r="C135" s="1">
        <f t="shared" si="9"/>
        <v>2012</v>
      </c>
      <c r="D135" s="4">
        <v>1.2061500000000001</v>
      </c>
      <c r="E135" s="4"/>
      <c r="F135" s="5"/>
      <c r="H135" s="4"/>
      <c r="I135" s="4">
        <v>140.137</v>
      </c>
      <c r="J135" s="4">
        <v>91.27</v>
      </c>
      <c r="P135" s="6">
        <f t="shared" si="10"/>
        <v>62.719800000000006</v>
      </c>
      <c r="Q135" s="6" t="str">
        <f t="shared" si="7"/>
        <v/>
      </c>
      <c r="S135" s="4">
        <v>-509.4</v>
      </c>
    </row>
    <row r="136" spans="1:19" x14ac:dyDescent="0.25">
      <c r="A136" s="3">
        <v>41218</v>
      </c>
      <c r="B136" s="1">
        <f t="shared" si="8"/>
        <v>11</v>
      </c>
      <c r="C136" s="1">
        <f t="shared" si="9"/>
        <v>2012</v>
      </c>
      <c r="D136" s="4">
        <v>1.0547500000000001</v>
      </c>
      <c r="E136" s="4"/>
      <c r="F136" s="5"/>
      <c r="H136" s="4">
        <v>5.3098000000000001</v>
      </c>
      <c r="I136" s="4">
        <v>142.88999999999999</v>
      </c>
      <c r="J136" s="4">
        <v>83.76</v>
      </c>
      <c r="P136" s="6">
        <f t="shared" si="10"/>
        <v>54.847000000000001</v>
      </c>
      <c r="Q136" s="6">
        <f t="shared" si="7"/>
        <v>35.239251007347711</v>
      </c>
      <c r="S136" s="4">
        <v>-575.5</v>
      </c>
    </row>
    <row r="137" spans="1:19" x14ac:dyDescent="0.25">
      <c r="A137" s="3">
        <v>41225</v>
      </c>
      <c r="B137" s="1">
        <f t="shared" si="8"/>
        <v>11</v>
      </c>
      <c r="C137" s="1">
        <f t="shared" si="9"/>
        <v>2012</v>
      </c>
      <c r="D137" s="4">
        <v>1.1492500000000001</v>
      </c>
      <c r="E137" s="4"/>
      <c r="F137" s="5"/>
      <c r="H137" s="4">
        <v>5.2255999999999991</v>
      </c>
      <c r="I137" s="4">
        <v>145.36000000000001</v>
      </c>
      <c r="J137" s="4">
        <v>76</v>
      </c>
      <c r="P137" s="6">
        <f t="shared" si="10"/>
        <v>59.761000000000003</v>
      </c>
      <c r="Q137" s="6">
        <f t="shared" si="7"/>
        <v>31.828757885577541</v>
      </c>
      <c r="S137" s="4">
        <v>-724</v>
      </c>
    </row>
    <row r="138" spans="1:19" x14ac:dyDescent="0.25">
      <c r="A138" s="3">
        <v>41232</v>
      </c>
      <c r="B138" s="1">
        <f t="shared" si="8"/>
        <v>11</v>
      </c>
      <c r="C138" s="1">
        <f t="shared" si="9"/>
        <v>2012</v>
      </c>
      <c r="D138" s="4">
        <v>1.21635</v>
      </c>
      <c r="E138" s="4"/>
      <c r="F138" s="5"/>
      <c r="H138" s="4">
        <v>5.2695000000000007</v>
      </c>
      <c r="I138" s="4">
        <v>145.36000000000001</v>
      </c>
      <c r="J138" s="4">
        <v>74.33</v>
      </c>
      <c r="P138" s="6">
        <f t="shared" si="10"/>
        <v>63.2502</v>
      </c>
      <c r="Q138" s="6">
        <f t="shared" si="7"/>
        <v>30.325564187939328</v>
      </c>
      <c r="S138" s="4">
        <v>-862.4</v>
      </c>
    </row>
    <row r="139" spans="1:19" x14ac:dyDescent="0.25">
      <c r="A139" s="3">
        <v>41239</v>
      </c>
      <c r="B139" s="1">
        <f t="shared" si="8"/>
        <v>11</v>
      </c>
      <c r="C139" s="1">
        <f t="shared" si="9"/>
        <v>2012</v>
      </c>
      <c r="D139" s="4">
        <v>1.26325</v>
      </c>
      <c r="E139" s="4"/>
      <c r="F139" s="5"/>
      <c r="H139" s="4">
        <v>5.3366999999999996</v>
      </c>
      <c r="I139" s="4">
        <v>142.28</v>
      </c>
      <c r="J139" s="4">
        <v>86.41</v>
      </c>
      <c r="P139" s="6">
        <f t="shared" si="10"/>
        <v>65.688999999999993</v>
      </c>
      <c r="Q139" s="6">
        <f t="shared" si="7"/>
        <v>29.572056204235103</v>
      </c>
      <c r="S139" s="4">
        <v>-645.9</v>
      </c>
    </row>
    <row r="140" spans="1:19" x14ac:dyDescent="0.25">
      <c r="A140" s="3">
        <v>41246</v>
      </c>
      <c r="B140" s="1">
        <f t="shared" si="8"/>
        <v>12</v>
      </c>
      <c r="C140" s="1">
        <f t="shared" si="9"/>
        <v>2012</v>
      </c>
      <c r="D140" s="4">
        <v>1.14415</v>
      </c>
      <c r="E140" s="4"/>
      <c r="F140" s="5"/>
      <c r="H140" s="4">
        <v>5.5778999999999996</v>
      </c>
      <c r="I140" s="4">
        <v>130.22499999999999</v>
      </c>
      <c r="J140" s="4">
        <v>83.23</v>
      </c>
      <c r="P140" s="6">
        <f t="shared" si="10"/>
        <v>59.495800000000003</v>
      </c>
      <c r="Q140" s="6">
        <f t="shared" si="7"/>
        <v>34.126032425818288</v>
      </c>
      <c r="S140" s="4">
        <v>-436.25</v>
      </c>
    </row>
    <row r="141" spans="1:19" x14ac:dyDescent="0.25">
      <c r="A141" s="3">
        <v>41253</v>
      </c>
      <c r="B141" s="1">
        <f t="shared" si="8"/>
        <v>12</v>
      </c>
      <c r="C141" s="1">
        <f t="shared" si="9"/>
        <v>2012</v>
      </c>
      <c r="D141" s="4">
        <v>1.2978499999999999</v>
      </c>
      <c r="E141" s="4"/>
      <c r="F141" s="5"/>
      <c r="H141" s="4">
        <v>5.4529999999999994</v>
      </c>
      <c r="I141" s="4">
        <v>129.26</v>
      </c>
      <c r="J141" s="4">
        <v>61.69</v>
      </c>
      <c r="P141" s="6">
        <f t="shared" si="10"/>
        <v>67.488199999999992</v>
      </c>
      <c r="Q141" s="6">
        <f t="shared" si="7"/>
        <v>29.410948876988865</v>
      </c>
      <c r="S141" s="4">
        <v>-317.75</v>
      </c>
    </row>
    <row r="142" spans="1:19" x14ac:dyDescent="0.25">
      <c r="A142" s="3">
        <v>41260</v>
      </c>
      <c r="B142" s="1">
        <f t="shared" si="8"/>
        <v>12</v>
      </c>
      <c r="C142" s="1">
        <f t="shared" si="9"/>
        <v>2012</v>
      </c>
      <c r="D142" s="4">
        <v>1.33</v>
      </c>
      <c r="E142" s="4"/>
      <c r="F142" s="5"/>
      <c r="H142" s="4">
        <v>5.3727999999999998</v>
      </c>
      <c r="I142" s="4">
        <v>123.18</v>
      </c>
      <c r="J142" s="4">
        <v>64.52</v>
      </c>
      <c r="P142" s="6">
        <f t="shared" si="10"/>
        <v>69.16</v>
      </c>
      <c r="Q142" s="6">
        <f t="shared" si="7"/>
        <v>28.277894736842104</v>
      </c>
      <c r="S142" s="4">
        <v>-88.75</v>
      </c>
    </row>
    <row r="143" spans="1:19" x14ac:dyDescent="0.25">
      <c r="A143" s="3">
        <v>41267</v>
      </c>
      <c r="B143" s="1">
        <f t="shared" si="8"/>
        <v>12</v>
      </c>
      <c r="C143" s="1">
        <f t="shared" si="9"/>
        <v>2012</v>
      </c>
      <c r="D143" s="4">
        <v>1.337</v>
      </c>
      <c r="E143" s="4"/>
      <c r="F143" s="5"/>
      <c r="H143" s="4">
        <v>5.2786</v>
      </c>
      <c r="I143" s="7">
        <f>AVERAGE(I142,I144)</f>
        <v>119.4365</v>
      </c>
      <c r="J143" s="4">
        <v>66.72</v>
      </c>
      <c r="P143" s="6">
        <f t="shared" si="10"/>
        <v>69.524000000000001</v>
      </c>
      <c r="Q143" s="6">
        <f t="shared" si="7"/>
        <v>27.636649214659684</v>
      </c>
      <c r="S143" s="4">
        <v>-135.19999999999999</v>
      </c>
    </row>
    <row r="144" spans="1:19" x14ac:dyDescent="0.25">
      <c r="A144" s="3">
        <v>41274</v>
      </c>
      <c r="B144" s="1">
        <f t="shared" si="8"/>
        <v>12</v>
      </c>
      <c r="C144" s="1">
        <f t="shared" si="9"/>
        <v>2012</v>
      </c>
      <c r="D144" s="4">
        <v>1.1315999999999999</v>
      </c>
      <c r="E144" s="4"/>
      <c r="F144" s="5"/>
      <c r="H144" s="4"/>
      <c r="I144" s="4">
        <v>115.693</v>
      </c>
      <c r="J144" s="4">
        <v>63.79</v>
      </c>
      <c r="P144" s="6">
        <f t="shared" si="10"/>
        <v>58.843199999999996</v>
      </c>
      <c r="Q144" s="6" t="str">
        <f t="shared" si="7"/>
        <v/>
      </c>
      <c r="S144" s="4">
        <v>-329.6</v>
      </c>
    </row>
    <row r="145" spans="1:19" x14ac:dyDescent="0.25">
      <c r="A145" s="3">
        <v>41281</v>
      </c>
      <c r="B145" s="1">
        <f t="shared" si="8"/>
        <v>1</v>
      </c>
      <c r="C145" s="1">
        <f t="shared" si="9"/>
        <v>2013</v>
      </c>
      <c r="D145" s="4">
        <v>1.3049500000000001</v>
      </c>
      <c r="E145" s="4"/>
      <c r="F145" s="5"/>
      <c r="H145" s="4">
        <v>5.1714000000000002</v>
      </c>
      <c r="I145" s="4">
        <v>108.458</v>
      </c>
      <c r="J145" s="4">
        <v>44.3</v>
      </c>
      <c r="P145" s="6">
        <f t="shared" si="10"/>
        <v>67.857399999999998</v>
      </c>
      <c r="Q145" s="6">
        <f t="shared" si="7"/>
        <v>27.740373194375266</v>
      </c>
      <c r="S145" s="4">
        <v>-337.65</v>
      </c>
    </row>
    <row r="146" spans="1:19" x14ac:dyDescent="0.25">
      <c r="A146" s="3">
        <v>41288</v>
      </c>
      <c r="B146" s="1">
        <f t="shared" si="8"/>
        <v>1</v>
      </c>
      <c r="C146" s="1">
        <f t="shared" si="9"/>
        <v>2013</v>
      </c>
      <c r="D146" s="4">
        <v>1.4494</v>
      </c>
      <c r="E146" s="4"/>
      <c r="F146" s="5"/>
      <c r="H146" s="4">
        <v>5.0495000000000001</v>
      </c>
      <c r="I146" s="4">
        <v>108.256</v>
      </c>
      <c r="J146" s="4">
        <v>66.680000000000007</v>
      </c>
      <c r="P146" s="6">
        <f t="shared" si="10"/>
        <v>75.368800000000007</v>
      </c>
      <c r="Q146" s="6">
        <f t="shared" si="7"/>
        <v>24.386987719056162</v>
      </c>
      <c r="S146" s="4">
        <v>-306.7</v>
      </c>
    </row>
    <row r="147" spans="1:19" x14ac:dyDescent="0.25">
      <c r="A147" s="3">
        <v>41295</v>
      </c>
      <c r="B147" s="1">
        <f t="shared" si="8"/>
        <v>1</v>
      </c>
      <c r="C147" s="1">
        <f t="shared" si="9"/>
        <v>2013</v>
      </c>
      <c r="D147" s="4">
        <v>1.3754</v>
      </c>
      <c r="E147" s="4"/>
      <c r="F147" s="5"/>
      <c r="H147" s="4">
        <v>4.7947000000000006</v>
      </c>
      <c r="I147" s="4">
        <v>103.41</v>
      </c>
      <c r="J147" s="4">
        <v>66.11</v>
      </c>
      <c r="P147" s="6">
        <f t="shared" si="10"/>
        <v>71.520799999999994</v>
      </c>
      <c r="Q147" s="6">
        <f t="shared" si="7"/>
        <v>24.402282972226264</v>
      </c>
      <c r="S147" s="4">
        <v>-257.85000000000002</v>
      </c>
    </row>
    <row r="148" spans="1:19" x14ac:dyDescent="0.25">
      <c r="A148" s="3">
        <v>41302</v>
      </c>
      <c r="B148" s="1">
        <f t="shared" si="8"/>
        <v>1</v>
      </c>
      <c r="C148" s="1">
        <f t="shared" si="9"/>
        <v>2013</v>
      </c>
      <c r="D148" s="4">
        <v>1.2304999999999999</v>
      </c>
      <c r="E148" s="4"/>
      <c r="F148" s="5"/>
      <c r="H148" s="4"/>
      <c r="I148" s="7">
        <v>103.26</v>
      </c>
      <c r="J148" s="4"/>
      <c r="P148" s="6">
        <f t="shared" si="10"/>
        <v>63.985999999999997</v>
      </c>
      <c r="Q148" s="6" t="str">
        <f t="shared" ref="Q148:Q211" si="11">IF(H148="","",IF(D148="","",H148/(D148/7)))</f>
        <v/>
      </c>
      <c r="S148" s="4">
        <v>22.9</v>
      </c>
    </row>
    <row r="149" spans="1:19" x14ac:dyDescent="0.25">
      <c r="A149" s="3">
        <v>41309</v>
      </c>
      <c r="B149" s="1">
        <f t="shared" si="8"/>
        <v>2</v>
      </c>
      <c r="C149" s="1">
        <f t="shared" si="9"/>
        <v>2013</v>
      </c>
      <c r="D149" s="4">
        <v>0.70879999999999999</v>
      </c>
      <c r="E149" s="4"/>
      <c r="F149" s="5"/>
      <c r="H149" s="4"/>
      <c r="I149" s="7">
        <v>103.13</v>
      </c>
      <c r="J149" s="4">
        <v>85.26</v>
      </c>
      <c r="P149" s="6">
        <f t="shared" si="10"/>
        <v>36.857599999999998</v>
      </c>
      <c r="Q149" s="6" t="str">
        <f t="shared" si="11"/>
        <v/>
      </c>
      <c r="S149" s="4">
        <v>22.9</v>
      </c>
    </row>
    <row r="150" spans="1:19" x14ac:dyDescent="0.25">
      <c r="A150" s="3">
        <v>41316</v>
      </c>
      <c r="B150" s="1">
        <f t="shared" si="8"/>
        <v>2</v>
      </c>
      <c r="C150" s="1">
        <f t="shared" si="9"/>
        <v>2013</v>
      </c>
      <c r="D150" s="4">
        <v>0.1022</v>
      </c>
      <c r="E150" s="4"/>
      <c r="F150" s="5"/>
      <c r="H150" s="4"/>
      <c r="I150" s="4">
        <v>103</v>
      </c>
      <c r="J150" s="4"/>
      <c r="P150" s="6">
        <f t="shared" si="10"/>
        <v>5.3144</v>
      </c>
      <c r="Q150" s="6" t="str">
        <f t="shared" si="11"/>
        <v/>
      </c>
      <c r="S150" s="4">
        <v>22.9</v>
      </c>
    </row>
    <row r="151" spans="1:19" x14ac:dyDescent="0.25">
      <c r="A151" s="3">
        <v>41323</v>
      </c>
      <c r="B151" s="1">
        <f t="shared" si="8"/>
        <v>2</v>
      </c>
      <c r="C151" s="1">
        <f t="shared" si="9"/>
        <v>2013</v>
      </c>
      <c r="D151" s="4">
        <v>0.91769999999999996</v>
      </c>
      <c r="E151" s="4"/>
      <c r="F151" s="5"/>
      <c r="H151" s="4">
        <v>5.3510999999999997</v>
      </c>
      <c r="I151" s="4">
        <v>98.75</v>
      </c>
      <c r="J151" s="4">
        <v>41.67</v>
      </c>
      <c r="P151" s="6">
        <f t="shared" si="10"/>
        <v>47.720399999999998</v>
      </c>
      <c r="Q151" s="6">
        <f t="shared" si="11"/>
        <v>40.816933638443935</v>
      </c>
      <c r="S151" s="4">
        <v>86.1</v>
      </c>
    </row>
    <row r="152" spans="1:19" x14ac:dyDescent="0.25">
      <c r="A152" s="3">
        <v>41330</v>
      </c>
      <c r="B152" s="1">
        <f t="shared" si="8"/>
        <v>2</v>
      </c>
      <c r="C152" s="1">
        <f t="shared" si="9"/>
        <v>2013</v>
      </c>
      <c r="D152" s="4">
        <v>1.3075000000000001</v>
      </c>
      <c r="E152" s="4"/>
      <c r="F152" s="5"/>
      <c r="H152" s="4">
        <v>5.1501999999999999</v>
      </c>
      <c r="I152" s="4">
        <v>102.18</v>
      </c>
      <c r="J152" s="4">
        <v>49.76</v>
      </c>
      <c r="P152" s="6">
        <f t="shared" si="10"/>
        <v>67.990000000000009</v>
      </c>
      <c r="Q152" s="6">
        <f t="shared" si="11"/>
        <v>27.572772466539192</v>
      </c>
      <c r="S152" s="4">
        <v>153.5</v>
      </c>
    </row>
    <row r="153" spans="1:19" x14ac:dyDescent="0.25">
      <c r="A153" s="3">
        <v>41337</v>
      </c>
      <c r="B153" s="1">
        <f t="shared" si="8"/>
        <v>3</v>
      </c>
      <c r="C153" s="1">
        <f t="shared" si="9"/>
        <v>2013</v>
      </c>
      <c r="D153" s="4">
        <v>1.1211</v>
      </c>
      <c r="E153" s="4"/>
      <c r="F153" s="5"/>
      <c r="H153" s="4">
        <v>4.7776999999999994</v>
      </c>
      <c r="I153" s="4">
        <v>103.03</v>
      </c>
      <c r="J153" s="4">
        <v>51.55</v>
      </c>
      <c r="P153" s="6">
        <f t="shared" si="10"/>
        <v>58.297199999999997</v>
      </c>
      <c r="Q153" s="6">
        <f t="shared" si="11"/>
        <v>29.831326375880828</v>
      </c>
      <c r="S153" s="4">
        <v>160.35</v>
      </c>
    </row>
    <row r="154" spans="1:19" x14ac:dyDescent="0.25">
      <c r="A154" s="3">
        <v>41344</v>
      </c>
      <c r="B154" s="1">
        <f t="shared" si="8"/>
        <v>3</v>
      </c>
      <c r="C154" s="1">
        <f t="shared" si="9"/>
        <v>2013</v>
      </c>
      <c r="D154" s="4">
        <v>1.0593999999999999</v>
      </c>
      <c r="E154" s="4"/>
      <c r="F154" s="5"/>
      <c r="H154" s="4">
        <v>4.4931999999999999</v>
      </c>
      <c r="I154" s="4">
        <v>103.32</v>
      </c>
      <c r="J154" s="4">
        <v>36.380000000000003</v>
      </c>
      <c r="P154" s="6">
        <f t="shared" si="10"/>
        <v>55.088799999999992</v>
      </c>
      <c r="Q154" s="6">
        <f t="shared" si="11"/>
        <v>29.688880498395317</v>
      </c>
      <c r="S154" s="4">
        <v>186</v>
      </c>
    </row>
    <row r="155" spans="1:19" x14ac:dyDescent="0.25">
      <c r="A155" s="3">
        <v>41351</v>
      </c>
      <c r="B155" s="1">
        <f t="shared" si="8"/>
        <v>3</v>
      </c>
      <c r="C155" s="1">
        <f t="shared" si="9"/>
        <v>2013</v>
      </c>
      <c r="D155" s="4">
        <v>1.08575</v>
      </c>
      <c r="E155" s="4"/>
      <c r="F155" s="5"/>
      <c r="H155" s="4">
        <v>4.3715999999999999</v>
      </c>
      <c r="I155" s="4">
        <v>104.78</v>
      </c>
      <c r="J155" s="4">
        <v>40.76</v>
      </c>
      <c r="P155" s="6">
        <f t="shared" si="10"/>
        <v>56.459000000000003</v>
      </c>
      <c r="Q155" s="6">
        <f t="shared" si="11"/>
        <v>28.184388671425282</v>
      </c>
      <c r="S155" s="4">
        <v>123.65</v>
      </c>
    </row>
    <row r="156" spans="1:19" x14ac:dyDescent="0.25">
      <c r="A156" s="3">
        <v>41358</v>
      </c>
      <c r="B156" s="1">
        <f t="shared" si="8"/>
        <v>3</v>
      </c>
      <c r="C156" s="1">
        <f t="shared" si="9"/>
        <v>2013</v>
      </c>
      <c r="D156" s="4">
        <v>1.2238500000000001</v>
      </c>
      <c r="E156" s="4"/>
      <c r="F156" s="5"/>
      <c r="H156" s="4">
        <v>4.2690999999999999</v>
      </c>
      <c r="I156" s="4">
        <v>105.807</v>
      </c>
      <c r="J156" s="4">
        <v>50.27</v>
      </c>
      <c r="P156" s="6">
        <f t="shared" si="10"/>
        <v>63.640200000000007</v>
      </c>
      <c r="Q156" s="6">
        <f t="shared" si="11"/>
        <v>24.417779956694037</v>
      </c>
      <c r="S156" s="4">
        <v>65.400000000000006</v>
      </c>
    </row>
    <row r="157" spans="1:19" x14ac:dyDescent="0.25">
      <c r="A157" s="3">
        <v>41365</v>
      </c>
      <c r="B157" s="1">
        <f t="shared" si="8"/>
        <v>4</v>
      </c>
      <c r="C157" s="1">
        <f t="shared" si="9"/>
        <v>2013</v>
      </c>
      <c r="D157" s="4">
        <v>1.0344</v>
      </c>
      <c r="E157" s="4"/>
      <c r="F157" s="5"/>
      <c r="H157" s="4">
        <v>4.1673999999999998</v>
      </c>
      <c r="I157" s="4">
        <v>101.71</v>
      </c>
      <c r="J157" s="4">
        <v>50.25</v>
      </c>
      <c r="P157" s="6">
        <f t="shared" si="10"/>
        <v>53.788800000000002</v>
      </c>
      <c r="Q157" s="6">
        <f t="shared" si="11"/>
        <v>28.201662799690638</v>
      </c>
      <c r="S157" s="4">
        <v>-101.6</v>
      </c>
    </row>
    <row r="158" spans="1:19" x14ac:dyDescent="0.25">
      <c r="A158" s="3">
        <v>41372</v>
      </c>
      <c r="B158" s="1">
        <f t="shared" si="8"/>
        <v>4</v>
      </c>
      <c r="C158" s="1">
        <f t="shared" si="9"/>
        <v>2013</v>
      </c>
      <c r="D158" s="4">
        <v>1.1376999999999999</v>
      </c>
      <c r="E158" s="4"/>
      <c r="F158" s="5"/>
      <c r="H158" s="4">
        <v>4.0724999999999998</v>
      </c>
      <c r="I158" s="4">
        <v>105.87</v>
      </c>
      <c r="J158" s="4">
        <v>51.47</v>
      </c>
      <c r="P158" s="6">
        <f t="shared" si="10"/>
        <v>59.160399999999996</v>
      </c>
      <c r="Q158" s="6">
        <f t="shared" si="11"/>
        <v>25.057132811813307</v>
      </c>
      <c r="S158" s="4">
        <v>-42.35</v>
      </c>
    </row>
    <row r="159" spans="1:19" x14ac:dyDescent="0.25">
      <c r="A159" s="3">
        <v>41379</v>
      </c>
      <c r="B159" s="1">
        <f t="shared" si="8"/>
        <v>4</v>
      </c>
      <c r="C159" s="1">
        <f t="shared" si="9"/>
        <v>2013</v>
      </c>
      <c r="D159" s="4">
        <v>1.0912500000000001</v>
      </c>
      <c r="E159" s="4"/>
      <c r="F159" s="5"/>
      <c r="H159" s="4">
        <v>3.9470999999999998</v>
      </c>
      <c r="I159" s="4">
        <v>100.39</v>
      </c>
      <c r="J159" s="4">
        <v>54.52</v>
      </c>
      <c r="P159" s="6">
        <f t="shared" si="10"/>
        <v>56.745000000000005</v>
      </c>
      <c r="Q159" s="6">
        <f t="shared" si="11"/>
        <v>25.319312714776633</v>
      </c>
      <c r="S159" s="4">
        <v>-44.75</v>
      </c>
    </row>
    <row r="160" spans="1:19" x14ac:dyDescent="0.25">
      <c r="A160" s="3">
        <v>41386</v>
      </c>
      <c r="B160" s="1">
        <f t="shared" si="8"/>
        <v>4</v>
      </c>
      <c r="C160" s="1">
        <f t="shared" si="9"/>
        <v>2013</v>
      </c>
      <c r="D160" s="4">
        <v>1.1352</v>
      </c>
      <c r="E160" s="4"/>
      <c r="F160" s="5"/>
      <c r="H160" s="4">
        <v>4.0420999999999996</v>
      </c>
      <c r="I160" s="4"/>
      <c r="J160" s="4">
        <v>52.51</v>
      </c>
      <c r="P160" s="6">
        <f t="shared" si="10"/>
        <v>59.0304</v>
      </c>
      <c r="Q160" s="6">
        <f t="shared" si="11"/>
        <v>24.924859055673007</v>
      </c>
      <c r="S160" s="4">
        <v>-72.7</v>
      </c>
    </row>
    <row r="161" spans="1:19" x14ac:dyDescent="0.25">
      <c r="A161" s="3">
        <v>41393</v>
      </c>
      <c r="B161" s="1">
        <f t="shared" si="8"/>
        <v>4</v>
      </c>
      <c r="C161" s="1">
        <f t="shared" si="9"/>
        <v>2013</v>
      </c>
      <c r="D161" s="4">
        <v>1.00535</v>
      </c>
      <c r="E161" s="4"/>
      <c r="F161" s="5"/>
      <c r="H161" s="4">
        <v>4.1132999999999997</v>
      </c>
      <c r="I161" s="4">
        <v>93.38</v>
      </c>
      <c r="J161" s="4">
        <v>50.25</v>
      </c>
      <c r="P161" s="6">
        <f t="shared" si="10"/>
        <v>52.278199999999998</v>
      </c>
      <c r="Q161" s="6">
        <f t="shared" si="11"/>
        <v>28.639876659869696</v>
      </c>
      <c r="S161" s="4">
        <v>-104.9</v>
      </c>
    </row>
    <row r="162" spans="1:19" x14ac:dyDescent="0.25">
      <c r="A162" s="3">
        <v>41400</v>
      </c>
      <c r="B162" s="1">
        <f t="shared" si="8"/>
        <v>5</v>
      </c>
      <c r="C162" s="1">
        <f t="shared" si="9"/>
        <v>2013</v>
      </c>
      <c r="D162" s="4">
        <v>1.0667</v>
      </c>
      <c r="E162" s="4"/>
      <c r="F162" s="5"/>
      <c r="H162" s="4">
        <v>4.0598999999999998</v>
      </c>
      <c r="I162" s="4">
        <v>93.4</v>
      </c>
      <c r="J162" s="4">
        <v>43.61</v>
      </c>
      <c r="P162" s="6">
        <f t="shared" si="10"/>
        <v>55.468400000000003</v>
      </c>
      <c r="Q162" s="6">
        <f t="shared" si="11"/>
        <v>26.642261179338142</v>
      </c>
      <c r="S162" s="4">
        <v>-76.400000000000006</v>
      </c>
    </row>
    <row r="163" spans="1:19" x14ac:dyDescent="0.25">
      <c r="A163" s="3">
        <v>41407</v>
      </c>
      <c r="B163" s="1">
        <f t="shared" si="8"/>
        <v>5</v>
      </c>
      <c r="C163" s="1">
        <f t="shared" si="9"/>
        <v>2013</v>
      </c>
      <c r="D163" s="4">
        <v>1.1173</v>
      </c>
      <c r="E163" s="4"/>
      <c r="F163" s="5"/>
      <c r="H163" s="4">
        <v>4.0651999999999999</v>
      </c>
      <c r="I163" s="4">
        <v>95.17</v>
      </c>
      <c r="J163" s="4">
        <v>43.91</v>
      </c>
      <c r="P163" s="6">
        <f t="shared" si="10"/>
        <v>58.099599999999995</v>
      </c>
      <c r="Q163" s="6">
        <f t="shared" si="11"/>
        <v>25.468898236820909</v>
      </c>
      <c r="S163" s="4">
        <v>-41</v>
      </c>
    </row>
    <row r="164" spans="1:19" x14ac:dyDescent="0.25">
      <c r="A164" s="3">
        <v>41414</v>
      </c>
      <c r="B164" s="1">
        <f t="shared" si="8"/>
        <v>5</v>
      </c>
      <c r="C164" s="1">
        <f t="shared" si="9"/>
        <v>2013</v>
      </c>
      <c r="D164" s="4">
        <v>1.0829</v>
      </c>
      <c r="E164" s="4"/>
      <c r="F164" s="5"/>
      <c r="H164" s="4">
        <v>4.1974</v>
      </c>
      <c r="I164" s="4">
        <v>97.75</v>
      </c>
      <c r="J164" s="4">
        <v>39.21</v>
      </c>
      <c r="P164" s="6">
        <f t="shared" si="10"/>
        <v>56.3108</v>
      </c>
      <c r="Q164" s="6">
        <f t="shared" si="11"/>
        <v>27.13251454427925</v>
      </c>
      <c r="S164" s="4">
        <v>48.75</v>
      </c>
    </row>
    <row r="165" spans="1:19" x14ac:dyDescent="0.25">
      <c r="A165" s="3">
        <v>41421</v>
      </c>
      <c r="B165" s="1">
        <f t="shared" si="8"/>
        <v>5</v>
      </c>
      <c r="C165" s="1">
        <f t="shared" si="9"/>
        <v>2013</v>
      </c>
      <c r="D165" s="4">
        <v>1.2374000000000001</v>
      </c>
      <c r="E165" s="4"/>
      <c r="F165" s="5"/>
      <c r="H165" s="4">
        <v>4.3354999999999997</v>
      </c>
      <c r="I165" s="4">
        <v>95.83</v>
      </c>
      <c r="J165" s="4">
        <v>38.53</v>
      </c>
      <c r="P165" s="6">
        <f t="shared" si="10"/>
        <v>64.344800000000006</v>
      </c>
      <c r="Q165" s="6">
        <f t="shared" si="11"/>
        <v>24.526022304832711</v>
      </c>
      <c r="S165" s="4">
        <v>129.25</v>
      </c>
    </row>
    <row r="166" spans="1:19" x14ac:dyDescent="0.25">
      <c r="A166" s="3">
        <v>41428</v>
      </c>
      <c r="B166" s="1">
        <f t="shared" si="8"/>
        <v>6</v>
      </c>
      <c r="C166" s="1">
        <f t="shared" si="9"/>
        <v>2013</v>
      </c>
      <c r="D166" s="4">
        <v>1.2485999999999999</v>
      </c>
      <c r="E166" s="4">
        <v>0.99263699999999999</v>
      </c>
      <c r="F166" s="5">
        <v>224.74799999999999</v>
      </c>
      <c r="H166" s="4">
        <v>4.4379999999999997</v>
      </c>
      <c r="I166" s="4"/>
      <c r="J166" s="4">
        <v>65.8</v>
      </c>
      <c r="L166" s="8">
        <f t="shared" ref="L166:L229" si="12">E166/D166</f>
        <v>0.79500000000000004</v>
      </c>
      <c r="M166" s="8">
        <f t="shared" ref="M166:M229" si="13">F166/1000/D166</f>
        <v>0.18000000000000002</v>
      </c>
      <c r="N166" s="8">
        <f>M166+L166</f>
        <v>0.97500000000000009</v>
      </c>
      <c r="O166" s="8"/>
      <c r="P166" s="6">
        <f t="shared" si="10"/>
        <v>64.927199999999999</v>
      </c>
      <c r="Q166" s="6">
        <f t="shared" si="11"/>
        <v>24.880666346307862</v>
      </c>
      <c r="S166" s="4">
        <v>25.65</v>
      </c>
    </row>
    <row r="167" spans="1:19" x14ac:dyDescent="0.25">
      <c r="A167" s="3">
        <v>41435</v>
      </c>
      <c r="B167" s="1">
        <f t="shared" si="8"/>
        <v>6</v>
      </c>
      <c r="C167" s="1">
        <f t="shared" si="9"/>
        <v>2013</v>
      </c>
      <c r="D167" s="7">
        <f>AVERAGE(D166,D168)</f>
        <v>1.31915</v>
      </c>
      <c r="E167" s="7">
        <f>AVERAGE(E166,E168)</f>
        <v>1.048724</v>
      </c>
      <c r="F167" s="7">
        <f>AVERAGE(F166,F168)</f>
        <v>237.447</v>
      </c>
      <c r="H167" s="4">
        <v>4.4614000000000003</v>
      </c>
      <c r="I167" s="4">
        <v>96.79</v>
      </c>
      <c r="J167" s="4">
        <v>40.909999999999997</v>
      </c>
      <c r="L167" s="8">
        <f t="shared" si="12"/>
        <v>0.79499981048402379</v>
      </c>
      <c r="M167" s="8">
        <f t="shared" si="13"/>
        <v>0.18</v>
      </c>
      <c r="N167" s="8">
        <f t="shared" ref="N167:N230" si="14">M167+L167</f>
        <v>0.97499981048402384</v>
      </c>
      <c r="O167" s="8"/>
      <c r="P167" s="6">
        <f t="shared" si="10"/>
        <v>68.595799999999997</v>
      </c>
      <c r="Q167" s="6">
        <f t="shared" si="11"/>
        <v>23.674184133722473</v>
      </c>
      <c r="S167" s="4">
        <v>25.65</v>
      </c>
    </row>
    <row r="168" spans="1:19" x14ac:dyDescent="0.25">
      <c r="A168" s="3">
        <v>41442</v>
      </c>
      <c r="B168" s="1">
        <f t="shared" si="8"/>
        <v>6</v>
      </c>
      <c r="C168" s="1">
        <f t="shared" si="9"/>
        <v>2013</v>
      </c>
      <c r="D168" s="4">
        <v>1.3896999999999999</v>
      </c>
      <c r="E168" s="4">
        <v>1.104811</v>
      </c>
      <c r="F168" s="5">
        <v>250.14599999999999</v>
      </c>
      <c r="H168" s="4">
        <v>4.6772999999999998</v>
      </c>
      <c r="I168" s="4">
        <v>100.21</v>
      </c>
      <c r="J168" s="4">
        <v>55.3</v>
      </c>
      <c r="L168" s="8">
        <f t="shared" si="12"/>
        <v>0.79499964021011726</v>
      </c>
      <c r="M168" s="8">
        <f t="shared" si="13"/>
        <v>0.18</v>
      </c>
      <c r="N168" s="8">
        <f t="shared" si="14"/>
        <v>0.97499964021011731</v>
      </c>
      <c r="O168" s="8"/>
      <c r="P168" s="6">
        <f t="shared" si="10"/>
        <v>72.264399999999995</v>
      </c>
      <c r="Q168" s="6">
        <f t="shared" si="11"/>
        <v>23.559833057494423</v>
      </c>
      <c r="S168" s="4">
        <v>-20.25</v>
      </c>
    </row>
    <row r="169" spans="1:19" x14ac:dyDescent="0.25">
      <c r="A169" s="3">
        <v>41449</v>
      </c>
      <c r="B169" s="1">
        <f t="shared" si="8"/>
        <v>6</v>
      </c>
      <c r="C169" s="1">
        <f t="shared" si="9"/>
        <v>2013</v>
      </c>
      <c r="D169" s="4">
        <v>1.3120000000000001</v>
      </c>
      <c r="E169" s="4">
        <v>1.04304</v>
      </c>
      <c r="F169" s="5">
        <v>236.16</v>
      </c>
      <c r="H169" s="4">
        <v>4.8250000000000002</v>
      </c>
      <c r="I169" s="4">
        <v>97.96</v>
      </c>
      <c r="J169" s="4">
        <v>64.97</v>
      </c>
      <c r="L169" s="8">
        <f t="shared" si="12"/>
        <v>0.79499999999999993</v>
      </c>
      <c r="M169" s="8">
        <f t="shared" si="13"/>
        <v>0.18</v>
      </c>
      <c r="N169" s="8">
        <f t="shared" si="14"/>
        <v>0.97499999999999987</v>
      </c>
      <c r="O169" s="8"/>
      <c r="P169" s="6">
        <f t="shared" si="10"/>
        <v>68.224000000000004</v>
      </c>
      <c r="Q169" s="6">
        <f t="shared" si="11"/>
        <v>25.743140243902438</v>
      </c>
      <c r="S169" s="4">
        <v>-159.5</v>
      </c>
    </row>
    <row r="170" spans="1:19" x14ac:dyDescent="0.25">
      <c r="A170" s="3">
        <v>41456</v>
      </c>
      <c r="B170" s="1">
        <f t="shared" si="8"/>
        <v>7</v>
      </c>
      <c r="C170" s="1">
        <f t="shared" si="9"/>
        <v>2013</v>
      </c>
      <c r="D170" s="4">
        <v>1.4303999999999999</v>
      </c>
      <c r="E170" s="4">
        <v>1.137168</v>
      </c>
      <c r="F170" s="5">
        <v>257.47199999999998</v>
      </c>
      <c r="H170" s="4">
        <v>5.2960000000000003</v>
      </c>
      <c r="I170" s="4">
        <v>98.92</v>
      </c>
      <c r="J170" s="4">
        <v>38.86</v>
      </c>
      <c r="L170" s="8">
        <f t="shared" si="12"/>
        <v>0.79500000000000004</v>
      </c>
      <c r="M170" s="8">
        <f t="shared" si="13"/>
        <v>0.18</v>
      </c>
      <c r="N170" s="8">
        <f t="shared" si="14"/>
        <v>0.97500000000000009</v>
      </c>
      <c r="O170" s="8"/>
      <c r="P170" s="6">
        <f t="shared" si="10"/>
        <v>74.380799999999994</v>
      </c>
      <c r="Q170" s="6">
        <f t="shared" si="11"/>
        <v>25.917225950782999</v>
      </c>
      <c r="S170" s="4">
        <v>-32.700000000000003</v>
      </c>
    </row>
    <row r="171" spans="1:19" x14ac:dyDescent="0.25">
      <c r="A171" s="3">
        <v>41463</v>
      </c>
      <c r="B171" s="1">
        <f t="shared" si="8"/>
        <v>7</v>
      </c>
      <c r="C171" s="1">
        <f t="shared" si="9"/>
        <v>2013</v>
      </c>
      <c r="D171" s="4">
        <v>1.2407999999999999</v>
      </c>
      <c r="E171" s="4">
        <v>0.98643599999999998</v>
      </c>
      <c r="F171" s="5">
        <v>223.34399999999999</v>
      </c>
      <c r="H171" s="4">
        <v>5.3914</v>
      </c>
      <c r="I171" s="4">
        <v>96.38</v>
      </c>
      <c r="J171" s="4">
        <v>72.05</v>
      </c>
      <c r="L171" s="8">
        <f t="shared" si="12"/>
        <v>0.79500000000000004</v>
      </c>
      <c r="M171" s="8">
        <f t="shared" si="13"/>
        <v>0.18</v>
      </c>
      <c r="N171" s="8">
        <f t="shared" si="14"/>
        <v>0.97500000000000009</v>
      </c>
      <c r="O171" s="8"/>
      <c r="P171" s="6">
        <f t="shared" si="10"/>
        <v>64.521599999999992</v>
      </c>
      <c r="Q171" s="6">
        <f t="shared" si="11"/>
        <v>30.415699548678276</v>
      </c>
      <c r="S171" s="4">
        <v>87.35</v>
      </c>
    </row>
    <row r="172" spans="1:19" x14ac:dyDescent="0.25">
      <c r="A172" s="3">
        <v>41470</v>
      </c>
      <c r="B172" s="1">
        <f t="shared" si="8"/>
        <v>7</v>
      </c>
      <c r="C172" s="1">
        <f t="shared" si="9"/>
        <v>2013</v>
      </c>
      <c r="D172" s="4">
        <v>1.34965</v>
      </c>
      <c r="E172" s="4">
        <v>1.0729709999999999</v>
      </c>
      <c r="F172" s="5">
        <v>242.93700000000001</v>
      </c>
      <c r="H172" s="4">
        <v>5.5907000000000009</v>
      </c>
      <c r="I172" s="4">
        <v>100.45</v>
      </c>
      <c r="J172" s="4">
        <v>73.739999999999995</v>
      </c>
      <c r="L172" s="8">
        <f t="shared" si="12"/>
        <v>0.79499944430037406</v>
      </c>
      <c r="M172" s="8">
        <f t="shared" si="13"/>
        <v>0.18000000000000002</v>
      </c>
      <c r="N172" s="8">
        <f t="shared" si="14"/>
        <v>0.97499944430037411</v>
      </c>
      <c r="O172" s="8"/>
      <c r="P172" s="6">
        <f t="shared" si="10"/>
        <v>70.181799999999996</v>
      </c>
      <c r="Q172" s="6">
        <f t="shared" si="11"/>
        <v>28.996332382469532</v>
      </c>
      <c r="S172" s="4">
        <v>68.849999999999994</v>
      </c>
    </row>
    <row r="173" spans="1:19" x14ac:dyDescent="0.25">
      <c r="A173" s="3">
        <v>41477</v>
      </c>
      <c r="B173" s="1">
        <f t="shared" si="8"/>
        <v>7</v>
      </c>
      <c r="C173" s="1">
        <f t="shared" si="9"/>
        <v>2013</v>
      </c>
      <c r="D173" s="4">
        <v>1.4185000000000001</v>
      </c>
      <c r="E173" s="4">
        <v>1.127707</v>
      </c>
      <c r="F173" s="5">
        <v>255.33</v>
      </c>
      <c r="H173" s="4">
        <v>6.2687999999999997</v>
      </c>
      <c r="I173" s="4">
        <v>104.5</v>
      </c>
      <c r="J173" s="4">
        <v>83.43</v>
      </c>
      <c r="L173" s="8">
        <f t="shared" si="12"/>
        <v>0.79499964751498053</v>
      </c>
      <c r="M173" s="8">
        <f t="shared" si="13"/>
        <v>0.18</v>
      </c>
      <c r="N173" s="8">
        <f t="shared" si="14"/>
        <v>0.97499964751498047</v>
      </c>
      <c r="O173" s="8"/>
      <c r="P173" s="6">
        <f t="shared" si="10"/>
        <v>73.762</v>
      </c>
      <c r="Q173" s="6">
        <f t="shared" si="11"/>
        <v>30.935213253436725</v>
      </c>
      <c r="S173" s="4">
        <v>113.3</v>
      </c>
    </row>
    <row r="174" spans="1:19" x14ac:dyDescent="0.25">
      <c r="A174" s="3">
        <v>41484</v>
      </c>
      <c r="B174" s="1">
        <f t="shared" si="8"/>
        <v>7</v>
      </c>
      <c r="C174" s="1">
        <f t="shared" si="9"/>
        <v>2013</v>
      </c>
      <c r="D174" s="4">
        <v>1.3915</v>
      </c>
      <c r="E174" s="4">
        <v>1.1062419999999999</v>
      </c>
      <c r="F174" s="5">
        <v>250.47</v>
      </c>
      <c r="H174" s="4">
        <v>6.2737999999999996</v>
      </c>
      <c r="I174" s="4">
        <v>104.46</v>
      </c>
      <c r="J174" s="4">
        <v>85.26</v>
      </c>
      <c r="L174" s="8">
        <f t="shared" si="12"/>
        <v>0.79499964067552997</v>
      </c>
      <c r="M174" s="8">
        <f t="shared" si="13"/>
        <v>0.18000000000000002</v>
      </c>
      <c r="N174" s="8">
        <f t="shared" si="14"/>
        <v>0.97499964067553002</v>
      </c>
      <c r="O174" s="8"/>
      <c r="P174" s="6">
        <f t="shared" si="10"/>
        <v>72.358000000000004</v>
      </c>
      <c r="Q174" s="6">
        <f t="shared" si="11"/>
        <v>31.560618038088393</v>
      </c>
      <c r="S174" s="4">
        <v>90.15</v>
      </c>
    </row>
    <row r="175" spans="1:19" x14ac:dyDescent="0.25">
      <c r="A175" s="3">
        <v>41491</v>
      </c>
      <c r="B175" s="1">
        <f t="shared" si="8"/>
        <v>8</v>
      </c>
      <c r="C175" s="1">
        <f t="shared" si="9"/>
        <v>2013</v>
      </c>
      <c r="D175" s="4">
        <v>1.286</v>
      </c>
      <c r="E175" s="4">
        <v>1.02237</v>
      </c>
      <c r="F175" s="5">
        <v>231.48</v>
      </c>
      <c r="H175" s="4">
        <v>6.3433999999999999</v>
      </c>
      <c r="I175" s="4">
        <v>103.83</v>
      </c>
      <c r="J175" s="4">
        <v>44.95</v>
      </c>
      <c r="L175" s="8">
        <f t="shared" si="12"/>
        <v>0.79499999999999993</v>
      </c>
      <c r="M175" s="8">
        <f t="shared" si="13"/>
        <v>0.18</v>
      </c>
      <c r="N175" s="8">
        <f t="shared" si="14"/>
        <v>0.97499999999999987</v>
      </c>
      <c r="O175" s="8"/>
      <c r="P175" s="6">
        <f t="shared" si="10"/>
        <v>66.872</v>
      </c>
      <c r="Q175" s="6">
        <f t="shared" si="11"/>
        <v>34.528615863141525</v>
      </c>
      <c r="S175" s="4">
        <v>19.399999999999999</v>
      </c>
    </row>
    <row r="176" spans="1:19" x14ac:dyDescent="0.25">
      <c r="A176" s="3">
        <v>41498</v>
      </c>
      <c r="B176" s="1">
        <f t="shared" si="8"/>
        <v>8</v>
      </c>
      <c r="C176" s="1">
        <f t="shared" si="9"/>
        <v>2013</v>
      </c>
      <c r="D176" s="4">
        <v>1.29345</v>
      </c>
      <c r="E176" s="4">
        <v>1.028292</v>
      </c>
      <c r="F176" s="5">
        <v>232.821</v>
      </c>
      <c r="H176" s="4">
        <v>6.3255999999999997</v>
      </c>
      <c r="I176" s="4">
        <v>104.74</v>
      </c>
      <c r="J176" s="4">
        <v>79.87</v>
      </c>
      <c r="L176" s="8">
        <f t="shared" si="12"/>
        <v>0.79499942015539837</v>
      </c>
      <c r="M176" s="8">
        <f t="shared" si="13"/>
        <v>0.18</v>
      </c>
      <c r="N176" s="8">
        <f t="shared" si="14"/>
        <v>0.97499942015539842</v>
      </c>
      <c r="O176" s="8"/>
      <c r="P176" s="6">
        <f t="shared" si="10"/>
        <v>67.259399999999999</v>
      </c>
      <c r="Q176" s="6">
        <f t="shared" si="11"/>
        <v>34.233406780316209</v>
      </c>
      <c r="S176" s="4">
        <v>102.3</v>
      </c>
    </row>
    <row r="177" spans="1:19" x14ac:dyDescent="0.25">
      <c r="A177" s="3">
        <v>41505</v>
      </c>
      <c r="B177" s="1">
        <f t="shared" si="8"/>
        <v>8</v>
      </c>
      <c r="C177" s="1">
        <f t="shared" si="9"/>
        <v>2013</v>
      </c>
      <c r="D177" s="4">
        <v>1.4371</v>
      </c>
      <c r="E177" s="4">
        <v>1.1424939999999999</v>
      </c>
      <c r="F177" s="5">
        <v>258.678</v>
      </c>
      <c r="H177" s="4">
        <v>6.3180999999999994</v>
      </c>
      <c r="I177" s="4">
        <v>105.76</v>
      </c>
      <c r="J177" s="4">
        <v>67.55</v>
      </c>
      <c r="L177" s="8">
        <f t="shared" si="12"/>
        <v>0.79499965207709966</v>
      </c>
      <c r="M177" s="8">
        <f t="shared" si="13"/>
        <v>0.18000000000000002</v>
      </c>
      <c r="N177" s="8">
        <f t="shared" si="14"/>
        <v>0.97499965207709971</v>
      </c>
      <c r="O177" s="8"/>
      <c r="P177" s="6">
        <f t="shared" si="10"/>
        <v>74.729200000000006</v>
      </c>
      <c r="Q177" s="6">
        <f t="shared" si="11"/>
        <v>30.774963468095464</v>
      </c>
      <c r="S177" s="4">
        <v>264.5</v>
      </c>
    </row>
    <row r="178" spans="1:19" x14ac:dyDescent="0.25">
      <c r="A178" s="3">
        <v>41512</v>
      </c>
      <c r="B178" s="1">
        <f t="shared" si="8"/>
        <v>8</v>
      </c>
      <c r="C178" s="1">
        <f t="shared" si="9"/>
        <v>2013</v>
      </c>
      <c r="D178" s="4">
        <v>1.4903</v>
      </c>
      <c r="E178" s="4">
        <v>1.184788</v>
      </c>
      <c r="F178" s="5">
        <v>268.25400000000002</v>
      </c>
      <c r="H178" s="4">
        <v>6.3247</v>
      </c>
      <c r="I178" s="4">
        <v>101.81</v>
      </c>
      <c r="J178" s="4">
        <v>64.05</v>
      </c>
      <c r="L178" s="8">
        <f t="shared" si="12"/>
        <v>0.79499966449708115</v>
      </c>
      <c r="M178" s="8">
        <f t="shared" si="13"/>
        <v>0.18</v>
      </c>
      <c r="N178" s="8">
        <f t="shared" si="14"/>
        <v>0.97499966449708109</v>
      </c>
      <c r="O178" s="8"/>
      <c r="P178" s="6">
        <f t="shared" si="10"/>
        <v>77.495599999999996</v>
      </c>
      <c r="Q178" s="6">
        <f t="shared" si="11"/>
        <v>29.70737435415688</v>
      </c>
      <c r="S178" s="4">
        <v>321.25</v>
      </c>
    </row>
    <row r="179" spans="1:19" x14ac:dyDescent="0.25">
      <c r="A179" s="3">
        <v>41519</v>
      </c>
      <c r="B179" s="1">
        <f t="shared" si="8"/>
        <v>9</v>
      </c>
      <c r="C179" s="1">
        <f t="shared" si="9"/>
        <v>2013</v>
      </c>
      <c r="D179" s="4">
        <v>1.38052</v>
      </c>
      <c r="E179" s="4">
        <v>1.0991029999999999</v>
      </c>
      <c r="F179" s="5">
        <v>248.85300000000001</v>
      </c>
      <c r="H179" s="4">
        <v>6.1858000000000004</v>
      </c>
      <c r="I179" s="4">
        <v>97.17</v>
      </c>
      <c r="J179" s="4">
        <v>82.01</v>
      </c>
      <c r="L179" s="8">
        <f t="shared" si="12"/>
        <v>0.79615145017819366</v>
      </c>
      <c r="M179" s="8">
        <f t="shared" si="13"/>
        <v>0.18026033668472752</v>
      </c>
      <c r="N179" s="8">
        <f t="shared" si="14"/>
        <v>0.97641178686292118</v>
      </c>
      <c r="O179" s="8"/>
      <c r="P179" s="6">
        <f t="shared" si="10"/>
        <v>71.787040000000005</v>
      </c>
      <c r="Q179" s="6">
        <f t="shared" si="11"/>
        <v>31.365427520064909</v>
      </c>
      <c r="S179" s="4">
        <v>295.89999999999998</v>
      </c>
    </row>
    <row r="180" spans="1:19" x14ac:dyDescent="0.25">
      <c r="A180" s="3">
        <v>41526</v>
      </c>
      <c r="B180" s="1">
        <f t="shared" si="8"/>
        <v>9</v>
      </c>
      <c r="C180" s="1">
        <f t="shared" si="9"/>
        <v>2013</v>
      </c>
      <c r="D180" s="4">
        <v>1.46132</v>
      </c>
      <c r="E180" s="4">
        <v>1.1617489999999999</v>
      </c>
      <c r="F180" s="5">
        <v>263.03699999999998</v>
      </c>
      <c r="H180" s="4">
        <v>6.0667999999999997</v>
      </c>
      <c r="I180" s="4">
        <v>99.56</v>
      </c>
      <c r="J180" s="4">
        <v>55.45</v>
      </c>
      <c r="L180" s="8">
        <f t="shared" si="12"/>
        <v>0.7949997262748747</v>
      </c>
      <c r="M180" s="8">
        <f t="shared" si="13"/>
        <v>0.17999958941231214</v>
      </c>
      <c r="N180" s="8">
        <f t="shared" si="14"/>
        <v>0.97499931568718678</v>
      </c>
      <c r="O180" s="8"/>
      <c r="P180" s="6">
        <f t="shared" si="10"/>
        <v>75.988640000000004</v>
      </c>
      <c r="Q180" s="6">
        <f t="shared" si="11"/>
        <v>29.061122820463687</v>
      </c>
      <c r="S180" s="4">
        <v>277.32</v>
      </c>
    </row>
    <row r="181" spans="1:19" x14ac:dyDescent="0.25">
      <c r="A181" s="3">
        <v>41533</v>
      </c>
      <c r="B181" s="1">
        <f t="shared" si="8"/>
        <v>9</v>
      </c>
      <c r="C181" s="1">
        <f t="shared" si="9"/>
        <v>2013</v>
      </c>
      <c r="D181" s="4">
        <v>1.4215</v>
      </c>
      <c r="E181" s="4">
        <v>1.1300920000000001</v>
      </c>
      <c r="F181" s="5">
        <v>255.87</v>
      </c>
      <c r="H181" s="4">
        <v>5.8407000000000009</v>
      </c>
      <c r="I181" s="4">
        <v>103.25</v>
      </c>
      <c r="J181" s="4">
        <v>58.95</v>
      </c>
      <c r="L181" s="8">
        <f t="shared" si="12"/>
        <v>0.79499964825888159</v>
      </c>
      <c r="M181" s="8">
        <f t="shared" si="13"/>
        <v>0.18</v>
      </c>
      <c r="N181" s="8">
        <f t="shared" si="14"/>
        <v>0.97499964825888163</v>
      </c>
      <c r="O181" s="8"/>
      <c r="P181" s="6">
        <f t="shared" si="10"/>
        <v>73.918000000000006</v>
      </c>
      <c r="Q181" s="6">
        <f t="shared" si="11"/>
        <v>28.761800914526912</v>
      </c>
      <c r="S181" s="4">
        <v>227.8</v>
      </c>
    </row>
    <row r="182" spans="1:19" x14ac:dyDescent="0.25">
      <c r="A182" s="3">
        <v>41540</v>
      </c>
      <c r="B182" s="1">
        <f t="shared" si="8"/>
        <v>9</v>
      </c>
      <c r="C182" s="1">
        <f t="shared" si="9"/>
        <v>2013</v>
      </c>
      <c r="D182" s="4">
        <v>1.3673999999999999</v>
      </c>
      <c r="E182" s="4">
        <v>1.087083</v>
      </c>
      <c r="F182" s="5">
        <v>246.13200000000001</v>
      </c>
      <c r="H182" s="4">
        <v>5.6487999999999996</v>
      </c>
      <c r="I182" s="4"/>
      <c r="J182" s="4"/>
      <c r="L182" s="8">
        <f t="shared" si="12"/>
        <v>0.79500000000000004</v>
      </c>
      <c r="M182" s="8">
        <f t="shared" si="13"/>
        <v>0.18000000000000002</v>
      </c>
      <c r="N182" s="8">
        <f t="shared" si="14"/>
        <v>0.97500000000000009</v>
      </c>
      <c r="O182" s="8"/>
      <c r="P182" s="6">
        <f t="shared" si="10"/>
        <v>71.104799999999997</v>
      </c>
      <c r="Q182" s="6">
        <f t="shared" si="11"/>
        <v>28.917361415825656</v>
      </c>
      <c r="S182" s="4">
        <v>209.3</v>
      </c>
    </row>
    <row r="183" spans="1:19" x14ac:dyDescent="0.25">
      <c r="A183" s="3">
        <v>41547</v>
      </c>
      <c r="B183" s="1">
        <f t="shared" si="8"/>
        <v>9</v>
      </c>
      <c r="C183" s="1">
        <f t="shared" si="9"/>
        <v>2013</v>
      </c>
      <c r="D183" s="4">
        <v>1.2133</v>
      </c>
      <c r="E183" s="4">
        <v>0.96457300000000001</v>
      </c>
      <c r="F183" s="5">
        <v>218.39400000000001</v>
      </c>
      <c r="H183" s="4">
        <v>5.5875000000000004</v>
      </c>
      <c r="I183" s="4">
        <v>102.69</v>
      </c>
      <c r="J183" s="4">
        <v>43.61</v>
      </c>
      <c r="L183" s="8">
        <f t="shared" si="12"/>
        <v>0.79499958790076652</v>
      </c>
      <c r="M183" s="8">
        <f t="shared" si="13"/>
        <v>0.18</v>
      </c>
      <c r="N183" s="8">
        <f t="shared" si="14"/>
        <v>0.97499958790076646</v>
      </c>
      <c r="O183" s="8"/>
      <c r="P183" s="6">
        <f t="shared" si="10"/>
        <v>63.0916</v>
      </c>
      <c r="Q183" s="6">
        <f t="shared" si="11"/>
        <v>32.236462540179673</v>
      </c>
      <c r="S183" s="4">
        <v>209.3</v>
      </c>
    </row>
    <row r="184" spans="1:19" x14ac:dyDescent="0.25">
      <c r="A184" s="3">
        <v>41554</v>
      </c>
      <c r="B184" s="1">
        <f t="shared" si="8"/>
        <v>10</v>
      </c>
      <c r="C184" s="1">
        <f t="shared" si="9"/>
        <v>2013</v>
      </c>
      <c r="D184" s="4">
        <v>1.2356</v>
      </c>
      <c r="E184" s="4">
        <v>0.98230200000000001</v>
      </c>
      <c r="F184" s="5">
        <v>222.40799999999999</v>
      </c>
      <c r="H184" s="4">
        <v>5.1151999999999997</v>
      </c>
      <c r="I184" s="4">
        <v>103.69</v>
      </c>
      <c r="J184" s="4">
        <v>26.9</v>
      </c>
      <c r="L184" s="8">
        <f t="shared" si="12"/>
        <v>0.79500000000000004</v>
      </c>
      <c r="M184" s="8">
        <f t="shared" si="13"/>
        <v>0.18</v>
      </c>
      <c r="N184" s="8">
        <f t="shared" si="14"/>
        <v>0.97500000000000009</v>
      </c>
      <c r="O184" s="8"/>
      <c r="P184" s="6">
        <f t="shared" si="10"/>
        <v>64.251199999999997</v>
      </c>
      <c r="Q184" s="6">
        <f t="shared" si="11"/>
        <v>28.978957591453543</v>
      </c>
      <c r="S184" s="4">
        <v>185.25</v>
      </c>
    </row>
    <row r="185" spans="1:19" x14ac:dyDescent="0.25">
      <c r="A185" s="3">
        <v>41561</v>
      </c>
      <c r="B185" s="1">
        <f t="shared" si="8"/>
        <v>10</v>
      </c>
      <c r="C185" s="1">
        <f t="shared" si="9"/>
        <v>2013</v>
      </c>
      <c r="D185" s="4">
        <v>1.3957999999999999</v>
      </c>
      <c r="E185" s="4">
        <v>1.105845</v>
      </c>
      <c r="F185" s="5">
        <v>250.38</v>
      </c>
      <c r="H185" s="4">
        <v>4.8829000000000002</v>
      </c>
      <c r="I185" s="4">
        <v>100.03</v>
      </c>
      <c r="J185" s="4">
        <v>22.75</v>
      </c>
      <c r="L185" s="8">
        <f t="shared" si="12"/>
        <v>0.79226608396618425</v>
      </c>
      <c r="M185" s="8">
        <f t="shared" si="13"/>
        <v>0.17938100014328701</v>
      </c>
      <c r="N185" s="8">
        <f t="shared" si="14"/>
        <v>0.97164708410947132</v>
      </c>
      <c r="O185" s="8"/>
      <c r="P185" s="6">
        <f t="shared" si="10"/>
        <v>72.581599999999995</v>
      </c>
      <c r="Q185" s="6">
        <f t="shared" si="11"/>
        <v>24.487963891675026</v>
      </c>
      <c r="S185" s="4">
        <v>213</v>
      </c>
    </row>
    <row r="186" spans="1:19" x14ac:dyDescent="0.25">
      <c r="A186" s="3">
        <v>41568</v>
      </c>
      <c r="B186" s="1">
        <f t="shared" si="8"/>
        <v>10</v>
      </c>
      <c r="C186" s="1">
        <f t="shared" si="9"/>
        <v>2013</v>
      </c>
      <c r="D186" s="4">
        <v>1.4723999999999999</v>
      </c>
      <c r="E186" s="4">
        <v>1.170558</v>
      </c>
      <c r="F186" s="5">
        <v>265.03199999999998</v>
      </c>
      <c r="H186" s="4">
        <v>4.7065000000000001</v>
      </c>
      <c r="I186" s="4">
        <v>103.45</v>
      </c>
      <c r="J186" s="4">
        <v>42.95</v>
      </c>
      <c r="L186" s="8">
        <f t="shared" si="12"/>
        <v>0.79500000000000004</v>
      </c>
      <c r="M186" s="8">
        <f t="shared" si="13"/>
        <v>0.18</v>
      </c>
      <c r="N186" s="8">
        <f t="shared" si="14"/>
        <v>0.97500000000000009</v>
      </c>
      <c r="O186" s="8"/>
      <c r="P186" s="6">
        <f t="shared" si="10"/>
        <v>76.564799999999991</v>
      </c>
      <c r="Q186" s="6">
        <f t="shared" si="11"/>
        <v>22.375373539798968</v>
      </c>
      <c r="S186" s="4">
        <v>180.8</v>
      </c>
    </row>
    <row r="187" spans="1:19" x14ac:dyDescent="0.25">
      <c r="A187" s="3">
        <v>41575</v>
      </c>
      <c r="B187" s="1">
        <f t="shared" si="8"/>
        <v>10</v>
      </c>
      <c r="C187" s="1">
        <f t="shared" si="9"/>
        <v>2013</v>
      </c>
      <c r="D187" s="4">
        <v>1.3425</v>
      </c>
      <c r="E187" s="4">
        <v>1.0672870000000001</v>
      </c>
      <c r="F187" s="5">
        <v>241.65</v>
      </c>
      <c r="H187" s="4"/>
      <c r="I187" s="4">
        <v>107.06</v>
      </c>
      <c r="J187" s="4">
        <v>64.180000000000007</v>
      </c>
      <c r="L187" s="8">
        <f t="shared" si="12"/>
        <v>0.79499962756052145</v>
      </c>
      <c r="M187" s="8">
        <f t="shared" si="13"/>
        <v>0.18</v>
      </c>
      <c r="N187" s="8">
        <f t="shared" si="14"/>
        <v>0.9749996275605215</v>
      </c>
      <c r="O187" s="8"/>
      <c r="P187" s="6">
        <f t="shared" si="10"/>
        <v>69.81</v>
      </c>
      <c r="Q187" s="6" t="str">
        <f t="shared" si="11"/>
        <v/>
      </c>
      <c r="S187" s="4">
        <v>92.25</v>
      </c>
    </row>
    <row r="188" spans="1:19" x14ac:dyDescent="0.25">
      <c r="A188" s="3">
        <v>41582</v>
      </c>
      <c r="B188" s="1">
        <f t="shared" si="8"/>
        <v>11</v>
      </c>
      <c r="C188" s="1">
        <f t="shared" si="9"/>
        <v>2013</v>
      </c>
      <c r="D188" s="4">
        <v>1.3777999999999999</v>
      </c>
      <c r="E188" s="4">
        <v>1.095351</v>
      </c>
      <c r="F188" s="5">
        <v>248.00399999999999</v>
      </c>
      <c r="H188" s="4">
        <v>4.7673000000000005</v>
      </c>
      <c r="I188" s="4">
        <v>104.08</v>
      </c>
      <c r="J188" s="4">
        <v>26.9</v>
      </c>
      <c r="L188" s="8">
        <f t="shared" si="12"/>
        <v>0.79500000000000004</v>
      </c>
      <c r="M188" s="8">
        <f t="shared" si="13"/>
        <v>0.18000000000000002</v>
      </c>
      <c r="N188" s="8">
        <f t="shared" si="14"/>
        <v>0.97500000000000009</v>
      </c>
      <c r="O188" s="8"/>
      <c r="P188" s="6">
        <f t="shared" si="10"/>
        <v>71.645600000000002</v>
      </c>
      <c r="Q188" s="6">
        <f t="shared" si="11"/>
        <v>24.220569023080277</v>
      </c>
      <c r="S188" s="4">
        <v>70.05</v>
      </c>
    </row>
    <row r="189" spans="1:19" x14ac:dyDescent="0.25">
      <c r="A189" s="3">
        <v>41589</v>
      </c>
      <c r="B189" s="1">
        <f t="shared" si="8"/>
        <v>11</v>
      </c>
      <c r="C189" s="1">
        <f t="shared" si="9"/>
        <v>2013</v>
      </c>
      <c r="D189" s="4">
        <v>1.3147</v>
      </c>
      <c r="E189" s="4">
        <v>1.0451859999999999</v>
      </c>
      <c r="F189" s="5">
        <v>236.64599999999999</v>
      </c>
      <c r="H189" s="4">
        <v>4.8079999999999998</v>
      </c>
      <c r="I189" s="4">
        <v>101.9</v>
      </c>
      <c r="J189" s="4">
        <v>41.3</v>
      </c>
      <c r="L189" s="8">
        <f t="shared" si="12"/>
        <v>0.79499961968509925</v>
      </c>
      <c r="M189" s="8">
        <f t="shared" si="13"/>
        <v>0.18</v>
      </c>
      <c r="N189" s="8">
        <f t="shared" si="14"/>
        <v>0.97499961968509918</v>
      </c>
      <c r="O189" s="8"/>
      <c r="P189" s="6">
        <f t="shared" si="10"/>
        <v>68.364400000000003</v>
      </c>
      <c r="Q189" s="6">
        <f t="shared" si="11"/>
        <v>25.599756598463529</v>
      </c>
      <c r="S189" s="4">
        <v>151.75</v>
      </c>
    </row>
    <row r="190" spans="1:19" x14ac:dyDescent="0.25">
      <c r="A190" s="3">
        <v>41596</v>
      </c>
      <c r="B190" s="1">
        <f t="shared" si="8"/>
        <v>11</v>
      </c>
      <c r="C190" s="1">
        <f t="shared" si="9"/>
        <v>2013</v>
      </c>
      <c r="D190" s="4">
        <v>1.38636</v>
      </c>
      <c r="E190" s="4">
        <v>1.095478</v>
      </c>
      <c r="F190" s="5">
        <v>248.03200000000001</v>
      </c>
      <c r="H190" s="4">
        <v>4.8822000000000001</v>
      </c>
      <c r="I190" s="4">
        <v>102.38</v>
      </c>
      <c r="J190" s="4">
        <v>41.65</v>
      </c>
      <c r="L190" s="8">
        <f t="shared" si="12"/>
        <v>0.79018292506996735</v>
      </c>
      <c r="M190" s="8">
        <f t="shared" si="13"/>
        <v>0.17890879713782856</v>
      </c>
      <c r="N190" s="8">
        <f t="shared" si="14"/>
        <v>0.96909172220779594</v>
      </c>
      <c r="O190" s="8"/>
      <c r="P190" s="6">
        <f t="shared" si="10"/>
        <v>72.090720000000005</v>
      </c>
      <c r="Q190" s="6">
        <f t="shared" si="11"/>
        <v>24.651172855535361</v>
      </c>
      <c r="S190" s="4">
        <v>152.30000000000001</v>
      </c>
    </row>
    <row r="191" spans="1:19" x14ac:dyDescent="0.25">
      <c r="A191" s="3">
        <v>41603</v>
      </c>
      <c r="B191" s="1">
        <f t="shared" si="8"/>
        <v>11</v>
      </c>
      <c r="C191" s="1">
        <f t="shared" si="9"/>
        <v>2013</v>
      </c>
      <c r="D191" s="4">
        <v>1.4531700000000001</v>
      </c>
      <c r="E191" s="4">
        <v>1.158847</v>
      </c>
      <c r="F191" s="5">
        <v>262.38</v>
      </c>
      <c r="H191" s="4">
        <v>5.2547000000000006</v>
      </c>
      <c r="I191" s="4">
        <v>100.46</v>
      </c>
      <c r="J191" s="4">
        <v>37.299999999999997</v>
      </c>
      <c r="L191" s="8">
        <f t="shared" si="12"/>
        <v>0.79746141194767295</v>
      </c>
      <c r="M191" s="8">
        <f t="shared" si="13"/>
        <v>0.18055698920291499</v>
      </c>
      <c r="N191" s="8">
        <f t="shared" si="14"/>
        <v>0.97801840115058791</v>
      </c>
      <c r="O191" s="8"/>
      <c r="P191" s="6">
        <f t="shared" si="10"/>
        <v>75.564840000000004</v>
      </c>
      <c r="Q191" s="6">
        <f t="shared" si="11"/>
        <v>25.312179579815165</v>
      </c>
      <c r="S191" s="4">
        <v>342.55</v>
      </c>
    </row>
    <row r="192" spans="1:19" x14ac:dyDescent="0.25">
      <c r="A192" s="3">
        <v>41610</v>
      </c>
      <c r="B192" s="1">
        <f t="shared" si="8"/>
        <v>12</v>
      </c>
      <c r="C192" s="1">
        <f t="shared" si="9"/>
        <v>2013</v>
      </c>
      <c r="D192" s="4">
        <v>1.6109199999999999</v>
      </c>
      <c r="E192" s="4">
        <v>1.280681</v>
      </c>
      <c r="F192" s="5">
        <v>289.96499999999997</v>
      </c>
      <c r="H192" s="4">
        <v>5.2397999999999998</v>
      </c>
      <c r="I192" s="4">
        <v>99.73</v>
      </c>
      <c r="J192" s="4">
        <v>72.05</v>
      </c>
      <c r="L192" s="8">
        <f t="shared" si="12"/>
        <v>0.79499975169468384</v>
      </c>
      <c r="M192" s="8">
        <f t="shared" si="13"/>
        <v>0.17999962754202567</v>
      </c>
      <c r="N192" s="8">
        <f t="shared" si="14"/>
        <v>0.97499937923670954</v>
      </c>
      <c r="O192" s="8"/>
      <c r="P192" s="6">
        <f t="shared" si="10"/>
        <v>83.767839999999993</v>
      </c>
      <c r="Q192" s="6">
        <f t="shared" si="11"/>
        <v>22.768728428475654</v>
      </c>
      <c r="S192" s="4">
        <v>366.6</v>
      </c>
    </row>
    <row r="193" spans="1:19" x14ac:dyDescent="0.25">
      <c r="A193" s="3">
        <v>41617</v>
      </c>
      <c r="B193" s="1">
        <f t="shared" si="8"/>
        <v>12</v>
      </c>
      <c r="C193" s="1">
        <f t="shared" si="9"/>
        <v>2013</v>
      </c>
      <c r="D193" s="4">
        <v>1.6605000000000001</v>
      </c>
      <c r="E193" s="4">
        <v>1.3200970000000001</v>
      </c>
      <c r="F193" s="5">
        <v>298.89</v>
      </c>
      <c r="H193" s="4">
        <v>5.3070000000000004</v>
      </c>
      <c r="I193" s="4">
        <v>97.284999999999997</v>
      </c>
      <c r="J193" s="4">
        <v>40.01</v>
      </c>
      <c r="L193" s="8">
        <f t="shared" si="12"/>
        <v>0.79499969888587774</v>
      </c>
      <c r="M193" s="8">
        <f t="shared" si="13"/>
        <v>0.18</v>
      </c>
      <c r="N193" s="8">
        <f t="shared" si="14"/>
        <v>0.97499969888587779</v>
      </c>
      <c r="O193" s="8"/>
      <c r="P193" s="6">
        <f t="shared" si="10"/>
        <v>86.346000000000004</v>
      </c>
      <c r="Q193" s="6">
        <f t="shared" si="11"/>
        <v>22.372177055103883</v>
      </c>
      <c r="S193" s="4">
        <v>391.25</v>
      </c>
    </row>
    <row r="194" spans="1:19" x14ac:dyDescent="0.25">
      <c r="A194" s="3">
        <v>41624</v>
      </c>
      <c r="B194" s="1">
        <f t="shared" ref="B194:B257" si="15">MONTH(A194)</f>
        <v>12</v>
      </c>
      <c r="C194" s="1">
        <f t="shared" ref="C194:C257" si="16">YEAR(A194)</f>
        <v>2013</v>
      </c>
      <c r="D194" s="4">
        <v>1.73746</v>
      </c>
      <c r="E194" s="4">
        <v>1.3812800000000001</v>
      </c>
      <c r="F194" s="5">
        <v>312.74200000000002</v>
      </c>
      <c r="H194" s="4">
        <v>5.1920999999999999</v>
      </c>
      <c r="I194" s="4">
        <v>98.21</v>
      </c>
      <c r="J194" s="4">
        <v>50.45</v>
      </c>
      <c r="L194" s="8">
        <f t="shared" si="12"/>
        <v>0.79499959711302715</v>
      </c>
      <c r="M194" s="8">
        <f t="shared" si="13"/>
        <v>0.17999953955774523</v>
      </c>
      <c r="N194" s="8">
        <f t="shared" si="14"/>
        <v>0.97499913667077243</v>
      </c>
      <c r="O194" s="8"/>
      <c r="P194" s="6">
        <f t="shared" ref="P194:P246" si="17">D194*52</f>
        <v>90.347920000000002</v>
      </c>
      <c r="Q194" s="6">
        <f t="shared" si="11"/>
        <v>20.918294521888274</v>
      </c>
      <c r="S194" s="4">
        <v>332.5</v>
      </c>
    </row>
    <row r="195" spans="1:19" x14ac:dyDescent="0.25">
      <c r="A195" s="3">
        <v>41631</v>
      </c>
      <c r="B195" s="1">
        <f t="shared" si="15"/>
        <v>12</v>
      </c>
      <c r="C195" s="1">
        <f t="shared" si="16"/>
        <v>2013</v>
      </c>
      <c r="D195" s="4">
        <v>1.6495500000000001</v>
      </c>
      <c r="E195" s="4">
        <v>1.297479</v>
      </c>
      <c r="F195" s="5">
        <v>293.76900000000001</v>
      </c>
      <c r="H195" s="4">
        <v>5.0420999999999996</v>
      </c>
      <c r="I195" s="4">
        <v>98.33</v>
      </c>
      <c r="J195" s="4">
        <v>60.38</v>
      </c>
      <c r="L195" s="8">
        <f t="shared" si="12"/>
        <v>0.78656542693461851</v>
      </c>
      <c r="M195" s="8">
        <f t="shared" si="13"/>
        <v>0.17809038828771481</v>
      </c>
      <c r="N195" s="8">
        <f t="shared" si="14"/>
        <v>0.96465581522233335</v>
      </c>
      <c r="O195" s="8"/>
      <c r="P195" s="6">
        <f t="shared" si="17"/>
        <v>85.776600000000002</v>
      </c>
      <c r="Q195" s="6">
        <f t="shared" si="11"/>
        <v>21.396562698917887</v>
      </c>
      <c r="S195" s="4">
        <v>257.64999999999998</v>
      </c>
    </row>
    <row r="196" spans="1:19" x14ac:dyDescent="0.25">
      <c r="A196" s="3">
        <v>41638</v>
      </c>
      <c r="B196" s="1">
        <f t="shared" si="15"/>
        <v>12</v>
      </c>
      <c r="C196" s="1">
        <f t="shared" si="16"/>
        <v>2013</v>
      </c>
      <c r="D196" s="4">
        <v>1.4732000000000001</v>
      </c>
      <c r="E196" s="4">
        <v>1.1711940000000001</v>
      </c>
      <c r="F196" s="5">
        <v>265.17599999999999</v>
      </c>
      <c r="H196" s="4">
        <v>5.0994000000000002</v>
      </c>
      <c r="I196" s="4">
        <v>97.37</v>
      </c>
      <c r="J196" s="4">
        <v>63.5</v>
      </c>
      <c r="L196" s="8">
        <f t="shared" si="12"/>
        <v>0.79500000000000004</v>
      </c>
      <c r="M196" s="8">
        <f t="shared" si="13"/>
        <v>0.17999999999999997</v>
      </c>
      <c r="N196" s="8">
        <f t="shared" si="14"/>
        <v>0.97499999999999998</v>
      </c>
      <c r="O196" s="8"/>
      <c r="P196" s="6">
        <f t="shared" si="17"/>
        <v>76.606400000000008</v>
      </c>
      <c r="Q196" s="6">
        <f t="shared" si="11"/>
        <v>24.230111322291609</v>
      </c>
      <c r="S196" s="4">
        <v>260.64999999999998</v>
      </c>
    </row>
    <row r="197" spans="1:19" x14ac:dyDescent="0.25">
      <c r="A197" s="3">
        <v>41645</v>
      </c>
      <c r="B197" s="1">
        <f t="shared" si="15"/>
        <v>1</v>
      </c>
      <c r="C197" s="1">
        <f t="shared" si="16"/>
        <v>2014</v>
      </c>
      <c r="D197" s="4">
        <v>1.5708500000000001</v>
      </c>
      <c r="E197" s="4">
        <v>1.2488250000000001</v>
      </c>
      <c r="F197" s="5">
        <v>282.75299999999999</v>
      </c>
      <c r="H197" s="4">
        <v>5.0766999999999998</v>
      </c>
      <c r="I197" s="4">
        <v>96.593999999999994</v>
      </c>
      <c r="J197" s="4">
        <v>60.22</v>
      </c>
      <c r="L197" s="8">
        <f t="shared" si="12"/>
        <v>0.79499952255148487</v>
      </c>
      <c r="M197" s="8">
        <f t="shared" si="13"/>
        <v>0.17999999999999997</v>
      </c>
      <c r="N197" s="8">
        <f t="shared" si="14"/>
        <v>0.97499952255148481</v>
      </c>
      <c r="O197" s="8"/>
      <c r="P197" s="6">
        <f t="shared" si="17"/>
        <v>81.684200000000004</v>
      </c>
      <c r="Q197" s="6">
        <f t="shared" si="11"/>
        <v>22.622720183340228</v>
      </c>
      <c r="S197" s="4">
        <v>190.15</v>
      </c>
    </row>
    <row r="198" spans="1:19" x14ac:dyDescent="0.25">
      <c r="A198" s="3">
        <v>41652</v>
      </c>
      <c r="B198" s="1">
        <f t="shared" si="15"/>
        <v>1</v>
      </c>
      <c r="C198" s="1">
        <f t="shared" si="16"/>
        <v>2014</v>
      </c>
      <c r="D198" s="4">
        <v>1.7081999999999999</v>
      </c>
      <c r="E198" s="4">
        <v>1.3699440000000001</v>
      </c>
      <c r="F198" s="5">
        <v>310.17599999999999</v>
      </c>
      <c r="H198" s="4">
        <v>4.9401000000000002</v>
      </c>
      <c r="I198" s="4">
        <v>98.555000000000007</v>
      </c>
      <c r="J198" s="4">
        <v>60.18</v>
      </c>
      <c r="L198" s="8">
        <f t="shared" si="12"/>
        <v>0.80198103266596421</v>
      </c>
      <c r="M198" s="8">
        <f t="shared" si="13"/>
        <v>0.18158061116965227</v>
      </c>
      <c r="N198" s="8">
        <f t="shared" si="14"/>
        <v>0.98356164383561651</v>
      </c>
      <c r="O198" s="8"/>
      <c r="P198" s="6">
        <f t="shared" si="17"/>
        <v>88.826399999999992</v>
      </c>
      <c r="Q198" s="6">
        <f t="shared" si="11"/>
        <v>20.243940990516332</v>
      </c>
      <c r="S198" s="4">
        <v>107.25</v>
      </c>
    </row>
    <row r="199" spans="1:19" x14ac:dyDescent="0.25">
      <c r="A199" s="3">
        <v>41659</v>
      </c>
      <c r="B199" s="1">
        <f t="shared" si="15"/>
        <v>1</v>
      </c>
      <c r="C199" s="1">
        <f t="shared" si="16"/>
        <v>2014</v>
      </c>
      <c r="D199" s="4">
        <v>1.589</v>
      </c>
      <c r="E199" s="4">
        <v>1.263255</v>
      </c>
      <c r="F199" s="5">
        <v>286.02</v>
      </c>
      <c r="H199" s="4">
        <v>4.8101000000000003</v>
      </c>
      <c r="I199" s="4"/>
      <c r="J199" s="4"/>
      <c r="L199" s="8">
        <f t="shared" si="12"/>
        <v>0.79500000000000004</v>
      </c>
      <c r="M199" s="8">
        <f t="shared" si="13"/>
        <v>0.18</v>
      </c>
      <c r="N199" s="8">
        <f t="shared" si="14"/>
        <v>0.97500000000000009</v>
      </c>
      <c r="O199" s="8"/>
      <c r="P199" s="6">
        <f t="shared" si="17"/>
        <v>82.628</v>
      </c>
      <c r="Q199" s="6">
        <f t="shared" si="11"/>
        <v>21.189867841409693</v>
      </c>
      <c r="S199" s="4">
        <v>107.25</v>
      </c>
    </row>
    <row r="200" spans="1:19" x14ac:dyDescent="0.25">
      <c r="A200" s="3">
        <v>41666</v>
      </c>
      <c r="B200" s="1">
        <f t="shared" si="15"/>
        <v>1</v>
      </c>
      <c r="C200" s="1">
        <f t="shared" si="16"/>
        <v>2014</v>
      </c>
      <c r="D200" s="4">
        <v>0.54679999999999995</v>
      </c>
      <c r="E200" s="4">
        <v>0.43470599999999998</v>
      </c>
      <c r="F200" s="5">
        <v>98.424000000000007</v>
      </c>
      <c r="H200" s="4"/>
      <c r="I200" s="4"/>
      <c r="J200" s="4"/>
      <c r="L200" s="8">
        <f t="shared" si="12"/>
        <v>0.79500000000000004</v>
      </c>
      <c r="M200" s="8">
        <f t="shared" si="13"/>
        <v>0.18000000000000005</v>
      </c>
      <c r="N200" s="8">
        <f t="shared" si="14"/>
        <v>0.97500000000000009</v>
      </c>
      <c r="O200" s="8"/>
      <c r="P200" s="6">
        <f t="shared" si="17"/>
        <v>28.433599999999998</v>
      </c>
      <c r="Q200" s="6" t="str">
        <f t="shared" si="11"/>
        <v/>
      </c>
      <c r="S200" s="4">
        <v>107.25</v>
      </c>
    </row>
    <row r="201" spans="1:19" x14ac:dyDescent="0.25">
      <c r="A201" s="3">
        <v>41673</v>
      </c>
      <c r="B201" s="1">
        <f t="shared" si="15"/>
        <v>2</v>
      </c>
      <c r="C201" s="1">
        <f t="shared" si="16"/>
        <v>2014</v>
      </c>
      <c r="D201" s="4">
        <v>0.22889999999999999</v>
      </c>
      <c r="E201" s="4">
        <v>0.181975</v>
      </c>
      <c r="F201" s="5">
        <v>41.201999999999998</v>
      </c>
      <c r="H201" s="4">
        <v>5.2604999999999995</v>
      </c>
      <c r="I201" s="4">
        <v>98.367999999999995</v>
      </c>
      <c r="J201" s="4">
        <v>40.76</v>
      </c>
      <c r="L201" s="8">
        <f t="shared" si="12"/>
        <v>0.79499781564001748</v>
      </c>
      <c r="M201" s="8">
        <f t="shared" si="13"/>
        <v>0.18</v>
      </c>
      <c r="N201" s="8">
        <f t="shared" si="14"/>
        <v>0.97499781564001742</v>
      </c>
      <c r="O201" s="8"/>
      <c r="P201" s="6">
        <f t="shared" si="17"/>
        <v>11.902799999999999</v>
      </c>
      <c r="Q201" s="6">
        <f t="shared" si="11"/>
        <v>160.87155963302752</v>
      </c>
      <c r="S201" s="4">
        <v>36</v>
      </c>
    </row>
    <row r="202" spans="1:19" x14ac:dyDescent="0.25">
      <c r="A202" s="3">
        <v>41680</v>
      </c>
      <c r="B202" s="1">
        <f t="shared" si="15"/>
        <v>2</v>
      </c>
      <c r="C202" s="1">
        <f t="shared" si="16"/>
        <v>2014</v>
      </c>
      <c r="D202" s="4">
        <v>1.1852</v>
      </c>
      <c r="E202" s="4">
        <v>0.94223400000000002</v>
      </c>
      <c r="F202" s="5">
        <v>213.33600000000001</v>
      </c>
      <c r="H202" s="4">
        <v>5.4622999999999999</v>
      </c>
      <c r="I202" s="4">
        <v>96.17</v>
      </c>
      <c r="J202" s="4">
        <v>45.79</v>
      </c>
      <c r="L202" s="8">
        <f t="shared" si="12"/>
        <v>0.79500000000000004</v>
      </c>
      <c r="M202" s="8">
        <f t="shared" si="13"/>
        <v>0.18000000000000002</v>
      </c>
      <c r="N202" s="8">
        <f t="shared" si="14"/>
        <v>0.97500000000000009</v>
      </c>
      <c r="O202" s="8"/>
      <c r="P202" s="6">
        <f t="shared" si="17"/>
        <v>61.630400000000002</v>
      </c>
      <c r="Q202" s="6">
        <f t="shared" si="11"/>
        <v>32.261306108673637</v>
      </c>
      <c r="S202" s="4">
        <v>36</v>
      </c>
    </row>
    <row r="203" spans="1:19" x14ac:dyDescent="0.25">
      <c r="A203" s="3">
        <v>41687</v>
      </c>
      <c r="B203" s="1">
        <f t="shared" si="15"/>
        <v>2</v>
      </c>
      <c r="C203" s="1">
        <f t="shared" si="16"/>
        <v>2014</v>
      </c>
      <c r="D203" s="4">
        <v>1.5314000000000001</v>
      </c>
      <c r="E203" s="4">
        <v>1.217463</v>
      </c>
      <c r="F203" s="5">
        <v>275.65199999999999</v>
      </c>
      <c r="H203" s="4">
        <v>5.1004000000000005</v>
      </c>
      <c r="I203" s="4">
        <v>98.32</v>
      </c>
      <c r="J203" s="4">
        <v>68.75</v>
      </c>
      <c r="L203" s="8">
        <f t="shared" si="12"/>
        <v>0.79499999999999993</v>
      </c>
      <c r="M203" s="8">
        <f t="shared" si="13"/>
        <v>0.18</v>
      </c>
      <c r="N203" s="8">
        <f t="shared" si="14"/>
        <v>0.97499999999999987</v>
      </c>
      <c r="O203" s="8"/>
      <c r="P203" s="6">
        <f t="shared" si="17"/>
        <v>79.632800000000003</v>
      </c>
      <c r="Q203" s="6">
        <f t="shared" si="11"/>
        <v>23.313830481911975</v>
      </c>
      <c r="S203" s="4">
        <v>30.45</v>
      </c>
    </row>
    <row r="204" spans="1:19" x14ac:dyDescent="0.25">
      <c r="A204" s="3">
        <v>41694</v>
      </c>
      <c r="B204" s="1">
        <f t="shared" si="15"/>
        <v>2</v>
      </c>
      <c r="C204" s="1">
        <f t="shared" si="16"/>
        <v>2014</v>
      </c>
      <c r="D204" s="4">
        <v>1.4458</v>
      </c>
      <c r="E204" s="4">
        <v>1.149411</v>
      </c>
      <c r="F204" s="5">
        <v>260.24400000000003</v>
      </c>
      <c r="H204" s="4">
        <v>5.1360000000000001</v>
      </c>
      <c r="I204" s="4">
        <v>98.77</v>
      </c>
      <c r="J204" s="4">
        <v>63.5</v>
      </c>
      <c r="L204" s="8">
        <f t="shared" si="12"/>
        <v>0.79500000000000004</v>
      </c>
      <c r="M204" s="8">
        <f t="shared" si="13"/>
        <v>0.18000000000000002</v>
      </c>
      <c r="N204" s="8">
        <f t="shared" si="14"/>
        <v>0.97500000000000009</v>
      </c>
      <c r="O204" s="8"/>
      <c r="P204" s="6">
        <f t="shared" si="17"/>
        <v>75.181600000000003</v>
      </c>
      <c r="Q204" s="6">
        <f t="shared" si="11"/>
        <v>24.866509890717943</v>
      </c>
      <c r="S204" s="4">
        <v>-113.5</v>
      </c>
    </row>
    <row r="205" spans="1:19" x14ac:dyDescent="0.25">
      <c r="A205" s="3">
        <v>41701</v>
      </c>
      <c r="B205" s="1">
        <f t="shared" si="15"/>
        <v>3</v>
      </c>
      <c r="C205" s="1">
        <f t="shared" si="16"/>
        <v>2014</v>
      </c>
      <c r="D205" s="4">
        <v>1.1580999999999999</v>
      </c>
      <c r="E205" s="4">
        <v>0.92068899999999998</v>
      </c>
      <c r="F205" s="5">
        <v>208.458</v>
      </c>
      <c r="H205" s="4">
        <v>5.2412000000000001</v>
      </c>
      <c r="I205" s="4">
        <v>98.24</v>
      </c>
      <c r="J205" s="4">
        <v>86.39</v>
      </c>
      <c r="L205" s="8">
        <f t="shared" si="12"/>
        <v>0.79499956825835427</v>
      </c>
      <c r="M205" s="8">
        <f t="shared" si="13"/>
        <v>0.18000000000000002</v>
      </c>
      <c r="N205" s="8">
        <f t="shared" si="14"/>
        <v>0.97499956825835432</v>
      </c>
      <c r="O205" s="8"/>
      <c r="P205" s="6">
        <f t="shared" si="17"/>
        <v>60.221199999999996</v>
      </c>
      <c r="Q205" s="6">
        <f t="shared" si="11"/>
        <v>31.67982039547535</v>
      </c>
      <c r="S205" s="4">
        <v>-168.65</v>
      </c>
    </row>
    <row r="206" spans="1:19" x14ac:dyDescent="0.25">
      <c r="A206" s="3">
        <v>41708</v>
      </c>
      <c r="B206" s="1">
        <f t="shared" si="15"/>
        <v>3</v>
      </c>
      <c r="C206" s="1">
        <f t="shared" si="16"/>
        <v>2014</v>
      </c>
      <c r="D206" s="4">
        <v>1.1708499999999999</v>
      </c>
      <c r="E206" s="4">
        <v>0.93082500000000001</v>
      </c>
      <c r="F206" s="5">
        <v>210.75299999999999</v>
      </c>
      <c r="H206" s="4">
        <v>5.3162000000000003</v>
      </c>
      <c r="I206" s="4">
        <v>95.84</v>
      </c>
      <c r="J206" s="4">
        <v>88.37</v>
      </c>
      <c r="L206" s="8">
        <f t="shared" si="12"/>
        <v>0.79499935943972333</v>
      </c>
      <c r="M206" s="8">
        <f t="shared" si="13"/>
        <v>0.18</v>
      </c>
      <c r="N206" s="8">
        <f t="shared" si="14"/>
        <v>0.97499935943972327</v>
      </c>
      <c r="O206" s="8"/>
      <c r="P206" s="6">
        <f t="shared" si="17"/>
        <v>60.8842</v>
      </c>
      <c r="Q206" s="6">
        <f t="shared" si="11"/>
        <v>31.783234402357266</v>
      </c>
      <c r="S206" s="4">
        <v>-239.9</v>
      </c>
    </row>
    <row r="207" spans="1:19" x14ac:dyDescent="0.25">
      <c r="A207" s="3">
        <v>41715</v>
      </c>
      <c r="B207" s="1">
        <f t="shared" si="15"/>
        <v>3</v>
      </c>
      <c r="C207" s="1">
        <f t="shared" si="16"/>
        <v>2014</v>
      </c>
      <c r="D207" s="4">
        <v>1.2021999999999999</v>
      </c>
      <c r="E207" s="4">
        <v>0.95574899999999996</v>
      </c>
      <c r="F207" s="5">
        <v>216.39599999999999</v>
      </c>
      <c r="H207" s="4">
        <v>5.2904999999999998</v>
      </c>
      <c r="I207" s="4">
        <v>97.6</v>
      </c>
      <c r="J207" s="4">
        <v>78.849999999999994</v>
      </c>
      <c r="L207" s="8">
        <f t="shared" si="12"/>
        <v>0.79500000000000004</v>
      </c>
      <c r="M207" s="8">
        <f t="shared" si="13"/>
        <v>0.18</v>
      </c>
      <c r="N207" s="8">
        <f t="shared" si="14"/>
        <v>0.97500000000000009</v>
      </c>
      <c r="O207" s="8"/>
      <c r="P207" s="6">
        <f t="shared" si="17"/>
        <v>62.514399999999995</v>
      </c>
      <c r="Q207" s="6">
        <f t="shared" si="11"/>
        <v>30.804774579936783</v>
      </c>
      <c r="S207" s="4">
        <v>-336.5</v>
      </c>
    </row>
    <row r="208" spans="1:19" x14ac:dyDescent="0.25">
      <c r="A208" s="3">
        <v>41722</v>
      </c>
      <c r="B208" s="1">
        <f t="shared" si="15"/>
        <v>3</v>
      </c>
      <c r="C208" s="1">
        <f t="shared" si="16"/>
        <v>2014</v>
      </c>
      <c r="D208" s="4">
        <v>1.3984000000000001</v>
      </c>
      <c r="E208" s="4">
        <v>1.111728</v>
      </c>
      <c r="F208" s="5">
        <v>251.71199999999999</v>
      </c>
      <c r="H208" s="4">
        <v>5.2290000000000001</v>
      </c>
      <c r="I208" s="4">
        <v>96.99</v>
      </c>
      <c r="J208" s="4">
        <v>77.58</v>
      </c>
      <c r="L208" s="8">
        <f t="shared" si="12"/>
        <v>0.79500000000000004</v>
      </c>
      <c r="M208" s="8">
        <f t="shared" si="13"/>
        <v>0.18</v>
      </c>
      <c r="N208" s="8">
        <f t="shared" si="14"/>
        <v>0.97500000000000009</v>
      </c>
      <c r="O208" s="8"/>
      <c r="P208" s="6">
        <f t="shared" si="17"/>
        <v>72.716800000000006</v>
      </c>
      <c r="Q208" s="6">
        <f t="shared" si="11"/>
        <v>26.174914187643022</v>
      </c>
      <c r="S208" s="4">
        <v>-283.75</v>
      </c>
    </row>
    <row r="209" spans="1:19" x14ac:dyDescent="0.25">
      <c r="A209" s="3">
        <v>41729</v>
      </c>
      <c r="B209" s="1">
        <f t="shared" si="15"/>
        <v>3</v>
      </c>
      <c r="C209" s="1">
        <f t="shared" si="16"/>
        <v>2014</v>
      </c>
      <c r="D209" s="4">
        <v>1.4059999999999999</v>
      </c>
      <c r="E209" s="4">
        <v>0.25308000000000003</v>
      </c>
      <c r="F209" s="5">
        <v>253.08</v>
      </c>
      <c r="H209" s="4">
        <v>5.3273000000000001</v>
      </c>
      <c r="I209" s="4">
        <v>99.33</v>
      </c>
      <c r="J209" s="4">
        <v>79.650000000000006</v>
      </c>
      <c r="L209" s="8">
        <f t="shared" si="12"/>
        <v>0.18000000000000002</v>
      </c>
      <c r="M209" s="8">
        <f t="shared" si="13"/>
        <v>0.18000000000000002</v>
      </c>
      <c r="N209" s="8">
        <f t="shared" si="14"/>
        <v>0.36000000000000004</v>
      </c>
      <c r="O209" s="8"/>
      <c r="P209" s="6">
        <f t="shared" si="17"/>
        <v>73.111999999999995</v>
      </c>
      <c r="Q209" s="6">
        <f t="shared" si="11"/>
        <v>26.522830725462306</v>
      </c>
      <c r="S209" s="4">
        <v>-67.7</v>
      </c>
    </row>
    <row r="210" spans="1:19" x14ac:dyDescent="0.25">
      <c r="A210" s="3">
        <v>41736</v>
      </c>
      <c r="B210" s="1">
        <f t="shared" si="15"/>
        <v>4</v>
      </c>
      <c r="C210" s="1">
        <f t="shared" si="16"/>
        <v>2014</v>
      </c>
      <c r="D210" s="4">
        <v>1.2940499999999999</v>
      </c>
      <c r="E210" s="4">
        <v>1.028769</v>
      </c>
      <c r="F210" s="5">
        <v>232.929</v>
      </c>
      <c r="H210" s="4">
        <v>5.4382000000000001</v>
      </c>
      <c r="I210" s="4">
        <v>97.29</v>
      </c>
      <c r="J210" s="4">
        <v>82.16</v>
      </c>
      <c r="L210" s="8">
        <f t="shared" si="12"/>
        <v>0.79499942042424954</v>
      </c>
      <c r="M210" s="8">
        <f t="shared" si="13"/>
        <v>0.18000000000000002</v>
      </c>
      <c r="N210" s="8">
        <f t="shared" si="14"/>
        <v>0.97499942042424959</v>
      </c>
      <c r="O210" s="8"/>
      <c r="P210" s="6">
        <f t="shared" si="17"/>
        <v>67.290599999999998</v>
      </c>
      <c r="Q210" s="6">
        <f t="shared" si="11"/>
        <v>29.417255902013061</v>
      </c>
      <c r="S210" s="4">
        <v>-244.5</v>
      </c>
    </row>
    <row r="211" spans="1:19" x14ac:dyDescent="0.25">
      <c r="A211" s="3">
        <v>41743</v>
      </c>
      <c r="B211" s="1">
        <f t="shared" si="15"/>
        <v>4</v>
      </c>
      <c r="C211" s="1">
        <f t="shared" si="16"/>
        <v>2014</v>
      </c>
      <c r="D211" s="4">
        <v>1.51955</v>
      </c>
      <c r="E211" s="4">
        <v>1.037793</v>
      </c>
      <c r="F211" s="5">
        <v>234.97200000000001</v>
      </c>
      <c r="H211" s="4">
        <v>5.7532000000000005</v>
      </c>
      <c r="I211" s="4">
        <v>98.51</v>
      </c>
      <c r="J211" s="4">
        <v>89.93</v>
      </c>
      <c r="L211" s="8">
        <f t="shared" si="12"/>
        <v>0.68296074495738868</v>
      </c>
      <c r="M211" s="8">
        <f t="shared" si="13"/>
        <v>0.15463262149978613</v>
      </c>
      <c r="N211" s="8">
        <f t="shared" si="14"/>
        <v>0.83759336645717486</v>
      </c>
      <c r="O211" s="8"/>
      <c r="P211" s="6">
        <f t="shared" si="17"/>
        <v>79.016599999999997</v>
      </c>
      <c r="Q211" s="6">
        <f t="shared" si="11"/>
        <v>26.502846237372911</v>
      </c>
      <c r="S211" s="4">
        <v>-244.5</v>
      </c>
    </row>
    <row r="212" spans="1:19" x14ac:dyDescent="0.25">
      <c r="A212" s="3">
        <v>41750</v>
      </c>
      <c r="B212" s="1">
        <f t="shared" si="15"/>
        <v>4</v>
      </c>
      <c r="C212" s="1">
        <f t="shared" si="16"/>
        <v>2014</v>
      </c>
      <c r="D212" s="4">
        <v>1.4995499999999999</v>
      </c>
      <c r="E212" s="4">
        <v>1.192142</v>
      </c>
      <c r="F212" s="5">
        <v>269.91899999999998</v>
      </c>
      <c r="H212" s="4">
        <v>5.5982000000000003</v>
      </c>
      <c r="I212" s="4">
        <v>100.67</v>
      </c>
      <c r="J212" s="4">
        <v>89.65</v>
      </c>
      <c r="L212" s="8">
        <f t="shared" si="12"/>
        <v>0.79499983328331836</v>
      </c>
      <c r="M212" s="8">
        <f t="shared" si="13"/>
        <v>0.18</v>
      </c>
      <c r="N212" s="8">
        <f t="shared" si="14"/>
        <v>0.9749998332833183</v>
      </c>
      <c r="O212" s="8"/>
      <c r="P212" s="6">
        <f t="shared" si="17"/>
        <v>77.976599999999991</v>
      </c>
      <c r="Q212" s="6">
        <f t="shared" ref="Q212:Q275" si="18">IF(H212="","",IF(D212="","",H212/(D212/7)))</f>
        <v>26.13277316528292</v>
      </c>
      <c r="S212" s="4">
        <v>-244.5</v>
      </c>
    </row>
    <row r="213" spans="1:19" x14ac:dyDescent="0.25">
      <c r="A213" s="3">
        <v>41757</v>
      </c>
      <c r="B213" s="1">
        <f t="shared" si="15"/>
        <v>4</v>
      </c>
      <c r="C213" s="1">
        <f t="shared" si="16"/>
        <v>2014</v>
      </c>
      <c r="D213" s="4">
        <v>1.1918500000000001</v>
      </c>
      <c r="E213" s="4">
        <v>0.94752000000000003</v>
      </c>
      <c r="F213" s="5">
        <v>214.53299999999999</v>
      </c>
      <c r="H213" s="4">
        <v>5.7232000000000003</v>
      </c>
      <c r="I213" s="4">
        <v>103.17</v>
      </c>
      <c r="J213" s="4">
        <v>76.06</v>
      </c>
      <c r="L213" s="8">
        <f t="shared" si="12"/>
        <v>0.79499937072618199</v>
      </c>
      <c r="M213" s="8">
        <f t="shared" si="13"/>
        <v>0.17999999999999997</v>
      </c>
      <c r="N213" s="8">
        <f t="shared" si="14"/>
        <v>0.97499937072618192</v>
      </c>
      <c r="O213" s="8"/>
      <c r="P213" s="6">
        <f t="shared" si="17"/>
        <v>61.976200000000006</v>
      </c>
      <c r="Q213" s="6">
        <f t="shared" si="18"/>
        <v>33.613625875739395</v>
      </c>
      <c r="S213" s="4">
        <v>-126.15</v>
      </c>
    </row>
    <row r="214" spans="1:19" x14ac:dyDescent="0.25">
      <c r="A214" s="3">
        <v>41764</v>
      </c>
      <c r="B214" s="1">
        <f t="shared" si="15"/>
        <v>5</v>
      </c>
      <c r="C214" s="1">
        <f t="shared" si="16"/>
        <v>2014</v>
      </c>
      <c r="D214" s="4">
        <v>1.2051499999999999</v>
      </c>
      <c r="E214" s="4">
        <v>0.958094</v>
      </c>
      <c r="F214" s="5">
        <v>216.92699999999999</v>
      </c>
      <c r="H214" s="4">
        <v>5.8692999999999991</v>
      </c>
      <c r="I214" s="4">
        <v>106.79</v>
      </c>
      <c r="J214" s="4">
        <v>78.67</v>
      </c>
      <c r="L214" s="8">
        <f t="shared" si="12"/>
        <v>0.7949997925569432</v>
      </c>
      <c r="M214" s="8">
        <f t="shared" si="13"/>
        <v>0.18</v>
      </c>
      <c r="N214" s="8">
        <f t="shared" si="14"/>
        <v>0.97499979255694313</v>
      </c>
      <c r="O214" s="8"/>
      <c r="P214" s="6">
        <f t="shared" si="17"/>
        <v>62.6678</v>
      </c>
      <c r="Q214" s="6">
        <f t="shared" si="18"/>
        <v>34.091274945027585</v>
      </c>
      <c r="S214" s="4">
        <v>-201</v>
      </c>
    </row>
    <row r="215" spans="1:19" x14ac:dyDescent="0.25">
      <c r="A215" s="3">
        <v>41771</v>
      </c>
      <c r="B215" s="1">
        <f t="shared" si="15"/>
        <v>5</v>
      </c>
      <c r="C215" s="1">
        <f t="shared" si="16"/>
        <v>2014</v>
      </c>
      <c r="D215" s="4">
        <v>1.3826499999999999</v>
      </c>
      <c r="E215" s="4">
        <v>1.0992059999999999</v>
      </c>
      <c r="F215" s="5">
        <v>248.87700000000001</v>
      </c>
      <c r="H215" s="4">
        <v>5.8069000000000006</v>
      </c>
      <c r="I215" s="4">
        <v>104.09</v>
      </c>
      <c r="J215" s="4">
        <v>72.41</v>
      </c>
      <c r="L215" s="8">
        <f t="shared" si="12"/>
        <v>0.79499945756337465</v>
      </c>
      <c r="M215" s="8">
        <f t="shared" si="13"/>
        <v>0.18000000000000002</v>
      </c>
      <c r="N215" s="8">
        <f t="shared" si="14"/>
        <v>0.97499945756337469</v>
      </c>
      <c r="O215" s="8"/>
      <c r="P215" s="6">
        <f t="shared" si="17"/>
        <v>71.897799999999989</v>
      </c>
      <c r="Q215" s="6">
        <f t="shared" si="18"/>
        <v>29.398835569377649</v>
      </c>
      <c r="S215" s="4">
        <v>-244.65</v>
      </c>
    </row>
    <row r="216" spans="1:19" x14ac:dyDescent="0.25">
      <c r="A216" s="3">
        <v>41778</v>
      </c>
      <c r="B216" s="1">
        <f t="shared" si="15"/>
        <v>5</v>
      </c>
      <c r="C216" s="1">
        <f t="shared" si="16"/>
        <v>2014</v>
      </c>
      <c r="D216" s="4">
        <v>1.56185</v>
      </c>
      <c r="E216" s="4">
        <v>1.2416700000000001</v>
      </c>
      <c r="F216" s="5">
        <v>281.13299999999998</v>
      </c>
      <c r="H216" s="4">
        <v>5.9316999999999993</v>
      </c>
      <c r="I216" s="4">
        <v>111.57</v>
      </c>
      <c r="J216" s="4">
        <v>85.14</v>
      </c>
      <c r="L216" s="8">
        <f t="shared" si="12"/>
        <v>0.79499951980023698</v>
      </c>
      <c r="M216" s="8">
        <f t="shared" si="13"/>
        <v>0.18</v>
      </c>
      <c r="N216" s="8">
        <f t="shared" si="14"/>
        <v>0.97499951980023702</v>
      </c>
      <c r="O216" s="8"/>
      <c r="P216" s="6">
        <f t="shared" si="17"/>
        <v>81.216200000000001</v>
      </c>
      <c r="Q216" s="6">
        <f t="shared" si="18"/>
        <v>26.585075391362807</v>
      </c>
      <c r="S216" s="4">
        <v>-189.5</v>
      </c>
    </row>
    <row r="217" spans="1:19" x14ac:dyDescent="0.25">
      <c r="A217" s="3">
        <v>41785</v>
      </c>
      <c r="B217" s="1">
        <f t="shared" si="15"/>
        <v>5</v>
      </c>
      <c r="C217" s="1">
        <f t="shared" si="16"/>
        <v>2014</v>
      </c>
      <c r="D217" s="4">
        <v>1.56325</v>
      </c>
      <c r="E217" s="4">
        <v>1.2369000000000001</v>
      </c>
      <c r="F217" s="5">
        <v>280.053</v>
      </c>
      <c r="H217" s="4">
        <v>5.9550999999999998</v>
      </c>
      <c r="I217" s="4">
        <v>114</v>
      </c>
      <c r="J217" s="4">
        <v>85.98</v>
      </c>
      <c r="L217" s="8">
        <f t="shared" si="12"/>
        <v>0.79123620662082206</v>
      </c>
      <c r="M217" s="8">
        <f t="shared" si="13"/>
        <v>0.17914792899408283</v>
      </c>
      <c r="N217" s="8">
        <f t="shared" si="14"/>
        <v>0.97038413561490489</v>
      </c>
      <c r="O217" s="8"/>
      <c r="P217" s="6">
        <f t="shared" si="17"/>
        <v>81.289000000000001</v>
      </c>
      <c r="Q217" s="6">
        <f t="shared" si="18"/>
        <v>26.666048296817525</v>
      </c>
      <c r="S217" s="4">
        <v>-189.5</v>
      </c>
    </row>
    <row r="218" spans="1:19" x14ac:dyDescent="0.25">
      <c r="A218" s="3">
        <v>41792</v>
      </c>
      <c r="B218" s="1">
        <f t="shared" si="15"/>
        <v>6</v>
      </c>
      <c r="C218" s="1">
        <f t="shared" si="16"/>
        <v>2014</v>
      </c>
      <c r="D218" s="4">
        <v>1.3797999999999999</v>
      </c>
      <c r="E218" s="4">
        <v>1.0969409999999999</v>
      </c>
      <c r="F218" s="5">
        <v>248.364</v>
      </c>
      <c r="H218" s="4">
        <v>6.0461</v>
      </c>
      <c r="I218" s="4">
        <v>117.96</v>
      </c>
      <c r="J218" s="4">
        <v>85.21</v>
      </c>
      <c r="L218" s="8">
        <f t="shared" si="12"/>
        <v>0.79500000000000004</v>
      </c>
      <c r="M218" s="8">
        <f t="shared" si="13"/>
        <v>0.18000000000000002</v>
      </c>
      <c r="N218" s="8">
        <f t="shared" si="14"/>
        <v>0.97500000000000009</v>
      </c>
      <c r="O218" s="8"/>
      <c r="P218" s="6">
        <f t="shared" si="17"/>
        <v>71.749600000000001</v>
      </c>
      <c r="Q218" s="6">
        <f t="shared" si="18"/>
        <v>30.673068560660965</v>
      </c>
      <c r="S218" s="4">
        <v>-288.5</v>
      </c>
    </row>
    <row r="219" spans="1:19" x14ac:dyDescent="0.25">
      <c r="A219" s="3">
        <v>41799</v>
      </c>
      <c r="B219" s="1">
        <f t="shared" si="15"/>
        <v>6</v>
      </c>
      <c r="C219" s="1">
        <f t="shared" si="16"/>
        <v>2014</v>
      </c>
      <c r="D219" s="4">
        <v>1.5580000000000001</v>
      </c>
      <c r="E219" s="4">
        <v>1.23861</v>
      </c>
      <c r="F219" s="5">
        <v>280.44</v>
      </c>
      <c r="H219" s="4">
        <v>5.8779999999999992</v>
      </c>
      <c r="I219" s="4">
        <v>120.79</v>
      </c>
      <c r="J219" s="4">
        <v>92.73</v>
      </c>
      <c r="L219" s="8">
        <f t="shared" si="12"/>
        <v>0.79499999999999993</v>
      </c>
      <c r="M219" s="8">
        <f t="shared" si="13"/>
        <v>0.18000000000000002</v>
      </c>
      <c r="N219" s="8">
        <f t="shared" si="14"/>
        <v>0.97499999999999998</v>
      </c>
      <c r="O219" s="8"/>
      <c r="P219" s="6">
        <f t="shared" si="17"/>
        <v>81.016000000000005</v>
      </c>
      <c r="Q219" s="6">
        <f t="shared" si="18"/>
        <v>26.409499358151471</v>
      </c>
      <c r="S219" s="4">
        <v>-179.25</v>
      </c>
    </row>
    <row r="220" spans="1:19" x14ac:dyDescent="0.25">
      <c r="A220" s="3">
        <v>41806</v>
      </c>
      <c r="B220" s="1">
        <f t="shared" si="15"/>
        <v>6</v>
      </c>
      <c r="C220" s="1">
        <f t="shared" si="16"/>
        <v>2014</v>
      </c>
      <c r="D220" s="4">
        <v>1.5909</v>
      </c>
      <c r="E220" s="4">
        <v>1.2647649999999999</v>
      </c>
      <c r="F220" s="5">
        <v>286.36200000000002</v>
      </c>
      <c r="H220" s="4">
        <v>5.9405999999999999</v>
      </c>
      <c r="I220" s="4">
        <v>124.44</v>
      </c>
      <c r="J220" s="4">
        <v>100.03</v>
      </c>
      <c r="L220" s="8">
        <f t="shared" si="12"/>
        <v>0.79499968571248969</v>
      </c>
      <c r="M220" s="8">
        <f t="shared" si="13"/>
        <v>0.18</v>
      </c>
      <c r="N220" s="8">
        <f t="shared" si="14"/>
        <v>0.97499968571248963</v>
      </c>
      <c r="O220" s="8"/>
      <c r="P220" s="6">
        <f t="shared" si="17"/>
        <v>82.726799999999997</v>
      </c>
      <c r="Q220" s="6">
        <f t="shared" si="18"/>
        <v>26.138789364510654</v>
      </c>
      <c r="S220" s="4">
        <v>-179.25</v>
      </c>
    </row>
    <row r="221" spans="1:19" x14ac:dyDescent="0.25">
      <c r="A221" s="3">
        <v>41813</v>
      </c>
      <c r="B221" s="1">
        <f t="shared" si="15"/>
        <v>6</v>
      </c>
      <c r="C221" s="1">
        <f t="shared" si="16"/>
        <v>2014</v>
      </c>
      <c r="D221" s="4">
        <v>1.3806</v>
      </c>
      <c r="E221" s="4">
        <v>1.097577</v>
      </c>
      <c r="F221" s="5">
        <v>248.50800000000001</v>
      </c>
      <c r="H221" s="4">
        <v>6.0548999999999999</v>
      </c>
      <c r="I221" s="4">
        <v>125.74</v>
      </c>
      <c r="J221" s="4">
        <v>96.42</v>
      </c>
      <c r="L221" s="8">
        <f t="shared" si="12"/>
        <v>0.79500000000000004</v>
      </c>
      <c r="M221" s="8">
        <f t="shared" si="13"/>
        <v>0.18</v>
      </c>
      <c r="N221" s="8">
        <f t="shared" si="14"/>
        <v>0.97500000000000009</v>
      </c>
      <c r="O221" s="8"/>
      <c r="P221" s="6">
        <f t="shared" si="17"/>
        <v>71.791200000000003</v>
      </c>
      <c r="Q221" s="6">
        <f t="shared" si="18"/>
        <v>30.69991308126901</v>
      </c>
      <c r="S221" s="4">
        <v>-187.3</v>
      </c>
    </row>
    <row r="222" spans="1:19" x14ac:dyDescent="0.25">
      <c r="A222" s="3">
        <v>41820</v>
      </c>
      <c r="B222" s="1">
        <f t="shared" si="15"/>
        <v>6</v>
      </c>
      <c r="C222" s="1">
        <f t="shared" si="16"/>
        <v>2014</v>
      </c>
      <c r="D222" s="4">
        <v>1.3065</v>
      </c>
      <c r="E222" s="4">
        <v>1.038667</v>
      </c>
      <c r="F222" s="5">
        <v>235.17</v>
      </c>
      <c r="H222" s="4"/>
      <c r="I222" s="7">
        <f>AVERAGE(I221,I223)</f>
        <v>126.99000000000001</v>
      </c>
      <c r="J222" s="4">
        <v>86.39</v>
      </c>
      <c r="L222" s="8">
        <f t="shared" si="12"/>
        <v>0.79499961729812474</v>
      </c>
      <c r="M222" s="8">
        <f t="shared" si="13"/>
        <v>0.18</v>
      </c>
      <c r="N222" s="8">
        <f t="shared" si="14"/>
        <v>0.97499961729812479</v>
      </c>
      <c r="O222" s="8"/>
      <c r="P222" s="6">
        <f t="shared" si="17"/>
        <v>67.938000000000002</v>
      </c>
      <c r="Q222" s="6" t="str">
        <f t="shared" si="18"/>
        <v/>
      </c>
      <c r="S222" s="4">
        <v>-230.65</v>
      </c>
    </row>
    <row r="223" spans="1:19" x14ac:dyDescent="0.25">
      <c r="A223" s="3">
        <v>41827</v>
      </c>
      <c r="B223" s="1">
        <f t="shared" si="15"/>
        <v>7</v>
      </c>
      <c r="C223" s="1">
        <f t="shared" si="16"/>
        <v>2014</v>
      </c>
      <c r="D223" s="4">
        <v>1.3224</v>
      </c>
      <c r="E223" s="4">
        <v>1.0513079999999999</v>
      </c>
      <c r="F223" s="5">
        <v>238.03200000000001</v>
      </c>
      <c r="H223" s="4">
        <v>6.0596000000000005</v>
      </c>
      <c r="I223" s="4">
        <v>128.24</v>
      </c>
      <c r="J223" s="4">
        <v>42.9</v>
      </c>
      <c r="L223" s="8">
        <f t="shared" si="12"/>
        <v>0.79499999999999993</v>
      </c>
      <c r="M223" s="8">
        <f t="shared" si="13"/>
        <v>0.18000000000000002</v>
      </c>
      <c r="N223" s="8">
        <f t="shared" si="14"/>
        <v>0.97499999999999998</v>
      </c>
      <c r="O223" s="8"/>
      <c r="P223" s="6">
        <f t="shared" si="17"/>
        <v>68.764800000000008</v>
      </c>
      <c r="Q223" s="6">
        <f t="shared" si="18"/>
        <v>32.075922565033274</v>
      </c>
      <c r="S223" s="4">
        <v>-321.60000000000002</v>
      </c>
    </row>
    <row r="224" spans="1:19" x14ac:dyDescent="0.25">
      <c r="A224" s="3">
        <v>41834</v>
      </c>
      <c r="B224" s="1">
        <f t="shared" si="15"/>
        <v>7</v>
      </c>
      <c r="C224" s="1">
        <f t="shared" si="16"/>
        <v>2014</v>
      </c>
      <c r="D224" s="4">
        <v>1.4577</v>
      </c>
      <c r="E224" s="4">
        <v>1.158871</v>
      </c>
      <c r="F224" s="5">
        <v>262.38600000000002</v>
      </c>
      <c r="H224" s="4">
        <v>5.9808000000000003</v>
      </c>
      <c r="I224" s="4">
        <v>130.26</v>
      </c>
      <c r="J224" s="4">
        <v>101.02</v>
      </c>
      <c r="L224" s="8">
        <f t="shared" si="12"/>
        <v>0.79499965699389452</v>
      </c>
      <c r="M224" s="8">
        <f t="shared" si="13"/>
        <v>0.18</v>
      </c>
      <c r="N224" s="8">
        <f t="shared" si="14"/>
        <v>0.97499965699389457</v>
      </c>
      <c r="O224" s="8"/>
      <c r="P224" s="6">
        <f t="shared" si="17"/>
        <v>75.800399999999996</v>
      </c>
      <c r="Q224" s="6">
        <f t="shared" si="18"/>
        <v>28.720312821568225</v>
      </c>
      <c r="S224" s="4">
        <v>-364.25</v>
      </c>
    </row>
    <row r="225" spans="1:19" x14ac:dyDescent="0.25">
      <c r="A225" s="3">
        <v>41841</v>
      </c>
      <c r="B225" s="1">
        <f t="shared" si="15"/>
        <v>7</v>
      </c>
      <c r="C225" s="1">
        <f t="shared" si="16"/>
        <v>2014</v>
      </c>
      <c r="D225" s="4">
        <v>1.3369</v>
      </c>
      <c r="E225" s="4">
        <v>1.062835</v>
      </c>
      <c r="F225" s="5">
        <v>240.642</v>
      </c>
      <c r="H225" s="4">
        <v>5.9317999999999991</v>
      </c>
      <c r="I225" s="4">
        <v>131.13</v>
      </c>
      <c r="J225" s="4">
        <v>88.79</v>
      </c>
      <c r="L225" s="8">
        <f t="shared" si="12"/>
        <v>0.79499962600044882</v>
      </c>
      <c r="M225" s="8">
        <f t="shared" si="13"/>
        <v>0.18</v>
      </c>
      <c r="N225" s="8">
        <f t="shared" si="14"/>
        <v>0.97499962600044876</v>
      </c>
      <c r="O225" s="8"/>
      <c r="P225" s="6">
        <f t="shared" si="17"/>
        <v>69.518799999999999</v>
      </c>
      <c r="Q225" s="6">
        <f t="shared" si="18"/>
        <v>31.05886752935896</v>
      </c>
      <c r="S225" s="4">
        <v>-332.75</v>
      </c>
    </row>
    <row r="226" spans="1:19" x14ac:dyDescent="0.25">
      <c r="A226" s="3">
        <v>41848</v>
      </c>
      <c r="B226" s="1">
        <f t="shared" si="15"/>
        <v>7</v>
      </c>
      <c r="C226" s="1">
        <f t="shared" si="16"/>
        <v>2014</v>
      </c>
      <c r="D226" s="4">
        <v>1.46705</v>
      </c>
      <c r="E226" s="4">
        <v>1.166304</v>
      </c>
      <c r="F226" s="5">
        <v>264.06900000000002</v>
      </c>
      <c r="H226" s="4">
        <v>6.2732000000000001</v>
      </c>
      <c r="I226" s="4">
        <v>130.43</v>
      </c>
      <c r="J226" s="4">
        <v>85</v>
      </c>
      <c r="L226" s="8">
        <f t="shared" si="12"/>
        <v>0.79499948876998061</v>
      </c>
      <c r="M226" s="8">
        <f t="shared" si="13"/>
        <v>0.18</v>
      </c>
      <c r="N226" s="8">
        <f t="shared" si="14"/>
        <v>0.97499948876998066</v>
      </c>
      <c r="O226" s="8"/>
      <c r="P226" s="6">
        <f t="shared" si="17"/>
        <v>76.286599999999993</v>
      </c>
      <c r="Q226" s="6">
        <f t="shared" si="18"/>
        <v>29.932449473433081</v>
      </c>
      <c r="S226" s="4">
        <v>-292.5</v>
      </c>
    </row>
    <row r="227" spans="1:19" x14ac:dyDescent="0.25">
      <c r="A227" s="3">
        <v>41855</v>
      </c>
      <c r="B227" s="1">
        <f t="shared" si="15"/>
        <v>8</v>
      </c>
      <c r="C227" s="1">
        <f t="shared" si="16"/>
        <v>2014</v>
      </c>
      <c r="D227" s="4">
        <v>1.62825</v>
      </c>
      <c r="E227" s="4">
        <v>1.2944580000000001</v>
      </c>
      <c r="F227" s="5">
        <v>293.08499999999998</v>
      </c>
      <c r="H227" s="4">
        <v>6.5721000000000007</v>
      </c>
      <c r="I227" s="4">
        <v>136.25</v>
      </c>
      <c r="J227" s="4">
        <v>89.7</v>
      </c>
      <c r="L227" s="8">
        <f t="shared" si="12"/>
        <v>0.79499953938277301</v>
      </c>
      <c r="M227" s="8">
        <f t="shared" si="13"/>
        <v>0.18</v>
      </c>
      <c r="N227" s="8">
        <f t="shared" si="14"/>
        <v>0.97499953938277306</v>
      </c>
      <c r="O227" s="8"/>
      <c r="P227" s="6">
        <f t="shared" si="17"/>
        <v>84.668999999999997</v>
      </c>
      <c r="Q227" s="6">
        <f t="shared" si="18"/>
        <v>28.2540764624597</v>
      </c>
      <c r="S227" s="4">
        <v>-332.75</v>
      </c>
    </row>
    <row r="228" spans="1:19" x14ac:dyDescent="0.25">
      <c r="A228" s="3">
        <v>41862</v>
      </c>
      <c r="B228" s="1">
        <f t="shared" si="15"/>
        <v>8</v>
      </c>
      <c r="C228" s="1">
        <f t="shared" si="16"/>
        <v>2014</v>
      </c>
      <c r="D228" s="4">
        <v>1.4882500000000001</v>
      </c>
      <c r="E228" s="4">
        <v>1.1831579999999999</v>
      </c>
      <c r="F228" s="5">
        <v>267.88499999999999</v>
      </c>
      <c r="H228" s="4">
        <v>6.5721000000000007</v>
      </c>
      <c r="I228" s="4">
        <v>136.25</v>
      </c>
      <c r="J228" s="4">
        <v>87.89</v>
      </c>
      <c r="L228" s="8">
        <f t="shared" si="12"/>
        <v>0.79499949605241049</v>
      </c>
      <c r="M228" s="8">
        <f t="shared" si="13"/>
        <v>0.18</v>
      </c>
      <c r="N228" s="8">
        <f t="shared" si="14"/>
        <v>0.97499949605241043</v>
      </c>
      <c r="O228" s="8"/>
      <c r="P228" s="6">
        <f t="shared" si="17"/>
        <v>77.38900000000001</v>
      </c>
      <c r="Q228" s="6">
        <f t="shared" si="18"/>
        <v>30.911943557869986</v>
      </c>
      <c r="S228" s="4">
        <v>-348.85</v>
      </c>
    </row>
    <row r="229" spans="1:19" x14ac:dyDescent="0.25">
      <c r="A229" s="3">
        <v>41869</v>
      </c>
      <c r="B229" s="1">
        <f t="shared" si="15"/>
        <v>8</v>
      </c>
      <c r="C229" s="1">
        <f t="shared" si="16"/>
        <v>2014</v>
      </c>
      <c r="D229" s="4">
        <v>1.42245</v>
      </c>
      <c r="E229" s="4">
        <v>1.1308469999999999</v>
      </c>
      <c r="F229" s="5">
        <v>256.041</v>
      </c>
      <c r="H229" s="4">
        <v>6.5151000000000003</v>
      </c>
      <c r="I229" s="4">
        <v>133.35</v>
      </c>
      <c r="J229" s="4">
        <v>86.22</v>
      </c>
      <c r="L229" s="8">
        <f t="shared" si="12"/>
        <v>0.79499947274069382</v>
      </c>
      <c r="M229" s="8">
        <f t="shared" si="13"/>
        <v>0.18000000000000002</v>
      </c>
      <c r="N229" s="8">
        <f t="shared" si="14"/>
        <v>0.97499947274069387</v>
      </c>
      <c r="O229" s="8"/>
      <c r="P229" s="6">
        <f t="shared" si="17"/>
        <v>73.967399999999998</v>
      </c>
      <c r="Q229" s="6">
        <f t="shared" si="18"/>
        <v>32.061372983233156</v>
      </c>
      <c r="S229" s="4">
        <v>-258.10000000000002</v>
      </c>
    </row>
    <row r="230" spans="1:19" x14ac:dyDescent="0.25">
      <c r="A230" s="3">
        <v>41876</v>
      </c>
      <c r="B230" s="1">
        <f t="shared" si="15"/>
        <v>8</v>
      </c>
      <c r="C230" s="1">
        <f t="shared" si="16"/>
        <v>2014</v>
      </c>
      <c r="D230" s="4">
        <v>1.51305</v>
      </c>
      <c r="E230" s="4">
        <v>1.202874</v>
      </c>
      <c r="F230" s="5">
        <v>272.34899999999999</v>
      </c>
      <c r="H230" s="4">
        <v>6.4360999999999997</v>
      </c>
      <c r="I230" s="4">
        <v>135.56</v>
      </c>
      <c r="J230" s="4">
        <v>87.98</v>
      </c>
      <c r="L230" s="8">
        <f t="shared" ref="L230:L246" si="19">E230/D230</f>
        <v>0.79499950431248145</v>
      </c>
      <c r="M230" s="8">
        <f t="shared" ref="M230:M246" si="20">F230/1000/D230</f>
        <v>0.18</v>
      </c>
      <c r="N230" s="8">
        <f t="shared" si="14"/>
        <v>0.9749995043124815</v>
      </c>
      <c r="O230" s="8"/>
      <c r="P230" s="6">
        <f t="shared" si="17"/>
        <v>78.678600000000003</v>
      </c>
      <c r="Q230" s="6">
        <f t="shared" si="18"/>
        <v>29.776081424936383</v>
      </c>
      <c r="S230" s="4">
        <v>-269.75</v>
      </c>
    </row>
    <row r="231" spans="1:19" x14ac:dyDescent="0.25">
      <c r="A231" s="3">
        <v>41883</v>
      </c>
      <c r="B231" s="1">
        <f t="shared" si="15"/>
        <v>9</v>
      </c>
      <c r="C231" s="1">
        <f t="shared" si="16"/>
        <v>2014</v>
      </c>
      <c r="D231" s="4">
        <v>1.2790999999999999</v>
      </c>
      <c r="E231" s="4">
        <v>1.0168839999999999</v>
      </c>
      <c r="F231" s="5">
        <v>230.238</v>
      </c>
      <c r="H231" s="4">
        <v>6.4360999999999997</v>
      </c>
      <c r="I231" s="4">
        <v>135.91999999999999</v>
      </c>
      <c r="J231" s="4">
        <v>73.41</v>
      </c>
      <c r="L231" s="8">
        <f t="shared" si="19"/>
        <v>0.79499960910014855</v>
      </c>
      <c r="M231" s="8">
        <f t="shared" si="20"/>
        <v>0.18000000000000002</v>
      </c>
      <c r="N231" s="8">
        <f t="shared" ref="N231:N294" si="21">M231+L231</f>
        <v>0.9749996091001486</v>
      </c>
      <c r="O231" s="8"/>
      <c r="P231" s="6">
        <f t="shared" si="17"/>
        <v>66.513199999999998</v>
      </c>
      <c r="Q231" s="6">
        <f t="shared" si="18"/>
        <v>35.222187475568759</v>
      </c>
      <c r="S231" s="4">
        <v>-303.14999999999998</v>
      </c>
    </row>
    <row r="232" spans="1:19" x14ac:dyDescent="0.25">
      <c r="A232" s="3">
        <v>41890</v>
      </c>
      <c r="B232" s="1">
        <f t="shared" si="15"/>
        <v>9</v>
      </c>
      <c r="C232" s="1">
        <f t="shared" si="16"/>
        <v>2014</v>
      </c>
      <c r="D232" s="4">
        <v>1.3102499999999999</v>
      </c>
      <c r="E232" s="4">
        <v>1.0416479999999999</v>
      </c>
      <c r="F232" s="5">
        <v>235.345</v>
      </c>
      <c r="H232" s="4">
        <v>6.2582000000000004</v>
      </c>
      <c r="I232" s="4">
        <v>130.54</v>
      </c>
      <c r="J232" s="4">
        <v>81.319999999999993</v>
      </c>
      <c r="L232" s="8">
        <f t="shared" si="19"/>
        <v>0.79499942759015452</v>
      </c>
      <c r="M232" s="8">
        <f t="shared" si="20"/>
        <v>0.17961839343636712</v>
      </c>
      <c r="N232" s="8">
        <f t="shared" si="21"/>
        <v>0.97461782102652161</v>
      </c>
      <c r="O232" s="8"/>
      <c r="P232" s="6">
        <f t="shared" si="17"/>
        <v>68.132999999999996</v>
      </c>
      <c r="Q232" s="6">
        <f t="shared" si="18"/>
        <v>33.434382751383325</v>
      </c>
      <c r="S232" s="4">
        <v>-334.15</v>
      </c>
    </row>
    <row r="233" spans="1:19" x14ac:dyDescent="0.25">
      <c r="A233" s="3">
        <v>41897</v>
      </c>
      <c r="B233" s="1">
        <f t="shared" si="15"/>
        <v>9</v>
      </c>
      <c r="C233" s="1">
        <f t="shared" si="16"/>
        <v>2014</v>
      </c>
      <c r="D233" s="4">
        <v>1.49065</v>
      </c>
      <c r="E233" s="4">
        <v>1.185066</v>
      </c>
      <c r="F233" s="5">
        <v>268.31700000000001</v>
      </c>
      <c r="H233" s="4">
        <v>6.1052</v>
      </c>
      <c r="I233" s="4">
        <v>132.62</v>
      </c>
      <c r="J233" s="4">
        <v>73.349999999999994</v>
      </c>
      <c r="L233" s="8">
        <f t="shared" si="19"/>
        <v>0.79499949686378424</v>
      </c>
      <c r="M233" s="8">
        <f t="shared" si="20"/>
        <v>0.18000000000000002</v>
      </c>
      <c r="N233" s="8">
        <f t="shared" si="21"/>
        <v>0.97499949686378429</v>
      </c>
      <c r="O233" s="8"/>
      <c r="P233" s="6">
        <f t="shared" si="17"/>
        <v>77.513800000000003</v>
      </c>
      <c r="Q233" s="6">
        <f t="shared" si="18"/>
        <v>28.669640760741959</v>
      </c>
      <c r="S233" s="4">
        <v>-334.15</v>
      </c>
    </row>
    <row r="234" spans="1:19" x14ac:dyDescent="0.25">
      <c r="A234" s="3">
        <v>41904</v>
      </c>
      <c r="B234" s="1">
        <f t="shared" si="15"/>
        <v>9</v>
      </c>
      <c r="C234" s="1">
        <f t="shared" si="16"/>
        <v>2014</v>
      </c>
      <c r="D234" s="4">
        <v>1.5069999999999999</v>
      </c>
      <c r="E234" s="4">
        <v>1.1980649999999999</v>
      </c>
      <c r="F234" s="5">
        <v>271.26</v>
      </c>
      <c r="H234" s="4"/>
      <c r="I234" s="4">
        <v>132.63999999999999</v>
      </c>
      <c r="J234" s="4">
        <v>69.05</v>
      </c>
      <c r="L234" s="8">
        <f t="shared" si="19"/>
        <v>0.79500000000000004</v>
      </c>
      <c r="M234" s="8">
        <f t="shared" si="20"/>
        <v>0.18000000000000002</v>
      </c>
      <c r="N234" s="8">
        <f t="shared" si="21"/>
        <v>0.97500000000000009</v>
      </c>
      <c r="O234" s="8"/>
      <c r="P234" s="6">
        <f t="shared" si="17"/>
        <v>78.36399999999999</v>
      </c>
      <c r="Q234" s="6" t="str">
        <f t="shared" si="18"/>
        <v/>
      </c>
      <c r="S234" s="4">
        <v>-84.15</v>
      </c>
    </row>
    <row r="235" spans="1:19" x14ac:dyDescent="0.25">
      <c r="A235" s="3">
        <v>41911</v>
      </c>
      <c r="B235" s="1">
        <f t="shared" si="15"/>
        <v>9</v>
      </c>
      <c r="C235" s="1">
        <f t="shared" si="16"/>
        <v>2014</v>
      </c>
      <c r="D235" s="4">
        <v>1.28955</v>
      </c>
      <c r="E235" s="4">
        <v>1.0251920000000001</v>
      </c>
      <c r="F235" s="5">
        <v>232.119</v>
      </c>
      <c r="H235" s="4"/>
      <c r="I235" s="7">
        <f>AVERAGE(I234,I236)</f>
        <v>135.30000000000001</v>
      </c>
      <c r="J235" s="4">
        <v>60.22</v>
      </c>
      <c r="L235" s="8">
        <f t="shared" si="19"/>
        <v>0.79499980613392274</v>
      </c>
      <c r="M235" s="8">
        <f t="shared" si="20"/>
        <v>0.18</v>
      </c>
      <c r="N235" s="8">
        <f t="shared" si="21"/>
        <v>0.97499980613392268</v>
      </c>
      <c r="O235" s="8"/>
      <c r="P235" s="6">
        <f t="shared" si="17"/>
        <v>67.056600000000003</v>
      </c>
      <c r="Q235" s="6" t="str">
        <f t="shared" si="18"/>
        <v/>
      </c>
      <c r="S235" s="4">
        <v>-84.15</v>
      </c>
    </row>
    <row r="236" spans="1:19" x14ac:dyDescent="0.25">
      <c r="A236" s="3">
        <v>41918</v>
      </c>
      <c r="B236" s="1">
        <f t="shared" si="15"/>
        <v>10</v>
      </c>
      <c r="C236" s="1">
        <f t="shared" si="16"/>
        <v>2014</v>
      </c>
      <c r="D236" s="4">
        <v>1.1940500000000001</v>
      </c>
      <c r="E236" s="4">
        <v>0.94926900000000003</v>
      </c>
      <c r="F236" s="5">
        <v>214.929</v>
      </c>
      <c r="H236" s="4"/>
      <c r="I236" s="4">
        <v>137.96</v>
      </c>
      <c r="J236" s="4">
        <v>57.92</v>
      </c>
      <c r="L236" s="8">
        <f t="shared" si="19"/>
        <v>0.79499937188559944</v>
      </c>
      <c r="M236" s="8">
        <f t="shared" si="20"/>
        <v>0.18</v>
      </c>
      <c r="N236" s="8">
        <f t="shared" si="21"/>
        <v>0.97499937188559938</v>
      </c>
      <c r="O236" s="8"/>
      <c r="P236" s="6">
        <f t="shared" si="17"/>
        <v>62.090600000000002</v>
      </c>
      <c r="Q236" s="6" t="str">
        <f t="shared" si="18"/>
        <v/>
      </c>
      <c r="S236" s="4">
        <v>-25.4</v>
      </c>
    </row>
    <row r="237" spans="1:19" x14ac:dyDescent="0.25">
      <c r="A237" s="3">
        <v>41925</v>
      </c>
      <c r="B237" s="1">
        <f t="shared" si="15"/>
        <v>10</v>
      </c>
      <c r="C237" s="1">
        <f t="shared" si="16"/>
        <v>2014</v>
      </c>
      <c r="D237" s="4">
        <v>1.4741500000000001</v>
      </c>
      <c r="E237" s="4">
        <v>1.1719489999999999</v>
      </c>
      <c r="F237" s="5">
        <v>265.34699999999998</v>
      </c>
      <c r="H237" s="4"/>
      <c r="I237" s="4">
        <v>135.517</v>
      </c>
      <c r="J237" s="4">
        <v>51.2</v>
      </c>
      <c r="L237" s="8">
        <f t="shared" si="19"/>
        <v>0.79499983041074507</v>
      </c>
      <c r="M237" s="8">
        <f t="shared" si="20"/>
        <v>0.18</v>
      </c>
      <c r="N237" s="8">
        <f t="shared" si="21"/>
        <v>0.97499983041074501</v>
      </c>
      <c r="O237" s="8"/>
      <c r="P237" s="6">
        <f t="shared" si="17"/>
        <v>76.655799999999999</v>
      </c>
      <c r="Q237" s="6" t="str">
        <f t="shared" si="18"/>
        <v/>
      </c>
      <c r="S237" s="4">
        <v>58</v>
      </c>
    </row>
    <row r="238" spans="1:19" x14ac:dyDescent="0.25">
      <c r="A238" s="3">
        <v>41932</v>
      </c>
      <c r="B238" s="1">
        <f t="shared" si="15"/>
        <v>10</v>
      </c>
      <c r="C238" s="1">
        <f t="shared" si="16"/>
        <v>2014</v>
      </c>
      <c r="D238" s="4">
        <v>1.45645</v>
      </c>
      <c r="E238" s="4">
        <v>1.157877</v>
      </c>
      <c r="F238" s="5">
        <v>262.161</v>
      </c>
      <c r="H238" s="4"/>
      <c r="I238" s="4">
        <v>134.21</v>
      </c>
      <c r="J238" s="4">
        <v>52.77</v>
      </c>
      <c r="L238" s="8">
        <f t="shared" si="19"/>
        <v>0.79499948504926365</v>
      </c>
      <c r="M238" s="8">
        <f t="shared" si="20"/>
        <v>0.18</v>
      </c>
      <c r="N238" s="8">
        <f t="shared" si="21"/>
        <v>0.97499948504926359</v>
      </c>
      <c r="O238" s="8"/>
      <c r="P238" s="6">
        <f t="shared" si="17"/>
        <v>75.735399999999998</v>
      </c>
      <c r="Q238" s="6" t="str">
        <f t="shared" si="18"/>
        <v/>
      </c>
      <c r="S238" s="4">
        <v>98.75</v>
      </c>
    </row>
    <row r="239" spans="1:19" x14ac:dyDescent="0.25">
      <c r="A239" s="3">
        <v>41939</v>
      </c>
      <c r="B239" s="1">
        <f t="shared" si="15"/>
        <v>10</v>
      </c>
      <c r="C239" s="1">
        <f t="shared" si="16"/>
        <v>2014</v>
      </c>
      <c r="D239" s="4">
        <v>1.38215</v>
      </c>
      <c r="E239" s="4">
        <v>1.0988089999999999</v>
      </c>
      <c r="F239" s="5">
        <v>248.78700000000001</v>
      </c>
      <c r="H239" s="4"/>
      <c r="I239" s="4">
        <v>131.88999999999999</v>
      </c>
      <c r="J239" s="4">
        <v>49.17</v>
      </c>
      <c r="L239" s="8">
        <f t="shared" si="19"/>
        <v>0.79499981912238171</v>
      </c>
      <c r="M239" s="8">
        <f t="shared" si="20"/>
        <v>0.18000000000000002</v>
      </c>
      <c r="N239" s="8">
        <f t="shared" si="21"/>
        <v>0.97499981912238176</v>
      </c>
      <c r="O239" s="8"/>
      <c r="P239" s="6">
        <f t="shared" si="17"/>
        <v>71.871799999999993</v>
      </c>
      <c r="Q239" s="6" t="str">
        <f t="shared" si="18"/>
        <v/>
      </c>
      <c r="S239" s="4">
        <v>182.15</v>
      </c>
    </row>
    <row r="240" spans="1:19" x14ac:dyDescent="0.25">
      <c r="A240" s="3">
        <v>41946</v>
      </c>
      <c r="B240" s="1">
        <f t="shared" si="15"/>
        <v>11</v>
      </c>
      <c r="C240" s="1">
        <f t="shared" si="16"/>
        <v>2014</v>
      </c>
      <c r="D240" s="4">
        <v>1.19825</v>
      </c>
      <c r="E240" s="4">
        <v>0.95260800000000001</v>
      </c>
      <c r="F240" s="5">
        <v>215.685</v>
      </c>
      <c r="H240" s="4">
        <v>4.4047999999999998</v>
      </c>
      <c r="I240" s="4">
        <v>129.19999999999999</v>
      </c>
      <c r="J240" s="4">
        <v>42.9</v>
      </c>
      <c r="L240" s="8">
        <f t="shared" si="19"/>
        <v>0.79499937408721055</v>
      </c>
      <c r="M240" s="8">
        <f t="shared" si="20"/>
        <v>0.18000000000000002</v>
      </c>
      <c r="N240" s="8">
        <f t="shared" si="21"/>
        <v>0.9749993740872106</v>
      </c>
      <c r="O240" s="8"/>
      <c r="P240" s="6">
        <f t="shared" si="17"/>
        <v>62.309000000000005</v>
      </c>
      <c r="Q240" s="6">
        <f t="shared" si="18"/>
        <v>25.732192781139162</v>
      </c>
      <c r="S240" s="4">
        <v>159.85</v>
      </c>
    </row>
    <row r="241" spans="1:19" x14ac:dyDescent="0.25">
      <c r="A241" s="3">
        <v>41953</v>
      </c>
      <c r="B241" s="1">
        <f t="shared" si="15"/>
        <v>11</v>
      </c>
      <c r="C241" s="1">
        <f t="shared" si="16"/>
        <v>2014</v>
      </c>
      <c r="D241" s="4">
        <v>1.32155</v>
      </c>
      <c r="E241" s="4">
        <v>1.050632</v>
      </c>
      <c r="F241" s="5">
        <v>237.87899999999999</v>
      </c>
      <c r="H241" s="4"/>
      <c r="I241" s="4">
        <v>122.47</v>
      </c>
      <c r="J241" s="4">
        <v>40.700000000000003</v>
      </c>
      <c r="L241" s="8">
        <f t="shared" si="19"/>
        <v>0.79499981082819415</v>
      </c>
      <c r="M241" s="8">
        <f t="shared" si="20"/>
        <v>0.18</v>
      </c>
      <c r="N241" s="8">
        <f t="shared" si="21"/>
        <v>0.97499981082819409</v>
      </c>
      <c r="O241" s="8"/>
      <c r="P241" s="6">
        <f t="shared" si="17"/>
        <v>68.720600000000005</v>
      </c>
      <c r="Q241" s="6" t="str">
        <f t="shared" si="18"/>
        <v/>
      </c>
      <c r="S241" s="4">
        <v>235.7</v>
      </c>
    </row>
    <row r="242" spans="1:19" x14ac:dyDescent="0.25">
      <c r="A242" s="3">
        <v>41960</v>
      </c>
      <c r="B242" s="1">
        <f t="shared" si="15"/>
        <v>11</v>
      </c>
      <c r="C242" s="1">
        <f t="shared" si="16"/>
        <v>2014</v>
      </c>
      <c r="D242" s="4">
        <v>1.46235</v>
      </c>
      <c r="E242" s="4">
        <v>1.162568</v>
      </c>
      <c r="F242" s="5">
        <v>263.22300000000001</v>
      </c>
      <c r="H242" s="4"/>
      <c r="I242" s="4">
        <v>123.15</v>
      </c>
      <c r="J242" s="4">
        <v>39.44</v>
      </c>
      <c r="L242" s="8">
        <f t="shared" si="19"/>
        <v>0.79499982904229494</v>
      </c>
      <c r="M242" s="8">
        <f t="shared" si="20"/>
        <v>0.18000000000000002</v>
      </c>
      <c r="N242" s="8">
        <f t="shared" si="21"/>
        <v>0.97499982904229499</v>
      </c>
      <c r="O242" s="8"/>
      <c r="P242" s="6">
        <f t="shared" si="17"/>
        <v>76.042200000000008</v>
      </c>
      <c r="Q242" s="6" t="str">
        <f t="shared" si="18"/>
        <v/>
      </c>
      <c r="S242" s="4">
        <v>155.05000000000001</v>
      </c>
    </row>
    <row r="243" spans="1:19" x14ac:dyDescent="0.25">
      <c r="A243" s="3">
        <v>41967</v>
      </c>
      <c r="B243" s="1">
        <f t="shared" si="15"/>
        <v>11</v>
      </c>
      <c r="C243" s="1">
        <f t="shared" si="16"/>
        <v>2014</v>
      </c>
      <c r="D243" s="4">
        <v>1.4679</v>
      </c>
      <c r="E243" s="4">
        <v>1.1669799999999999</v>
      </c>
      <c r="F243" s="5">
        <v>264.22199999999998</v>
      </c>
      <c r="H243" s="4"/>
      <c r="I243" s="4">
        <v>119.05500000000001</v>
      </c>
      <c r="J243" s="4">
        <v>38.42</v>
      </c>
      <c r="L243" s="8">
        <f t="shared" si="19"/>
        <v>0.79499965937734174</v>
      </c>
      <c r="M243" s="8">
        <f t="shared" si="20"/>
        <v>0.17999999999999997</v>
      </c>
      <c r="N243" s="8">
        <f t="shared" si="21"/>
        <v>0.97499965937734168</v>
      </c>
      <c r="O243" s="8"/>
      <c r="P243" s="6">
        <f t="shared" si="17"/>
        <v>76.330799999999996</v>
      </c>
      <c r="Q243" s="6" t="str">
        <f t="shared" si="18"/>
        <v/>
      </c>
      <c r="S243" s="4">
        <v>138.94999999999999</v>
      </c>
    </row>
    <row r="244" spans="1:19" x14ac:dyDescent="0.25">
      <c r="A244" s="3">
        <v>41974</v>
      </c>
      <c r="B244" s="1">
        <f t="shared" si="15"/>
        <v>12</v>
      </c>
      <c r="C244" s="1">
        <f t="shared" si="16"/>
        <v>2014</v>
      </c>
      <c r="D244" s="4">
        <v>1.6091</v>
      </c>
      <c r="E244" s="4">
        <v>1.279234</v>
      </c>
      <c r="F244" s="5">
        <v>289.63799999999998</v>
      </c>
      <c r="H244" s="4"/>
      <c r="I244" s="4">
        <v>119.44499999999999</v>
      </c>
      <c r="J244" s="4"/>
      <c r="L244" s="8">
        <f t="shared" si="19"/>
        <v>0.79499968926729225</v>
      </c>
      <c r="M244" s="8">
        <f t="shared" si="20"/>
        <v>0.17999999999999997</v>
      </c>
      <c r="N244" s="8">
        <f t="shared" si="21"/>
        <v>0.97499968926729219</v>
      </c>
      <c r="O244" s="8"/>
      <c r="P244" s="6">
        <f t="shared" si="17"/>
        <v>83.673199999999994</v>
      </c>
      <c r="Q244" s="6" t="str">
        <f t="shared" si="18"/>
        <v/>
      </c>
      <c r="S244" s="4">
        <v>102.45</v>
      </c>
    </row>
    <row r="245" spans="1:19" x14ac:dyDescent="0.25">
      <c r="A245" s="3">
        <v>41981</v>
      </c>
      <c r="B245" s="1">
        <f t="shared" si="15"/>
        <v>12</v>
      </c>
      <c r="C245" s="1">
        <f t="shared" si="16"/>
        <v>2014</v>
      </c>
      <c r="D245" s="4">
        <v>1.6449</v>
      </c>
      <c r="E245" s="4">
        <v>1.3076950000000001</v>
      </c>
      <c r="F245" s="5">
        <v>296.08199999999999</v>
      </c>
      <c r="H245" s="4"/>
      <c r="I245" s="4">
        <v>118.63</v>
      </c>
      <c r="J245" s="4">
        <v>42.48</v>
      </c>
      <c r="L245" s="8">
        <f t="shared" si="19"/>
        <v>0.79499969603015386</v>
      </c>
      <c r="M245" s="8">
        <f t="shared" si="20"/>
        <v>0.18</v>
      </c>
      <c r="N245" s="8">
        <f t="shared" si="21"/>
        <v>0.97499969603015391</v>
      </c>
      <c r="O245" s="8"/>
      <c r="P245" s="6">
        <f t="shared" si="17"/>
        <v>85.534800000000004</v>
      </c>
      <c r="Q245" s="6" t="str">
        <f t="shared" si="18"/>
        <v/>
      </c>
      <c r="S245" s="4">
        <v>102.45</v>
      </c>
    </row>
    <row r="246" spans="1:19" x14ac:dyDescent="0.25">
      <c r="A246" s="3">
        <v>41988</v>
      </c>
      <c r="B246" s="1">
        <f t="shared" si="15"/>
        <v>12</v>
      </c>
      <c r="C246" s="1">
        <f t="shared" si="16"/>
        <v>2014</v>
      </c>
      <c r="D246" s="4">
        <v>1.6348</v>
      </c>
      <c r="E246" s="4">
        <v>1.299666</v>
      </c>
      <c r="F246" s="5">
        <v>294.26400000000001</v>
      </c>
      <c r="H246" s="4">
        <v>4.4051999999999998</v>
      </c>
      <c r="I246" s="4">
        <v>110.99</v>
      </c>
      <c r="J246" s="4">
        <v>50.16</v>
      </c>
      <c r="L246" s="8">
        <f t="shared" si="19"/>
        <v>0.79499999999999993</v>
      </c>
      <c r="M246" s="8">
        <f t="shared" si="20"/>
        <v>0.18000000000000002</v>
      </c>
      <c r="N246" s="8">
        <f t="shared" si="21"/>
        <v>0.97499999999999998</v>
      </c>
      <c r="O246" s="8"/>
      <c r="P246" s="6">
        <f t="shared" si="17"/>
        <v>85.009600000000006</v>
      </c>
      <c r="Q246" s="6">
        <f t="shared" si="18"/>
        <v>18.862490824565697</v>
      </c>
      <c r="S246" s="4">
        <v>161.19999999999999</v>
      </c>
    </row>
    <row r="247" spans="1:19" x14ac:dyDescent="0.25">
      <c r="A247" s="3">
        <v>41995</v>
      </c>
      <c r="B247" s="1">
        <f t="shared" si="15"/>
        <v>12</v>
      </c>
      <c r="C247" s="1">
        <f t="shared" si="16"/>
        <v>2014</v>
      </c>
      <c r="D247" s="7"/>
      <c r="E247" s="7"/>
      <c r="F247" s="7"/>
      <c r="H247" s="4"/>
      <c r="I247" s="4"/>
      <c r="J247" s="4">
        <v>51.93</v>
      </c>
      <c r="L247" s="8"/>
      <c r="M247" s="8"/>
      <c r="N247" s="8"/>
      <c r="O247" s="8"/>
      <c r="P247" s="6"/>
      <c r="Q247" s="6" t="str">
        <f t="shared" si="18"/>
        <v/>
      </c>
      <c r="S247" s="4">
        <v>161.19999999999999</v>
      </c>
    </row>
    <row r="248" spans="1:19" x14ac:dyDescent="0.25">
      <c r="A248" s="3">
        <v>42002</v>
      </c>
      <c r="B248" s="1">
        <f t="shared" si="15"/>
        <v>12</v>
      </c>
      <c r="C248" s="1">
        <f t="shared" si="16"/>
        <v>2014</v>
      </c>
      <c r="D248" s="4">
        <v>1.4997</v>
      </c>
      <c r="E248" s="4">
        <v>1.192261</v>
      </c>
      <c r="F248" s="5">
        <v>269.94600000000003</v>
      </c>
      <c r="H248" s="4"/>
      <c r="I248" s="4">
        <v>114.81</v>
      </c>
      <c r="J248" s="4"/>
      <c r="L248" s="8">
        <f t="shared" ref="L248:L311" si="22">E248/D248</f>
        <v>0.79499966659998667</v>
      </c>
      <c r="M248" s="8">
        <f t="shared" ref="M248:M311" si="23">F248/1000/D248</f>
        <v>0.18000000000000002</v>
      </c>
      <c r="N248" s="8">
        <f t="shared" si="21"/>
        <v>0.97499966659998671</v>
      </c>
      <c r="O248" s="8"/>
      <c r="P248" s="6">
        <f t="shared" ref="P248:P311" si="24">D248*52</f>
        <v>77.984400000000008</v>
      </c>
      <c r="Q248" s="6" t="str">
        <f t="shared" si="18"/>
        <v/>
      </c>
      <c r="S248" s="4">
        <v>177.3</v>
      </c>
    </row>
    <row r="249" spans="1:19" x14ac:dyDescent="0.25">
      <c r="A249" s="3">
        <v>42009</v>
      </c>
      <c r="B249" s="1">
        <f t="shared" si="15"/>
        <v>1</v>
      </c>
      <c r="C249" s="1">
        <f t="shared" si="16"/>
        <v>2015</v>
      </c>
      <c r="D249" s="4">
        <v>1.6759500000000001</v>
      </c>
      <c r="E249" s="4">
        <v>1.3192619999999999</v>
      </c>
      <c r="F249" s="5">
        <v>298.70999999999998</v>
      </c>
      <c r="H249" s="4">
        <v>4.3972000000000007</v>
      </c>
      <c r="I249" s="4">
        <v>107.64</v>
      </c>
      <c r="J249" s="4">
        <v>51.93</v>
      </c>
      <c r="L249" s="8">
        <f t="shared" si="22"/>
        <v>0.78717264834869771</v>
      </c>
      <c r="M249" s="8">
        <f t="shared" si="23"/>
        <v>0.17823324084847397</v>
      </c>
      <c r="N249" s="8">
        <f t="shared" si="21"/>
        <v>0.96540588919717174</v>
      </c>
      <c r="O249" s="8"/>
      <c r="P249" s="6">
        <f t="shared" si="24"/>
        <v>87.1494</v>
      </c>
      <c r="Q249" s="6">
        <f t="shared" si="18"/>
        <v>18.365941704704795</v>
      </c>
      <c r="S249" s="4">
        <v>237.05</v>
      </c>
    </row>
    <row r="250" spans="1:19" x14ac:dyDescent="0.25">
      <c r="A250" s="3">
        <v>42016</v>
      </c>
      <c r="B250" s="1">
        <f t="shared" si="15"/>
        <v>1</v>
      </c>
      <c r="C250" s="1">
        <f t="shared" si="16"/>
        <v>2015</v>
      </c>
      <c r="D250" s="4">
        <v>1.728</v>
      </c>
      <c r="E250" s="4">
        <v>1.3737600000000001</v>
      </c>
      <c r="F250" s="5">
        <v>311.04000000000002</v>
      </c>
      <c r="H250" s="4"/>
      <c r="I250" s="4"/>
      <c r="J250" s="4">
        <v>73.17</v>
      </c>
      <c r="L250" s="8">
        <f t="shared" si="22"/>
        <v>0.79500000000000004</v>
      </c>
      <c r="M250" s="8">
        <f t="shared" si="23"/>
        <v>0.18000000000000002</v>
      </c>
      <c r="N250" s="8">
        <f t="shared" si="21"/>
        <v>0.97500000000000009</v>
      </c>
      <c r="O250" s="8"/>
      <c r="P250" s="6">
        <f t="shared" si="24"/>
        <v>89.855999999999995</v>
      </c>
      <c r="Q250" s="6" t="str">
        <f t="shared" si="18"/>
        <v/>
      </c>
      <c r="S250" s="4">
        <v>110.75</v>
      </c>
    </row>
    <row r="251" spans="1:19" x14ac:dyDescent="0.25">
      <c r="A251" s="3">
        <v>42023</v>
      </c>
      <c r="B251" s="1">
        <f t="shared" si="15"/>
        <v>1</v>
      </c>
      <c r="C251" s="1">
        <f t="shared" si="16"/>
        <v>2015</v>
      </c>
      <c r="D251" s="4">
        <v>1.7014499999999999</v>
      </c>
      <c r="E251" s="4">
        <v>1.352652</v>
      </c>
      <c r="F251" s="5">
        <v>306.26100000000002</v>
      </c>
      <c r="H251" s="4">
        <v>4.6975999999999996</v>
      </c>
      <c r="I251" s="4">
        <v>96.68</v>
      </c>
      <c r="J251" s="4">
        <v>81.069999999999993</v>
      </c>
      <c r="L251" s="8">
        <f t="shared" si="22"/>
        <v>0.79499955919950638</v>
      </c>
      <c r="M251" s="8">
        <f t="shared" si="23"/>
        <v>0.18000000000000002</v>
      </c>
      <c r="N251" s="8">
        <f t="shared" si="21"/>
        <v>0.97499955919950643</v>
      </c>
      <c r="O251" s="8"/>
      <c r="P251" s="6">
        <f t="shared" si="24"/>
        <v>88.475399999999993</v>
      </c>
      <c r="Q251" s="6">
        <f t="shared" si="18"/>
        <v>19.326574392429986</v>
      </c>
      <c r="S251" s="4">
        <v>70.5</v>
      </c>
    </row>
    <row r="252" spans="1:19" x14ac:dyDescent="0.25">
      <c r="A252" s="3">
        <v>42030</v>
      </c>
      <c r="B252" s="1">
        <f t="shared" si="15"/>
        <v>1</v>
      </c>
      <c r="C252" s="1">
        <f t="shared" si="16"/>
        <v>2015</v>
      </c>
      <c r="D252" s="4">
        <v>1.5321499999999999</v>
      </c>
      <c r="E252" s="4">
        <v>1.218059</v>
      </c>
      <c r="F252" s="5">
        <v>275.78699999999998</v>
      </c>
      <c r="H252" s="4">
        <v>4.6456</v>
      </c>
      <c r="I252" s="4">
        <v>88.814999999999998</v>
      </c>
      <c r="J252" s="4">
        <v>51.93</v>
      </c>
      <c r="L252" s="8">
        <f t="shared" si="22"/>
        <v>0.79499983683059761</v>
      </c>
      <c r="M252" s="8">
        <f t="shared" si="23"/>
        <v>0.18000000000000002</v>
      </c>
      <c r="N252" s="8">
        <f t="shared" si="21"/>
        <v>0.97499983683059765</v>
      </c>
      <c r="O252" s="8"/>
      <c r="P252" s="6">
        <f t="shared" si="24"/>
        <v>79.67179999999999</v>
      </c>
      <c r="Q252" s="6">
        <f t="shared" si="18"/>
        <v>21.224553731684235</v>
      </c>
      <c r="S252" s="4">
        <v>92.75</v>
      </c>
    </row>
    <row r="253" spans="1:19" x14ac:dyDescent="0.25">
      <c r="A253" s="3">
        <v>42037</v>
      </c>
      <c r="B253" s="1">
        <f t="shared" si="15"/>
        <v>2</v>
      </c>
      <c r="C253" s="1">
        <f t="shared" si="16"/>
        <v>2015</v>
      </c>
      <c r="D253" s="4">
        <v>1.4971000000000001</v>
      </c>
      <c r="E253" s="4">
        <v>1.190194</v>
      </c>
      <c r="F253" s="5">
        <v>269.47800000000001</v>
      </c>
      <c r="H253" s="4"/>
      <c r="I253" s="7">
        <f>($I$259-$I$252)/7+I252</f>
        <v>86.805714285714288</v>
      </c>
      <c r="J253" s="4"/>
      <c r="L253" s="8">
        <f t="shared" si="22"/>
        <v>0.79499966602097383</v>
      </c>
      <c r="M253" s="8">
        <f t="shared" si="23"/>
        <v>0.18</v>
      </c>
      <c r="N253" s="8">
        <f t="shared" si="21"/>
        <v>0.97499966602097388</v>
      </c>
      <c r="O253" s="8"/>
      <c r="P253" s="6">
        <f t="shared" si="24"/>
        <v>77.84920000000001</v>
      </c>
      <c r="Q253" s="6" t="str">
        <f t="shared" si="18"/>
        <v/>
      </c>
      <c r="S253" s="4">
        <v>45.1</v>
      </c>
    </row>
    <row r="254" spans="1:19" x14ac:dyDescent="0.25">
      <c r="A254" s="3">
        <v>42044</v>
      </c>
      <c r="B254" s="1">
        <f t="shared" si="15"/>
        <v>2</v>
      </c>
      <c r="C254" s="1">
        <f t="shared" si="16"/>
        <v>2015</v>
      </c>
      <c r="D254" s="4">
        <v>1.4769000000000001</v>
      </c>
      <c r="E254" s="4">
        <v>1.1741349999999999</v>
      </c>
      <c r="F254" s="5">
        <v>265.84199999999998</v>
      </c>
      <c r="H254" s="4"/>
      <c r="I254" s="7">
        <f t="shared" ref="I254:I258" si="25">($I$259-$I$252)/7+I253</f>
        <v>84.796428571428578</v>
      </c>
      <c r="J254" s="4"/>
      <c r="L254" s="8">
        <f t="shared" si="22"/>
        <v>0.79499966145304346</v>
      </c>
      <c r="M254" s="8">
        <f t="shared" si="23"/>
        <v>0.17999999999999997</v>
      </c>
      <c r="N254" s="8">
        <f t="shared" si="21"/>
        <v>0.9749996614530434</v>
      </c>
      <c r="O254" s="8"/>
      <c r="P254" s="6">
        <f t="shared" si="24"/>
        <v>76.7988</v>
      </c>
      <c r="Q254" s="6" t="str">
        <f t="shared" si="18"/>
        <v/>
      </c>
      <c r="S254" s="4">
        <v>95.1</v>
      </c>
    </row>
    <row r="255" spans="1:19" x14ac:dyDescent="0.25">
      <c r="A255" s="3">
        <v>42051</v>
      </c>
      <c r="B255" s="1">
        <f t="shared" si="15"/>
        <v>2</v>
      </c>
      <c r="C255" s="1">
        <f t="shared" si="16"/>
        <v>2015</v>
      </c>
      <c r="D255" s="4">
        <v>0.23</v>
      </c>
      <c r="E255" s="4">
        <v>0.18285000000000001</v>
      </c>
      <c r="F255" s="5">
        <v>41.4</v>
      </c>
      <c r="H255" s="4"/>
      <c r="I255" s="7">
        <f t="shared" si="25"/>
        <v>82.787142857142868</v>
      </c>
      <c r="J255" s="4"/>
      <c r="L255" s="8">
        <f t="shared" si="22"/>
        <v>0.79500000000000004</v>
      </c>
      <c r="M255" s="8">
        <f t="shared" si="23"/>
        <v>0.18</v>
      </c>
      <c r="N255" s="8">
        <f t="shared" si="21"/>
        <v>0.97500000000000009</v>
      </c>
      <c r="O255" s="8"/>
      <c r="P255" s="6">
        <f t="shared" si="24"/>
        <v>11.96</v>
      </c>
      <c r="Q255" s="6" t="str">
        <f t="shared" si="18"/>
        <v/>
      </c>
      <c r="S255" s="4">
        <v>95.1</v>
      </c>
    </row>
    <row r="256" spans="1:19" x14ac:dyDescent="0.25">
      <c r="A256" s="3">
        <v>42058</v>
      </c>
      <c r="B256" s="1">
        <f t="shared" si="15"/>
        <v>2</v>
      </c>
      <c r="C256" s="1">
        <f t="shared" si="16"/>
        <v>2015</v>
      </c>
      <c r="D256" s="4">
        <v>0.248</v>
      </c>
      <c r="E256" s="4">
        <v>0.19716</v>
      </c>
      <c r="F256" s="5">
        <v>44.64</v>
      </c>
      <c r="H256" s="4"/>
      <c r="I256" s="7">
        <f t="shared" si="25"/>
        <v>80.777857142857158</v>
      </c>
      <c r="J256" s="4"/>
      <c r="L256" s="8">
        <f t="shared" si="22"/>
        <v>0.79500000000000004</v>
      </c>
      <c r="M256" s="8">
        <f t="shared" si="23"/>
        <v>0.18</v>
      </c>
      <c r="N256" s="8">
        <f t="shared" si="21"/>
        <v>0.97500000000000009</v>
      </c>
      <c r="O256" s="8"/>
      <c r="P256" s="6">
        <f t="shared" si="24"/>
        <v>12.896000000000001</v>
      </c>
      <c r="Q256" s="6" t="str">
        <f t="shared" si="18"/>
        <v/>
      </c>
      <c r="S256" s="4">
        <v>223.9</v>
      </c>
    </row>
    <row r="257" spans="1:19" x14ac:dyDescent="0.25">
      <c r="A257" s="3">
        <v>42065</v>
      </c>
      <c r="B257" s="1">
        <f t="shared" si="15"/>
        <v>3</v>
      </c>
      <c r="C257" s="1">
        <f t="shared" si="16"/>
        <v>2015</v>
      </c>
      <c r="D257" s="4">
        <v>1.3073999999999999</v>
      </c>
      <c r="E257" s="4">
        <v>1.0393829999999999</v>
      </c>
      <c r="F257" s="5">
        <v>235.33199999999999</v>
      </c>
      <c r="H257" s="4"/>
      <c r="I257" s="7">
        <f t="shared" si="25"/>
        <v>78.768571428571448</v>
      </c>
      <c r="J257" s="4">
        <v>72.55</v>
      </c>
      <c r="L257" s="8">
        <f t="shared" si="22"/>
        <v>0.79500000000000004</v>
      </c>
      <c r="M257" s="8">
        <f t="shared" si="23"/>
        <v>0.18</v>
      </c>
      <c r="N257" s="8">
        <f t="shared" si="21"/>
        <v>0.97500000000000009</v>
      </c>
      <c r="O257" s="8"/>
      <c r="P257" s="6">
        <f t="shared" si="24"/>
        <v>67.984799999999993</v>
      </c>
      <c r="Q257" s="6" t="str">
        <f t="shared" si="18"/>
        <v/>
      </c>
      <c r="S257" s="4">
        <v>255.45</v>
      </c>
    </row>
    <row r="258" spans="1:19" x14ac:dyDescent="0.25">
      <c r="A258" s="3">
        <v>42072</v>
      </c>
      <c r="B258" s="1">
        <f t="shared" ref="B258:B321" si="26">MONTH(A258)</f>
        <v>3</v>
      </c>
      <c r="C258" s="1">
        <f t="shared" ref="C258:C321" si="27">YEAR(A258)</f>
        <v>2015</v>
      </c>
      <c r="D258" s="4">
        <v>1.5801000000000001</v>
      </c>
      <c r="E258" s="4">
        <v>1.2561789999999999</v>
      </c>
      <c r="F258" s="5">
        <v>284.41800000000001</v>
      </c>
      <c r="H258" s="4"/>
      <c r="I258" s="7">
        <f t="shared" si="25"/>
        <v>76.759285714285738</v>
      </c>
      <c r="J258" s="4"/>
      <c r="L258" s="8">
        <f t="shared" si="22"/>
        <v>0.79499968356433126</v>
      </c>
      <c r="M258" s="8">
        <f t="shared" si="23"/>
        <v>0.18</v>
      </c>
      <c r="N258" s="8">
        <f t="shared" si="21"/>
        <v>0.97499968356433131</v>
      </c>
      <c r="O258" s="8"/>
      <c r="P258" s="6">
        <f t="shared" si="24"/>
        <v>82.165199999999999</v>
      </c>
      <c r="Q258" s="6" t="str">
        <f t="shared" si="18"/>
        <v/>
      </c>
      <c r="S258" s="4">
        <v>231.3</v>
      </c>
    </row>
    <row r="259" spans="1:19" x14ac:dyDescent="0.25">
      <c r="A259" s="3">
        <v>42079</v>
      </c>
      <c r="B259" s="1">
        <f t="shared" si="26"/>
        <v>3</v>
      </c>
      <c r="C259" s="1">
        <f t="shared" si="27"/>
        <v>2015</v>
      </c>
      <c r="D259" s="4">
        <v>1.54375</v>
      </c>
      <c r="E259" s="4">
        <v>1.2272810000000001</v>
      </c>
      <c r="F259" s="5">
        <v>277.875</v>
      </c>
      <c r="H259" s="4">
        <v>4.1882999999999999</v>
      </c>
      <c r="I259" s="4">
        <v>74.75</v>
      </c>
      <c r="J259" s="4">
        <v>69.14</v>
      </c>
      <c r="L259" s="8">
        <f t="shared" si="22"/>
        <v>0.79499983805668017</v>
      </c>
      <c r="M259" s="8">
        <f t="shared" si="23"/>
        <v>0.18</v>
      </c>
      <c r="N259" s="8">
        <f t="shared" si="21"/>
        <v>0.97499983805668022</v>
      </c>
      <c r="O259" s="8"/>
      <c r="P259" s="6">
        <f t="shared" si="24"/>
        <v>80.274999999999991</v>
      </c>
      <c r="Q259" s="6">
        <f t="shared" si="18"/>
        <v>18.991481781376518</v>
      </c>
      <c r="S259" s="4">
        <v>192.25</v>
      </c>
    </row>
    <row r="260" spans="1:19" x14ac:dyDescent="0.25">
      <c r="A260" s="3">
        <v>42086</v>
      </c>
      <c r="B260" s="1">
        <f t="shared" si="26"/>
        <v>3</v>
      </c>
      <c r="C260" s="1">
        <f t="shared" si="27"/>
        <v>2015</v>
      </c>
      <c r="D260" s="4">
        <v>1.3645</v>
      </c>
      <c r="E260" s="4">
        <v>1.0847770000000001</v>
      </c>
      <c r="F260" s="5">
        <v>245.61</v>
      </c>
      <c r="H260" s="4">
        <v>4.1882999999999999</v>
      </c>
      <c r="I260" s="4">
        <v>69.23</v>
      </c>
      <c r="J260" s="4">
        <v>72.260000000000005</v>
      </c>
      <c r="L260" s="8">
        <f t="shared" si="22"/>
        <v>0.79499963356540859</v>
      </c>
      <c r="M260" s="8">
        <f t="shared" si="23"/>
        <v>0.18000000000000002</v>
      </c>
      <c r="N260" s="8">
        <f t="shared" si="21"/>
        <v>0.97499963356540864</v>
      </c>
      <c r="O260" s="8"/>
      <c r="P260" s="6">
        <f t="shared" si="24"/>
        <v>70.954000000000008</v>
      </c>
      <c r="Q260" s="6">
        <f t="shared" si="18"/>
        <v>21.486331989739831</v>
      </c>
      <c r="S260" s="4">
        <v>176.15</v>
      </c>
    </row>
    <row r="261" spans="1:19" x14ac:dyDescent="0.25">
      <c r="A261" s="3">
        <v>42093</v>
      </c>
      <c r="B261" s="1">
        <f t="shared" si="26"/>
        <v>3</v>
      </c>
      <c r="C261" s="1">
        <f t="shared" si="27"/>
        <v>2015</v>
      </c>
      <c r="D261" s="4">
        <v>1.1387</v>
      </c>
      <c r="E261" s="4">
        <v>0.90526600000000002</v>
      </c>
      <c r="F261" s="5">
        <v>204.96600000000001</v>
      </c>
      <c r="H261" s="4">
        <v>4.0693000000000001</v>
      </c>
      <c r="I261" s="4">
        <v>65.094999999999999</v>
      </c>
      <c r="J261" s="4">
        <v>61.66</v>
      </c>
      <c r="L261" s="8">
        <f t="shared" si="22"/>
        <v>0.7949995609027839</v>
      </c>
      <c r="M261" s="8">
        <f t="shared" si="23"/>
        <v>0.18</v>
      </c>
      <c r="N261" s="8">
        <f t="shared" si="21"/>
        <v>0.97499956090278395</v>
      </c>
      <c r="O261" s="8"/>
      <c r="P261" s="6">
        <f t="shared" si="24"/>
        <v>59.212400000000002</v>
      </c>
      <c r="Q261" s="6">
        <f t="shared" si="18"/>
        <v>25.015456222007554</v>
      </c>
      <c r="S261" s="4">
        <v>162.44999999999999</v>
      </c>
    </row>
    <row r="262" spans="1:19" x14ac:dyDescent="0.25">
      <c r="A262" s="3">
        <v>42100</v>
      </c>
      <c r="B262" s="1">
        <f t="shared" si="26"/>
        <v>4</v>
      </c>
      <c r="C262" s="1">
        <f t="shared" si="27"/>
        <v>2015</v>
      </c>
      <c r="D262" s="4">
        <v>1.25475</v>
      </c>
      <c r="E262" s="4">
        <v>0.99752600000000002</v>
      </c>
      <c r="F262" s="5">
        <v>225.85499999999999</v>
      </c>
      <c r="H262" s="4"/>
      <c r="I262" s="4">
        <v>64.12</v>
      </c>
      <c r="J262" s="4">
        <v>61.14</v>
      </c>
      <c r="L262" s="8">
        <f t="shared" si="22"/>
        <v>0.79499980075712295</v>
      </c>
      <c r="M262" s="8">
        <f t="shared" si="23"/>
        <v>0.18</v>
      </c>
      <c r="N262" s="8">
        <f t="shared" si="21"/>
        <v>0.974999800757123</v>
      </c>
      <c r="O262" s="8"/>
      <c r="P262" s="6">
        <f t="shared" si="24"/>
        <v>65.247</v>
      </c>
      <c r="Q262" s="6" t="str">
        <f t="shared" si="18"/>
        <v/>
      </c>
      <c r="S262" s="4">
        <v>114.15</v>
      </c>
    </row>
    <row r="263" spans="1:19" x14ac:dyDescent="0.25">
      <c r="A263" s="3">
        <v>42107</v>
      </c>
      <c r="B263" s="1">
        <f t="shared" si="26"/>
        <v>4</v>
      </c>
      <c r="C263" s="1">
        <f t="shared" si="27"/>
        <v>2015</v>
      </c>
      <c r="D263" s="4">
        <v>1.35745</v>
      </c>
      <c r="E263" s="4">
        <v>1.079172</v>
      </c>
      <c r="F263" s="5">
        <v>244.34100000000001</v>
      </c>
      <c r="H263" s="4"/>
      <c r="I263" s="4">
        <v>64.12</v>
      </c>
      <c r="J263" s="4">
        <v>47.14</v>
      </c>
      <c r="L263" s="8">
        <f t="shared" si="22"/>
        <v>0.79499944749346196</v>
      </c>
      <c r="M263" s="8">
        <f t="shared" si="23"/>
        <v>0.18</v>
      </c>
      <c r="N263" s="8">
        <f t="shared" si="21"/>
        <v>0.97499944749346201</v>
      </c>
      <c r="O263" s="8"/>
      <c r="P263" s="6">
        <f t="shared" si="24"/>
        <v>70.587400000000002</v>
      </c>
      <c r="Q263" s="6" t="str">
        <f t="shared" si="18"/>
        <v/>
      </c>
      <c r="S263" s="4">
        <v>85.55</v>
      </c>
    </row>
    <row r="264" spans="1:19" x14ac:dyDescent="0.25">
      <c r="A264" s="3">
        <v>42114</v>
      </c>
      <c r="B264" s="1">
        <f t="shared" si="26"/>
        <v>4</v>
      </c>
      <c r="C264" s="1">
        <f t="shared" si="27"/>
        <v>2015</v>
      </c>
      <c r="D264" s="4">
        <v>1.3053999999999999</v>
      </c>
      <c r="E264" s="4">
        <v>1.037793</v>
      </c>
      <c r="F264" s="5">
        <v>234.97200000000001</v>
      </c>
      <c r="H264" s="4">
        <v>4.3732999999999995</v>
      </c>
      <c r="I264" s="4">
        <v>62.47</v>
      </c>
      <c r="J264" s="4">
        <v>44.95</v>
      </c>
      <c r="L264" s="8">
        <f t="shared" si="22"/>
        <v>0.79500000000000004</v>
      </c>
      <c r="M264" s="8">
        <f t="shared" si="23"/>
        <v>0.18000000000000002</v>
      </c>
      <c r="N264" s="8">
        <f t="shared" si="21"/>
        <v>0.97500000000000009</v>
      </c>
      <c r="O264" s="8"/>
      <c r="P264" s="6">
        <f t="shared" si="24"/>
        <v>67.880799999999994</v>
      </c>
      <c r="Q264" s="6">
        <f t="shared" si="18"/>
        <v>23.451126091619425</v>
      </c>
      <c r="S264" s="4">
        <v>45.3</v>
      </c>
    </row>
    <row r="265" spans="1:19" x14ac:dyDescent="0.25">
      <c r="A265" s="3">
        <v>42121</v>
      </c>
      <c r="B265" s="1">
        <f t="shared" si="26"/>
        <v>4</v>
      </c>
      <c r="C265" s="1">
        <f t="shared" si="27"/>
        <v>2015</v>
      </c>
      <c r="D265" s="4">
        <v>1.2543</v>
      </c>
      <c r="E265" s="4">
        <v>1.00003</v>
      </c>
      <c r="F265" s="5">
        <v>226.422</v>
      </c>
      <c r="H265" s="4"/>
      <c r="I265" s="7">
        <f>AVERAGE(I266,I264)</f>
        <v>62.166499999999999</v>
      </c>
      <c r="J265" s="4"/>
      <c r="L265" s="8">
        <f t="shared" si="22"/>
        <v>0.79728135214860874</v>
      </c>
      <c r="M265" s="8">
        <f t="shared" si="23"/>
        <v>0.18051662281750777</v>
      </c>
      <c r="N265" s="8">
        <f t="shared" si="21"/>
        <v>0.97779797496611653</v>
      </c>
      <c r="O265" s="8"/>
      <c r="P265" s="6">
        <f t="shared" si="24"/>
        <v>65.223600000000005</v>
      </c>
      <c r="Q265" s="6" t="str">
        <f t="shared" si="18"/>
        <v/>
      </c>
      <c r="S265" s="4">
        <v>109.7</v>
      </c>
    </row>
    <row r="266" spans="1:19" x14ac:dyDescent="0.25">
      <c r="A266" s="3">
        <v>42128</v>
      </c>
      <c r="B266" s="1">
        <f t="shared" si="26"/>
        <v>5</v>
      </c>
      <c r="C266" s="1">
        <f t="shared" si="27"/>
        <v>2015</v>
      </c>
      <c r="D266" s="4">
        <v>1.34005</v>
      </c>
      <c r="E266" s="4">
        <v>1.065339</v>
      </c>
      <c r="F266" s="5">
        <v>241.209</v>
      </c>
      <c r="H266" s="4">
        <v>4.1078999999999999</v>
      </c>
      <c r="I266" s="4">
        <v>61.863</v>
      </c>
      <c r="J266" s="4">
        <v>38.43</v>
      </c>
      <c r="L266" s="8">
        <f t="shared" si="22"/>
        <v>0.79499944031939107</v>
      </c>
      <c r="M266" s="8">
        <f t="shared" si="23"/>
        <v>0.18000000000000002</v>
      </c>
      <c r="N266" s="8">
        <f t="shared" si="21"/>
        <v>0.97499944031939112</v>
      </c>
      <c r="O266" s="8"/>
      <c r="P266" s="6">
        <f t="shared" si="24"/>
        <v>69.682599999999994</v>
      </c>
      <c r="Q266" s="6">
        <f t="shared" si="18"/>
        <v>21.458378418715718</v>
      </c>
      <c r="S266" s="4">
        <v>137.44999999999999</v>
      </c>
    </row>
    <row r="267" spans="1:19" x14ac:dyDescent="0.25">
      <c r="A267" s="3">
        <v>42135</v>
      </c>
      <c r="B267" s="1">
        <f t="shared" si="26"/>
        <v>5</v>
      </c>
      <c r="C267" s="1">
        <f t="shared" si="27"/>
        <v>2015</v>
      </c>
      <c r="D267" s="4">
        <v>1.6334500000000001</v>
      </c>
      <c r="E267" s="4">
        <v>1.298592</v>
      </c>
      <c r="F267" s="5">
        <v>294.02100000000002</v>
      </c>
      <c r="H267" s="4">
        <v>4.6440000000000001</v>
      </c>
      <c r="I267" s="4">
        <v>63.81</v>
      </c>
      <c r="J267" s="4">
        <v>45.64</v>
      </c>
      <c r="L267" s="8">
        <f t="shared" si="22"/>
        <v>0.79499954084912294</v>
      </c>
      <c r="M267" s="8">
        <f t="shared" si="23"/>
        <v>0.18000000000000002</v>
      </c>
      <c r="N267" s="8">
        <f t="shared" si="21"/>
        <v>0.97499954084912299</v>
      </c>
      <c r="O267" s="8"/>
      <c r="P267" s="6">
        <f t="shared" si="24"/>
        <v>84.939400000000006</v>
      </c>
      <c r="Q267" s="6">
        <f t="shared" si="18"/>
        <v>19.90143561174202</v>
      </c>
      <c r="S267" s="4">
        <v>124.25</v>
      </c>
    </row>
    <row r="268" spans="1:19" x14ac:dyDescent="0.25">
      <c r="A268" s="3">
        <v>42142</v>
      </c>
      <c r="B268" s="1">
        <f t="shared" si="26"/>
        <v>5</v>
      </c>
      <c r="C268" s="1">
        <f t="shared" si="27"/>
        <v>2015</v>
      </c>
      <c r="D268" s="4">
        <v>1.6821999999999999</v>
      </c>
      <c r="E268" s="4">
        <v>1.3373489999999999</v>
      </c>
      <c r="F268" s="5">
        <v>302.79599999999999</v>
      </c>
      <c r="H268" s="4">
        <v>4.5460000000000003</v>
      </c>
      <c r="I268" s="4">
        <v>67.5</v>
      </c>
      <c r="J268" s="4">
        <v>54.01</v>
      </c>
      <c r="L268" s="8">
        <f t="shared" si="22"/>
        <v>0.79499999999999993</v>
      </c>
      <c r="M268" s="8">
        <f t="shared" si="23"/>
        <v>0.18000000000000002</v>
      </c>
      <c r="N268" s="8">
        <f t="shared" si="21"/>
        <v>0.97499999999999998</v>
      </c>
      <c r="O268" s="8"/>
      <c r="P268" s="6">
        <f t="shared" si="24"/>
        <v>87.474400000000003</v>
      </c>
      <c r="Q268" s="6">
        <f t="shared" si="18"/>
        <v>18.916894542860543</v>
      </c>
      <c r="S268" s="4">
        <v>59.85</v>
      </c>
    </row>
    <row r="269" spans="1:19" x14ac:dyDescent="0.25">
      <c r="A269" s="3">
        <v>42149</v>
      </c>
      <c r="B269" s="1">
        <f t="shared" si="26"/>
        <v>5</v>
      </c>
      <c r="C269" s="1">
        <f t="shared" si="27"/>
        <v>2015</v>
      </c>
      <c r="D269" s="4">
        <v>1.6519999999999999</v>
      </c>
      <c r="E269" s="4">
        <v>1.31334</v>
      </c>
      <c r="F269" s="5">
        <v>297.36</v>
      </c>
      <c r="H269" s="4"/>
      <c r="I269" s="4">
        <v>69</v>
      </c>
      <c r="J269" s="4">
        <v>58.71</v>
      </c>
      <c r="L269" s="8">
        <f t="shared" si="22"/>
        <v>0.79500000000000004</v>
      </c>
      <c r="M269" s="8">
        <f t="shared" si="23"/>
        <v>0.18000000000000002</v>
      </c>
      <c r="N269" s="8">
        <f t="shared" si="21"/>
        <v>0.97500000000000009</v>
      </c>
      <c r="O269" s="8"/>
      <c r="P269" s="6">
        <f t="shared" si="24"/>
        <v>85.903999999999996</v>
      </c>
      <c r="Q269" s="6" t="str">
        <f t="shared" si="18"/>
        <v/>
      </c>
      <c r="S269" s="4">
        <v>-42.75</v>
      </c>
    </row>
    <row r="270" spans="1:19" x14ac:dyDescent="0.25">
      <c r="A270" s="3">
        <v>42156</v>
      </c>
      <c r="B270" s="1">
        <f t="shared" si="26"/>
        <v>6</v>
      </c>
      <c r="C270" s="1">
        <f t="shared" si="27"/>
        <v>2015</v>
      </c>
      <c r="D270" s="4">
        <v>1.5485</v>
      </c>
      <c r="E270" s="4">
        <v>1.2310570000000001</v>
      </c>
      <c r="F270" s="5">
        <v>278.73</v>
      </c>
      <c r="H270" s="4">
        <v>4.6379000000000001</v>
      </c>
      <c r="I270" s="4">
        <v>71.459999999999994</v>
      </c>
      <c r="J270" s="4">
        <v>53.46</v>
      </c>
      <c r="L270" s="8">
        <f t="shared" si="22"/>
        <v>0.79499967710687769</v>
      </c>
      <c r="M270" s="8">
        <f t="shared" si="23"/>
        <v>0.18000000000000002</v>
      </c>
      <c r="N270" s="8">
        <f t="shared" si="21"/>
        <v>0.97499967710687774</v>
      </c>
      <c r="O270" s="8"/>
      <c r="P270" s="6">
        <f t="shared" si="24"/>
        <v>80.522000000000006</v>
      </c>
      <c r="Q270" s="6">
        <f t="shared" si="18"/>
        <v>20.96564417177914</v>
      </c>
      <c r="S270" s="4">
        <v>-36.75</v>
      </c>
    </row>
    <row r="271" spans="1:19" x14ac:dyDescent="0.25">
      <c r="A271" s="3">
        <v>42163</v>
      </c>
      <c r="B271" s="1">
        <f t="shared" si="26"/>
        <v>6</v>
      </c>
      <c r="C271" s="1">
        <f t="shared" si="27"/>
        <v>2015</v>
      </c>
      <c r="D271" s="4">
        <v>1.6676500000000001</v>
      </c>
      <c r="E271" s="4">
        <v>1.3257810000000001</v>
      </c>
      <c r="F271" s="5">
        <v>300.17700000000002</v>
      </c>
      <c r="H271" s="4">
        <v>4.6947999999999999</v>
      </c>
      <c r="I271" s="4">
        <v>77.67</v>
      </c>
      <c r="J271" s="4">
        <v>59.17</v>
      </c>
      <c r="L271" s="8">
        <f t="shared" si="22"/>
        <v>0.79499955026534352</v>
      </c>
      <c r="M271" s="8">
        <f t="shared" si="23"/>
        <v>0.18000000000000002</v>
      </c>
      <c r="N271" s="8">
        <f t="shared" si="21"/>
        <v>0.97499955026534357</v>
      </c>
      <c r="O271" s="8"/>
      <c r="P271" s="6">
        <f t="shared" si="24"/>
        <v>86.717800000000011</v>
      </c>
      <c r="Q271" s="6">
        <f t="shared" si="18"/>
        <v>19.706533145444187</v>
      </c>
      <c r="S271" s="4">
        <v>13.05</v>
      </c>
    </row>
    <row r="272" spans="1:19" x14ac:dyDescent="0.25">
      <c r="A272" s="3">
        <v>42170</v>
      </c>
      <c r="B272" s="1">
        <f t="shared" si="26"/>
        <v>6</v>
      </c>
      <c r="C272" s="1">
        <f t="shared" si="27"/>
        <v>2015</v>
      </c>
      <c r="D272" s="4">
        <v>1.7041999999999999</v>
      </c>
      <c r="E272" s="4">
        <v>1.3548389999999999</v>
      </c>
      <c r="F272" s="5">
        <v>306.75599999999997</v>
      </c>
      <c r="H272" s="4"/>
      <c r="I272" s="4"/>
      <c r="J272" s="4">
        <v>70.760000000000005</v>
      </c>
      <c r="L272" s="8">
        <f t="shared" si="22"/>
        <v>0.79499999999999993</v>
      </c>
      <c r="M272" s="8">
        <f t="shared" si="23"/>
        <v>0.18</v>
      </c>
      <c r="N272" s="8">
        <f t="shared" si="21"/>
        <v>0.97499999999999987</v>
      </c>
      <c r="O272" s="8"/>
      <c r="P272" s="6">
        <f t="shared" si="24"/>
        <v>88.618399999999994</v>
      </c>
      <c r="Q272" s="6" t="str">
        <f t="shared" si="18"/>
        <v/>
      </c>
      <c r="S272" s="4">
        <v>-3.05</v>
      </c>
    </row>
    <row r="273" spans="1:19" x14ac:dyDescent="0.25">
      <c r="A273" s="3">
        <v>42177</v>
      </c>
      <c r="B273" s="1">
        <f t="shared" si="26"/>
        <v>6</v>
      </c>
      <c r="C273" s="1">
        <f t="shared" si="27"/>
        <v>2015</v>
      </c>
      <c r="D273" s="4">
        <v>1.7088000000000001</v>
      </c>
      <c r="E273" s="4">
        <v>1.3584959999999999</v>
      </c>
      <c r="F273" s="5">
        <v>307.584</v>
      </c>
      <c r="H273" s="4">
        <v>5.3311999999999999</v>
      </c>
      <c r="I273" s="4">
        <v>84.54</v>
      </c>
      <c r="J273" s="4">
        <v>73.39</v>
      </c>
      <c r="L273" s="8">
        <f t="shared" si="22"/>
        <v>0.79499999999999993</v>
      </c>
      <c r="M273" s="8">
        <f t="shared" si="23"/>
        <v>0.18</v>
      </c>
      <c r="N273" s="8">
        <f t="shared" si="21"/>
        <v>0.97499999999999987</v>
      </c>
      <c r="O273" s="8"/>
      <c r="P273" s="6">
        <f t="shared" si="24"/>
        <v>88.857600000000005</v>
      </c>
      <c r="Q273" s="6">
        <f t="shared" si="18"/>
        <v>21.838951310861422</v>
      </c>
      <c r="S273" s="4">
        <v>77.45</v>
      </c>
    </row>
    <row r="274" spans="1:19" x14ac:dyDescent="0.25">
      <c r="A274" s="3">
        <v>42184</v>
      </c>
      <c r="B274" s="1">
        <f t="shared" si="26"/>
        <v>6</v>
      </c>
      <c r="C274" s="1">
        <f t="shared" si="27"/>
        <v>2015</v>
      </c>
      <c r="D274" s="4">
        <v>1.5952500000000001</v>
      </c>
      <c r="E274" s="4">
        <v>1.2682230000000001</v>
      </c>
      <c r="F274" s="5">
        <v>287.14499999999998</v>
      </c>
      <c r="H274" s="4"/>
      <c r="I274" s="7">
        <f>AVERAGE(I275,I273)</f>
        <v>88.235000000000014</v>
      </c>
      <c r="J274" s="4"/>
      <c r="L274" s="8">
        <f t="shared" si="22"/>
        <v>0.79499952985425482</v>
      </c>
      <c r="M274" s="8">
        <f t="shared" si="23"/>
        <v>0.18</v>
      </c>
      <c r="N274" s="8">
        <f t="shared" si="21"/>
        <v>0.97499952985425486</v>
      </c>
      <c r="O274" s="8"/>
      <c r="P274" s="6">
        <f t="shared" si="24"/>
        <v>82.953000000000003</v>
      </c>
      <c r="Q274" s="6" t="str">
        <f t="shared" si="18"/>
        <v/>
      </c>
      <c r="S274" s="4">
        <v>139.44999999999999</v>
      </c>
    </row>
    <row r="275" spans="1:19" x14ac:dyDescent="0.25">
      <c r="A275" s="3">
        <v>42191</v>
      </c>
      <c r="B275" s="1">
        <f t="shared" si="26"/>
        <v>7</v>
      </c>
      <c r="C275" s="1">
        <f t="shared" si="27"/>
        <v>2015</v>
      </c>
      <c r="D275" s="4">
        <v>1.6187</v>
      </c>
      <c r="E275" s="4">
        <v>1.2868660000000001</v>
      </c>
      <c r="F275" s="5">
        <v>291.36599999999999</v>
      </c>
      <c r="H275" s="4">
        <v>5.3891999999999998</v>
      </c>
      <c r="I275" s="4">
        <v>91.93</v>
      </c>
      <c r="J275" s="4">
        <v>74.02</v>
      </c>
      <c r="L275" s="8">
        <f t="shared" si="22"/>
        <v>0.79499969111015012</v>
      </c>
      <c r="M275" s="8">
        <f t="shared" si="23"/>
        <v>0.17999999999999997</v>
      </c>
      <c r="N275" s="8">
        <f t="shared" si="21"/>
        <v>0.97499969111015006</v>
      </c>
      <c r="O275" s="8"/>
      <c r="P275" s="6">
        <f t="shared" si="24"/>
        <v>84.172399999999996</v>
      </c>
      <c r="Q275" s="6">
        <f t="shared" si="18"/>
        <v>23.305368505590906</v>
      </c>
      <c r="S275" s="4">
        <v>177.3</v>
      </c>
    </row>
    <row r="276" spans="1:19" x14ac:dyDescent="0.25">
      <c r="A276" s="3">
        <v>42198</v>
      </c>
      <c r="B276" s="1">
        <f t="shared" si="26"/>
        <v>7</v>
      </c>
      <c r="C276" s="1">
        <f t="shared" si="27"/>
        <v>2015</v>
      </c>
      <c r="D276" s="4">
        <v>1.6943999999999999</v>
      </c>
      <c r="E276" s="4">
        <v>1.347048</v>
      </c>
      <c r="F276" s="5">
        <v>304.99200000000002</v>
      </c>
      <c r="H276" s="4"/>
      <c r="I276" s="4"/>
      <c r="J276" s="4">
        <v>80.569999999999993</v>
      </c>
      <c r="L276" s="8">
        <f t="shared" si="22"/>
        <v>0.79500000000000004</v>
      </c>
      <c r="M276" s="8">
        <f t="shared" si="23"/>
        <v>0.18000000000000002</v>
      </c>
      <c r="N276" s="8">
        <f t="shared" si="21"/>
        <v>0.97500000000000009</v>
      </c>
      <c r="O276" s="8"/>
      <c r="P276" s="6">
        <f t="shared" si="24"/>
        <v>88.108800000000002</v>
      </c>
      <c r="Q276" s="6" t="str">
        <f t="shared" ref="Q276:Q339" si="28">IF(H276="","",IF(D276="","",H276/(D276/7)))</f>
        <v/>
      </c>
      <c r="S276" s="4">
        <v>177.3</v>
      </c>
    </row>
    <row r="277" spans="1:19" x14ac:dyDescent="0.25">
      <c r="A277" s="3">
        <v>42205</v>
      </c>
      <c r="B277" s="1">
        <f t="shared" si="26"/>
        <v>7</v>
      </c>
      <c r="C277" s="1">
        <f t="shared" si="27"/>
        <v>2015</v>
      </c>
      <c r="D277" s="4">
        <v>1.7895000000000001</v>
      </c>
      <c r="E277" s="4">
        <v>1.422652</v>
      </c>
      <c r="F277" s="5">
        <v>322.11</v>
      </c>
      <c r="H277" s="4">
        <v>5.5133000000000001</v>
      </c>
      <c r="I277" s="4">
        <v>96.61</v>
      </c>
      <c r="J277" s="4">
        <v>80.739999999999995</v>
      </c>
      <c r="L277" s="8">
        <f t="shared" si="22"/>
        <v>0.79499972059234425</v>
      </c>
      <c r="M277" s="8">
        <f t="shared" si="23"/>
        <v>0.18</v>
      </c>
      <c r="N277" s="8">
        <f t="shared" si="21"/>
        <v>0.97499972059234419</v>
      </c>
      <c r="O277" s="8"/>
      <c r="P277" s="6">
        <f t="shared" si="24"/>
        <v>93.054000000000002</v>
      </c>
      <c r="Q277" s="6">
        <f t="shared" si="28"/>
        <v>21.566415199776472</v>
      </c>
      <c r="S277" s="4">
        <v>177.3</v>
      </c>
    </row>
    <row r="278" spans="1:19" x14ac:dyDescent="0.25">
      <c r="A278" s="3">
        <v>42212</v>
      </c>
      <c r="B278" s="1">
        <f t="shared" si="26"/>
        <v>7</v>
      </c>
      <c r="C278" s="1">
        <f t="shared" si="27"/>
        <v>2015</v>
      </c>
      <c r="D278" s="4">
        <v>1.6068</v>
      </c>
      <c r="E278" s="4">
        <v>1.277406</v>
      </c>
      <c r="F278" s="5">
        <v>289.22399999999999</v>
      </c>
      <c r="H278" s="4"/>
      <c r="I278" s="4"/>
      <c r="J278" s="4">
        <v>85.974999999999994</v>
      </c>
      <c r="L278" s="8">
        <f t="shared" si="22"/>
        <v>0.79500000000000004</v>
      </c>
      <c r="M278" s="8">
        <f t="shared" si="23"/>
        <v>0.18</v>
      </c>
      <c r="N278" s="8">
        <f t="shared" si="21"/>
        <v>0.97500000000000009</v>
      </c>
      <c r="O278" s="8"/>
      <c r="P278" s="6">
        <f t="shared" si="24"/>
        <v>83.553600000000003</v>
      </c>
      <c r="Q278" s="6" t="str">
        <f t="shared" si="28"/>
        <v/>
      </c>
      <c r="S278" s="4">
        <v>143.9</v>
      </c>
    </row>
    <row r="279" spans="1:19" x14ac:dyDescent="0.25">
      <c r="A279" s="3">
        <v>42219</v>
      </c>
      <c r="B279" s="1">
        <f t="shared" si="26"/>
        <v>8</v>
      </c>
      <c r="C279" s="1">
        <f t="shared" si="27"/>
        <v>2015</v>
      </c>
      <c r="D279" s="4">
        <v>1.5503</v>
      </c>
      <c r="E279" s="4">
        <v>1.422652</v>
      </c>
      <c r="F279" s="5">
        <v>322.11</v>
      </c>
      <c r="H279" s="4">
        <v>5.4973000000000001</v>
      </c>
      <c r="I279" s="4">
        <v>103.6</v>
      </c>
      <c r="J279" s="4">
        <v>85.97</v>
      </c>
      <c r="L279" s="8">
        <f t="shared" si="22"/>
        <v>0.91766238792491772</v>
      </c>
      <c r="M279" s="8">
        <f t="shared" si="23"/>
        <v>0.20777268915693736</v>
      </c>
      <c r="N279" s="8">
        <f t="shared" si="21"/>
        <v>1.1254350770818551</v>
      </c>
      <c r="O279" s="8"/>
      <c r="P279" s="6">
        <f t="shared" si="24"/>
        <v>80.615600000000001</v>
      </c>
      <c r="Q279" s="6">
        <f t="shared" si="28"/>
        <v>24.821711926723861</v>
      </c>
      <c r="S279" s="4">
        <v>110.5</v>
      </c>
    </row>
    <row r="280" spans="1:19" x14ac:dyDescent="0.25">
      <c r="A280" s="3">
        <v>42226</v>
      </c>
      <c r="B280" s="1">
        <f t="shared" si="26"/>
        <v>8</v>
      </c>
      <c r="C280" s="1">
        <f t="shared" si="27"/>
        <v>2015</v>
      </c>
      <c r="D280" s="4">
        <v>1.6492</v>
      </c>
      <c r="E280" s="4">
        <v>1.3111139999999999</v>
      </c>
      <c r="F280" s="5">
        <v>296.85599999999999</v>
      </c>
      <c r="H280" s="4">
        <v>6.1429999999999998</v>
      </c>
      <c r="I280" s="4">
        <v>104.95</v>
      </c>
      <c r="J280" s="4">
        <v>76.72</v>
      </c>
      <c r="L280" s="8">
        <f t="shared" si="22"/>
        <v>0.79499999999999993</v>
      </c>
      <c r="M280" s="8">
        <f t="shared" si="23"/>
        <v>0.18</v>
      </c>
      <c r="N280" s="8">
        <f t="shared" si="21"/>
        <v>0.97499999999999987</v>
      </c>
      <c r="O280" s="8"/>
      <c r="P280" s="6">
        <f t="shared" si="24"/>
        <v>85.758399999999995</v>
      </c>
      <c r="Q280" s="6">
        <f t="shared" si="28"/>
        <v>26.073853989813241</v>
      </c>
      <c r="S280" s="4">
        <v>185.35</v>
      </c>
    </row>
    <row r="281" spans="1:19" x14ac:dyDescent="0.25">
      <c r="A281" s="3">
        <v>42233</v>
      </c>
      <c r="B281" s="1">
        <f t="shared" si="26"/>
        <v>8</v>
      </c>
      <c r="C281" s="1">
        <f t="shared" si="27"/>
        <v>2015</v>
      </c>
      <c r="D281" s="4">
        <v>1.875</v>
      </c>
      <c r="E281" s="4">
        <v>1.4906250000000001</v>
      </c>
      <c r="F281" s="5">
        <v>337.5</v>
      </c>
      <c r="H281" s="4">
        <v>6.4014999999999995</v>
      </c>
      <c r="I281" s="4">
        <v>105.12</v>
      </c>
      <c r="J281" s="4">
        <v>84.56</v>
      </c>
      <c r="L281" s="8">
        <f t="shared" si="22"/>
        <v>0.79500000000000004</v>
      </c>
      <c r="M281" s="8">
        <f t="shared" si="23"/>
        <v>0.18000000000000002</v>
      </c>
      <c r="N281" s="8">
        <f t="shared" si="21"/>
        <v>0.97500000000000009</v>
      </c>
      <c r="O281" s="8"/>
      <c r="P281" s="6">
        <f t="shared" si="24"/>
        <v>97.5</v>
      </c>
      <c r="Q281" s="6">
        <f t="shared" si="28"/>
        <v>23.898933333333332</v>
      </c>
      <c r="S281" s="4">
        <v>153.15</v>
      </c>
    </row>
    <row r="282" spans="1:19" x14ac:dyDescent="0.25">
      <c r="A282" s="3">
        <v>42240</v>
      </c>
      <c r="B282" s="1">
        <f t="shared" si="26"/>
        <v>8</v>
      </c>
      <c r="C282" s="1">
        <f t="shared" si="27"/>
        <v>2015</v>
      </c>
      <c r="D282" s="4">
        <v>1.73925</v>
      </c>
      <c r="E282" s="4">
        <v>1.382703</v>
      </c>
      <c r="F282" s="5">
        <v>313.065</v>
      </c>
      <c r="H282" s="4"/>
      <c r="I282" s="7">
        <f>(($I$284-$I$281)/3)+I281</f>
        <v>103.37</v>
      </c>
      <c r="J282" s="4"/>
      <c r="L282" s="8">
        <f t="shared" si="22"/>
        <v>0.79499956877964639</v>
      </c>
      <c r="M282" s="8">
        <f t="shared" si="23"/>
        <v>0.18</v>
      </c>
      <c r="N282" s="8">
        <f t="shared" si="21"/>
        <v>0.97499956877964644</v>
      </c>
      <c r="O282" s="8"/>
      <c r="P282" s="6">
        <f t="shared" si="24"/>
        <v>90.441000000000003</v>
      </c>
      <c r="Q282" s="6" t="str">
        <f t="shared" si="28"/>
        <v/>
      </c>
      <c r="S282" s="4">
        <v>118.55</v>
      </c>
    </row>
    <row r="283" spans="1:19" x14ac:dyDescent="0.25">
      <c r="A283" s="3">
        <v>42247</v>
      </c>
      <c r="B283" s="1">
        <f t="shared" si="26"/>
        <v>8</v>
      </c>
      <c r="C283" s="1">
        <f t="shared" si="27"/>
        <v>2015</v>
      </c>
      <c r="D283" s="4">
        <v>1.4681500000000001</v>
      </c>
      <c r="E283" s="4">
        <v>1.167179</v>
      </c>
      <c r="F283" s="5">
        <v>264.267</v>
      </c>
      <c r="H283" s="4"/>
      <c r="I283" s="7">
        <f>(($I$284-$I$281)/3)+I282</f>
        <v>101.62</v>
      </c>
      <c r="J283" s="4"/>
      <c r="L283" s="8">
        <f t="shared" si="22"/>
        <v>0.7949998297176718</v>
      </c>
      <c r="M283" s="8">
        <f t="shared" si="23"/>
        <v>0.17999999999999997</v>
      </c>
      <c r="N283" s="8">
        <f t="shared" si="21"/>
        <v>0.97499982971767174</v>
      </c>
      <c r="O283" s="8"/>
      <c r="P283" s="6">
        <f t="shared" si="24"/>
        <v>76.343800000000002</v>
      </c>
      <c r="Q283" s="6" t="str">
        <f t="shared" si="28"/>
        <v/>
      </c>
      <c r="S283" s="4">
        <v>118.55</v>
      </c>
    </row>
    <row r="284" spans="1:19" x14ac:dyDescent="0.25">
      <c r="A284" s="3">
        <v>42254</v>
      </c>
      <c r="B284" s="1">
        <f t="shared" si="26"/>
        <v>9</v>
      </c>
      <c r="C284" s="1">
        <f t="shared" si="27"/>
        <v>2015</v>
      </c>
      <c r="D284" s="4">
        <v>1.6746000000000001</v>
      </c>
      <c r="E284" s="4">
        <v>1.331307</v>
      </c>
      <c r="F284" s="5">
        <v>301.428</v>
      </c>
      <c r="H284" s="4">
        <v>6.5472999999999999</v>
      </c>
      <c r="I284" s="4">
        <v>99.87</v>
      </c>
      <c r="J284" s="4">
        <v>83.87</v>
      </c>
      <c r="L284" s="8">
        <f t="shared" si="22"/>
        <v>0.79499999999999993</v>
      </c>
      <c r="M284" s="8">
        <f t="shared" si="23"/>
        <v>0.17999999999999997</v>
      </c>
      <c r="N284" s="8">
        <f t="shared" si="21"/>
        <v>0.97499999999999987</v>
      </c>
      <c r="O284" s="8"/>
      <c r="P284" s="6">
        <f t="shared" si="24"/>
        <v>87.0792</v>
      </c>
      <c r="Q284" s="6">
        <f t="shared" si="28"/>
        <v>27.368386480353518</v>
      </c>
      <c r="S284" s="4">
        <v>94.4</v>
      </c>
    </row>
    <row r="285" spans="1:19" x14ac:dyDescent="0.25">
      <c r="A285" s="3">
        <v>42261</v>
      </c>
      <c r="B285" s="1">
        <f t="shared" si="26"/>
        <v>9</v>
      </c>
      <c r="C285" s="1">
        <f t="shared" si="27"/>
        <v>2015</v>
      </c>
      <c r="D285" s="4">
        <v>1.7831999999999999</v>
      </c>
      <c r="E285" s="4">
        <v>1.4176439999999999</v>
      </c>
      <c r="F285" s="5">
        <v>320.976</v>
      </c>
      <c r="H285" s="4">
        <v>6.3548</v>
      </c>
      <c r="I285" s="4">
        <v>95.79</v>
      </c>
      <c r="J285" s="4">
        <v>74.430000000000007</v>
      </c>
      <c r="L285" s="8">
        <f t="shared" si="22"/>
        <v>0.79500000000000004</v>
      </c>
      <c r="M285" s="8">
        <f t="shared" si="23"/>
        <v>0.18</v>
      </c>
      <c r="N285" s="8">
        <f t="shared" si="21"/>
        <v>0.97500000000000009</v>
      </c>
      <c r="O285" s="8"/>
      <c r="P285" s="6">
        <f t="shared" si="24"/>
        <v>92.726399999999998</v>
      </c>
      <c r="Q285" s="6">
        <f t="shared" si="28"/>
        <v>24.94593988335577</v>
      </c>
      <c r="S285" s="4">
        <v>126.6</v>
      </c>
    </row>
    <row r="286" spans="1:19" x14ac:dyDescent="0.25">
      <c r="A286" s="3">
        <v>42268</v>
      </c>
      <c r="B286" s="1">
        <f t="shared" si="26"/>
        <v>9</v>
      </c>
      <c r="C286" s="1">
        <f t="shared" si="27"/>
        <v>2015</v>
      </c>
      <c r="D286" s="4">
        <v>1.744</v>
      </c>
      <c r="E286" s="4">
        <v>1.3864799999999999</v>
      </c>
      <c r="F286" s="5">
        <v>313.92</v>
      </c>
      <c r="H286" s="4"/>
      <c r="I286" s="7">
        <f>(($I$289-$I$285)/4)+I285</f>
        <v>95.677500000000009</v>
      </c>
      <c r="J286" s="4">
        <v>68.08</v>
      </c>
      <c r="L286" s="8">
        <f t="shared" si="22"/>
        <v>0.79499999999999993</v>
      </c>
      <c r="M286" s="8">
        <f t="shared" si="23"/>
        <v>0.18000000000000002</v>
      </c>
      <c r="N286" s="8">
        <f t="shared" si="21"/>
        <v>0.97499999999999998</v>
      </c>
      <c r="O286" s="8"/>
      <c r="P286" s="6">
        <f t="shared" si="24"/>
        <v>90.688000000000002</v>
      </c>
      <c r="Q286" s="6" t="str">
        <f t="shared" si="28"/>
        <v/>
      </c>
      <c r="S286" s="4">
        <v>101.25</v>
      </c>
    </row>
    <row r="287" spans="1:19" x14ac:dyDescent="0.25">
      <c r="A287" s="3">
        <v>42275</v>
      </c>
      <c r="B287" s="1">
        <f t="shared" si="26"/>
        <v>9</v>
      </c>
      <c r="C287" s="1">
        <f t="shared" si="27"/>
        <v>2015</v>
      </c>
      <c r="D287" s="4">
        <v>1.3797999999999999</v>
      </c>
      <c r="E287" s="4">
        <v>1.0969409999999999</v>
      </c>
      <c r="F287" s="5">
        <v>248.364</v>
      </c>
      <c r="H287" s="4"/>
      <c r="I287" s="7">
        <f t="shared" ref="I287:I288" si="29">(($I$289-$I$285)/4)+I286</f>
        <v>95.565000000000012</v>
      </c>
      <c r="J287" s="4">
        <v>55.86</v>
      </c>
      <c r="L287" s="8">
        <f t="shared" si="22"/>
        <v>0.79500000000000004</v>
      </c>
      <c r="M287" s="8">
        <f t="shared" si="23"/>
        <v>0.18000000000000002</v>
      </c>
      <c r="N287" s="8">
        <f t="shared" si="21"/>
        <v>0.97500000000000009</v>
      </c>
      <c r="O287" s="8"/>
      <c r="P287" s="6">
        <f t="shared" si="24"/>
        <v>71.749600000000001</v>
      </c>
      <c r="Q287" s="6" t="str">
        <f t="shared" si="28"/>
        <v/>
      </c>
      <c r="S287" s="4">
        <v>110.5</v>
      </c>
    </row>
    <row r="288" spans="1:19" x14ac:dyDescent="0.25">
      <c r="A288" s="3">
        <v>42282</v>
      </c>
      <c r="B288" s="1">
        <f t="shared" si="26"/>
        <v>10</v>
      </c>
      <c r="C288" s="1">
        <f t="shared" si="27"/>
        <v>2015</v>
      </c>
      <c r="D288" s="4">
        <v>1.0331999999999999</v>
      </c>
      <c r="E288" s="4">
        <v>0.82139399999999996</v>
      </c>
      <c r="F288" s="5">
        <v>185.976</v>
      </c>
      <c r="H288" s="4"/>
      <c r="I288" s="7">
        <f t="shared" si="29"/>
        <v>95.452500000000015</v>
      </c>
      <c r="J288" s="4">
        <v>74.02</v>
      </c>
      <c r="L288" s="8">
        <f t="shared" si="22"/>
        <v>0.79500000000000004</v>
      </c>
      <c r="M288" s="8">
        <f t="shared" si="23"/>
        <v>0.18000000000000002</v>
      </c>
      <c r="N288" s="8">
        <f t="shared" si="21"/>
        <v>0.97500000000000009</v>
      </c>
      <c r="O288" s="8"/>
      <c r="P288" s="6">
        <f t="shared" si="24"/>
        <v>53.726399999999998</v>
      </c>
      <c r="Q288" s="6" t="str">
        <f t="shared" si="28"/>
        <v/>
      </c>
      <c r="S288" s="4">
        <v>110.5</v>
      </c>
    </row>
    <row r="289" spans="1:19" x14ac:dyDescent="0.25">
      <c r="A289" s="3">
        <v>42289</v>
      </c>
      <c r="B289" s="1">
        <f t="shared" si="26"/>
        <v>10</v>
      </c>
      <c r="C289" s="1">
        <f t="shared" si="27"/>
        <v>2015</v>
      </c>
      <c r="D289" s="4">
        <v>1.6736</v>
      </c>
      <c r="E289" s="4">
        <v>1.3864799999999999</v>
      </c>
      <c r="F289" s="5">
        <v>313.92</v>
      </c>
      <c r="H289" s="4">
        <v>6.2073</v>
      </c>
      <c r="I289" s="4">
        <v>95.34</v>
      </c>
      <c r="J289" s="4">
        <v>56.16</v>
      </c>
      <c r="L289" s="8">
        <f t="shared" si="22"/>
        <v>0.82844168260038242</v>
      </c>
      <c r="M289" s="8">
        <f t="shared" si="23"/>
        <v>0.18757170172084131</v>
      </c>
      <c r="N289" s="8">
        <f t="shared" si="21"/>
        <v>1.0160133843212238</v>
      </c>
      <c r="O289" s="8"/>
      <c r="P289" s="6">
        <f t="shared" si="24"/>
        <v>87.027199999999993</v>
      </c>
      <c r="Q289" s="6">
        <f t="shared" si="28"/>
        <v>25.96265535372849</v>
      </c>
      <c r="S289" s="4">
        <v>185.35</v>
      </c>
    </row>
    <row r="290" spans="1:19" x14ac:dyDescent="0.25">
      <c r="A290" s="3">
        <v>42296</v>
      </c>
      <c r="B290" s="1">
        <f t="shared" si="26"/>
        <v>10</v>
      </c>
      <c r="C290" s="1">
        <f t="shared" si="27"/>
        <v>2015</v>
      </c>
      <c r="D290" s="4">
        <v>1.8141</v>
      </c>
      <c r="E290" s="4">
        <v>1.4422090000000001</v>
      </c>
      <c r="F290" s="5">
        <v>326.53800000000001</v>
      </c>
      <c r="H290" s="4">
        <v>5.7312000000000003</v>
      </c>
      <c r="I290" s="4">
        <v>96.27</v>
      </c>
      <c r="J290" s="4">
        <v>52.46</v>
      </c>
      <c r="L290" s="8">
        <f t="shared" si="22"/>
        <v>0.79499972438123589</v>
      </c>
      <c r="M290" s="8">
        <f t="shared" si="23"/>
        <v>0.18</v>
      </c>
      <c r="N290" s="8">
        <f t="shared" si="21"/>
        <v>0.97499972438123583</v>
      </c>
      <c r="O290" s="8"/>
      <c r="P290" s="6">
        <f t="shared" si="24"/>
        <v>94.333200000000005</v>
      </c>
      <c r="Q290" s="6">
        <f t="shared" si="28"/>
        <v>22.114767653381843</v>
      </c>
      <c r="S290" s="4">
        <v>194.6</v>
      </c>
    </row>
    <row r="291" spans="1:19" x14ac:dyDescent="0.25">
      <c r="A291" s="3">
        <v>42303</v>
      </c>
      <c r="B291" s="1">
        <f t="shared" si="26"/>
        <v>10</v>
      </c>
      <c r="C291" s="1">
        <f t="shared" si="27"/>
        <v>2015</v>
      </c>
      <c r="D291" s="4">
        <v>1.72495</v>
      </c>
      <c r="E291" s="4">
        <v>1.371335</v>
      </c>
      <c r="F291" s="5">
        <v>310.49099999999999</v>
      </c>
      <c r="H291" s="4"/>
      <c r="I291" s="7">
        <f>(($I$293-$I$290)/3)+I290</f>
        <v>96.63</v>
      </c>
      <c r="J291" s="4"/>
      <c r="L291" s="8">
        <f t="shared" si="22"/>
        <v>0.79499985506826287</v>
      </c>
      <c r="M291" s="8">
        <f t="shared" si="23"/>
        <v>0.17999999999999997</v>
      </c>
      <c r="N291" s="8">
        <f t="shared" si="21"/>
        <v>0.97499985506826281</v>
      </c>
      <c r="O291" s="8"/>
      <c r="P291" s="6">
        <f t="shared" si="24"/>
        <v>89.697400000000002</v>
      </c>
      <c r="Q291" s="6" t="str">
        <f t="shared" si="28"/>
        <v/>
      </c>
      <c r="S291" s="4">
        <v>185.35</v>
      </c>
    </row>
    <row r="292" spans="1:19" x14ac:dyDescent="0.25">
      <c r="A292" s="3">
        <v>42310</v>
      </c>
      <c r="B292" s="1">
        <f t="shared" si="26"/>
        <v>11</v>
      </c>
      <c r="C292" s="1">
        <f t="shared" si="27"/>
        <v>2015</v>
      </c>
      <c r="D292" s="4">
        <v>1.7216</v>
      </c>
      <c r="E292" s="4">
        <v>1.3686720000000001</v>
      </c>
      <c r="F292" s="5">
        <v>309.88799999999998</v>
      </c>
      <c r="H292" s="4"/>
      <c r="I292" s="7">
        <f>(($I$293-$I$290)/3)+I291</f>
        <v>96.99</v>
      </c>
      <c r="J292" s="4"/>
      <c r="L292" s="8">
        <f t="shared" si="22"/>
        <v>0.79500000000000004</v>
      </c>
      <c r="M292" s="8">
        <f t="shared" si="23"/>
        <v>0.18</v>
      </c>
      <c r="N292" s="8">
        <f t="shared" si="21"/>
        <v>0.97500000000000009</v>
      </c>
      <c r="O292" s="8"/>
      <c r="P292" s="6">
        <f t="shared" si="24"/>
        <v>89.523200000000003</v>
      </c>
      <c r="Q292" s="6" t="str">
        <f t="shared" si="28"/>
        <v/>
      </c>
      <c r="S292" s="4">
        <v>120.95</v>
      </c>
    </row>
    <row r="293" spans="1:19" x14ac:dyDescent="0.25">
      <c r="A293" s="3">
        <v>42317</v>
      </c>
      <c r="B293" s="1">
        <f t="shared" si="26"/>
        <v>11</v>
      </c>
      <c r="C293" s="1">
        <f t="shared" si="27"/>
        <v>2015</v>
      </c>
      <c r="D293" s="4">
        <v>1.6791499999999999</v>
      </c>
      <c r="E293" s="4">
        <v>1.334924</v>
      </c>
      <c r="F293" s="5">
        <v>302.24700000000001</v>
      </c>
      <c r="H293" s="4">
        <v>5.2951999999999995</v>
      </c>
      <c r="I293" s="4">
        <v>97.35</v>
      </c>
      <c r="J293" s="4">
        <v>57.1</v>
      </c>
      <c r="L293" s="8">
        <f t="shared" si="22"/>
        <v>0.79499985111514759</v>
      </c>
      <c r="M293" s="8">
        <f t="shared" si="23"/>
        <v>0.18</v>
      </c>
      <c r="N293" s="8">
        <f t="shared" si="21"/>
        <v>0.97499985111514764</v>
      </c>
      <c r="O293" s="8"/>
      <c r="P293" s="6">
        <f t="shared" si="24"/>
        <v>87.315799999999996</v>
      </c>
      <c r="Q293" s="6">
        <f t="shared" si="28"/>
        <v>22.074501980168538</v>
      </c>
      <c r="S293" s="4">
        <v>88.75</v>
      </c>
    </row>
    <row r="294" spans="1:19" x14ac:dyDescent="0.25">
      <c r="A294" s="3">
        <v>42324</v>
      </c>
      <c r="B294" s="1">
        <f t="shared" si="26"/>
        <v>11</v>
      </c>
      <c r="C294" s="1">
        <f t="shared" si="27"/>
        <v>2015</v>
      </c>
      <c r="D294" s="4">
        <v>1.6909000000000001</v>
      </c>
      <c r="E294" s="4">
        <v>1.344265</v>
      </c>
      <c r="F294" s="5">
        <v>304.36200000000002</v>
      </c>
      <c r="H294" s="4">
        <v>5.3574999999999999</v>
      </c>
      <c r="I294" s="4">
        <v>101.85</v>
      </c>
      <c r="J294" s="4">
        <v>63.4</v>
      </c>
      <c r="L294" s="8">
        <f t="shared" si="22"/>
        <v>0.79499970429948552</v>
      </c>
      <c r="M294" s="8">
        <f t="shared" si="23"/>
        <v>0.18</v>
      </c>
      <c r="N294" s="8">
        <f t="shared" si="21"/>
        <v>0.97499970429948557</v>
      </c>
      <c r="O294" s="8"/>
      <c r="P294" s="6">
        <f t="shared" si="24"/>
        <v>87.9268</v>
      </c>
      <c r="Q294" s="6">
        <f t="shared" si="28"/>
        <v>22.17901709148974</v>
      </c>
      <c r="S294" s="4">
        <v>-1</v>
      </c>
    </row>
    <row r="295" spans="1:19" x14ac:dyDescent="0.25">
      <c r="A295" s="3">
        <v>42331</v>
      </c>
      <c r="B295" s="1">
        <f t="shared" si="26"/>
        <v>11</v>
      </c>
      <c r="C295" s="1">
        <f t="shared" si="27"/>
        <v>2015</v>
      </c>
      <c r="D295" s="4">
        <v>1.6115999999999999</v>
      </c>
      <c r="E295" s="4">
        <v>1.2812220000000001</v>
      </c>
      <c r="F295" s="5">
        <v>290.08800000000002</v>
      </c>
      <c r="H295" s="4"/>
      <c r="I295" s="4"/>
      <c r="J295" s="4">
        <v>60.81</v>
      </c>
      <c r="L295" s="8">
        <f t="shared" si="22"/>
        <v>0.79500000000000004</v>
      </c>
      <c r="M295" s="8">
        <f t="shared" si="23"/>
        <v>0.18000000000000002</v>
      </c>
      <c r="N295" s="8">
        <f t="shared" ref="N295:N358" si="30">M295+L295</f>
        <v>0.97500000000000009</v>
      </c>
      <c r="O295" s="8"/>
      <c r="P295" s="6">
        <f t="shared" si="24"/>
        <v>83.80319999999999</v>
      </c>
      <c r="Q295" s="6" t="str">
        <f t="shared" si="28"/>
        <v/>
      </c>
      <c r="S295" s="4">
        <v>111.85</v>
      </c>
    </row>
    <row r="296" spans="1:19" x14ac:dyDescent="0.25">
      <c r="A296" s="3">
        <v>42338</v>
      </c>
      <c r="B296" s="1">
        <f t="shared" si="26"/>
        <v>11</v>
      </c>
      <c r="C296" s="1">
        <f t="shared" si="27"/>
        <v>2015</v>
      </c>
      <c r="D296" s="4">
        <v>1.76685</v>
      </c>
      <c r="E296" s="4">
        <v>1.4046449999999999</v>
      </c>
      <c r="F296" s="5">
        <v>318.03300000000002</v>
      </c>
      <c r="H296" s="4">
        <v>5.7014999999999993</v>
      </c>
      <c r="I296" s="4">
        <v>101.5</v>
      </c>
      <c r="J296" s="4">
        <v>59.174999999999997</v>
      </c>
      <c r="L296" s="8">
        <f t="shared" si="22"/>
        <v>0.79499957551574829</v>
      </c>
      <c r="M296" s="8">
        <f t="shared" si="23"/>
        <v>0.18</v>
      </c>
      <c r="N296" s="8">
        <f t="shared" si="30"/>
        <v>0.97499957551574834</v>
      </c>
      <c r="O296" s="8"/>
      <c r="P296" s="6">
        <f t="shared" si="24"/>
        <v>91.876199999999997</v>
      </c>
      <c r="Q296" s="6">
        <f t="shared" si="28"/>
        <v>22.588504966465738</v>
      </c>
      <c r="S296" s="4">
        <v>146.44999999999999</v>
      </c>
    </row>
    <row r="297" spans="1:19" x14ac:dyDescent="0.25">
      <c r="A297" s="3">
        <v>42345</v>
      </c>
      <c r="B297" s="1">
        <f t="shared" si="26"/>
        <v>12</v>
      </c>
      <c r="C297" s="1">
        <f t="shared" si="27"/>
        <v>2015</v>
      </c>
      <c r="D297" s="4">
        <v>1.8294999999999999</v>
      </c>
      <c r="E297" s="4">
        <v>1.4544520000000001</v>
      </c>
      <c r="F297" s="5">
        <v>329.31</v>
      </c>
      <c r="H297" s="4">
        <v>5.6995000000000005</v>
      </c>
      <c r="I297" s="4">
        <v>98.27</v>
      </c>
      <c r="J297" s="4">
        <v>57.11</v>
      </c>
      <c r="L297" s="8">
        <f t="shared" si="22"/>
        <v>0.7949997267012846</v>
      </c>
      <c r="M297" s="8">
        <f t="shared" si="23"/>
        <v>0.18</v>
      </c>
      <c r="N297" s="8">
        <f t="shared" si="30"/>
        <v>0.97499972670128465</v>
      </c>
      <c r="O297" s="8"/>
      <c r="P297" s="6">
        <f t="shared" si="24"/>
        <v>95.134</v>
      </c>
      <c r="Q297" s="6">
        <f t="shared" si="28"/>
        <v>21.807324405575297</v>
      </c>
      <c r="S297" s="4">
        <v>113.05</v>
      </c>
    </row>
    <row r="298" spans="1:19" x14ac:dyDescent="0.25">
      <c r="A298" s="3">
        <v>42352</v>
      </c>
      <c r="B298" s="1">
        <f t="shared" si="26"/>
        <v>12</v>
      </c>
      <c r="C298" s="1">
        <f t="shared" si="27"/>
        <v>2015</v>
      </c>
      <c r="D298" s="4">
        <v>1.8689</v>
      </c>
      <c r="E298" s="4">
        <v>1.4857750000000001</v>
      </c>
      <c r="F298" s="5">
        <v>336.40199999999999</v>
      </c>
      <c r="H298" s="4">
        <v>5.8773999999999997</v>
      </c>
      <c r="I298" s="4">
        <v>99.33</v>
      </c>
      <c r="J298" s="4">
        <v>57.11</v>
      </c>
      <c r="L298" s="8">
        <f t="shared" si="22"/>
        <v>0.7949997324629462</v>
      </c>
      <c r="M298" s="8">
        <f t="shared" si="23"/>
        <v>0.18</v>
      </c>
      <c r="N298" s="8">
        <f t="shared" si="30"/>
        <v>0.97499973246294624</v>
      </c>
      <c r="O298" s="8"/>
      <c r="P298" s="6">
        <f t="shared" si="24"/>
        <v>97.1828</v>
      </c>
      <c r="Q298" s="6">
        <f t="shared" si="28"/>
        <v>22.013911926801864</v>
      </c>
      <c r="S298" s="4">
        <v>105</v>
      </c>
    </row>
    <row r="299" spans="1:19" x14ac:dyDescent="0.25">
      <c r="A299" s="3">
        <v>42359</v>
      </c>
      <c r="B299" s="1">
        <f t="shared" si="26"/>
        <v>12</v>
      </c>
      <c r="C299" s="1">
        <f t="shared" si="27"/>
        <v>2015</v>
      </c>
      <c r="D299" s="4">
        <v>1.8546</v>
      </c>
      <c r="E299" s="4">
        <v>1.474407</v>
      </c>
      <c r="F299" s="5">
        <v>333.83800000000002</v>
      </c>
      <c r="H299" s="4"/>
      <c r="I299" s="7">
        <f>(($I$302-$I$298)/4)+I298</f>
        <v>94.587500000000006</v>
      </c>
      <c r="J299" s="4">
        <v>73.52</v>
      </c>
      <c r="L299" s="8">
        <f t="shared" si="22"/>
        <v>0.79500000000000004</v>
      </c>
      <c r="M299" s="8">
        <f t="shared" si="23"/>
        <v>0.18000539199827456</v>
      </c>
      <c r="N299" s="8">
        <f t="shared" si="30"/>
        <v>0.97500539199827463</v>
      </c>
      <c r="O299" s="8"/>
      <c r="P299" s="6">
        <f t="shared" si="24"/>
        <v>96.4392</v>
      </c>
      <c r="Q299" s="6" t="str">
        <f t="shared" si="28"/>
        <v/>
      </c>
      <c r="S299" s="4">
        <v>114.25</v>
      </c>
    </row>
    <row r="300" spans="1:19" x14ac:dyDescent="0.25">
      <c r="A300" s="3">
        <v>42366</v>
      </c>
      <c r="B300" s="1">
        <f t="shared" si="26"/>
        <v>12</v>
      </c>
      <c r="C300" s="1">
        <f t="shared" si="27"/>
        <v>2015</v>
      </c>
      <c r="D300" s="4">
        <v>1.7988500000000001</v>
      </c>
      <c r="E300" s="4">
        <v>1.430086</v>
      </c>
      <c r="F300" s="5">
        <v>323.79300000000001</v>
      </c>
      <c r="H300" s="4"/>
      <c r="I300" s="7">
        <f t="shared" ref="I300:I301" si="31">(($I$302-$I$298)/4)+I299</f>
        <v>89.844999999999999</v>
      </c>
      <c r="J300" s="4"/>
      <c r="L300" s="8">
        <f t="shared" si="22"/>
        <v>0.79500013897768018</v>
      </c>
      <c r="M300" s="8">
        <f t="shared" si="23"/>
        <v>0.18</v>
      </c>
      <c r="N300" s="8">
        <f t="shared" si="30"/>
        <v>0.97500013897768012</v>
      </c>
      <c r="O300" s="8"/>
      <c r="P300" s="6">
        <f t="shared" si="24"/>
        <v>93.540199999999999</v>
      </c>
      <c r="Q300" s="6" t="str">
        <f t="shared" si="28"/>
        <v/>
      </c>
      <c r="S300" s="4">
        <v>114.25</v>
      </c>
    </row>
    <row r="301" spans="1:19" x14ac:dyDescent="0.25">
      <c r="A301" s="3">
        <v>42373</v>
      </c>
      <c r="B301" s="1">
        <f t="shared" si="26"/>
        <v>1</v>
      </c>
      <c r="C301" s="1">
        <f t="shared" si="27"/>
        <v>2016</v>
      </c>
      <c r="D301" s="4">
        <v>1.5923499999999999</v>
      </c>
      <c r="E301" s="4">
        <v>1.2659180000000001</v>
      </c>
      <c r="F301" s="5">
        <v>286.62299999999999</v>
      </c>
      <c r="H301" s="4"/>
      <c r="I301" s="7">
        <f t="shared" si="31"/>
        <v>85.102499999999992</v>
      </c>
      <c r="J301" s="4">
        <v>72.56</v>
      </c>
      <c r="L301" s="8">
        <f t="shared" si="22"/>
        <v>0.79499984299934068</v>
      </c>
      <c r="M301" s="8">
        <f t="shared" si="23"/>
        <v>0.18000000000000002</v>
      </c>
      <c r="N301" s="8">
        <f t="shared" si="30"/>
        <v>0.97499984299934073</v>
      </c>
      <c r="O301" s="8"/>
      <c r="P301" s="6">
        <f t="shared" si="24"/>
        <v>82.802199999999999</v>
      </c>
      <c r="Q301" s="6" t="str">
        <f t="shared" si="28"/>
        <v/>
      </c>
      <c r="S301" s="4">
        <v>88.4</v>
      </c>
    </row>
    <row r="302" spans="1:19" x14ac:dyDescent="0.25">
      <c r="A302" s="3">
        <v>42380</v>
      </c>
      <c r="B302" s="1">
        <f t="shared" si="26"/>
        <v>1</v>
      </c>
      <c r="C302" s="1">
        <f t="shared" si="27"/>
        <v>2016</v>
      </c>
      <c r="D302" s="4">
        <v>1.7663</v>
      </c>
      <c r="E302" s="4">
        <v>1.404209</v>
      </c>
      <c r="F302" s="5">
        <v>317.93400000000003</v>
      </c>
      <c r="H302" s="4">
        <v>6.0308999999999999</v>
      </c>
      <c r="I302" s="4">
        <v>80.36</v>
      </c>
      <c r="J302" s="4">
        <v>77.55</v>
      </c>
      <c r="L302" s="8">
        <f t="shared" si="22"/>
        <v>0.79500028307761994</v>
      </c>
      <c r="M302" s="8">
        <f t="shared" si="23"/>
        <v>0.18000000000000002</v>
      </c>
      <c r="N302" s="8">
        <f t="shared" si="30"/>
        <v>0.97500028307761999</v>
      </c>
      <c r="O302" s="8"/>
      <c r="P302" s="6">
        <f t="shared" si="24"/>
        <v>91.8476</v>
      </c>
      <c r="Q302" s="6">
        <f t="shared" si="28"/>
        <v>23.900979448564797</v>
      </c>
      <c r="S302" s="4">
        <v>71.099999999999994</v>
      </c>
    </row>
    <row r="303" spans="1:19" x14ac:dyDescent="0.25">
      <c r="A303" s="3">
        <v>42387</v>
      </c>
      <c r="B303" s="1">
        <f t="shared" si="26"/>
        <v>1</v>
      </c>
      <c r="C303" s="1">
        <f t="shared" si="27"/>
        <v>2016</v>
      </c>
      <c r="D303" s="4">
        <v>1.8533999999999999</v>
      </c>
      <c r="E303" s="4">
        <v>1.4734529999999999</v>
      </c>
      <c r="F303" s="5">
        <v>333.61200000000002</v>
      </c>
      <c r="H303" s="4">
        <v>5.7638999999999996</v>
      </c>
      <c r="I303" s="4">
        <v>78.489999999999995</v>
      </c>
      <c r="J303" s="4">
        <v>68.709999999999994</v>
      </c>
      <c r="L303" s="8">
        <f t="shared" si="22"/>
        <v>0.79499999999999993</v>
      </c>
      <c r="M303" s="8">
        <f t="shared" si="23"/>
        <v>0.18000000000000002</v>
      </c>
      <c r="N303" s="8">
        <f t="shared" si="30"/>
        <v>0.97499999999999998</v>
      </c>
      <c r="O303" s="8"/>
      <c r="P303" s="6">
        <f t="shared" si="24"/>
        <v>96.376800000000003</v>
      </c>
      <c r="Q303" s="6">
        <f t="shared" si="28"/>
        <v>21.769342829394628</v>
      </c>
      <c r="S303" s="4">
        <v>131.1</v>
      </c>
    </row>
    <row r="304" spans="1:19" x14ac:dyDescent="0.25">
      <c r="A304" s="3">
        <v>42394</v>
      </c>
      <c r="B304" s="1">
        <f t="shared" si="26"/>
        <v>1</v>
      </c>
      <c r="C304" s="1">
        <f t="shared" si="27"/>
        <v>2016</v>
      </c>
      <c r="D304" s="4">
        <v>1.671</v>
      </c>
      <c r="E304" s="4">
        <v>1.3284450000000001</v>
      </c>
      <c r="F304" s="5">
        <v>300.77999999999997</v>
      </c>
      <c r="H304" s="4"/>
      <c r="I304" s="7">
        <f>(($I$307-$I$303)/4)+I303</f>
        <v>75.789999999999992</v>
      </c>
      <c r="J304" s="4"/>
      <c r="L304" s="8">
        <f t="shared" si="22"/>
        <v>0.79500000000000004</v>
      </c>
      <c r="M304" s="8">
        <f t="shared" si="23"/>
        <v>0.18</v>
      </c>
      <c r="N304" s="8">
        <f t="shared" si="30"/>
        <v>0.97500000000000009</v>
      </c>
      <c r="O304" s="8"/>
      <c r="P304" s="6">
        <f t="shared" si="24"/>
        <v>86.891999999999996</v>
      </c>
      <c r="Q304" s="6" t="str">
        <f t="shared" si="28"/>
        <v/>
      </c>
      <c r="S304" s="4">
        <v>128.19999999999999</v>
      </c>
    </row>
    <row r="305" spans="1:19" x14ac:dyDescent="0.25">
      <c r="A305" s="3">
        <v>42401</v>
      </c>
      <c r="B305" s="1">
        <f t="shared" si="26"/>
        <v>2</v>
      </c>
      <c r="C305" s="1">
        <f t="shared" si="27"/>
        <v>2016</v>
      </c>
      <c r="D305" s="4">
        <v>0.98699999999999999</v>
      </c>
      <c r="E305" s="4">
        <v>0.78466499999999995</v>
      </c>
      <c r="F305" s="5">
        <v>177.66</v>
      </c>
      <c r="H305" s="4"/>
      <c r="I305" s="7">
        <f t="shared" ref="I305:I306" si="32">(($I$307-$I$303)/4)+I304</f>
        <v>73.089999999999989</v>
      </c>
      <c r="J305" s="4"/>
      <c r="L305" s="8">
        <f t="shared" si="22"/>
        <v>0.79499999999999993</v>
      </c>
      <c r="M305" s="8">
        <f t="shared" si="23"/>
        <v>0.18</v>
      </c>
      <c r="N305" s="8">
        <f t="shared" si="30"/>
        <v>0.97499999999999987</v>
      </c>
      <c r="O305" s="8"/>
      <c r="P305" s="6">
        <f t="shared" si="24"/>
        <v>51.323999999999998</v>
      </c>
      <c r="Q305" s="6" t="str">
        <f t="shared" si="28"/>
        <v/>
      </c>
      <c r="S305" s="4">
        <v>128.19999999999999</v>
      </c>
    </row>
    <row r="306" spans="1:19" x14ac:dyDescent="0.25">
      <c r="A306" s="3">
        <v>42408</v>
      </c>
      <c r="B306" s="1">
        <f t="shared" si="26"/>
        <v>2</v>
      </c>
      <c r="C306" s="1">
        <f t="shared" si="27"/>
        <v>2016</v>
      </c>
      <c r="D306" s="4">
        <v>4.5499999999999999E-2</v>
      </c>
      <c r="E306" s="4">
        <v>3.6172999999999997E-2</v>
      </c>
      <c r="F306" s="5">
        <v>8.19</v>
      </c>
      <c r="H306" s="4"/>
      <c r="I306" s="7">
        <f t="shared" si="32"/>
        <v>70.389999999999986</v>
      </c>
      <c r="J306" s="4">
        <v>39.44</v>
      </c>
      <c r="L306" s="8">
        <f t="shared" si="22"/>
        <v>0.79501098901098899</v>
      </c>
      <c r="M306" s="8">
        <f t="shared" si="23"/>
        <v>0.18</v>
      </c>
      <c r="N306" s="8">
        <f t="shared" si="30"/>
        <v>0.97501098901098904</v>
      </c>
      <c r="O306" s="8"/>
      <c r="P306" s="6">
        <f t="shared" si="24"/>
        <v>2.3660000000000001</v>
      </c>
      <c r="Q306" s="6" t="str">
        <f t="shared" si="28"/>
        <v/>
      </c>
      <c r="S306" s="4"/>
    </row>
    <row r="307" spans="1:19" x14ac:dyDescent="0.25">
      <c r="A307" s="3">
        <v>42415</v>
      </c>
      <c r="B307" s="1">
        <f t="shared" si="26"/>
        <v>2</v>
      </c>
      <c r="C307" s="1">
        <f t="shared" si="27"/>
        <v>2016</v>
      </c>
      <c r="D307" s="4">
        <v>0.66290000000000004</v>
      </c>
      <c r="E307" s="4">
        <v>0.52700599999999997</v>
      </c>
      <c r="F307" s="5">
        <v>119.322</v>
      </c>
      <c r="H307" s="4">
        <v>5.9314999999999998</v>
      </c>
      <c r="I307" s="4">
        <v>67.69</v>
      </c>
      <c r="J307" s="4">
        <v>42.545000000000002</v>
      </c>
      <c r="L307" s="8">
        <f t="shared" si="22"/>
        <v>0.79500075426157779</v>
      </c>
      <c r="M307" s="8">
        <f t="shared" si="23"/>
        <v>0.18</v>
      </c>
      <c r="N307" s="8">
        <f t="shared" si="30"/>
        <v>0.97500075426157773</v>
      </c>
      <c r="O307" s="8"/>
      <c r="P307" s="6">
        <f t="shared" si="24"/>
        <v>34.470800000000004</v>
      </c>
      <c r="Q307" s="6">
        <f t="shared" si="28"/>
        <v>62.634635691657863</v>
      </c>
      <c r="S307" s="4">
        <v>172.05</v>
      </c>
    </row>
    <row r="308" spans="1:19" x14ac:dyDescent="0.25">
      <c r="A308" s="3">
        <v>42422</v>
      </c>
      <c r="B308" s="1">
        <f t="shared" si="26"/>
        <v>2</v>
      </c>
      <c r="C308" s="1">
        <f t="shared" si="27"/>
        <v>2016</v>
      </c>
      <c r="D308" s="4">
        <v>1.58185</v>
      </c>
      <c r="E308" s="4">
        <v>1.257571</v>
      </c>
      <c r="F308" s="5">
        <v>284.733</v>
      </c>
      <c r="H308" s="4">
        <v>5.8930999999999996</v>
      </c>
      <c r="I308" s="4">
        <v>63.82</v>
      </c>
      <c r="J308" s="4">
        <v>57.042999999999999</v>
      </c>
      <c r="L308" s="8">
        <f t="shared" si="22"/>
        <v>0.795000158042798</v>
      </c>
      <c r="M308" s="8">
        <f t="shared" si="23"/>
        <v>0.18000000000000002</v>
      </c>
      <c r="N308" s="8">
        <f t="shared" si="30"/>
        <v>0.97500015804279805</v>
      </c>
      <c r="O308" s="8"/>
      <c r="P308" s="6">
        <f t="shared" si="24"/>
        <v>82.256199999999993</v>
      </c>
      <c r="Q308" s="6">
        <f t="shared" si="28"/>
        <v>26.078136359326106</v>
      </c>
      <c r="S308" s="4">
        <v>82.3</v>
      </c>
    </row>
    <row r="309" spans="1:19" x14ac:dyDescent="0.25">
      <c r="A309" s="3">
        <v>42429</v>
      </c>
      <c r="B309" s="1">
        <f t="shared" si="26"/>
        <v>2</v>
      </c>
      <c r="C309" s="1">
        <f t="shared" si="27"/>
        <v>2016</v>
      </c>
      <c r="D309" s="4">
        <v>1.5887</v>
      </c>
      <c r="E309" s="4">
        <v>1.2630159999999999</v>
      </c>
      <c r="F309" s="5">
        <v>285.96600000000001</v>
      </c>
      <c r="H309" s="4">
        <v>5.7530999999999999</v>
      </c>
      <c r="I309" s="4">
        <v>62.5</v>
      </c>
      <c r="J309" s="4">
        <v>73.599999999999994</v>
      </c>
      <c r="L309" s="8">
        <f t="shared" si="22"/>
        <v>0.79499968527727072</v>
      </c>
      <c r="M309" s="8">
        <f t="shared" si="23"/>
        <v>0.18</v>
      </c>
      <c r="N309" s="8">
        <f t="shared" si="30"/>
        <v>0.97499968527727066</v>
      </c>
      <c r="O309" s="8"/>
      <c r="P309" s="6">
        <f t="shared" si="24"/>
        <v>82.612399999999994</v>
      </c>
      <c r="Q309" s="6">
        <f t="shared" si="28"/>
        <v>25.348838673128974</v>
      </c>
      <c r="S309" s="4">
        <v>36.5</v>
      </c>
    </row>
    <row r="310" spans="1:19" x14ac:dyDescent="0.25">
      <c r="A310" s="3">
        <v>42436</v>
      </c>
      <c r="B310" s="1">
        <f t="shared" si="26"/>
        <v>3</v>
      </c>
      <c r="C310" s="1">
        <f t="shared" si="27"/>
        <v>2016</v>
      </c>
      <c r="D310" s="4">
        <v>1.6002000000000001</v>
      </c>
      <c r="E310" s="4">
        <v>1.273272</v>
      </c>
      <c r="F310" s="5">
        <v>288.28800000000001</v>
      </c>
      <c r="H310" s="4">
        <v>5.5171000000000001</v>
      </c>
      <c r="I310" s="4">
        <v>65.150000000000006</v>
      </c>
      <c r="J310" s="4">
        <v>74.510000000000005</v>
      </c>
      <c r="L310" s="8">
        <f t="shared" si="22"/>
        <v>0.79569553805774274</v>
      </c>
      <c r="M310" s="8">
        <f t="shared" si="23"/>
        <v>0.18015748031496062</v>
      </c>
      <c r="N310" s="8">
        <f t="shared" si="30"/>
        <v>0.97585301837270333</v>
      </c>
      <c r="O310" s="8"/>
      <c r="P310" s="6">
        <f t="shared" si="24"/>
        <v>83.210400000000007</v>
      </c>
      <c r="Q310" s="6">
        <f t="shared" si="28"/>
        <v>24.134295713035872</v>
      </c>
      <c r="S310" s="4">
        <v>34</v>
      </c>
    </row>
    <row r="311" spans="1:19" x14ac:dyDescent="0.25">
      <c r="A311" s="3">
        <v>42443</v>
      </c>
      <c r="B311" s="1">
        <f t="shared" si="26"/>
        <v>3</v>
      </c>
      <c r="C311" s="1">
        <f t="shared" si="27"/>
        <v>2016</v>
      </c>
      <c r="D311" s="4">
        <v>1.3348500000000001</v>
      </c>
      <c r="E311" s="4">
        <v>1.061205</v>
      </c>
      <c r="F311" s="5">
        <v>240.273</v>
      </c>
      <c r="H311" s="4">
        <v>5.3000999999999996</v>
      </c>
      <c r="I311" s="4">
        <v>61.4</v>
      </c>
      <c r="J311" s="4">
        <v>76.37</v>
      </c>
      <c r="L311" s="8">
        <f t="shared" si="22"/>
        <v>0.79499943813911667</v>
      </c>
      <c r="M311" s="8">
        <f t="shared" si="23"/>
        <v>0.17999999999999997</v>
      </c>
      <c r="N311" s="8">
        <f t="shared" si="30"/>
        <v>0.9749994381391166</v>
      </c>
      <c r="O311" s="8"/>
      <c r="P311" s="6">
        <f t="shared" si="24"/>
        <v>69.412199999999999</v>
      </c>
      <c r="Q311" s="6">
        <f t="shared" si="28"/>
        <v>27.793909428025614</v>
      </c>
      <c r="S311" s="4">
        <v>36.4</v>
      </c>
    </row>
    <row r="312" spans="1:19" x14ac:dyDescent="0.25">
      <c r="A312" s="3">
        <v>42450</v>
      </c>
      <c r="B312" s="1">
        <f t="shared" si="26"/>
        <v>3</v>
      </c>
      <c r="C312" s="1">
        <f t="shared" si="27"/>
        <v>2016</v>
      </c>
      <c r="D312" s="7">
        <f>AVERAGE(D311,D313)</f>
        <v>1.4196249999999999</v>
      </c>
      <c r="E312" s="7">
        <f>AVERAGE(E311,E313)</f>
        <v>1.1286014999999998</v>
      </c>
      <c r="F312" s="7">
        <f>AVERAGE(F311,F313)</f>
        <v>255.53249999999997</v>
      </c>
      <c r="H312" s="4">
        <v>5.3274999999999997</v>
      </c>
      <c r="I312" s="4">
        <v>61.85</v>
      </c>
      <c r="J312" s="4">
        <v>77.97</v>
      </c>
      <c r="L312" s="8">
        <f t="shared" ref="L312:L375" si="33">E312/D312</f>
        <v>0.7949997358457338</v>
      </c>
      <c r="M312" s="8">
        <f t="shared" ref="M312:M375" si="34">F312/1000/D312</f>
        <v>0.18000000000000002</v>
      </c>
      <c r="N312" s="8">
        <f t="shared" si="30"/>
        <v>0.97499973584573385</v>
      </c>
      <c r="O312" s="8"/>
      <c r="P312" s="6">
        <f t="shared" ref="P312:P375" si="35">D312*52</f>
        <v>73.820499999999996</v>
      </c>
      <c r="Q312" s="6">
        <f t="shared" si="28"/>
        <v>26.269261248569165</v>
      </c>
      <c r="S312" s="4">
        <v>36.4</v>
      </c>
    </row>
    <row r="313" spans="1:19" x14ac:dyDescent="0.25">
      <c r="A313" s="3">
        <v>42457</v>
      </c>
      <c r="B313" s="1">
        <f t="shared" si="26"/>
        <v>3</v>
      </c>
      <c r="C313" s="1">
        <f t="shared" si="27"/>
        <v>2016</v>
      </c>
      <c r="D313" s="4">
        <v>1.5044</v>
      </c>
      <c r="E313" s="4">
        <v>1.1959979999999999</v>
      </c>
      <c r="F313" s="5">
        <v>270.79199999999997</v>
      </c>
      <c r="H313" s="4">
        <v>5.3914999999999997</v>
      </c>
      <c r="I313" s="4">
        <v>61.06</v>
      </c>
      <c r="J313" s="4">
        <v>65.099999999999994</v>
      </c>
      <c r="L313" s="8">
        <f t="shared" si="33"/>
        <v>0.79499999999999993</v>
      </c>
      <c r="M313" s="8">
        <f t="shared" si="34"/>
        <v>0.18</v>
      </c>
      <c r="N313" s="8">
        <f t="shared" si="30"/>
        <v>0.97499999999999987</v>
      </c>
      <c r="O313" s="8"/>
      <c r="P313" s="6">
        <f t="shared" si="35"/>
        <v>78.228799999999993</v>
      </c>
      <c r="Q313" s="6">
        <f t="shared" si="28"/>
        <v>25.086745546397236</v>
      </c>
      <c r="S313" s="4">
        <v>89.5</v>
      </c>
    </row>
    <row r="314" spans="1:19" x14ac:dyDescent="0.25">
      <c r="A314" s="3">
        <v>42464</v>
      </c>
      <c r="B314" s="1">
        <f t="shared" si="26"/>
        <v>4</v>
      </c>
      <c r="C314" s="1">
        <f t="shared" si="27"/>
        <v>2016</v>
      </c>
      <c r="D314" s="4">
        <v>1.3567</v>
      </c>
      <c r="E314" s="4">
        <v>1.078576</v>
      </c>
      <c r="F314" s="5">
        <v>244.20599999999999</v>
      </c>
      <c r="H314" s="4"/>
      <c r="I314" s="4"/>
      <c r="J314" s="4"/>
      <c r="L314" s="8">
        <f t="shared" si="33"/>
        <v>0.79499963145868646</v>
      </c>
      <c r="M314" s="8">
        <f t="shared" si="34"/>
        <v>0.18</v>
      </c>
      <c r="N314" s="8">
        <f t="shared" si="30"/>
        <v>0.9749996314586864</v>
      </c>
      <c r="O314" s="8"/>
      <c r="P314" s="6">
        <f t="shared" si="35"/>
        <v>70.548400000000001</v>
      </c>
      <c r="Q314" s="6" t="str">
        <f t="shared" si="28"/>
        <v/>
      </c>
      <c r="S314" s="4">
        <v>89.5</v>
      </c>
    </row>
    <row r="315" spans="1:19" x14ac:dyDescent="0.25">
      <c r="A315" s="3">
        <v>42471</v>
      </c>
      <c r="B315" s="1">
        <f t="shared" si="26"/>
        <v>4</v>
      </c>
      <c r="C315" s="1">
        <f t="shared" si="27"/>
        <v>2016</v>
      </c>
      <c r="D315" s="4">
        <v>1.5737000000000001</v>
      </c>
      <c r="E315" s="4">
        <v>1.251091</v>
      </c>
      <c r="F315" s="5">
        <v>283.26600000000002</v>
      </c>
      <c r="H315" s="4">
        <v>5.8045000000000009</v>
      </c>
      <c r="I315" s="4">
        <v>62.13</v>
      </c>
      <c r="J315" s="4">
        <v>65.400000000000006</v>
      </c>
      <c r="L315" s="8">
        <f t="shared" si="33"/>
        <v>0.79499968227743523</v>
      </c>
      <c r="M315" s="8">
        <f t="shared" si="34"/>
        <v>0.18</v>
      </c>
      <c r="N315" s="8">
        <f t="shared" si="30"/>
        <v>0.97499968227743516</v>
      </c>
      <c r="O315" s="8"/>
      <c r="P315" s="6">
        <f t="shared" si="35"/>
        <v>81.832400000000007</v>
      </c>
      <c r="Q315" s="6">
        <f t="shared" si="28"/>
        <v>25.819088771684569</v>
      </c>
      <c r="S315" s="4">
        <v>108</v>
      </c>
    </row>
    <row r="316" spans="1:19" x14ac:dyDescent="0.25">
      <c r="A316" s="3">
        <v>42478</v>
      </c>
      <c r="B316" s="1">
        <f t="shared" si="26"/>
        <v>4</v>
      </c>
      <c r="C316" s="1">
        <f t="shared" si="27"/>
        <v>2016</v>
      </c>
      <c r="D316" s="4">
        <v>1.6416999999999999</v>
      </c>
      <c r="E316" s="4">
        <v>1.305151</v>
      </c>
      <c r="F316" s="5">
        <v>295.50599999999997</v>
      </c>
      <c r="H316" s="4">
        <v>5.6315</v>
      </c>
      <c r="I316" s="4">
        <v>64.73</v>
      </c>
      <c r="J316" s="4">
        <v>68.290000000000006</v>
      </c>
      <c r="L316" s="8">
        <f t="shared" si="33"/>
        <v>0.79499969543765614</v>
      </c>
      <c r="M316" s="8">
        <f t="shared" si="34"/>
        <v>0.18</v>
      </c>
      <c r="N316" s="8">
        <f t="shared" si="30"/>
        <v>0.97499969543765608</v>
      </c>
      <c r="O316" s="8"/>
      <c r="P316" s="6">
        <f t="shared" si="35"/>
        <v>85.368399999999994</v>
      </c>
      <c r="Q316" s="6">
        <f t="shared" si="28"/>
        <v>24.011999756350125</v>
      </c>
      <c r="S316" s="4">
        <v>328.45</v>
      </c>
    </row>
    <row r="317" spans="1:19" x14ac:dyDescent="0.25">
      <c r="A317" s="3">
        <v>42485</v>
      </c>
      <c r="B317" s="1">
        <f t="shared" si="26"/>
        <v>4</v>
      </c>
      <c r="C317" s="1">
        <f t="shared" si="27"/>
        <v>2016</v>
      </c>
      <c r="D317" s="4">
        <v>1.6744000000000001</v>
      </c>
      <c r="E317" s="4">
        <v>1.331148</v>
      </c>
      <c r="F317" s="5">
        <v>301.392</v>
      </c>
      <c r="H317" s="4">
        <v>5.7816000000000001</v>
      </c>
      <c r="I317" s="4">
        <v>63.8</v>
      </c>
      <c r="J317" s="4">
        <v>78.7</v>
      </c>
      <c r="L317" s="8">
        <f t="shared" si="33"/>
        <v>0.79499999999999993</v>
      </c>
      <c r="M317" s="8">
        <f t="shared" si="34"/>
        <v>0.18</v>
      </c>
      <c r="N317" s="8">
        <f t="shared" si="30"/>
        <v>0.97499999999999987</v>
      </c>
      <c r="O317" s="8"/>
      <c r="P317" s="6">
        <f t="shared" si="35"/>
        <v>87.06880000000001</v>
      </c>
      <c r="Q317" s="6">
        <f t="shared" si="28"/>
        <v>24.170568561872908</v>
      </c>
      <c r="S317" s="4">
        <v>328.45</v>
      </c>
    </row>
    <row r="318" spans="1:19" x14ac:dyDescent="0.25">
      <c r="A318" s="3">
        <v>42492</v>
      </c>
      <c r="B318" s="1">
        <f t="shared" si="26"/>
        <v>5</v>
      </c>
      <c r="C318" s="1">
        <f t="shared" si="27"/>
        <v>2016</v>
      </c>
      <c r="D318" s="4">
        <v>1.4741500000000001</v>
      </c>
      <c r="E318" s="4">
        <v>1.1719489999999999</v>
      </c>
      <c r="F318" s="5">
        <v>265.34699999999998</v>
      </c>
      <c r="H318" s="4">
        <v>5.6096000000000004</v>
      </c>
      <c r="I318" s="4">
        <v>68.53</v>
      </c>
      <c r="J318" s="4">
        <v>85.52</v>
      </c>
      <c r="L318" s="8">
        <f t="shared" si="33"/>
        <v>0.79499983041074507</v>
      </c>
      <c r="M318" s="8">
        <f t="shared" si="34"/>
        <v>0.18</v>
      </c>
      <c r="N318" s="8">
        <f t="shared" si="30"/>
        <v>0.97499983041074501</v>
      </c>
      <c r="O318" s="8"/>
      <c r="P318" s="6">
        <f t="shared" si="35"/>
        <v>76.655799999999999</v>
      </c>
      <c r="Q318" s="6">
        <f t="shared" si="28"/>
        <v>26.637180748227792</v>
      </c>
      <c r="S318" s="4">
        <v>220.4</v>
      </c>
    </row>
    <row r="319" spans="1:19" x14ac:dyDescent="0.25">
      <c r="A319" s="3">
        <v>42499</v>
      </c>
      <c r="B319" s="1">
        <f t="shared" si="26"/>
        <v>5</v>
      </c>
      <c r="C319" s="1">
        <f t="shared" si="27"/>
        <v>2016</v>
      </c>
      <c r="D319" s="4">
        <v>1.5921000000000001</v>
      </c>
      <c r="E319" s="4">
        <v>1.265719</v>
      </c>
      <c r="F319" s="5">
        <v>286.57799999999997</v>
      </c>
      <c r="H319" s="4">
        <v>5.8105999999999991</v>
      </c>
      <c r="I319" s="4">
        <v>69.64</v>
      </c>
      <c r="J319" s="4">
        <v>70.459999999999994</v>
      </c>
      <c r="L319" s="8">
        <f t="shared" si="33"/>
        <v>0.79499968594937498</v>
      </c>
      <c r="M319" s="8">
        <f t="shared" si="34"/>
        <v>0.18</v>
      </c>
      <c r="N319" s="8">
        <f t="shared" si="30"/>
        <v>0.97499968594937503</v>
      </c>
      <c r="O319" s="8"/>
      <c r="P319" s="6">
        <f t="shared" si="35"/>
        <v>82.789200000000008</v>
      </c>
      <c r="Q319" s="6">
        <f t="shared" si="28"/>
        <v>25.547515859556558</v>
      </c>
      <c r="S319" s="4">
        <v>275.75</v>
      </c>
    </row>
    <row r="320" spans="1:19" x14ac:dyDescent="0.25">
      <c r="A320" s="3">
        <v>42506</v>
      </c>
      <c r="B320" s="1">
        <f t="shared" si="26"/>
        <v>5</v>
      </c>
      <c r="C320" s="1">
        <f t="shared" si="27"/>
        <v>2016</v>
      </c>
      <c r="D320" s="4">
        <v>1.78945</v>
      </c>
      <c r="E320" s="4">
        <v>1.422612</v>
      </c>
      <c r="F320" s="5">
        <v>322.101</v>
      </c>
      <c r="H320" s="4">
        <v>5.8746</v>
      </c>
      <c r="I320" s="4">
        <v>73.010000000000005</v>
      </c>
      <c r="J320" s="4">
        <v>66.05</v>
      </c>
      <c r="L320" s="8">
        <f t="shared" si="33"/>
        <v>0.79499958087680567</v>
      </c>
      <c r="M320" s="8">
        <f t="shared" si="34"/>
        <v>0.18000000000000002</v>
      </c>
      <c r="N320" s="8">
        <f t="shared" si="30"/>
        <v>0.97499958087680572</v>
      </c>
      <c r="O320" s="8"/>
      <c r="P320" s="6">
        <f t="shared" si="35"/>
        <v>93.051400000000001</v>
      </c>
      <c r="Q320" s="6">
        <f t="shared" si="28"/>
        <v>22.980357092961523</v>
      </c>
      <c r="S320" s="4">
        <v>364.3</v>
      </c>
    </row>
    <row r="321" spans="1:19" x14ac:dyDescent="0.25">
      <c r="A321" s="3">
        <v>42513</v>
      </c>
      <c r="B321" s="1">
        <f t="shared" si="26"/>
        <v>5</v>
      </c>
      <c r="C321" s="1">
        <f t="shared" si="27"/>
        <v>2016</v>
      </c>
      <c r="D321" s="4">
        <v>1.9060999999999999</v>
      </c>
      <c r="E321" s="4">
        <v>1.5153490000000001</v>
      </c>
      <c r="F321" s="5">
        <v>343.09800000000001</v>
      </c>
      <c r="H321" s="4">
        <v>6.0236000000000001</v>
      </c>
      <c r="I321" s="4">
        <v>76.62</v>
      </c>
      <c r="J321" s="4">
        <v>72.290000000000006</v>
      </c>
      <c r="L321" s="8">
        <f t="shared" si="33"/>
        <v>0.7949997376842769</v>
      </c>
      <c r="M321" s="8">
        <f t="shared" si="34"/>
        <v>0.18000000000000002</v>
      </c>
      <c r="N321" s="8">
        <f t="shared" si="30"/>
        <v>0.97499973768427695</v>
      </c>
      <c r="O321" s="8"/>
      <c r="P321" s="6">
        <f t="shared" si="35"/>
        <v>99.117199999999997</v>
      </c>
      <c r="Q321" s="6">
        <f t="shared" si="28"/>
        <v>22.121189864120456</v>
      </c>
      <c r="S321" s="4">
        <v>290.3</v>
      </c>
    </row>
    <row r="322" spans="1:19" x14ac:dyDescent="0.25">
      <c r="A322" s="3">
        <v>42520</v>
      </c>
      <c r="B322" s="1">
        <f t="shared" ref="B322:B385" si="36">MONTH(A322)</f>
        <v>5</v>
      </c>
      <c r="C322" s="1">
        <f t="shared" ref="C322:C385" si="37">YEAR(A322)</f>
        <v>2016</v>
      </c>
      <c r="D322" s="4">
        <v>1.81985</v>
      </c>
      <c r="E322" s="4">
        <v>1.44678</v>
      </c>
      <c r="F322" s="5">
        <v>327.57299999999998</v>
      </c>
      <c r="H322" s="4"/>
      <c r="I322" s="7">
        <f>AVERAGE(I321,I323)</f>
        <v>80.88</v>
      </c>
      <c r="J322" s="4">
        <v>74.319999999999993</v>
      </c>
      <c r="L322" s="8">
        <f t="shared" si="33"/>
        <v>0.79499958787812186</v>
      </c>
      <c r="M322" s="8">
        <f t="shared" si="34"/>
        <v>0.18</v>
      </c>
      <c r="N322" s="8">
        <f t="shared" si="30"/>
        <v>0.97499958787812191</v>
      </c>
      <c r="O322" s="8"/>
      <c r="P322" s="6">
        <f t="shared" si="35"/>
        <v>94.632199999999997</v>
      </c>
      <c r="Q322" s="6" t="str">
        <f t="shared" si="28"/>
        <v/>
      </c>
      <c r="S322" s="4">
        <v>454.9</v>
      </c>
    </row>
    <row r="323" spans="1:19" x14ac:dyDescent="0.25">
      <c r="A323" s="3">
        <v>42527</v>
      </c>
      <c r="B323" s="1">
        <f t="shared" si="36"/>
        <v>6</v>
      </c>
      <c r="C323" s="1">
        <f t="shared" si="37"/>
        <v>2016</v>
      </c>
      <c r="D323" s="4">
        <v>1.7259</v>
      </c>
      <c r="E323" s="4">
        <v>1.37209</v>
      </c>
      <c r="F323" s="5">
        <v>310.66199999999998</v>
      </c>
      <c r="H323" s="4">
        <v>6.1189</v>
      </c>
      <c r="I323" s="4">
        <v>85.14</v>
      </c>
      <c r="J323" s="4">
        <v>72.64</v>
      </c>
      <c r="L323" s="8">
        <f t="shared" si="33"/>
        <v>0.79499971029607741</v>
      </c>
      <c r="M323" s="8">
        <f t="shared" si="34"/>
        <v>0.18</v>
      </c>
      <c r="N323" s="8">
        <f t="shared" si="30"/>
        <v>0.97499971029607746</v>
      </c>
      <c r="O323" s="8"/>
      <c r="P323" s="6">
        <f t="shared" si="35"/>
        <v>89.746799999999993</v>
      </c>
      <c r="Q323" s="6">
        <f t="shared" si="28"/>
        <v>24.817370647198562</v>
      </c>
      <c r="S323" s="4">
        <v>544.65</v>
      </c>
    </row>
    <row r="324" spans="1:19" x14ac:dyDescent="0.25">
      <c r="A324" s="3">
        <v>42534</v>
      </c>
      <c r="B324" s="1">
        <f t="shared" si="36"/>
        <v>6</v>
      </c>
      <c r="C324" s="1">
        <f t="shared" si="37"/>
        <v>2016</v>
      </c>
      <c r="D324" s="4">
        <v>1.66605</v>
      </c>
      <c r="E324" s="4">
        <v>1.3245089999999999</v>
      </c>
      <c r="F324" s="5">
        <v>299.88900000000001</v>
      </c>
      <c r="H324" s="4">
        <v>6.2359</v>
      </c>
      <c r="I324" s="4">
        <v>91.25</v>
      </c>
      <c r="J324" s="4">
        <v>62.28</v>
      </c>
      <c r="L324" s="8">
        <f t="shared" si="33"/>
        <v>0.79499954983343835</v>
      </c>
      <c r="M324" s="8">
        <f t="shared" si="34"/>
        <v>0.18</v>
      </c>
      <c r="N324" s="8">
        <f t="shared" si="30"/>
        <v>0.97499954983343828</v>
      </c>
      <c r="O324" s="8"/>
      <c r="P324" s="6">
        <f t="shared" si="35"/>
        <v>86.634600000000006</v>
      </c>
      <c r="Q324" s="6">
        <f t="shared" si="28"/>
        <v>26.200474175444914</v>
      </c>
      <c r="S324" s="4">
        <v>661.8</v>
      </c>
    </row>
    <row r="325" spans="1:19" x14ac:dyDescent="0.25">
      <c r="A325" s="3">
        <v>42541</v>
      </c>
      <c r="B325" s="1">
        <f t="shared" si="36"/>
        <v>6</v>
      </c>
      <c r="C325" s="1">
        <f t="shared" si="37"/>
        <v>2016</v>
      </c>
      <c r="D325" s="4">
        <v>1.73655</v>
      </c>
      <c r="E325" s="4">
        <v>1.380557</v>
      </c>
      <c r="F325" s="5">
        <v>312.57900000000001</v>
      </c>
      <c r="H325" s="4">
        <v>6.2916999999999996</v>
      </c>
      <c r="I325" s="4">
        <v>92.47</v>
      </c>
      <c r="J325" s="4">
        <v>61.94</v>
      </c>
      <c r="L325" s="8">
        <f t="shared" si="33"/>
        <v>0.794999856036394</v>
      </c>
      <c r="M325" s="8">
        <f t="shared" si="34"/>
        <v>0.18</v>
      </c>
      <c r="N325" s="8">
        <f t="shared" si="30"/>
        <v>0.97499985603639394</v>
      </c>
      <c r="O325" s="8"/>
      <c r="P325" s="6">
        <f t="shared" si="35"/>
        <v>90.300600000000003</v>
      </c>
      <c r="Q325" s="6">
        <f t="shared" si="28"/>
        <v>25.361722956436612</v>
      </c>
      <c r="S325" s="4">
        <v>635.25</v>
      </c>
    </row>
    <row r="326" spans="1:19" x14ac:dyDescent="0.25">
      <c r="A326" s="3">
        <v>42548</v>
      </c>
      <c r="B326" s="1">
        <f t="shared" si="36"/>
        <v>6</v>
      </c>
      <c r="C326" s="1">
        <f t="shared" si="37"/>
        <v>2016</v>
      </c>
      <c r="D326" s="4">
        <v>1.6812</v>
      </c>
      <c r="E326" s="4">
        <v>1.336554</v>
      </c>
      <c r="F326" s="5">
        <v>302.61599999999999</v>
      </c>
      <c r="H326" s="4">
        <v>6.3224999999999998</v>
      </c>
      <c r="I326" s="4">
        <v>102.46</v>
      </c>
      <c r="J326" s="4">
        <v>72.56</v>
      </c>
      <c r="L326" s="8">
        <f t="shared" si="33"/>
        <v>0.79500000000000004</v>
      </c>
      <c r="M326" s="8">
        <f t="shared" si="34"/>
        <v>0.18</v>
      </c>
      <c r="N326" s="8">
        <f t="shared" si="30"/>
        <v>0.97500000000000009</v>
      </c>
      <c r="O326" s="8"/>
      <c r="P326" s="6">
        <f t="shared" si="35"/>
        <v>87.422399999999996</v>
      </c>
      <c r="Q326" s="6">
        <f t="shared" si="28"/>
        <v>26.324946466809422</v>
      </c>
      <c r="S326" s="4">
        <v>548.65</v>
      </c>
    </row>
    <row r="327" spans="1:19" x14ac:dyDescent="0.25">
      <c r="A327" s="3">
        <v>42555</v>
      </c>
      <c r="B327" s="1">
        <f t="shared" si="36"/>
        <v>7</v>
      </c>
      <c r="C327" s="1">
        <f t="shared" si="37"/>
        <v>2016</v>
      </c>
      <c r="D327" s="4">
        <v>1.6232</v>
      </c>
      <c r="E327" s="4">
        <v>1.2904439999999999</v>
      </c>
      <c r="F327" s="5">
        <v>292.17599999999999</v>
      </c>
      <c r="H327" s="4">
        <v>6.1712999999999996</v>
      </c>
      <c r="I327" s="4">
        <v>107.16</v>
      </c>
      <c r="J327" s="4">
        <v>76</v>
      </c>
      <c r="L327" s="8">
        <f t="shared" si="33"/>
        <v>0.79499999999999993</v>
      </c>
      <c r="M327" s="8">
        <f t="shared" si="34"/>
        <v>0.18</v>
      </c>
      <c r="N327" s="8">
        <f t="shared" si="30"/>
        <v>0.97499999999999987</v>
      </c>
      <c r="O327" s="8"/>
      <c r="P327" s="6">
        <f t="shared" si="35"/>
        <v>84.406400000000005</v>
      </c>
      <c r="Q327" s="6">
        <f t="shared" si="28"/>
        <v>26.613541153277474</v>
      </c>
      <c r="S327" s="4">
        <v>492.3</v>
      </c>
    </row>
    <row r="328" spans="1:19" x14ac:dyDescent="0.25">
      <c r="A328" s="3">
        <v>42562</v>
      </c>
      <c r="B328" s="1">
        <f t="shared" si="36"/>
        <v>7</v>
      </c>
      <c r="C328" s="1">
        <f t="shared" si="37"/>
        <v>2016</v>
      </c>
      <c r="D328" s="4">
        <v>1.70289</v>
      </c>
      <c r="E328" s="4">
        <v>1.3537969999999999</v>
      </c>
      <c r="F328" s="5">
        <v>306.52</v>
      </c>
      <c r="H328" s="4">
        <v>6.1204999999999998</v>
      </c>
      <c r="I328" s="4">
        <v>108.99</v>
      </c>
      <c r="J328" s="4">
        <v>78.09</v>
      </c>
      <c r="L328" s="8">
        <f t="shared" si="33"/>
        <v>0.79499967701965479</v>
      </c>
      <c r="M328" s="8">
        <f t="shared" si="34"/>
        <v>0.17999988255260171</v>
      </c>
      <c r="N328" s="8">
        <f t="shared" si="30"/>
        <v>0.97499955957225648</v>
      </c>
      <c r="O328" s="8"/>
      <c r="P328" s="6">
        <f t="shared" si="35"/>
        <v>88.550280000000001</v>
      </c>
      <c r="Q328" s="6">
        <f t="shared" si="28"/>
        <v>25.159288033871828</v>
      </c>
      <c r="S328" s="4">
        <v>19.649999999999999</v>
      </c>
    </row>
    <row r="329" spans="1:19" x14ac:dyDescent="0.25">
      <c r="A329" s="3">
        <v>42569</v>
      </c>
      <c r="B329" s="1">
        <f t="shared" si="36"/>
        <v>7</v>
      </c>
      <c r="C329" s="1">
        <f t="shared" si="37"/>
        <v>2016</v>
      </c>
      <c r="D329" s="4">
        <v>1.7832399999999999</v>
      </c>
      <c r="E329" s="4">
        <v>1.417675</v>
      </c>
      <c r="F329" s="5">
        <v>320.983</v>
      </c>
      <c r="H329" s="4">
        <v>6.1004999999999994</v>
      </c>
      <c r="I329" s="4">
        <v>110.68</v>
      </c>
      <c r="J329" s="4">
        <v>85.29</v>
      </c>
      <c r="L329" s="8">
        <f t="shared" si="33"/>
        <v>0.79499955137838996</v>
      </c>
      <c r="M329" s="8">
        <f t="shared" si="34"/>
        <v>0.1799998878445975</v>
      </c>
      <c r="N329" s="8">
        <f t="shared" si="30"/>
        <v>0.97499943922298749</v>
      </c>
      <c r="O329" s="8"/>
      <c r="P329" s="6">
        <f t="shared" si="35"/>
        <v>92.72847999999999</v>
      </c>
      <c r="Q329" s="6">
        <f t="shared" si="28"/>
        <v>23.947141158789616</v>
      </c>
      <c r="S329" s="4">
        <v>-126.45</v>
      </c>
    </row>
    <row r="330" spans="1:19" x14ac:dyDescent="0.25">
      <c r="A330" s="3">
        <v>42576</v>
      </c>
      <c r="B330" s="1">
        <f t="shared" si="36"/>
        <v>7</v>
      </c>
      <c r="C330" s="1">
        <f t="shared" si="37"/>
        <v>2016</v>
      </c>
      <c r="D330" s="4">
        <v>1.6254900000000001</v>
      </c>
      <c r="E330" s="4">
        <v>1.2922640000000001</v>
      </c>
      <c r="F330" s="5">
        <v>292.58800000000002</v>
      </c>
      <c r="H330" s="4"/>
      <c r="I330" s="4"/>
      <c r="J330" s="4">
        <v>92.63</v>
      </c>
      <c r="L330" s="8">
        <f t="shared" si="33"/>
        <v>0.79499966164048996</v>
      </c>
      <c r="M330" s="8">
        <f t="shared" si="34"/>
        <v>0.17999987696017816</v>
      </c>
      <c r="N330" s="8">
        <f t="shared" si="30"/>
        <v>0.97499953860066813</v>
      </c>
      <c r="O330" s="8"/>
      <c r="P330" s="6">
        <f t="shared" si="35"/>
        <v>84.525480000000002</v>
      </c>
      <c r="Q330" s="6" t="str">
        <f t="shared" si="28"/>
        <v/>
      </c>
      <c r="S330" s="4">
        <v>-159.85</v>
      </c>
    </row>
    <row r="331" spans="1:19" x14ac:dyDescent="0.25">
      <c r="A331" s="3">
        <v>42583</v>
      </c>
      <c r="B331" s="1">
        <f t="shared" si="36"/>
        <v>8</v>
      </c>
      <c r="C331" s="1">
        <f t="shared" si="37"/>
        <v>2016</v>
      </c>
      <c r="D331" s="4">
        <v>1.5230999999999999</v>
      </c>
      <c r="E331" s="4">
        <v>1.2108639999999999</v>
      </c>
      <c r="F331" s="5">
        <v>274.15800000000002</v>
      </c>
      <c r="H331" s="4">
        <v>6.5302999999999995</v>
      </c>
      <c r="I331" s="4">
        <v>115.86</v>
      </c>
      <c r="J331" s="4">
        <v>76</v>
      </c>
      <c r="L331" s="8">
        <f t="shared" si="33"/>
        <v>0.79499967172214558</v>
      </c>
      <c r="M331" s="8">
        <f t="shared" si="34"/>
        <v>0.18000000000000002</v>
      </c>
      <c r="N331" s="8">
        <f t="shared" si="30"/>
        <v>0.97499967172214563</v>
      </c>
      <c r="O331" s="8"/>
      <c r="P331" s="6">
        <f t="shared" si="35"/>
        <v>79.2012</v>
      </c>
      <c r="Q331" s="6">
        <f t="shared" si="28"/>
        <v>30.012540214037163</v>
      </c>
      <c r="S331" s="4">
        <v>-231.1</v>
      </c>
    </row>
    <row r="332" spans="1:19" x14ac:dyDescent="0.25">
      <c r="A332" s="3">
        <v>42590</v>
      </c>
      <c r="B332" s="1">
        <f t="shared" si="36"/>
        <v>8</v>
      </c>
      <c r="C332" s="1">
        <f t="shared" si="37"/>
        <v>2016</v>
      </c>
      <c r="D332" s="4">
        <v>1.6258999999999999</v>
      </c>
      <c r="E332" s="4">
        <v>1.2957700000000001</v>
      </c>
      <c r="F332" s="5">
        <v>293.38200000000001</v>
      </c>
      <c r="H332" s="4">
        <v>6.5223000000000004</v>
      </c>
      <c r="I332" s="4">
        <v>115.82</v>
      </c>
      <c r="J332" s="4">
        <v>84.32</v>
      </c>
      <c r="L332" s="8">
        <f t="shared" si="33"/>
        <v>0.79695553232056104</v>
      </c>
      <c r="M332" s="8">
        <f t="shared" si="34"/>
        <v>0.18044283166246389</v>
      </c>
      <c r="N332" s="8">
        <f t="shared" si="30"/>
        <v>0.97739836398302493</v>
      </c>
      <c r="O332" s="8"/>
      <c r="P332" s="6">
        <f t="shared" si="35"/>
        <v>84.54679999999999</v>
      </c>
      <c r="Q332" s="6">
        <f t="shared" si="28"/>
        <v>28.080509256411837</v>
      </c>
      <c r="S332" s="4">
        <v>-164.3</v>
      </c>
    </row>
    <row r="333" spans="1:19" x14ac:dyDescent="0.25">
      <c r="A333" s="3">
        <v>42597</v>
      </c>
      <c r="B333" s="1">
        <f t="shared" si="36"/>
        <v>8</v>
      </c>
      <c r="C333" s="1">
        <f t="shared" si="37"/>
        <v>2016</v>
      </c>
      <c r="D333" s="4">
        <v>1.7387999999999999</v>
      </c>
      <c r="E333" s="7">
        <f>AVERAGE(E332,E334)</f>
        <v>1.3390580000000001</v>
      </c>
      <c r="F333" s="7">
        <f>AVERAGE(F332,F334)</f>
        <v>307.68299999999999</v>
      </c>
      <c r="H333" s="4">
        <v>6.5652999999999997</v>
      </c>
      <c r="I333" s="4">
        <v>115.39</v>
      </c>
      <c r="J333" s="4">
        <v>85.77</v>
      </c>
      <c r="L333" s="8">
        <f t="shared" si="33"/>
        <v>0.77010466988727866</v>
      </c>
      <c r="M333" s="8">
        <f t="shared" si="34"/>
        <v>0.17695134575569357</v>
      </c>
      <c r="N333" s="8">
        <f t="shared" si="30"/>
        <v>0.94705601564297226</v>
      </c>
      <c r="O333" s="8"/>
      <c r="P333" s="6">
        <f t="shared" si="35"/>
        <v>90.417599999999993</v>
      </c>
      <c r="Q333" s="6">
        <f t="shared" si="28"/>
        <v>26.43035426731079</v>
      </c>
      <c r="S333" s="4">
        <v>-112</v>
      </c>
    </row>
    <row r="334" spans="1:19" x14ac:dyDescent="0.25">
      <c r="A334" s="3">
        <v>42604</v>
      </c>
      <c r="B334" s="1">
        <f t="shared" si="36"/>
        <v>8</v>
      </c>
      <c r="C334" s="1">
        <f t="shared" si="37"/>
        <v>2016</v>
      </c>
      <c r="D334" s="4">
        <v>1.7387999999999999</v>
      </c>
      <c r="E334" s="4">
        <v>1.3823460000000001</v>
      </c>
      <c r="F334" s="5">
        <v>321.98399999999998</v>
      </c>
      <c r="H334" s="4">
        <v>6.4342999999999995</v>
      </c>
      <c r="I334" s="4">
        <v>116.73</v>
      </c>
      <c r="J334" s="4">
        <v>80.95</v>
      </c>
      <c r="L334" s="8">
        <f t="shared" si="33"/>
        <v>0.79500000000000004</v>
      </c>
      <c r="M334" s="8">
        <f t="shared" si="34"/>
        <v>0.18517598343685301</v>
      </c>
      <c r="N334" s="8">
        <f t="shared" si="30"/>
        <v>0.98017598343685308</v>
      </c>
      <c r="O334" s="8"/>
      <c r="P334" s="6">
        <f t="shared" si="35"/>
        <v>90.417599999999993</v>
      </c>
      <c r="Q334" s="6">
        <f t="shared" si="28"/>
        <v>25.902979066022542</v>
      </c>
      <c r="S334" s="4">
        <v>-95.8</v>
      </c>
    </row>
    <row r="335" spans="1:19" x14ac:dyDescent="0.25">
      <c r="A335" s="3">
        <v>42611</v>
      </c>
      <c r="B335" s="1">
        <f t="shared" si="36"/>
        <v>8</v>
      </c>
      <c r="C335" s="1">
        <f t="shared" si="37"/>
        <v>2016</v>
      </c>
      <c r="D335" s="4">
        <v>1.5867</v>
      </c>
      <c r="E335" s="4">
        <v>1.2614259999999999</v>
      </c>
      <c r="F335" s="5">
        <v>285.60599999999999</v>
      </c>
      <c r="H335" s="4">
        <v>6.6234999999999999</v>
      </c>
      <c r="I335" s="4">
        <v>120.32</v>
      </c>
      <c r="J335" s="4">
        <v>72.849999999999994</v>
      </c>
      <c r="L335" s="8">
        <f t="shared" si="33"/>
        <v>0.79499968488056971</v>
      </c>
      <c r="M335" s="8">
        <f t="shared" si="34"/>
        <v>0.18</v>
      </c>
      <c r="N335" s="8">
        <f t="shared" si="30"/>
        <v>0.97499968488056976</v>
      </c>
      <c r="O335" s="8"/>
      <c r="P335" s="6">
        <f t="shared" si="35"/>
        <v>82.508399999999995</v>
      </c>
      <c r="Q335" s="6">
        <f t="shared" si="28"/>
        <v>29.220709648956955</v>
      </c>
      <c r="S335" s="4">
        <v>-119.95</v>
      </c>
    </row>
    <row r="336" spans="1:19" x14ac:dyDescent="0.25">
      <c r="A336" s="3">
        <v>42618</v>
      </c>
      <c r="B336" s="1">
        <f t="shared" si="36"/>
        <v>9</v>
      </c>
      <c r="C336" s="1">
        <f t="shared" si="37"/>
        <v>2016</v>
      </c>
      <c r="D336" s="4">
        <v>1.5338000000000001</v>
      </c>
      <c r="E336" s="4">
        <v>1.219371</v>
      </c>
      <c r="F336" s="5">
        <v>276.084</v>
      </c>
      <c r="H336" s="4">
        <v>6.7484999999999999</v>
      </c>
      <c r="I336" s="4">
        <v>118.14</v>
      </c>
      <c r="J336" s="4">
        <v>62.12</v>
      </c>
      <c r="L336" s="8">
        <f t="shared" si="33"/>
        <v>0.79499999999999993</v>
      </c>
      <c r="M336" s="8">
        <f t="shared" si="34"/>
        <v>0.18</v>
      </c>
      <c r="N336" s="8">
        <f t="shared" si="30"/>
        <v>0.97499999999999987</v>
      </c>
      <c r="O336" s="8"/>
      <c r="P336" s="6">
        <f t="shared" si="35"/>
        <v>79.757599999999996</v>
      </c>
      <c r="Q336" s="6">
        <f t="shared" si="28"/>
        <v>30.798995957751984</v>
      </c>
      <c r="S336" s="4">
        <v>-63</v>
      </c>
    </row>
    <row r="337" spans="1:19" x14ac:dyDescent="0.25">
      <c r="A337" s="3">
        <v>42625</v>
      </c>
      <c r="B337" s="1">
        <f t="shared" si="36"/>
        <v>9</v>
      </c>
      <c r="C337" s="1">
        <f t="shared" si="37"/>
        <v>2016</v>
      </c>
      <c r="D337" s="4">
        <v>1.665</v>
      </c>
      <c r="E337" s="4">
        <v>1.3236749999999999</v>
      </c>
      <c r="F337" s="5">
        <v>299.7</v>
      </c>
      <c r="H337" s="4">
        <v>6.3123000000000005</v>
      </c>
      <c r="I337" s="4">
        <v>117.34</v>
      </c>
      <c r="J337" s="4">
        <v>57.59</v>
      </c>
      <c r="L337" s="8">
        <f t="shared" si="33"/>
        <v>0.79499999999999993</v>
      </c>
      <c r="M337" s="8">
        <f t="shared" si="34"/>
        <v>0.17999999999999997</v>
      </c>
      <c r="N337" s="8">
        <f t="shared" si="30"/>
        <v>0.97499999999999987</v>
      </c>
      <c r="O337" s="8"/>
      <c r="P337" s="6">
        <f t="shared" si="35"/>
        <v>86.58</v>
      </c>
      <c r="Q337" s="6">
        <f t="shared" si="28"/>
        <v>26.538198198198202</v>
      </c>
      <c r="S337" s="4">
        <v>-63</v>
      </c>
    </row>
    <row r="338" spans="1:19" x14ac:dyDescent="0.25">
      <c r="A338" s="3">
        <v>42632</v>
      </c>
      <c r="B338" s="1">
        <f t="shared" si="36"/>
        <v>9</v>
      </c>
      <c r="C338" s="1">
        <f t="shared" si="37"/>
        <v>2016</v>
      </c>
      <c r="D338" s="4">
        <v>1.58755</v>
      </c>
      <c r="E338" s="4">
        <v>1.2621020000000001</v>
      </c>
      <c r="F338" s="5">
        <v>285.75900000000001</v>
      </c>
      <c r="H338" s="4">
        <v>6.1882000000000001</v>
      </c>
      <c r="I338" s="4">
        <v>118.94</v>
      </c>
      <c r="J338" s="4">
        <v>57.76</v>
      </c>
      <c r="L338" s="8">
        <f t="shared" si="33"/>
        <v>0.79499984252464495</v>
      </c>
      <c r="M338" s="8">
        <f t="shared" si="34"/>
        <v>0.18000000000000002</v>
      </c>
      <c r="N338" s="8">
        <f t="shared" si="30"/>
        <v>0.974999842524645</v>
      </c>
      <c r="O338" s="8"/>
      <c r="P338" s="6">
        <f t="shared" si="35"/>
        <v>82.552599999999998</v>
      </c>
      <c r="Q338" s="6">
        <f t="shared" si="28"/>
        <v>27.285691789234985</v>
      </c>
      <c r="S338" s="4">
        <v>-31</v>
      </c>
    </row>
    <row r="339" spans="1:19" x14ac:dyDescent="0.25">
      <c r="A339" s="3">
        <v>42639</v>
      </c>
      <c r="B339" s="1">
        <f t="shared" si="36"/>
        <v>9</v>
      </c>
      <c r="C339" s="1">
        <f t="shared" si="37"/>
        <v>2016</v>
      </c>
      <c r="D339" s="7">
        <f>AVERAGE(D338,D340)</f>
        <v>1.5931500000000001</v>
      </c>
      <c r="E339" s="7">
        <f>AVERAGE(E338,E340)</f>
        <v>1.2665540000000002</v>
      </c>
      <c r="F339" s="7">
        <f>AVERAGE(F338,F340)</f>
        <v>286.767</v>
      </c>
      <c r="H339" s="4"/>
      <c r="I339" s="7">
        <f>(($I$341-$I$338)/3)+I338</f>
        <v>118.96</v>
      </c>
      <c r="J339" s="4"/>
      <c r="L339" s="8">
        <f t="shared" si="33"/>
        <v>0.7949998430781785</v>
      </c>
      <c r="M339" s="8">
        <f t="shared" si="34"/>
        <v>0.18</v>
      </c>
      <c r="N339" s="8">
        <f t="shared" si="30"/>
        <v>0.97499984307817855</v>
      </c>
      <c r="O339" s="8"/>
      <c r="P339" s="6">
        <f t="shared" si="35"/>
        <v>82.843800000000002</v>
      </c>
      <c r="Q339" s="6" t="str">
        <f t="shared" si="28"/>
        <v/>
      </c>
      <c r="S339" s="4">
        <v>-11</v>
      </c>
    </row>
    <row r="340" spans="1:19" x14ac:dyDescent="0.25">
      <c r="A340" s="3">
        <v>42646</v>
      </c>
      <c r="B340" s="1">
        <f t="shared" si="36"/>
        <v>10</v>
      </c>
      <c r="C340" s="1">
        <f t="shared" si="37"/>
        <v>2016</v>
      </c>
      <c r="D340" s="4">
        <v>1.5987499999999999</v>
      </c>
      <c r="E340" s="4">
        <v>1.2710060000000001</v>
      </c>
      <c r="F340" s="5">
        <v>287.77499999999998</v>
      </c>
      <c r="H340" s="4"/>
      <c r="I340" s="7">
        <f>(($I$341-$I$338)/3)+I339</f>
        <v>118.97999999999999</v>
      </c>
      <c r="J340" s="4">
        <v>72.64</v>
      </c>
      <c r="L340" s="8">
        <f t="shared" si="33"/>
        <v>0.79499984362783438</v>
      </c>
      <c r="M340" s="8">
        <f t="shared" si="34"/>
        <v>0.18000000000000002</v>
      </c>
      <c r="N340" s="8">
        <f t="shared" si="30"/>
        <v>0.97499984362783443</v>
      </c>
      <c r="O340" s="8"/>
      <c r="P340" s="6">
        <f t="shared" si="35"/>
        <v>83.134999999999991</v>
      </c>
      <c r="Q340" s="6" t="str">
        <f t="shared" ref="Q340:Q403" si="38">IF(H340="","",IF(D340="","",H340/(D340/7)))</f>
        <v/>
      </c>
      <c r="S340" s="4">
        <v>-11</v>
      </c>
    </row>
    <row r="341" spans="1:19" x14ac:dyDescent="0.25">
      <c r="A341" s="3">
        <v>42653</v>
      </c>
      <c r="B341" s="1">
        <f t="shared" si="36"/>
        <v>10</v>
      </c>
      <c r="C341" s="1">
        <f t="shared" si="37"/>
        <v>2016</v>
      </c>
      <c r="D341" s="4">
        <v>1.5904499999999999</v>
      </c>
      <c r="E341" s="4">
        <v>1.2596369999999999</v>
      </c>
      <c r="F341" s="5">
        <v>285.20100000000002</v>
      </c>
      <c r="H341" s="4">
        <v>5.8392999999999997</v>
      </c>
      <c r="I341" s="4">
        <v>119</v>
      </c>
      <c r="J341" s="4">
        <v>57.76</v>
      </c>
      <c r="L341" s="8">
        <f t="shared" si="33"/>
        <v>0.79200037725172123</v>
      </c>
      <c r="M341" s="8">
        <f t="shared" si="34"/>
        <v>0.17932094690182027</v>
      </c>
      <c r="N341" s="8">
        <f t="shared" si="30"/>
        <v>0.97132132415354144</v>
      </c>
      <c r="O341" s="8"/>
      <c r="P341" s="6">
        <f t="shared" si="35"/>
        <v>82.703400000000002</v>
      </c>
      <c r="Q341" s="6">
        <f t="shared" si="38"/>
        <v>25.700336382784744</v>
      </c>
      <c r="S341" s="4">
        <v>-2</v>
      </c>
    </row>
    <row r="342" spans="1:19" x14ac:dyDescent="0.25">
      <c r="A342" s="3">
        <v>42660</v>
      </c>
      <c r="B342" s="1">
        <f t="shared" si="36"/>
        <v>10</v>
      </c>
      <c r="C342" s="1">
        <f t="shared" si="37"/>
        <v>2016</v>
      </c>
      <c r="D342" s="4">
        <v>1.65785</v>
      </c>
      <c r="E342" s="7">
        <f>AVERAGE(E341,E343)</f>
        <v>1.2888134999999998</v>
      </c>
      <c r="F342" s="7">
        <f>AVERAGE(F341,F343)</f>
        <v>291.80700000000002</v>
      </c>
      <c r="H342" s="4">
        <v>5.4169000000000009</v>
      </c>
      <c r="I342" s="4">
        <v>117.61</v>
      </c>
      <c r="J342" s="4">
        <v>56.93</v>
      </c>
      <c r="L342" s="8">
        <f t="shared" si="33"/>
        <v>0.77740054890370047</v>
      </c>
      <c r="M342" s="8">
        <f t="shared" si="34"/>
        <v>0.17601532104834577</v>
      </c>
      <c r="N342" s="8">
        <f t="shared" si="30"/>
        <v>0.9534158699520463</v>
      </c>
      <c r="O342" s="8"/>
      <c r="P342" s="6">
        <f t="shared" si="35"/>
        <v>86.208200000000005</v>
      </c>
      <c r="Q342" s="6">
        <f t="shared" si="38"/>
        <v>22.871972735772239</v>
      </c>
      <c r="S342" s="4">
        <v>16</v>
      </c>
    </row>
    <row r="343" spans="1:19" x14ac:dyDescent="0.25">
      <c r="A343" s="3">
        <v>42667</v>
      </c>
      <c r="B343" s="1">
        <f t="shared" si="36"/>
        <v>10</v>
      </c>
      <c r="C343" s="1">
        <f t="shared" si="37"/>
        <v>2016</v>
      </c>
      <c r="D343" s="4">
        <v>1.65785</v>
      </c>
      <c r="E343" s="4">
        <v>1.31799</v>
      </c>
      <c r="F343" s="5">
        <v>298.41300000000001</v>
      </c>
      <c r="H343" s="4">
        <v>5.5869000000000009</v>
      </c>
      <c r="I343" s="4">
        <v>113.34</v>
      </c>
      <c r="J343" s="4">
        <v>51.35</v>
      </c>
      <c r="L343" s="8">
        <f t="shared" si="33"/>
        <v>0.79499954760684011</v>
      </c>
      <c r="M343" s="8">
        <f t="shared" si="34"/>
        <v>0.18</v>
      </c>
      <c r="N343" s="8">
        <f t="shared" si="30"/>
        <v>0.97499954760684004</v>
      </c>
      <c r="O343" s="8"/>
      <c r="P343" s="6">
        <f t="shared" si="35"/>
        <v>86.208200000000005</v>
      </c>
      <c r="Q343" s="6">
        <f t="shared" si="38"/>
        <v>23.589769882679377</v>
      </c>
      <c r="S343" s="4">
        <v>88.95</v>
      </c>
    </row>
    <row r="344" spans="1:19" x14ac:dyDescent="0.25">
      <c r="A344" s="3">
        <v>42674</v>
      </c>
      <c r="B344" s="1">
        <f t="shared" si="36"/>
        <v>10</v>
      </c>
      <c r="C344" s="1">
        <f t="shared" si="37"/>
        <v>2016</v>
      </c>
      <c r="D344" s="4">
        <v>1.7142500000000001</v>
      </c>
      <c r="E344" s="4">
        <v>1.31799</v>
      </c>
      <c r="F344" s="5">
        <v>298.41300000000001</v>
      </c>
      <c r="H344" s="4">
        <v>5.5083000000000002</v>
      </c>
      <c r="I344" s="4">
        <v>107.63</v>
      </c>
      <c r="J344" s="4">
        <v>49.52</v>
      </c>
      <c r="L344" s="8">
        <f t="shared" si="33"/>
        <v>0.76884351757328273</v>
      </c>
      <c r="M344" s="8">
        <f t="shared" si="34"/>
        <v>0.17407787662242963</v>
      </c>
      <c r="N344" s="8">
        <f t="shared" si="30"/>
        <v>0.94292139419571241</v>
      </c>
      <c r="O344" s="8"/>
      <c r="P344" s="6">
        <f t="shared" si="35"/>
        <v>89.141000000000005</v>
      </c>
      <c r="Q344" s="6">
        <f t="shared" si="38"/>
        <v>22.492693597783287</v>
      </c>
      <c r="S344" s="4">
        <v>35</v>
      </c>
    </row>
    <row r="345" spans="1:19" x14ac:dyDescent="0.25">
      <c r="A345" s="3">
        <v>42681</v>
      </c>
      <c r="B345" s="1">
        <f t="shared" si="36"/>
        <v>11</v>
      </c>
      <c r="C345" s="1">
        <f t="shared" si="37"/>
        <v>2016</v>
      </c>
      <c r="D345" s="4">
        <v>1.7682500000000001</v>
      </c>
      <c r="E345" s="4">
        <v>1.4057580000000001</v>
      </c>
      <c r="F345" s="5">
        <v>318.28500000000003</v>
      </c>
      <c r="H345" s="4">
        <v>5.4754999999999994</v>
      </c>
      <c r="I345" s="4">
        <v>106.54</v>
      </c>
      <c r="J345" s="4">
        <v>44</v>
      </c>
      <c r="L345" s="8">
        <f t="shared" si="33"/>
        <v>0.7949995758518309</v>
      </c>
      <c r="M345" s="8">
        <f t="shared" si="34"/>
        <v>0.18000000000000002</v>
      </c>
      <c r="N345" s="8">
        <f t="shared" si="30"/>
        <v>0.97499957585183095</v>
      </c>
      <c r="O345" s="8"/>
      <c r="P345" s="6">
        <f t="shared" si="35"/>
        <v>91.949000000000012</v>
      </c>
      <c r="Q345" s="6">
        <f t="shared" si="38"/>
        <v>21.675950798812384</v>
      </c>
      <c r="S345" s="4">
        <v>82</v>
      </c>
    </row>
    <row r="346" spans="1:19" x14ac:dyDescent="0.25">
      <c r="A346" s="3">
        <v>42688</v>
      </c>
      <c r="B346" s="1">
        <f t="shared" si="36"/>
        <v>11</v>
      </c>
      <c r="C346" s="1">
        <f t="shared" si="37"/>
        <v>2016</v>
      </c>
      <c r="D346" s="4">
        <v>1.8098000000000001</v>
      </c>
      <c r="E346" s="4">
        <v>1.4387909999999999</v>
      </c>
      <c r="F346" s="5">
        <v>325.76400000000001</v>
      </c>
      <c r="H346" s="4">
        <v>5.5204999999999993</v>
      </c>
      <c r="I346" s="4">
        <v>103.16</v>
      </c>
      <c r="J346" s="4">
        <v>41.74</v>
      </c>
      <c r="L346" s="8">
        <f t="shared" si="33"/>
        <v>0.79499999999999993</v>
      </c>
      <c r="M346" s="8">
        <f t="shared" si="34"/>
        <v>0.18</v>
      </c>
      <c r="N346" s="8">
        <f t="shared" si="30"/>
        <v>0.97499999999999987</v>
      </c>
      <c r="O346" s="8"/>
      <c r="P346" s="6">
        <f t="shared" si="35"/>
        <v>94.1096</v>
      </c>
      <c r="Q346" s="6">
        <f t="shared" si="38"/>
        <v>21.35235937672671</v>
      </c>
      <c r="S346" s="4">
        <v>82</v>
      </c>
    </row>
    <row r="347" spans="1:19" x14ac:dyDescent="0.25">
      <c r="A347" s="3">
        <v>42695</v>
      </c>
      <c r="B347" s="1">
        <f t="shared" si="36"/>
        <v>11</v>
      </c>
      <c r="C347" s="1">
        <f t="shared" si="37"/>
        <v>2016</v>
      </c>
      <c r="D347" s="4">
        <v>1.8248500000000001</v>
      </c>
      <c r="E347" s="7">
        <f>AVERAGE(E346,E348)</f>
        <v>1.4447730000000001</v>
      </c>
      <c r="F347" s="7">
        <f>AVERAGE(F346,F348)</f>
        <v>327.11850000000004</v>
      </c>
      <c r="H347" s="4">
        <v>5.7062999999999997</v>
      </c>
      <c r="I347" s="4">
        <v>99.65</v>
      </c>
      <c r="J347" s="4">
        <v>39.36</v>
      </c>
      <c r="L347" s="8">
        <f t="shared" si="33"/>
        <v>0.7917215113570979</v>
      </c>
      <c r="M347" s="8">
        <f t="shared" si="34"/>
        <v>0.17925774721209964</v>
      </c>
      <c r="N347" s="8">
        <f t="shared" si="30"/>
        <v>0.97097925856919753</v>
      </c>
      <c r="O347" s="8"/>
      <c r="P347" s="6">
        <f t="shared" si="35"/>
        <v>94.892200000000003</v>
      </c>
      <c r="Q347" s="6">
        <f t="shared" si="38"/>
        <v>21.888977176206261</v>
      </c>
      <c r="S347" s="4">
        <v>238</v>
      </c>
    </row>
    <row r="348" spans="1:19" x14ac:dyDescent="0.25">
      <c r="A348" s="3">
        <v>42702</v>
      </c>
      <c r="B348" s="1">
        <f t="shared" si="36"/>
        <v>11</v>
      </c>
      <c r="C348" s="1">
        <f t="shared" si="37"/>
        <v>2016</v>
      </c>
      <c r="D348" s="4">
        <v>1.8248500000000001</v>
      </c>
      <c r="E348" s="4">
        <v>1.450755</v>
      </c>
      <c r="F348" s="5">
        <v>328.47300000000001</v>
      </c>
      <c r="H348" s="4">
        <v>5.6710000000000003</v>
      </c>
      <c r="I348" s="4">
        <v>96.61</v>
      </c>
      <c r="J348" s="4">
        <v>39.44</v>
      </c>
      <c r="L348" s="8">
        <f t="shared" si="33"/>
        <v>0.7949995890073156</v>
      </c>
      <c r="M348" s="8">
        <f t="shared" si="34"/>
        <v>0.18</v>
      </c>
      <c r="N348" s="8">
        <f t="shared" si="30"/>
        <v>0.97499958900731554</v>
      </c>
      <c r="O348" s="8"/>
      <c r="P348" s="6">
        <f t="shared" si="35"/>
        <v>94.892200000000003</v>
      </c>
      <c r="Q348" s="6">
        <f t="shared" si="38"/>
        <v>21.753568786475601</v>
      </c>
      <c r="S348" s="4">
        <v>301</v>
      </c>
    </row>
    <row r="349" spans="1:19" x14ac:dyDescent="0.25">
      <c r="A349" s="3">
        <v>42709</v>
      </c>
      <c r="B349" s="1">
        <f t="shared" si="36"/>
        <v>12</v>
      </c>
      <c r="C349" s="1">
        <f t="shared" si="37"/>
        <v>2016</v>
      </c>
      <c r="D349" s="4">
        <v>1.8667</v>
      </c>
      <c r="E349" s="4">
        <v>1.4840260000000001</v>
      </c>
      <c r="F349" s="5">
        <v>336.00599999999997</v>
      </c>
      <c r="H349" s="4">
        <v>5.6478999999999999</v>
      </c>
      <c r="I349" s="4">
        <v>92.94</v>
      </c>
      <c r="J349" s="4">
        <v>37.1</v>
      </c>
      <c r="L349" s="8">
        <f t="shared" si="33"/>
        <v>0.79499973214764019</v>
      </c>
      <c r="M349" s="8">
        <f t="shared" si="34"/>
        <v>0.18</v>
      </c>
      <c r="N349" s="8">
        <f t="shared" si="30"/>
        <v>0.97499973214764024</v>
      </c>
      <c r="O349" s="8"/>
      <c r="P349" s="6">
        <f t="shared" si="35"/>
        <v>97.068399999999997</v>
      </c>
      <c r="Q349" s="6">
        <f t="shared" si="38"/>
        <v>21.1792467991643</v>
      </c>
      <c r="S349" s="4">
        <v>239</v>
      </c>
    </row>
    <row r="350" spans="1:19" x14ac:dyDescent="0.25">
      <c r="A350" s="3">
        <v>42716</v>
      </c>
      <c r="B350" s="1">
        <f t="shared" si="36"/>
        <v>12</v>
      </c>
      <c r="C350" s="1">
        <f t="shared" si="37"/>
        <v>2016</v>
      </c>
      <c r="D350" s="4">
        <v>1.8595999999999999</v>
      </c>
      <c r="E350" s="4">
        <v>1.4783820000000001</v>
      </c>
      <c r="F350" s="5">
        <v>334.72800000000001</v>
      </c>
      <c r="H350" s="4">
        <v>5.5924000000000005</v>
      </c>
      <c r="I350" s="4">
        <v>91.49</v>
      </c>
      <c r="J350" s="4">
        <v>36.35</v>
      </c>
      <c r="L350" s="8">
        <f t="shared" si="33"/>
        <v>0.79500000000000004</v>
      </c>
      <c r="M350" s="8">
        <f t="shared" si="34"/>
        <v>0.18000000000000002</v>
      </c>
      <c r="N350" s="8">
        <f t="shared" si="30"/>
        <v>0.97500000000000009</v>
      </c>
      <c r="O350" s="8"/>
      <c r="P350" s="6">
        <f t="shared" si="35"/>
        <v>96.69919999999999</v>
      </c>
      <c r="Q350" s="6">
        <f t="shared" si="38"/>
        <v>21.051193805119382</v>
      </c>
      <c r="S350" s="4">
        <v>494</v>
      </c>
    </row>
    <row r="351" spans="1:19" x14ac:dyDescent="0.25">
      <c r="A351" s="3">
        <v>42723</v>
      </c>
      <c r="B351" s="1">
        <f t="shared" si="36"/>
        <v>12</v>
      </c>
      <c r="C351" s="1">
        <f t="shared" si="37"/>
        <v>2016</v>
      </c>
      <c r="D351" s="4">
        <v>1.8623000000000001</v>
      </c>
      <c r="E351" s="4">
        <v>1.4805280000000001</v>
      </c>
      <c r="F351" s="5">
        <v>335.214</v>
      </c>
      <c r="H351" s="4">
        <v>5.6562999999999999</v>
      </c>
      <c r="I351" s="4">
        <v>91.39</v>
      </c>
      <c r="J351" s="4">
        <v>43.71</v>
      </c>
      <c r="L351" s="8">
        <f t="shared" si="33"/>
        <v>0.79499973151479353</v>
      </c>
      <c r="M351" s="8">
        <f t="shared" si="34"/>
        <v>0.18</v>
      </c>
      <c r="N351" s="8">
        <f t="shared" si="30"/>
        <v>0.97499973151479358</v>
      </c>
      <c r="O351" s="8"/>
      <c r="P351" s="6">
        <f t="shared" si="35"/>
        <v>96.839600000000004</v>
      </c>
      <c r="Q351" s="6">
        <f t="shared" si="38"/>
        <v>21.260860226601515</v>
      </c>
      <c r="S351" s="4">
        <v>378</v>
      </c>
    </row>
    <row r="352" spans="1:19" x14ac:dyDescent="0.25">
      <c r="A352" s="3">
        <v>42730</v>
      </c>
      <c r="B352" s="1">
        <f t="shared" si="36"/>
        <v>12</v>
      </c>
      <c r="C352" s="1">
        <f t="shared" si="37"/>
        <v>2016</v>
      </c>
      <c r="D352" s="4">
        <v>1.95285</v>
      </c>
      <c r="E352" s="4">
        <v>1.5525150000000001</v>
      </c>
      <c r="F352" s="5">
        <v>351.51299999999998</v>
      </c>
      <c r="H352" s="4">
        <v>5.6102999999999996</v>
      </c>
      <c r="I352" s="4">
        <v>98.97</v>
      </c>
      <c r="J352" s="4">
        <v>52.96</v>
      </c>
      <c r="L352" s="8">
        <f t="shared" si="33"/>
        <v>0.79499961594592528</v>
      </c>
      <c r="M352" s="8">
        <f t="shared" si="34"/>
        <v>0.18</v>
      </c>
      <c r="N352" s="8">
        <f t="shared" si="30"/>
        <v>0.97499961594592532</v>
      </c>
      <c r="O352" s="8"/>
      <c r="P352" s="6">
        <f t="shared" si="35"/>
        <v>101.54819999999999</v>
      </c>
      <c r="Q352" s="6">
        <f t="shared" si="38"/>
        <v>20.110146708656579</v>
      </c>
      <c r="S352" s="4">
        <v>339</v>
      </c>
    </row>
    <row r="353" spans="1:19" x14ac:dyDescent="0.25">
      <c r="A353" s="3">
        <v>42737</v>
      </c>
      <c r="B353" s="1">
        <f t="shared" si="36"/>
        <v>1</v>
      </c>
      <c r="C353" s="1">
        <f t="shared" si="37"/>
        <v>2017</v>
      </c>
      <c r="D353" s="4">
        <v>1.9414</v>
      </c>
      <c r="E353" s="4">
        <v>1.5434129999999999</v>
      </c>
      <c r="F353" s="5">
        <v>349.452</v>
      </c>
      <c r="H353" s="4">
        <v>5.7350000000000003</v>
      </c>
      <c r="I353" s="4">
        <v>93</v>
      </c>
      <c r="J353" s="4">
        <v>64.75</v>
      </c>
      <c r="L353" s="8">
        <f t="shared" si="33"/>
        <v>0.79499999999999993</v>
      </c>
      <c r="M353" s="8">
        <f t="shared" si="34"/>
        <v>0.18</v>
      </c>
      <c r="N353" s="8">
        <f t="shared" si="30"/>
        <v>0.97499999999999987</v>
      </c>
      <c r="O353" s="8"/>
      <c r="P353" s="6">
        <f t="shared" si="35"/>
        <v>100.9528</v>
      </c>
      <c r="Q353" s="6">
        <f t="shared" si="38"/>
        <v>20.678376429380858</v>
      </c>
      <c r="S353" s="4">
        <v>339</v>
      </c>
    </row>
    <row r="354" spans="1:19" x14ac:dyDescent="0.25">
      <c r="A354" s="3">
        <v>42744</v>
      </c>
      <c r="B354" s="1">
        <f t="shared" si="36"/>
        <v>1</v>
      </c>
      <c r="C354" s="1">
        <f t="shared" si="37"/>
        <v>2017</v>
      </c>
      <c r="D354" s="4">
        <v>1.8098000000000001</v>
      </c>
      <c r="E354" s="4">
        <v>1.4387909999999999</v>
      </c>
      <c r="F354" s="5">
        <v>325.76400000000001</v>
      </c>
      <c r="H354" s="4">
        <v>5.9383000000000008</v>
      </c>
      <c r="I354" s="4">
        <v>97.245999999999995</v>
      </c>
      <c r="J354" s="4">
        <v>70.86</v>
      </c>
      <c r="L354" s="8">
        <f t="shared" si="33"/>
        <v>0.79499999999999993</v>
      </c>
      <c r="M354" s="8">
        <f t="shared" si="34"/>
        <v>0.18</v>
      </c>
      <c r="N354" s="8">
        <f t="shared" si="30"/>
        <v>0.97499999999999987</v>
      </c>
      <c r="O354" s="8"/>
      <c r="P354" s="6">
        <f t="shared" si="35"/>
        <v>94.1096</v>
      </c>
      <c r="Q354" s="6">
        <f t="shared" si="38"/>
        <v>22.96833904298818</v>
      </c>
      <c r="S354" s="4">
        <v>339</v>
      </c>
    </row>
    <row r="355" spans="1:19" x14ac:dyDescent="0.25">
      <c r="A355" s="3">
        <v>42751</v>
      </c>
      <c r="B355" s="1">
        <f t="shared" si="36"/>
        <v>1</v>
      </c>
      <c r="C355" s="1">
        <f t="shared" si="37"/>
        <v>2017</v>
      </c>
      <c r="D355" s="4">
        <v>2.0281500000000001</v>
      </c>
      <c r="E355" s="4">
        <v>1.612379</v>
      </c>
      <c r="F355" s="5">
        <v>365.06700000000001</v>
      </c>
      <c r="H355" s="4"/>
      <c r="I355" s="7">
        <f>(($I$358-$I$354)/4)+I354</f>
        <v>99.031999999999996</v>
      </c>
      <c r="J355" s="4">
        <v>65.86</v>
      </c>
      <c r="L355" s="8">
        <f t="shared" si="33"/>
        <v>0.79499987673495542</v>
      </c>
      <c r="M355" s="8">
        <f t="shared" si="34"/>
        <v>0.18</v>
      </c>
      <c r="N355" s="8">
        <f t="shared" si="30"/>
        <v>0.97499987673495547</v>
      </c>
      <c r="O355" s="8"/>
      <c r="P355" s="6">
        <f t="shared" si="35"/>
        <v>105.46380000000001</v>
      </c>
      <c r="Q355" s="6" t="str">
        <f t="shared" si="38"/>
        <v/>
      </c>
      <c r="S355" s="4">
        <v>240</v>
      </c>
    </row>
    <row r="356" spans="1:19" x14ac:dyDescent="0.25">
      <c r="A356" s="3">
        <v>42758</v>
      </c>
      <c r="B356" s="1">
        <f t="shared" si="36"/>
        <v>1</v>
      </c>
      <c r="C356" s="1">
        <f t="shared" si="37"/>
        <v>2017</v>
      </c>
      <c r="D356" s="4">
        <v>0.90639999999999998</v>
      </c>
      <c r="E356" s="4">
        <v>0.72058800000000001</v>
      </c>
      <c r="F356" s="5">
        <v>163.15199999999999</v>
      </c>
      <c r="H356" s="4"/>
      <c r="I356" s="7">
        <f t="shared" ref="I356:I357" si="39">(($I$358-$I$354)/4)+I355</f>
        <v>100.818</v>
      </c>
      <c r="J356" s="4">
        <v>65.86</v>
      </c>
      <c r="L356" s="8">
        <f t="shared" si="33"/>
        <v>0.79500000000000004</v>
      </c>
      <c r="M356" s="8">
        <f t="shared" si="34"/>
        <v>0.18</v>
      </c>
      <c r="N356" s="8">
        <f t="shared" si="30"/>
        <v>0.97500000000000009</v>
      </c>
      <c r="O356" s="8"/>
      <c r="P356" s="6">
        <f t="shared" si="35"/>
        <v>47.132799999999996</v>
      </c>
      <c r="Q356" s="6" t="str">
        <f t="shared" si="38"/>
        <v/>
      </c>
      <c r="S356" s="4">
        <v>240</v>
      </c>
    </row>
    <row r="357" spans="1:19" x14ac:dyDescent="0.25">
      <c r="A357" s="3">
        <v>42765</v>
      </c>
      <c r="B357" s="1">
        <f t="shared" si="36"/>
        <v>1</v>
      </c>
      <c r="C357" s="1">
        <f t="shared" si="37"/>
        <v>2017</v>
      </c>
      <c r="D357" s="4">
        <v>7.4200000000000002E-2</v>
      </c>
      <c r="E357" s="4">
        <v>5.8989E-2</v>
      </c>
      <c r="F357" s="5">
        <v>13.356</v>
      </c>
      <c r="H357" s="4">
        <v>6.0549999999999997</v>
      </c>
      <c r="I357" s="7">
        <f t="shared" si="39"/>
        <v>102.604</v>
      </c>
      <c r="J357" s="4">
        <v>64.400000000000006</v>
      </c>
      <c r="L357" s="8">
        <f t="shared" si="33"/>
        <v>0.79499999999999993</v>
      </c>
      <c r="M357" s="8">
        <f t="shared" si="34"/>
        <v>0.18</v>
      </c>
      <c r="N357" s="8">
        <f t="shared" si="30"/>
        <v>0.97499999999999987</v>
      </c>
      <c r="O357" s="8"/>
      <c r="P357" s="6">
        <f t="shared" si="35"/>
        <v>3.8584000000000001</v>
      </c>
      <c r="Q357" s="6">
        <f t="shared" si="38"/>
        <v>571.22641509433959</v>
      </c>
      <c r="S357" s="4">
        <v>240</v>
      </c>
    </row>
    <row r="358" spans="1:19" x14ac:dyDescent="0.25">
      <c r="A358" s="3">
        <v>42772</v>
      </c>
      <c r="B358" s="1">
        <f t="shared" si="36"/>
        <v>2</v>
      </c>
      <c r="C358" s="1">
        <f t="shared" si="37"/>
        <v>2017</v>
      </c>
      <c r="D358" s="4">
        <v>1.2236</v>
      </c>
      <c r="E358" s="4">
        <v>0.97276200000000002</v>
      </c>
      <c r="F358" s="5">
        <v>220.24799999999999</v>
      </c>
      <c r="H358" s="4">
        <v>6.165</v>
      </c>
      <c r="I358" s="4">
        <v>104.39</v>
      </c>
      <c r="J358" s="4">
        <v>64.400000000000006</v>
      </c>
      <c r="L358" s="8">
        <f t="shared" si="33"/>
        <v>0.79500000000000004</v>
      </c>
      <c r="M358" s="8">
        <f t="shared" si="34"/>
        <v>0.18</v>
      </c>
      <c r="N358" s="8">
        <f t="shared" si="30"/>
        <v>0.97500000000000009</v>
      </c>
      <c r="O358" s="8"/>
      <c r="P358" s="6">
        <f t="shared" si="35"/>
        <v>63.627200000000002</v>
      </c>
      <c r="Q358" s="6">
        <f t="shared" si="38"/>
        <v>35.268878718535468</v>
      </c>
      <c r="S358" s="4">
        <v>209</v>
      </c>
    </row>
    <row r="359" spans="1:19" x14ac:dyDescent="0.25">
      <c r="A359" s="3">
        <v>42779</v>
      </c>
      <c r="B359" s="1">
        <f t="shared" si="36"/>
        <v>2</v>
      </c>
      <c r="C359" s="1">
        <f t="shared" si="37"/>
        <v>2017</v>
      </c>
      <c r="D359" s="4">
        <v>1.8141</v>
      </c>
      <c r="E359" s="4">
        <v>1.4422090000000001</v>
      </c>
      <c r="F359" s="5">
        <v>326.53800000000001</v>
      </c>
      <c r="H359" s="4">
        <v>6.3159999999999998</v>
      </c>
      <c r="I359" s="4">
        <v>110.37</v>
      </c>
      <c r="J359" s="4">
        <v>75.31</v>
      </c>
      <c r="L359" s="8">
        <f t="shared" si="33"/>
        <v>0.79499972438123589</v>
      </c>
      <c r="M359" s="8">
        <f t="shared" si="34"/>
        <v>0.18</v>
      </c>
      <c r="N359" s="8">
        <f t="shared" ref="N359:N422" si="40">M359+L359</f>
        <v>0.97499972438123583</v>
      </c>
      <c r="O359" s="8"/>
      <c r="P359" s="6">
        <f t="shared" si="35"/>
        <v>94.333200000000005</v>
      </c>
      <c r="Q359" s="6">
        <f t="shared" si="38"/>
        <v>24.371313599029822</v>
      </c>
      <c r="S359" s="4">
        <v>200</v>
      </c>
    </row>
    <row r="360" spans="1:19" x14ac:dyDescent="0.25">
      <c r="A360" s="3">
        <v>42786</v>
      </c>
      <c r="B360" s="1">
        <f t="shared" si="36"/>
        <v>2</v>
      </c>
      <c r="C360" s="1">
        <f t="shared" si="37"/>
        <v>2017</v>
      </c>
      <c r="D360" s="4">
        <v>1.8902000000000001</v>
      </c>
      <c r="E360" s="4">
        <v>1.5027090000000001</v>
      </c>
      <c r="F360" s="5">
        <v>340.23599999999999</v>
      </c>
      <c r="H360" s="4"/>
      <c r="I360" s="4"/>
      <c r="J360" s="4">
        <v>87.81</v>
      </c>
      <c r="L360" s="8">
        <f t="shared" si="33"/>
        <v>0.79500000000000004</v>
      </c>
      <c r="M360" s="8">
        <f t="shared" si="34"/>
        <v>0.18</v>
      </c>
      <c r="N360" s="8">
        <f t="shared" si="40"/>
        <v>0.97500000000000009</v>
      </c>
      <c r="O360" s="8"/>
      <c r="P360" s="6">
        <f t="shared" si="35"/>
        <v>98.290400000000005</v>
      </c>
      <c r="Q360" s="6" t="str">
        <f t="shared" si="38"/>
        <v/>
      </c>
      <c r="S360" s="4">
        <v>200</v>
      </c>
    </row>
    <row r="361" spans="1:19" x14ac:dyDescent="0.25">
      <c r="A361" s="3">
        <v>42793</v>
      </c>
      <c r="B361" s="1">
        <f t="shared" si="36"/>
        <v>2</v>
      </c>
      <c r="C361" s="1">
        <f t="shared" si="37"/>
        <v>2017</v>
      </c>
      <c r="D361" s="4">
        <v>1.5962000000000001</v>
      </c>
      <c r="E361" s="4">
        <v>1.2689790000000001</v>
      </c>
      <c r="F361" s="5">
        <v>287.31599999999997</v>
      </c>
      <c r="H361" s="4">
        <v>5.7350000000000003</v>
      </c>
      <c r="I361" s="4">
        <v>91.39</v>
      </c>
      <c r="J361" s="4">
        <v>87.16</v>
      </c>
      <c r="L361" s="8">
        <f t="shared" si="33"/>
        <v>0.79500000000000004</v>
      </c>
      <c r="M361" s="8">
        <f t="shared" si="34"/>
        <v>0.17999999999999997</v>
      </c>
      <c r="N361" s="8">
        <f t="shared" si="40"/>
        <v>0.97499999999999998</v>
      </c>
      <c r="O361" s="8"/>
      <c r="P361" s="6">
        <f t="shared" si="35"/>
        <v>83.002400000000009</v>
      </c>
      <c r="Q361" s="6">
        <f t="shared" si="38"/>
        <v>25.150357098108007</v>
      </c>
      <c r="S361" s="4">
        <v>131</v>
      </c>
    </row>
    <row r="362" spans="1:19" x14ac:dyDescent="0.25">
      <c r="A362" s="3">
        <v>42800</v>
      </c>
      <c r="B362" s="1">
        <f t="shared" si="36"/>
        <v>3</v>
      </c>
      <c r="C362" s="1">
        <f t="shared" si="37"/>
        <v>2017</v>
      </c>
      <c r="D362" s="4">
        <v>1.4902</v>
      </c>
      <c r="E362" s="4">
        <v>1.184709</v>
      </c>
      <c r="F362" s="5">
        <v>268.23599999999999</v>
      </c>
      <c r="H362" s="4"/>
      <c r="I362" s="4"/>
      <c r="J362" s="4">
        <v>72.98</v>
      </c>
      <c r="L362" s="8">
        <f t="shared" si="33"/>
        <v>0.79500000000000004</v>
      </c>
      <c r="M362" s="8">
        <f t="shared" si="34"/>
        <v>0.18</v>
      </c>
      <c r="N362" s="8">
        <f t="shared" si="40"/>
        <v>0.97500000000000009</v>
      </c>
      <c r="O362" s="8"/>
      <c r="P362" s="6">
        <f t="shared" si="35"/>
        <v>77.490399999999994</v>
      </c>
      <c r="Q362" s="6" t="str">
        <f t="shared" si="38"/>
        <v/>
      </c>
      <c r="S362" s="4">
        <v>85</v>
      </c>
    </row>
    <row r="363" spans="1:19" x14ac:dyDescent="0.25">
      <c r="A363" s="3">
        <v>42807</v>
      </c>
      <c r="B363" s="1">
        <f t="shared" si="36"/>
        <v>3</v>
      </c>
      <c r="C363" s="1">
        <f t="shared" si="37"/>
        <v>2017</v>
      </c>
      <c r="D363" s="4">
        <v>1.5933999999999999</v>
      </c>
      <c r="E363" s="4">
        <v>1.266753</v>
      </c>
      <c r="F363" s="5">
        <v>286.81200000000001</v>
      </c>
      <c r="H363" s="4"/>
      <c r="I363" s="4"/>
      <c r="J363" s="4">
        <v>77.41</v>
      </c>
      <c r="L363" s="8">
        <f t="shared" si="33"/>
        <v>0.79500000000000004</v>
      </c>
      <c r="M363" s="8">
        <f t="shared" si="34"/>
        <v>0.18000000000000002</v>
      </c>
      <c r="N363" s="8">
        <f t="shared" si="40"/>
        <v>0.97500000000000009</v>
      </c>
      <c r="O363" s="8"/>
      <c r="P363" s="6">
        <f t="shared" si="35"/>
        <v>82.856799999999993</v>
      </c>
      <c r="Q363" s="6" t="str">
        <f t="shared" si="38"/>
        <v/>
      </c>
      <c r="S363" s="4">
        <v>0.45</v>
      </c>
    </row>
    <row r="364" spans="1:19" x14ac:dyDescent="0.25">
      <c r="A364" s="3">
        <v>42814</v>
      </c>
      <c r="B364" s="1">
        <f t="shared" si="36"/>
        <v>3</v>
      </c>
      <c r="C364" s="1">
        <f t="shared" si="37"/>
        <v>2017</v>
      </c>
      <c r="D364" s="4">
        <v>1.5266</v>
      </c>
      <c r="E364" s="4">
        <v>1.2136469999999999</v>
      </c>
      <c r="F364" s="5">
        <v>274.78800000000001</v>
      </c>
      <c r="H364" s="4"/>
      <c r="I364" s="4"/>
      <c r="J364" s="4">
        <v>83.96</v>
      </c>
      <c r="L364" s="8">
        <f t="shared" si="33"/>
        <v>0.79499999999999993</v>
      </c>
      <c r="M364" s="8">
        <f t="shared" si="34"/>
        <v>0.18000000000000002</v>
      </c>
      <c r="N364" s="8">
        <f t="shared" si="40"/>
        <v>0.97499999999999998</v>
      </c>
      <c r="O364" s="8"/>
      <c r="P364" s="6">
        <f t="shared" si="35"/>
        <v>79.383200000000002</v>
      </c>
      <c r="Q364" s="6" t="str">
        <f t="shared" si="38"/>
        <v/>
      </c>
      <c r="S364" s="4">
        <v>0.45</v>
      </c>
    </row>
    <row r="365" spans="1:19" x14ac:dyDescent="0.25">
      <c r="A365" s="3">
        <v>42821</v>
      </c>
      <c r="B365" s="1">
        <f t="shared" si="36"/>
        <v>3</v>
      </c>
      <c r="C365" s="1">
        <f t="shared" si="37"/>
        <v>2017</v>
      </c>
      <c r="D365" s="4">
        <v>1.4902</v>
      </c>
      <c r="E365" s="4">
        <v>1.184709</v>
      </c>
      <c r="F365" s="5">
        <v>268.23599999999999</v>
      </c>
      <c r="H365" s="4">
        <v>5.7149999999999999</v>
      </c>
      <c r="I365" s="4">
        <v>111.41</v>
      </c>
      <c r="J365" s="4">
        <v>72.75</v>
      </c>
      <c r="L365" s="8">
        <f t="shared" si="33"/>
        <v>0.79500000000000004</v>
      </c>
      <c r="M365" s="8">
        <f t="shared" si="34"/>
        <v>0.18</v>
      </c>
      <c r="N365" s="8">
        <f t="shared" si="40"/>
        <v>0.97500000000000009</v>
      </c>
      <c r="O365" s="8"/>
      <c r="P365" s="6">
        <f t="shared" si="35"/>
        <v>77.490399999999994</v>
      </c>
      <c r="Q365" s="6">
        <f t="shared" si="38"/>
        <v>26.845389880552943</v>
      </c>
      <c r="S365" s="4">
        <v>-79</v>
      </c>
    </row>
    <row r="366" spans="1:19" x14ac:dyDescent="0.25">
      <c r="A366" s="3">
        <v>42828</v>
      </c>
      <c r="B366" s="1">
        <f t="shared" si="36"/>
        <v>4</v>
      </c>
      <c r="C366" s="1">
        <f t="shared" si="37"/>
        <v>2017</v>
      </c>
      <c r="D366" s="7">
        <f>AVERAGE(D365,D367)</f>
        <v>1.526</v>
      </c>
      <c r="E366" s="7">
        <f>AVERAGE(E365,E367)</f>
        <v>1.2131699999999999</v>
      </c>
      <c r="F366" s="7">
        <f>AVERAGE(F365,F367)</f>
        <v>274.68</v>
      </c>
      <c r="H366" s="4"/>
      <c r="I366" s="4"/>
      <c r="J366" s="4">
        <v>67.06</v>
      </c>
      <c r="L366" s="8">
        <f t="shared" si="33"/>
        <v>0.79499999999999993</v>
      </c>
      <c r="M366" s="8">
        <f t="shared" si="34"/>
        <v>0.18</v>
      </c>
      <c r="N366" s="8">
        <f t="shared" si="40"/>
        <v>0.97499999999999987</v>
      </c>
      <c r="O366" s="8"/>
      <c r="P366" s="6">
        <f t="shared" si="35"/>
        <v>79.352000000000004</v>
      </c>
      <c r="Q366" s="6" t="str">
        <f t="shared" si="38"/>
        <v/>
      </c>
      <c r="S366" s="4">
        <v>-75</v>
      </c>
    </row>
    <row r="367" spans="1:19" x14ac:dyDescent="0.25">
      <c r="A367" s="3">
        <v>42835</v>
      </c>
      <c r="B367" s="1">
        <f t="shared" si="36"/>
        <v>4</v>
      </c>
      <c r="C367" s="1">
        <f t="shared" si="37"/>
        <v>2017</v>
      </c>
      <c r="D367" s="4">
        <v>1.5618000000000001</v>
      </c>
      <c r="E367" s="4">
        <v>1.2416309999999999</v>
      </c>
      <c r="F367" s="5">
        <v>281.12400000000002</v>
      </c>
      <c r="H367" s="4">
        <v>6.1705999999999994</v>
      </c>
      <c r="I367" s="4">
        <v>113.85</v>
      </c>
      <c r="J367" s="4">
        <v>59.1</v>
      </c>
      <c r="L367" s="8">
        <f t="shared" si="33"/>
        <v>0.79499999999999993</v>
      </c>
      <c r="M367" s="8">
        <f t="shared" si="34"/>
        <v>0.18000000000000002</v>
      </c>
      <c r="N367" s="8">
        <f t="shared" si="40"/>
        <v>0.97499999999999998</v>
      </c>
      <c r="O367" s="8"/>
      <c r="P367" s="6">
        <f t="shared" si="35"/>
        <v>81.2136</v>
      </c>
      <c r="Q367" s="6">
        <f t="shared" si="38"/>
        <v>27.656678191829933</v>
      </c>
      <c r="S367" s="4">
        <v>-46</v>
      </c>
    </row>
    <row r="368" spans="1:19" x14ac:dyDescent="0.25">
      <c r="A368" s="3">
        <v>42842</v>
      </c>
      <c r="B368" s="1">
        <f t="shared" si="36"/>
        <v>4</v>
      </c>
      <c r="C368" s="1">
        <f t="shared" si="37"/>
        <v>2017</v>
      </c>
      <c r="D368" s="4">
        <v>1.7981</v>
      </c>
      <c r="E368" s="4">
        <v>1.4267069999999999</v>
      </c>
      <c r="F368" s="5">
        <v>323.02800000000002</v>
      </c>
      <c r="H368" s="4">
        <v>6.0635000000000003</v>
      </c>
      <c r="I368" s="4">
        <v>114.21</v>
      </c>
      <c r="J368" s="4">
        <v>61.72</v>
      </c>
      <c r="L368" s="8">
        <f t="shared" si="33"/>
        <v>0.79345253322952003</v>
      </c>
      <c r="M368" s="8">
        <f t="shared" si="34"/>
        <v>0.17964963016517438</v>
      </c>
      <c r="N368" s="8">
        <f t="shared" si="40"/>
        <v>0.97310216339469435</v>
      </c>
      <c r="O368" s="8"/>
      <c r="P368" s="6">
        <f t="shared" si="35"/>
        <v>93.501199999999997</v>
      </c>
      <c r="Q368" s="6">
        <f t="shared" si="38"/>
        <v>23.605194371836941</v>
      </c>
      <c r="S368" s="4">
        <v>-46</v>
      </c>
    </row>
    <row r="369" spans="1:19" x14ac:dyDescent="0.25">
      <c r="A369" s="3">
        <v>42849</v>
      </c>
      <c r="B369" s="1">
        <f t="shared" si="36"/>
        <v>4</v>
      </c>
      <c r="C369" s="1">
        <f t="shared" si="37"/>
        <v>2017</v>
      </c>
      <c r="D369" s="4">
        <v>1.8767</v>
      </c>
      <c r="E369" s="4">
        <v>1.491976</v>
      </c>
      <c r="F369" s="5">
        <v>337.80599999999998</v>
      </c>
      <c r="H369" s="4">
        <v>6.0129999999999999</v>
      </c>
      <c r="I369" s="4">
        <v>114.93</v>
      </c>
      <c r="J369" s="4">
        <v>70.349999999999994</v>
      </c>
      <c r="L369" s="8">
        <f t="shared" si="33"/>
        <v>0.79499973357489206</v>
      </c>
      <c r="M369" s="8">
        <f t="shared" si="34"/>
        <v>0.18</v>
      </c>
      <c r="N369" s="8">
        <f t="shared" si="40"/>
        <v>0.97499973357489211</v>
      </c>
      <c r="O369" s="8"/>
      <c r="P369" s="6">
        <f t="shared" si="35"/>
        <v>97.588400000000007</v>
      </c>
      <c r="Q369" s="6">
        <f t="shared" si="38"/>
        <v>22.428198433420366</v>
      </c>
      <c r="S369" s="4">
        <v>-55</v>
      </c>
    </row>
    <row r="370" spans="1:19" x14ac:dyDescent="0.25">
      <c r="A370" s="3">
        <v>42856</v>
      </c>
      <c r="B370" s="1">
        <f t="shared" si="36"/>
        <v>5</v>
      </c>
      <c r="C370" s="1">
        <f t="shared" si="37"/>
        <v>2017</v>
      </c>
      <c r="D370" s="4">
        <v>1.8364</v>
      </c>
      <c r="E370" s="4">
        <v>1.459938</v>
      </c>
      <c r="F370" s="5">
        <v>330.55200000000002</v>
      </c>
      <c r="H370" s="4">
        <v>5.8579999999999997</v>
      </c>
      <c r="I370" s="4">
        <v>124.19</v>
      </c>
      <c r="J370" s="4">
        <v>83.39</v>
      </c>
      <c r="L370" s="8">
        <f t="shared" si="33"/>
        <v>0.79499999999999993</v>
      </c>
      <c r="M370" s="8">
        <f t="shared" si="34"/>
        <v>0.18</v>
      </c>
      <c r="N370" s="8">
        <f t="shared" si="40"/>
        <v>0.97499999999999987</v>
      </c>
      <c r="O370" s="8"/>
      <c r="P370" s="6">
        <f t="shared" si="35"/>
        <v>95.492800000000003</v>
      </c>
      <c r="Q370" s="6">
        <f t="shared" si="38"/>
        <v>22.329557830538008</v>
      </c>
      <c r="S370" s="4">
        <v>-24</v>
      </c>
    </row>
    <row r="371" spans="1:19" x14ac:dyDescent="0.25">
      <c r="A371" s="3">
        <v>42863</v>
      </c>
      <c r="B371" s="1">
        <f t="shared" si="36"/>
        <v>5</v>
      </c>
      <c r="C371" s="1">
        <f t="shared" si="37"/>
        <v>2017</v>
      </c>
      <c r="D371" s="4">
        <v>1.8284499999999999</v>
      </c>
      <c r="E371" s="4">
        <v>1.4536169999999999</v>
      </c>
      <c r="F371" s="5">
        <v>329.12099999999998</v>
      </c>
      <c r="H371" s="4">
        <v>5.7170000000000005</v>
      </c>
      <c r="I371" s="4">
        <v>123.49</v>
      </c>
      <c r="J371" s="4">
        <v>87.39</v>
      </c>
      <c r="L371" s="8">
        <f t="shared" si="33"/>
        <v>0.79499958981651131</v>
      </c>
      <c r="M371" s="8">
        <f t="shared" si="34"/>
        <v>0.18000000000000002</v>
      </c>
      <c r="N371" s="8">
        <f t="shared" si="40"/>
        <v>0.97499958981651136</v>
      </c>
      <c r="O371" s="8"/>
      <c r="P371" s="6">
        <f t="shared" si="35"/>
        <v>95.079399999999993</v>
      </c>
      <c r="Q371" s="6">
        <f t="shared" si="38"/>
        <v>21.886844048237581</v>
      </c>
      <c r="S371" s="4">
        <v>-50</v>
      </c>
    </row>
    <row r="372" spans="1:19" x14ac:dyDescent="0.25">
      <c r="A372" s="3">
        <v>42870</v>
      </c>
      <c r="B372" s="1">
        <f t="shared" si="36"/>
        <v>5</v>
      </c>
      <c r="C372" s="1">
        <f t="shared" si="37"/>
        <v>2017</v>
      </c>
      <c r="D372" s="4">
        <v>1.83175</v>
      </c>
      <c r="E372" s="4">
        <v>1.4562409999999999</v>
      </c>
      <c r="F372" s="5">
        <v>329.71499999999997</v>
      </c>
      <c r="H372" s="4">
        <v>5.9173</v>
      </c>
      <c r="I372" s="4">
        <v>121.04</v>
      </c>
      <c r="J372" s="4">
        <v>101.45</v>
      </c>
      <c r="L372" s="8">
        <f t="shared" si="33"/>
        <v>0.79499986351849317</v>
      </c>
      <c r="M372" s="8">
        <f t="shared" si="34"/>
        <v>0.18</v>
      </c>
      <c r="N372" s="8">
        <f t="shared" si="40"/>
        <v>0.9749998635184931</v>
      </c>
      <c r="O372" s="8"/>
      <c r="P372" s="6">
        <f t="shared" si="35"/>
        <v>95.251000000000005</v>
      </c>
      <c r="Q372" s="6">
        <f t="shared" si="38"/>
        <v>22.6128565579364</v>
      </c>
      <c r="S372" s="4">
        <v>-161</v>
      </c>
    </row>
    <row r="373" spans="1:19" x14ac:dyDescent="0.25">
      <c r="A373" s="3">
        <v>42877</v>
      </c>
      <c r="B373" s="1">
        <f t="shared" si="36"/>
        <v>5</v>
      </c>
      <c r="C373" s="1">
        <f t="shared" si="37"/>
        <v>2017</v>
      </c>
      <c r="D373" s="4">
        <v>1.8181</v>
      </c>
      <c r="E373" s="4">
        <v>1.445389</v>
      </c>
      <c r="F373" s="5">
        <v>327.25799999999998</v>
      </c>
      <c r="H373" s="4">
        <v>6.3042999999999996</v>
      </c>
      <c r="I373" s="4"/>
      <c r="J373" s="4">
        <v>108.63</v>
      </c>
      <c r="L373" s="8">
        <f t="shared" si="33"/>
        <v>0.79499972498762439</v>
      </c>
      <c r="M373" s="8">
        <f t="shared" si="34"/>
        <v>0.18</v>
      </c>
      <c r="N373" s="8">
        <f t="shared" si="40"/>
        <v>0.97499972498762433</v>
      </c>
      <c r="O373" s="8"/>
      <c r="P373" s="6">
        <f t="shared" si="35"/>
        <v>94.541200000000003</v>
      </c>
      <c r="Q373" s="6">
        <f t="shared" si="38"/>
        <v>24.272647269127109</v>
      </c>
      <c r="S373" s="4">
        <v>-71</v>
      </c>
    </row>
    <row r="374" spans="1:19" x14ac:dyDescent="0.25">
      <c r="A374" s="3">
        <v>42884</v>
      </c>
      <c r="B374" s="1">
        <f t="shared" si="36"/>
        <v>5</v>
      </c>
      <c r="C374" s="1">
        <f t="shared" si="37"/>
        <v>2017</v>
      </c>
      <c r="D374" s="4">
        <v>1.7236</v>
      </c>
      <c r="E374" s="4">
        <v>1.3702620000000001</v>
      </c>
      <c r="F374" s="5">
        <v>310.24799999999999</v>
      </c>
      <c r="H374" s="4">
        <v>6.4349999999999996</v>
      </c>
      <c r="I374" s="4">
        <v>123</v>
      </c>
      <c r="J374" s="4">
        <v>115.75</v>
      </c>
      <c r="L374" s="8">
        <f t="shared" si="33"/>
        <v>0.79500000000000004</v>
      </c>
      <c r="M374" s="8">
        <f t="shared" si="34"/>
        <v>0.17999999999999997</v>
      </c>
      <c r="N374" s="8">
        <f t="shared" si="40"/>
        <v>0.97499999999999998</v>
      </c>
      <c r="O374" s="8"/>
      <c r="P374" s="6">
        <f t="shared" si="35"/>
        <v>89.627200000000002</v>
      </c>
      <c r="Q374" s="6">
        <f t="shared" si="38"/>
        <v>26.134253887212807</v>
      </c>
      <c r="S374" s="4">
        <v>-161</v>
      </c>
    </row>
    <row r="375" spans="1:19" x14ac:dyDescent="0.25">
      <c r="A375" s="3">
        <v>42891</v>
      </c>
      <c r="B375" s="1">
        <f t="shared" si="36"/>
        <v>6</v>
      </c>
      <c r="C375" s="1">
        <f t="shared" si="37"/>
        <v>2017</v>
      </c>
      <c r="D375" s="4">
        <v>1.7307999999999999</v>
      </c>
      <c r="E375" s="4">
        <v>1.3759859999999999</v>
      </c>
      <c r="F375" s="5">
        <v>311.54399999999998</v>
      </c>
      <c r="H375" s="4">
        <v>6.4870000000000001</v>
      </c>
      <c r="I375" s="4">
        <v>123.81</v>
      </c>
      <c r="J375" s="4">
        <v>114.3</v>
      </c>
      <c r="L375" s="8">
        <f t="shared" si="33"/>
        <v>0.79500000000000004</v>
      </c>
      <c r="M375" s="8">
        <f t="shared" si="34"/>
        <v>0.18</v>
      </c>
      <c r="N375" s="8">
        <f t="shared" si="40"/>
        <v>0.97500000000000009</v>
      </c>
      <c r="O375" s="8"/>
      <c r="P375" s="6">
        <f t="shared" si="35"/>
        <v>90.001599999999996</v>
      </c>
      <c r="Q375" s="6">
        <f t="shared" si="38"/>
        <v>26.235844696094293</v>
      </c>
      <c r="S375" s="4">
        <v>-97</v>
      </c>
    </row>
    <row r="376" spans="1:19" x14ac:dyDescent="0.25">
      <c r="A376" s="3">
        <v>42898</v>
      </c>
      <c r="B376" s="1">
        <f t="shared" si="36"/>
        <v>6</v>
      </c>
      <c r="C376" s="1">
        <f t="shared" si="37"/>
        <v>2017</v>
      </c>
      <c r="D376" s="4">
        <v>1.7733000000000001</v>
      </c>
      <c r="E376" s="4">
        <v>0.140428</v>
      </c>
      <c r="F376" s="5">
        <v>317.93400000000003</v>
      </c>
      <c r="H376" s="4">
        <v>6.5673000000000004</v>
      </c>
      <c r="I376" s="4">
        <v>126.75</v>
      </c>
      <c r="J376" s="4">
        <v>119.27</v>
      </c>
      <c r="L376" s="8">
        <f t="shared" ref="L376:L439" si="41">E376/D376</f>
        <v>7.9190210342299658E-2</v>
      </c>
      <c r="M376" s="8">
        <f t="shared" ref="M376:M439" si="42">F376/1000/D376</f>
        <v>0.17928946032820167</v>
      </c>
      <c r="N376" s="8">
        <f t="shared" si="40"/>
        <v>0.25847967067050132</v>
      </c>
      <c r="O376" s="8"/>
      <c r="P376" s="6">
        <f t="shared" ref="P376:P439" si="43">D376*52</f>
        <v>92.211600000000004</v>
      </c>
      <c r="Q376" s="6">
        <f t="shared" si="38"/>
        <v>25.924039925562511</v>
      </c>
      <c r="S376" s="4">
        <v>-136</v>
      </c>
    </row>
    <row r="377" spans="1:19" x14ac:dyDescent="0.25">
      <c r="A377" s="3">
        <v>42905</v>
      </c>
      <c r="B377" s="1">
        <f t="shared" si="36"/>
        <v>6</v>
      </c>
      <c r="C377" s="1">
        <f t="shared" si="37"/>
        <v>2017</v>
      </c>
      <c r="D377" s="7">
        <f>AVERAGE(D376,D378)</f>
        <v>1.8017500000000002</v>
      </c>
      <c r="E377" s="7">
        <f>AVERAGE(E376,E378)</f>
        <v>0.7977185</v>
      </c>
      <c r="F377" s="7">
        <f>AVERAGE(F376,F378)</f>
        <v>323.685</v>
      </c>
      <c r="H377" s="4">
        <v>6.7654999999999994</v>
      </c>
      <c r="I377" s="4"/>
      <c r="J377" s="4">
        <v>120.39</v>
      </c>
      <c r="L377" s="8">
        <f t="shared" si="41"/>
        <v>0.44274649646177322</v>
      </c>
      <c r="M377" s="8">
        <f t="shared" si="42"/>
        <v>0.17965033994727347</v>
      </c>
      <c r="N377" s="8">
        <f t="shared" si="40"/>
        <v>0.62239683640904664</v>
      </c>
      <c r="O377" s="8"/>
      <c r="P377" s="6">
        <f t="shared" si="43"/>
        <v>93.691000000000003</v>
      </c>
      <c r="Q377" s="6">
        <f t="shared" si="38"/>
        <v>26.284723185791588</v>
      </c>
      <c r="S377" s="4">
        <v>-136</v>
      </c>
    </row>
    <row r="378" spans="1:19" x14ac:dyDescent="0.25">
      <c r="A378" s="3">
        <v>42912</v>
      </c>
      <c r="B378" s="1">
        <f t="shared" si="36"/>
        <v>6</v>
      </c>
      <c r="C378" s="1">
        <f t="shared" si="37"/>
        <v>2017</v>
      </c>
      <c r="D378" s="4">
        <v>1.8302</v>
      </c>
      <c r="E378" s="4">
        <v>1.455009</v>
      </c>
      <c r="F378" s="5">
        <v>329.43599999999998</v>
      </c>
      <c r="H378" s="4">
        <v>6.8624999999999998</v>
      </c>
      <c r="I378" s="4">
        <v>129.28</v>
      </c>
      <c r="J378" s="4">
        <v>105.32</v>
      </c>
      <c r="L378" s="8">
        <f t="shared" si="41"/>
        <v>0.79499999999999993</v>
      </c>
      <c r="M378" s="8">
        <f t="shared" si="42"/>
        <v>0.17999999999999997</v>
      </c>
      <c r="N378" s="8">
        <f t="shared" si="40"/>
        <v>0.97499999999999987</v>
      </c>
      <c r="O378" s="8"/>
      <c r="P378" s="6">
        <f t="shared" si="43"/>
        <v>95.170400000000001</v>
      </c>
      <c r="Q378" s="6">
        <f t="shared" si="38"/>
        <v>26.247131461042507</v>
      </c>
      <c r="S378" s="4">
        <v>-117</v>
      </c>
    </row>
    <row r="379" spans="1:19" x14ac:dyDescent="0.25">
      <c r="A379" s="3">
        <v>42919</v>
      </c>
      <c r="B379" s="1">
        <f t="shared" si="36"/>
        <v>7</v>
      </c>
      <c r="C379" s="1">
        <f t="shared" si="37"/>
        <v>2017</v>
      </c>
      <c r="D379" s="4">
        <v>1.6438999999999999</v>
      </c>
      <c r="E379" s="4">
        <v>1.3069</v>
      </c>
      <c r="F379" s="5">
        <v>295.90199999999999</v>
      </c>
      <c r="H379" s="4">
        <v>7.0154999999999994</v>
      </c>
      <c r="I379" s="4">
        <v>125.25</v>
      </c>
      <c r="J379" s="4">
        <v>107.43</v>
      </c>
      <c r="L379" s="8">
        <f t="shared" si="41"/>
        <v>0.7949996958452461</v>
      </c>
      <c r="M379" s="8">
        <f t="shared" si="42"/>
        <v>0.18000000000000002</v>
      </c>
      <c r="N379" s="8">
        <f t="shared" si="40"/>
        <v>0.97499969584524615</v>
      </c>
      <c r="O379" s="8"/>
      <c r="P379" s="6">
        <f t="shared" si="43"/>
        <v>85.482799999999997</v>
      </c>
      <c r="Q379" s="6">
        <f t="shared" si="38"/>
        <v>29.873167467607519</v>
      </c>
      <c r="S379" s="4">
        <v>27.6</v>
      </c>
    </row>
    <row r="380" spans="1:19" x14ac:dyDescent="0.25">
      <c r="A380" s="3">
        <v>42926</v>
      </c>
      <c r="B380" s="1">
        <f t="shared" si="36"/>
        <v>7</v>
      </c>
      <c r="C380" s="1">
        <f t="shared" si="37"/>
        <v>2017</v>
      </c>
      <c r="D380" s="4">
        <v>1.7382</v>
      </c>
      <c r="E380" s="4">
        <v>1.381869</v>
      </c>
      <c r="F380" s="5">
        <v>312.87599999999998</v>
      </c>
      <c r="H380" s="4">
        <v>6.9335000000000004</v>
      </c>
      <c r="I380" s="4">
        <v>128.69999999999999</v>
      </c>
      <c r="J380" s="4">
        <v>112.83</v>
      </c>
      <c r="L380" s="8">
        <f t="shared" si="41"/>
        <v>0.79500000000000004</v>
      </c>
      <c r="M380" s="8">
        <f t="shared" si="42"/>
        <v>0.18</v>
      </c>
      <c r="N380" s="8">
        <f t="shared" si="40"/>
        <v>0.97500000000000009</v>
      </c>
      <c r="O380" s="8"/>
      <c r="P380" s="6">
        <f t="shared" si="43"/>
        <v>90.386399999999995</v>
      </c>
      <c r="Q380" s="6">
        <f t="shared" si="38"/>
        <v>27.922275917615927</v>
      </c>
      <c r="S380" s="4">
        <v>29.85</v>
      </c>
    </row>
    <row r="381" spans="1:19" x14ac:dyDescent="0.25">
      <c r="A381" s="3">
        <v>42933</v>
      </c>
      <c r="B381" s="1">
        <f t="shared" si="36"/>
        <v>7</v>
      </c>
      <c r="C381" s="1">
        <f t="shared" si="37"/>
        <v>2017</v>
      </c>
      <c r="D381" s="4">
        <v>1.966</v>
      </c>
      <c r="E381" s="4">
        <v>1.56297</v>
      </c>
      <c r="F381" s="5">
        <v>353.88</v>
      </c>
      <c r="H381" s="4">
        <v>7.0347</v>
      </c>
      <c r="I381" s="4">
        <v>133.71</v>
      </c>
      <c r="J381" s="4">
        <v>112.83</v>
      </c>
      <c r="L381" s="8">
        <f t="shared" si="41"/>
        <v>0.79500000000000004</v>
      </c>
      <c r="M381" s="8">
        <f t="shared" si="42"/>
        <v>0.18</v>
      </c>
      <c r="N381" s="8">
        <f t="shared" si="40"/>
        <v>0.97500000000000009</v>
      </c>
      <c r="O381" s="8"/>
      <c r="P381" s="6">
        <f t="shared" si="43"/>
        <v>102.232</v>
      </c>
      <c r="Q381" s="6">
        <f t="shared" si="38"/>
        <v>25.047253306205494</v>
      </c>
      <c r="S381" s="4">
        <v>58</v>
      </c>
    </row>
    <row r="382" spans="1:19" x14ac:dyDescent="0.25">
      <c r="A382" s="3">
        <v>42940</v>
      </c>
      <c r="B382" s="1">
        <f t="shared" si="36"/>
        <v>7</v>
      </c>
      <c r="C382" s="1">
        <f t="shared" si="37"/>
        <v>2017</v>
      </c>
      <c r="D382" s="4">
        <v>1.8993</v>
      </c>
      <c r="E382" s="4">
        <v>1.509943</v>
      </c>
      <c r="F382" s="5">
        <v>341.87400000000002</v>
      </c>
      <c r="H382" s="4">
        <v>7.2427000000000001</v>
      </c>
      <c r="I382" s="4">
        <v>137.6</v>
      </c>
      <c r="J382" s="4">
        <v>122.32</v>
      </c>
      <c r="L382" s="8">
        <f t="shared" si="41"/>
        <v>0.79499973674511659</v>
      </c>
      <c r="M382" s="8">
        <f t="shared" si="42"/>
        <v>0.18</v>
      </c>
      <c r="N382" s="8">
        <f t="shared" si="40"/>
        <v>0.97499973674511664</v>
      </c>
      <c r="O382" s="8"/>
      <c r="P382" s="6">
        <f t="shared" si="43"/>
        <v>98.763599999999997</v>
      </c>
      <c r="Q382" s="6">
        <f t="shared" si="38"/>
        <v>26.693466013794556</v>
      </c>
      <c r="S382" s="4">
        <v>74</v>
      </c>
    </row>
    <row r="383" spans="1:19" x14ac:dyDescent="0.25">
      <c r="A383" s="3">
        <v>42947</v>
      </c>
      <c r="B383" s="1">
        <f t="shared" si="36"/>
        <v>7</v>
      </c>
      <c r="C383" s="1">
        <f t="shared" si="37"/>
        <v>2017</v>
      </c>
      <c r="D383" s="4">
        <v>1.7085999999999999</v>
      </c>
      <c r="E383" s="4">
        <v>1.3583369999999999</v>
      </c>
      <c r="F383" s="5">
        <v>307.548</v>
      </c>
      <c r="H383" s="4">
        <v>7.4961000000000002</v>
      </c>
      <c r="I383" s="4">
        <v>141.04</v>
      </c>
      <c r="J383" s="4">
        <v>122.76</v>
      </c>
      <c r="L383" s="8">
        <f t="shared" si="41"/>
        <v>0.79500000000000004</v>
      </c>
      <c r="M383" s="8">
        <f t="shared" si="42"/>
        <v>0.18</v>
      </c>
      <c r="N383" s="8">
        <f t="shared" si="40"/>
        <v>0.97500000000000009</v>
      </c>
      <c r="O383" s="8"/>
      <c r="P383" s="6">
        <f t="shared" si="43"/>
        <v>88.847200000000001</v>
      </c>
      <c r="Q383" s="6">
        <f t="shared" si="38"/>
        <v>30.71093292754302</v>
      </c>
      <c r="S383" s="4">
        <v>15.5</v>
      </c>
    </row>
    <row r="384" spans="1:19" x14ac:dyDescent="0.25">
      <c r="A384" s="3">
        <v>42954</v>
      </c>
      <c r="B384" s="1">
        <f t="shared" si="36"/>
        <v>8</v>
      </c>
      <c r="C384" s="1">
        <f t="shared" si="37"/>
        <v>2017</v>
      </c>
      <c r="D384" s="4">
        <v>1.6935</v>
      </c>
      <c r="E384" s="4">
        <v>1.3463320000000001</v>
      </c>
      <c r="F384" s="5">
        <v>304.83</v>
      </c>
      <c r="H384" s="4">
        <v>7.2011000000000003</v>
      </c>
      <c r="I384" s="4"/>
      <c r="J384" s="4"/>
      <c r="L384" s="8">
        <f t="shared" si="41"/>
        <v>0.79499970475346915</v>
      </c>
      <c r="M384" s="8">
        <f t="shared" si="42"/>
        <v>0.18</v>
      </c>
      <c r="N384" s="8">
        <f t="shared" si="40"/>
        <v>0.97499970475346909</v>
      </c>
      <c r="O384" s="8"/>
      <c r="P384" s="6">
        <f t="shared" si="43"/>
        <v>88.061999999999998</v>
      </c>
      <c r="Q384" s="6">
        <f t="shared" si="38"/>
        <v>29.765397106583997</v>
      </c>
      <c r="S384" s="4">
        <v>101</v>
      </c>
    </row>
    <row r="385" spans="1:70" x14ac:dyDescent="0.25">
      <c r="A385" s="3">
        <v>42961</v>
      </c>
      <c r="B385" s="1">
        <f t="shared" si="36"/>
        <v>8</v>
      </c>
      <c r="C385" s="1">
        <f t="shared" si="37"/>
        <v>2017</v>
      </c>
      <c r="D385" s="4">
        <v>1.8045</v>
      </c>
      <c r="E385" s="4">
        <v>1.434577</v>
      </c>
      <c r="F385" s="5">
        <v>324.81</v>
      </c>
      <c r="H385" s="4">
        <v>7.0347</v>
      </c>
      <c r="I385" s="4">
        <v>143.49</v>
      </c>
      <c r="J385" s="4">
        <v>109.8</v>
      </c>
      <c r="L385" s="8">
        <f t="shared" si="41"/>
        <v>0.79499972291493493</v>
      </c>
      <c r="M385" s="8">
        <f t="shared" si="42"/>
        <v>0.18</v>
      </c>
      <c r="N385" s="8">
        <f t="shared" si="40"/>
        <v>0.97499972291493497</v>
      </c>
      <c r="O385" s="8"/>
      <c r="P385" s="6">
        <f t="shared" si="43"/>
        <v>93.834000000000003</v>
      </c>
      <c r="Q385" s="6">
        <f t="shared" si="38"/>
        <v>27.288944305901911</v>
      </c>
      <c r="S385" s="4">
        <v>94</v>
      </c>
    </row>
    <row r="386" spans="1:70" x14ac:dyDescent="0.25">
      <c r="A386" s="3">
        <v>42968</v>
      </c>
      <c r="B386" s="1">
        <f t="shared" ref="B386:B449" si="44">MONTH(A386)</f>
        <v>8</v>
      </c>
      <c r="C386" s="1">
        <f t="shared" ref="C386:C449" si="45">YEAR(A386)</f>
        <v>2017</v>
      </c>
      <c r="D386" s="4">
        <v>1.8053999999999999</v>
      </c>
      <c r="E386" s="4">
        <v>1.4352929999999999</v>
      </c>
      <c r="F386" s="5">
        <v>324.97199999999998</v>
      </c>
      <c r="H386" s="4">
        <v>7.1715</v>
      </c>
      <c r="I386" s="4">
        <v>143.71</v>
      </c>
      <c r="J386" s="4">
        <v>103.35</v>
      </c>
      <c r="L386" s="8">
        <f t="shared" si="41"/>
        <v>0.79500000000000004</v>
      </c>
      <c r="M386" s="8">
        <f t="shared" si="42"/>
        <v>0.18</v>
      </c>
      <c r="N386" s="8">
        <f t="shared" si="40"/>
        <v>0.97500000000000009</v>
      </c>
      <c r="O386" s="8"/>
      <c r="P386" s="6">
        <f t="shared" si="43"/>
        <v>93.880799999999994</v>
      </c>
      <c r="Q386" s="6">
        <f t="shared" si="38"/>
        <v>27.805749418411434</v>
      </c>
      <c r="S386" s="4">
        <v>141</v>
      </c>
    </row>
    <row r="387" spans="1:70" x14ac:dyDescent="0.25">
      <c r="A387" s="3">
        <v>42975</v>
      </c>
      <c r="B387" s="1">
        <f t="shared" si="44"/>
        <v>8</v>
      </c>
      <c r="C387" s="1">
        <f t="shared" si="45"/>
        <v>2017</v>
      </c>
      <c r="D387" s="4">
        <v>1.8459000000000001</v>
      </c>
      <c r="E387" s="4">
        <v>1.46749</v>
      </c>
      <c r="F387" s="5">
        <v>332.262</v>
      </c>
      <c r="H387" s="4">
        <v>7.2764999999999995</v>
      </c>
      <c r="I387" s="4">
        <v>141.96</v>
      </c>
      <c r="J387" s="4">
        <v>99.67</v>
      </c>
      <c r="L387" s="8">
        <f t="shared" si="41"/>
        <v>0.79499972912942185</v>
      </c>
      <c r="M387" s="8">
        <f t="shared" si="42"/>
        <v>0.18</v>
      </c>
      <c r="N387" s="8">
        <f t="shared" si="40"/>
        <v>0.9749997291294219</v>
      </c>
      <c r="O387" s="8"/>
      <c r="P387" s="6">
        <f t="shared" si="43"/>
        <v>95.986800000000002</v>
      </c>
      <c r="Q387" s="6">
        <f t="shared" si="38"/>
        <v>27.5938566552901</v>
      </c>
      <c r="S387" s="4">
        <v>132</v>
      </c>
    </row>
    <row r="388" spans="1:70" x14ac:dyDescent="0.25">
      <c r="A388" s="3">
        <v>42982</v>
      </c>
      <c r="B388" s="1">
        <f t="shared" si="44"/>
        <v>9</v>
      </c>
      <c r="C388" s="1">
        <f t="shared" si="45"/>
        <v>2017</v>
      </c>
      <c r="D388" s="4">
        <v>1.7426999999999999</v>
      </c>
      <c r="E388" s="4">
        <v>1.385446</v>
      </c>
      <c r="F388" s="5">
        <v>313.68599999999998</v>
      </c>
      <c r="H388" s="4"/>
      <c r="I388" s="4"/>
      <c r="J388" s="4"/>
      <c r="L388" s="8">
        <f t="shared" si="41"/>
        <v>0.79499971308888506</v>
      </c>
      <c r="M388" s="8">
        <f t="shared" si="42"/>
        <v>0.18</v>
      </c>
      <c r="N388" s="8">
        <f t="shared" si="40"/>
        <v>0.974999713088885</v>
      </c>
      <c r="O388" s="8"/>
      <c r="P388" s="6">
        <f t="shared" si="43"/>
        <v>90.620399999999989</v>
      </c>
      <c r="Q388" s="6" t="str">
        <f t="shared" si="38"/>
        <v/>
      </c>
      <c r="S388" s="4">
        <v>206</v>
      </c>
    </row>
    <row r="389" spans="1:70" x14ac:dyDescent="0.25">
      <c r="A389" s="3">
        <v>42989</v>
      </c>
      <c r="B389" s="1">
        <f t="shared" si="44"/>
        <v>9</v>
      </c>
      <c r="C389" s="1">
        <f t="shared" si="45"/>
        <v>2017</v>
      </c>
      <c r="D389" s="4">
        <v>1.8190999999999999</v>
      </c>
      <c r="E389" s="4">
        <v>1.4461839999999999</v>
      </c>
      <c r="F389" s="5">
        <v>327.43799999999999</v>
      </c>
      <c r="H389" s="4">
        <v>7.2335000000000003</v>
      </c>
      <c r="I389" s="4">
        <v>135.84</v>
      </c>
      <c r="J389" s="4">
        <v>82.49</v>
      </c>
      <c r="L389" s="8">
        <f t="shared" si="41"/>
        <v>0.7949997251388049</v>
      </c>
      <c r="M389" s="8">
        <f t="shared" si="42"/>
        <v>0.18000000000000002</v>
      </c>
      <c r="N389" s="8">
        <f t="shared" si="40"/>
        <v>0.97499972513880495</v>
      </c>
      <c r="O389" s="8"/>
      <c r="P389" s="6">
        <f t="shared" si="43"/>
        <v>94.593199999999996</v>
      </c>
      <c r="Q389" s="6">
        <f t="shared" si="38"/>
        <v>27.834918366225057</v>
      </c>
      <c r="S389" s="4">
        <v>171</v>
      </c>
    </row>
    <row r="390" spans="1:70" x14ac:dyDescent="0.25">
      <c r="A390" s="3">
        <v>42996</v>
      </c>
      <c r="B390" s="1">
        <f t="shared" si="44"/>
        <v>9</v>
      </c>
      <c r="C390" s="1">
        <f t="shared" si="45"/>
        <v>2017</v>
      </c>
      <c r="D390" s="4">
        <v>1.9555</v>
      </c>
      <c r="E390" s="4">
        <v>1.5546219999999999</v>
      </c>
      <c r="F390" s="5">
        <v>351.99</v>
      </c>
      <c r="H390" s="4">
        <v>7.1145000000000005</v>
      </c>
      <c r="I390" s="4">
        <v>136.44</v>
      </c>
      <c r="J390" s="4">
        <v>83.77</v>
      </c>
      <c r="L390" s="8">
        <f t="shared" si="41"/>
        <v>0.79499974431091791</v>
      </c>
      <c r="M390" s="8">
        <f t="shared" si="42"/>
        <v>0.18000000000000002</v>
      </c>
      <c r="N390" s="8">
        <f t="shared" si="40"/>
        <v>0.97499974431091796</v>
      </c>
      <c r="O390" s="8"/>
      <c r="P390" s="6">
        <f t="shared" si="43"/>
        <v>101.68600000000001</v>
      </c>
      <c r="Q390" s="6">
        <f t="shared" si="38"/>
        <v>25.467399642035286</v>
      </c>
      <c r="S390" s="4">
        <v>233</v>
      </c>
    </row>
    <row r="391" spans="1:70" x14ac:dyDescent="0.25">
      <c r="A391" s="3">
        <v>43003</v>
      </c>
      <c r="B391" s="1">
        <f t="shared" si="44"/>
        <v>9</v>
      </c>
      <c r="C391" s="1">
        <f t="shared" si="45"/>
        <v>2017</v>
      </c>
      <c r="D391" s="4">
        <v>2.0143</v>
      </c>
      <c r="E391" s="4">
        <v>1.6013679999999999</v>
      </c>
      <c r="F391" s="5">
        <v>362.57400000000001</v>
      </c>
      <c r="H391" s="4">
        <v>6.7838000000000003</v>
      </c>
      <c r="I391" s="4">
        <v>143</v>
      </c>
      <c r="J391" s="4">
        <v>83.94</v>
      </c>
      <c r="L391" s="8">
        <f t="shared" si="41"/>
        <v>0.79499975177481008</v>
      </c>
      <c r="M391" s="8">
        <f t="shared" si="42"/>
        <v>0.18</v>
      </c>
      <c r="N391" s="8">
        <f t="shared" si="40"/>
        <v>0.97499975177481013</v>
      </c>
      <c r="O391" s="8"/>
      <c r="P391" s="6">
        <f t="shared" si="43"/>
        <v>104.7436</v>
      </c>
      <c r="Q391" s="6">
        <f t="shared" si="38"/>
        <v>23.574740604676563</v>
      </c>
      <c r="S391" s="4">
        <v>253</v>
      </c>
    </row>
    <row r="392" spans="1:70" x14ac:dyDescent="0.25">
      <c r="A392" s="3">
        <v>43010</v>
      </c>
      <c r="B392" s="1">
        <f t="shared" si="44"/>
        <v>10</v>
      </c>
      <c r="C392" s="1">
        <f t="shared" si="45"/>
        <v>2017</v>
      </c>
      <c r="D392" s="7">
        <f>AVERAGE(D391,D393)</f>
        <v>1.7434499999999999</v>
      </c>
      <c r="E392" s="7">
        <f>AVERAGE(E391,E393)</f>
        <v>1.3860424999999998</v>
      </c>
      <c r="F392" s="7">
        <f>AVERAGE(F391,F393)</f>
        <v>313.82100000000003</v>
      </c>
      <c r="H392" s="4"/>
      <c r="I392" s="7">
        <f>AVERAGE(I391,I393)</f>
        <v>149</v>
      </c>
      <c r="J392" s="4"/>
      <c r="L392" s="8">
        <f t="shared" si="41"/>
        <v>0.79499985660615435</v>
      </c>
      <c r="M392" s="8">
        <f t="shared" si="42"/>
        <v>0.18000000000000002</v>
      </c>
      <c r="N392" s="8">
        <f t="shared" si="40"/>
        <v>0.9749998566061544</v>
      </c>
      <c r="O392" s="8"/>
      <c r="P392" s="6">
        <f t="shared" si="43"/>
        <v>90.659399999999991</v>
      </c>
      <c r="Q392" s="6" t="str">
        <f t="shared" si="38"/>
        <v/>
      </c>
      <c r="R392" s="5"/>
      <c r="S392" s="4"/>
      <c r="T392" s="5"/>
      <c r="U392" s="5"/>
      <c r="V392" s="5"/>
      <c r="W392" s="5"/>
      <c r="X392" s="5"/>
      <c r="Y392" s="5"/>
      <c r="Z392" s="5"/>
      <c r="AA392" s="5"/>
      <c r="AB392" s="5"/>
      <c r="AC392" s="9"/>
      <c r="AD392" s="9"/>
      <c r="AE392" s="5"/>
      <c r="AF392" s="9"/>
      <c r="AG392" s="5"/>
      <c r="AH392" s="9"/>
      <c r="AI392" s="5"/>
      <c r="AJ392" s="9"/>
      <c r="AK392" s="5"/>
      <c r="AL392" s="9"/>
      <c r="AM392" s="5"/>
      <c r="AN392" s="9"/>
      <c r="AO392" s="5"/>
      <c r="AP392" s="9"/>
      <c r="AQ392" s="5"/>
      <c r="AR392" s="9"/>
      <c r="AS392" s="5"/>
      <c r="AT392" s="9"/>
      <c r="AU392" s="5"/>
      <c r="AV392" s="9"/>
      <c r="AW392" s="5"/>
      <c r="AZ392" s="5"/>
      <c r="BB392" s="5"/>
      <c r="BD392" s="5"/>
      <c r="BF392" s="5"/>
      <c r="BH392" s="5"/>
      <c r="BJ392" s="5"/>
      <c r="BL392" s="5"/>
      <c r="BN392" s="5"/>
      <c r="BP392" s="5"/>
      <c r="BR392" s="5"/>
    </row>
    <row r="393" spans="1:70" x14ac:dyDescent="0.25">
      <c r="A393" s="3">
        <v>43017</v>
      </c>
      <c r="B393" s="1">
        <f t="shared" si="44"/>
        <v>10</v>
      </c>
      <c r="C393" s="1">
        <f t="shared" si="45"/>
        <v>2017</v>
      </c>
      <c r="D393" s="4">
        <v>1.4725999999999999</v>
      </c>
      <c r="E393" s="4">
        <v>1.170717</v>
      </c>
      <c r="F393" s="5">
        <v>265.06799999999998</v>
      </c>
      <c r="H393" s="4">
        <v>6.3639999999999999</v>
      </c>
      <c r="I393" s="4">
        <v>155</v>
      </c>
      <c r="J393" s="4">
        <v>79.260000000000005</v>
      </c>
      <c r="L393" s="8">
        <f t="shared" si="41"/>
        <v>0.79500000000000004</v>
      </c>
      <c r="M393" s="8">
        <f t="shared" si="42"/>
        <v>0.18</v>
      </c>
      <c r="N393" s="8">
        <f t="shared" si="40"/>
        <v>0.97500000000000009</v>
      </c>
      <c r="O393" s="8"/>
      <c r="P393" s="6">
        <f t="shared" si="43"/>
        <v>76.575199999999995</v>
      </c>
      <c r="Q393" s="6">
        <f t="shared" si="38"/>
        <v>30.251256281407034</v>
      </c>
      <c r="S393" s="4">
        <v>333</v>
      </c>
      <c r="AZ393" s="5"/>
      <c r="BB393" s="5"/>
      <c r="BD393" s="5"/>
      <c r="BF393" s="5"/>
      <c r="BH393" s="5"/>
      <c r="BJ393" s="5"/>
      <c r="BL393" s="5"/>
      <c r="BN393" s="5"/>
      <c r="BP393" s="5"/>
      <c r="BR393" s="5"/>
    </row>
    <row r="394" spans="1:70" x14ac:dyDescent="0.25">
      <c r="A394" s="3">
        <v>43024</v>
      </c>
      <c r="B394" s="1">
        <f t="shared" si="44"/>
        <v>10</v>
      </c>
      <c r="C394" s="1">
        <f t="shared" si="45"/>
        <v>2017</v>
      </c>
      <c r="D394" s="4">
        <v>1.7356</v>
      </c>
      <c r="E394" s="4">
        <v>1.379802</v>
      </c>
      <c r="F394" s="5">
        <v>312.40800000000002</v>
      </c>
      <c r="H394" s="4">
        <v>6.5645000000000007</v>
      </c>
      <c r="I394" s="4">
        <v>159.97999999999999</v>
      </c>
      <c r="J394" s="4">
        <v>78.31</v>
      </c>
      <c r="L394" s="8">
        <f t="shared" si="41"/>
        <v>0.79499999999999993</v>
      </c>
      <c r="M394" s="8">
        <f t="shared" si="42"/>
        <v>0.18000000000000002</v>
      </c>
      <c r="N394" s="8">
        <f t="shared" si="40"/>
        <v>0.97499999999999998</v>
      </c>
      <c r="O394" s="8"/>
      <c r="P394" s="6">
        <f t="shared" si="43"/>
        <v>90.251199999999997</v>
      </c>
      <c r="Q394" s="6">
        <f t="shared" si="38"/>
        <v>26.475858492740265</v>
      </c>
      <c r="S394" s="4">
        <v>303</v>
      </c>
      <c r="AZ394" s="5"/>
      <c r="BB394" s="5"/>
      <c r="BD394" s="5"/>
      <c r="BF394" s="5"/>
      <c r="BH394" s="5"/>
      <c r="BJ394" s="5"/>
      <c r="BL394" s="5"/>
      <c r="BN394" s="5"/>
      <c r="BP394" s="5"/>
      <c r="BR394" s="5"/>
    </row>
    <row r="395" spans="1:70" x14ac:dyDescent="0.25">
      <c r="A395" s="3">
        <v>43031</v>
      </c>
      <c r="B395" s="1">
        <f t="shared" si="44"/>
        <v>10</v>
      </c>
      <c r="C395" s="1">
        <f t="shared" si="45"/>
        <v>2017</v>
      </c>
      <c r="D395" s="4">
        <v>1.8207500000000001</v>
      </c>
      <c r="E395" s="4">
        <v>1.4474959999999999</v>
      </c>
      <c r="F395" s="5">
        <v>327.73500000000001</v>
      </c>
      <c r="H395" s="4">
        <v>6.0754999999999999</v>
      </c>
      <c r="I395" s="4">
        <v>159.91999999999999</v>
      </c>
      <c r="J395" s="4">
        <v>72.760000000000005</v>
      </c>
      <c r="L395" s="8">
        <f t="shared" si="41"/>
        <v>0.79499986269394474</v>
      </c>
      <c r="M395" s="8">
        <f t="shared" si="42"/>
        <v>0.18</v>
      </c>
      <c r="N395" s="8">
        <f t="shared" si="40"/>
        <v>0.97499986269394467</v>
      </c>
      <c r="O395" s="8"/>
      <c r="P395" s="6">
        <f t="shared" si="43"/>
        <v>94.679000000000002</v>
      </c>
      <c r="Q395" s="6">
        <f t="shared" si="38"/>
        <v>23.357682273788271</v>
      </c>
      <c r="S395" s="4">
        <v>229</v>
      </c>
      <c r="AZ395" s="5"/>
      <c r="BB395" s="5"/>
      <c r="BD395" s="5"/>
      <c r="BF395" s="5"/>
      <c r="BH395" s="5"/>
      <c r="BJ395" s="5"/>
      <c r="BL395" s="5"/>
      <c r="BN395" s="5"/>
      <c r="BP395" s="5"/>
      <c r="BR395" s="5"/>
    </row>
    <row r="396" spans="1:70" x14ac:dyDescent="0.25">
      <c r="A396" s="3">
        <v>43038</v>
      </c>
      <c r="B396" s="1">
        <f t="shared" si="44"/>
        <v>10</v>
      </c>
      <c r="C396" s="1">
        <f t="shared" si="45"/>
        <v>2017</v>
      </c>
      <c r="D396" s="4">
        <v>1.7523500000000001</v>
      </c>
      <c r="E396" s="4">
        <v>1.3931180000000001</v>
      </c>
      <c r="F396" s="5">
        <v>315.423</v>
      </c>
      <c r="H396" s="4">
        <v>6.0045000000000002</v>
      </c>
      <c r="I396" s="4">
        <v>158.52000000000001</v>
      </c>
      <c r="J396" s="4">
        <v>66.41</v>
      </c>
      <c r="L396" s="8">
        <f t="shared" si="41"/>
        <v>0.79499985733443668</v>
      </c>
      <c r="M396" s="8">
        <f t="shared" si="42"/>
        <v>0.18</v>
      </c>
      <c r="N396" s="8">
        <f t="shared" si="40"/>
        <v>0.97499985733443673</v>
      </c>
      <c r="O396" s="8"/>
      <c r="P396" s="6">
        <f t="shared" si="43"/>
        <v>91.122200000000007</v>
      </c>
      <c r="Q396" s="6">
        <f t="shared" si="38"/>
        <v>23.985790509886726</v>
      </c>
      <c r="S396" s="4">
        <v>229</v>
      </c>
      <c r="AZ396" s="5"/>
      <c r="BB396" s="5"/>
      <c r="BD396" s="5"/>
      <c r="BF396" s="5"/>
      <c r="BH396" s="5"/>
      <c r="BJ396" s="5"/>
      <c r="BL396" s="5"/>
      <c r="BN396" s="5"/>
      <c r="BP396" s="5"/>
      <c r="BR396" s="5"/>
    </row>
    <row r="397" spans="1:70" x14ac:dyDescent="0.25">
      <c r="A397" s="3">
        <v>43045</v>
      </c>
      <c r="B397" s="1">
        <f t="shared" si="44"/>
        <v>11</v>
      </c>
      <c r="C397" s="1">
        <f t="shared" si="45"/>
        <v>2017</v>
      </c>
      <c r="D397" s="4">
        <v>1.8073699999999999</v>
      </c>
      <c r="E397" s="4">
        <v>1.4368590000000001</v>
      </c>
      <c r="F397" s="5">
        <v>325.32600000000002</v>
      </c>
      <c r="H397" s="4">
        <v>5.6574999999999998</v>
      </c>
      <c r="I397" s="4">
        <v>159.5</v>
      </c>
      <c r="J397" s="4">
        <v>61.77</v>
      </c>
      <c r="L397" s="8">
        <f t="shared" si="41"/>
        <v>0.7949999170064791</v>
      </c>
      <c r="M397" s="8">
        <f t="shared" si="42"/>
        <v>0.17999966802591613</v>
      </c>
      <c r="N397" s="8">
        <f t="shared" si="40"/>
        <v>0.97499958503239526</v>
      </c>
      <c r="O397" s="8"/>
      <c r="P397" s="6">
        <f t="shared" si="43"/>
        <v>93.983239999999995</v>
      </c>
      <c r="Q397" s="6">
        <f t="shared" si="38"/>
        <v>21.911672762079711</v>
      </c>
      <c r="S397" s="4">
        <v>219</v>
      </c>
      <c r="AZ397" s="5"/>
      <c r="BB397" s="5"/>
      <c r="BD397" s="5"/>
      <c r="BF397" s="5"/>
      <c r="BH397" s="5"/>
      <c r="BJ397" s="5"/>
      <c r="BL397" s="5"/>
      <c r="BN397" s="5"/>
      <c r="BP397" s="5"/>
      <c r="BR397" s="5"/>
    </row>
    <row r="398" spans="1:70" x14ac:dyDescent="0.25">
      <c r="A398" s="3">
        <v>43052</v>
      </c>
      <c r="B398" s="1">
        <f t="shared" si="44"/>
        <v>11</v>
      </c>
      <c r="C398" s="1">
        <f t="shared" si="45"/>
        <v>2017</v>
      </c>
      <c r="D398" s="4">
        <v>1.7214</v>
      </c>
      <c r="E398" s="4">
        <v>1.3685130000000001</v>
      </c>
      <c r="F398" s="5">
        <v>309.85199999999998</v>
      </c>
      <c r="H398" s="4">
        <v>5.7084999999999999</v>
      </c>
      <c r="I398" s="4">
        <v>161.22999999999999</v>
      </c>
      <c r="J398" s="4">
        <v>58.62</v>
      </c>
      <c r="L398" s="8">
        <f t="shared" si="41"/>
        <v>0.79500000000000004</v>
      </c>
      <c r="M398" s="8">
        <f t="shared" si="42"/>
        <v>0.17999999999999997</v>
      </c>
      <c r="N398" s="8">
        <f t="shared" si="40"/>
        <v>0.97499999999999998</v>
      </c>
      <c r="O398" s="8"/>
      <c r="P398" s="6">
        <f t="shared" si="43"/>
        <v>89.512799999999999</v>
      </c>
      <c r="Q398" s="6">
        <f t="shared" si="38"/>
        <v>23.21337283606367</v>
      </c>
      <c r="S398" s="4">
        <v>210</v>
      </c>
      <c r="AZ398" s="5"/>
      <c r="BB398" s="5"/>
      <c r="BD398" s="5"/>
      <c r="BF398" s="5"/>
      <c r="BH398" s="5"/>
      <c r="BJ398" s="5"/>
      <c r="BL398" s="5"/>
      <c r="BN398" s="5"/>
      <c r="BP398" s="5"/>
      <c r="BR398" s="5"/>
    </row>
    <row r="399" spans="1:70" x14ac:dyDescent="0.25">
      <c r="A399" s="3">
        <v>43059</v>
      </c>
      <c r="B399" s="1">
        <f t="shared" si="44"/>
        <v>11</v>
      </c>
      <c r="C399" s="1">
        <f t="shared" si="45"/>
        <v>2017</v>
      </c>
      <c r="D399" s="4">
        <v>1.95095</v>
      </c>
      <c r="E399" s="4">
        <v>1.551005</v>
      </c>
      <c r="F399" s="5">
        <v>351.17099999999999</v>
      </c>
      <c r="H399" s="4">
        <v>5.9615</v>
      </c>
      <c r="I399" s="4">
        <v>163.72999999999999</v>
      </c>
      <c r="J399" s="4">
        <v>62.73</v>
      </c>
      <c r="L399" s="8">
        <f t="shared" si="41"/>
        <v>0.79499987185730026</v>
      </c>
      <c r="M399" s="8">
        <f t="shared" si="42"/>
        <v>0.18000000000000002</v>
      </c>
      <c r="N399" s="8">
        <f t="shared" si="40"/>
        <v>0.9749998718573003</v>
      </c>
      <c r="O399" s="8"/>
      <c r="P399" s="6">
        <f t="shared" si="43"/>
        <v>101.4494</v>
      </c>
      <c r="Q399" s="6">
        <f t="shared" si="38"/>
        <v>21.389835721058969</v>
      </c>
      <c r="S399" s="4">
        <v>211</v>
      </c>
      <c r="AZ399" s="5"/>
      <c r="BB399" s="5"/>
      <c r="BD399" s="5"/>
      <c r="BF399" s="5"/>
      <c r="BH399" s="5"/>
      <c r="BJ399" s="5"/>
      <c r="BL399" s="5"/>
      <c r="BN399" s="5"/>
      <c r="BP399" s="5"/>
      <c r="BR399" s="5"/>
    </row>
    <row r="400" spans="1:70" x14ac:dyDescent="0.25">
      <c r="A400" s="3">
        <v>43066</v>
      </c>
      <c r="B400" s="1">
        <f t="shared" si="44"/>
        <v>11</v>
      </c>
      <c r="C400" s="1">
        <f t="shared" si="45"/>
        <v>2017</v>
      </c>
      <c r="D400" s="4">
        <v>1.96855</v>
      </c>
      <c r="E400" s="4">
        <v>1.564997</v>
      </c>
      <c r="F400" s="5">
        <v>345.339</v>
      </c>
      <c r="H400" s="4">
        <v>6.0564999999999998</v>
      </c>
      <c r="I400" s="4">
        <v>167.47</v>
      </c>
      <c r="J400" s="4">
        <v>67.25</v>
      </c>
      <c r="L400" s="8">
        <f t="shared" si="41"/>
        <v>0.7949998730029717</v>
      </c>
      <c r="M400" s="8">
        <f t="shared" si="42"/>
        <v>0.17542810698229661</v>
      </c>
      <c r="N400" s="8">
        <f t="shared" si="40"/>
        <v>0.97042797998526831</v>
      </c>
      <c r="O400" s="8"/>
      <c r="P400" s="6">
        <f t="shared" si="43"/>
        <v>102.3646</v>
      </c>
      <c r="Q400" s="6">
        <f t="shared" si="38"/>
        <v>21.536410048004875</v>
      </c>
      <c r="S400" s="4">
        <v>146</v>
      </c>
      <c r="AZ400" s="5"/>
      <c r="BB400" s="5"/>
      <c r="BD400" s="5"/>
      <c r="BF400" s="5"/>
      <c r="BH400" s="5"/>
      <c r="BJ400" s="5"/>
      <c r="BL400" s="5"/>
      <c r="BN400" s="5"/>
      <c r="BP400" s="5"/>
      <c r="BR400" s="5"/>
    </row>
    <row r="401" spans="1:70" x14ac:dyDescent="0.25">
      <c r="A401" s="3">
        <v>43073</v>
      </c>
      <c r="B401" s="1">
        <f t="shared" si="44"/>
        <v>12</v>
      </c>
      <c r="C401" s="1">
        <f t="shared" si="45"/>
        <v>2017</v>
      </c>
      <c r="D401" s="4">
        <v>1.9601500000000001</v>
      </c>
      <c r="E401" s="4">
        <v>1.558319</v>
      </c>
      <c r="F401" s="5">
        <v>352.827</v>
      </c>
      <c r="H401" s="4">
        <v>6.0872999999999999</v>
      </c>
      <c r="I401" s="4">
        <v>168.29</v>
      </c>
      <c r="J401" s="4">
        <v>67.989999999999995</v>
      </c>
      <c r="L401" s="8">
        <f t="shared" si="41"/>
        <v>0.79499987245874038</v>
      </c>
      <c r="M401" s="8">
        <f t="shared" si="42"/>
        <v>0.18</v>
      </c>
      <c r="N401" s="8">
        <f t="shared" si="40"/>
        <v>0.97499987245874031</v>
      </c>
      <c r="O401" s="8"/>
      <c r="P401" s="6">
        <f t="shared" si="43"/>
        <v>101.9278</v>
      </c>
      <c r="Q401" s="6">
        <f t="shared" si="38"/>
        <v>21.738693467336681</v>
      </c>
      <c r="S401" s="4">
        <v>209</v>
      </c>
      <c r="AZ401" s="5"/>
      <c r="BB401" s="5"/>
      <c r="BD401" s="5"/>
      <c r="BF401" s="5"/>
      <c r="BH401" s="5"/>
      <c r="BJ401" s="5"/>
      <c r="BL401" s="5"/>
      <c r="BN401" s="5"/>
      <c r="BP401" s="5"/>
      <c r="BR401" s="5"/>
    </row>
    <row r="402" spans="1:70" x14ac:dyDescent="0.25">
      <c r="A402" s="3">
        <v>43080</v>
      </c>
      <c r="B402" s="1">
        <f t="shared" si="44"/>
        <v>12</v>
      </c>
      <c r="C402" s="1">
        <f t="shared" si="45"/>
        <v>2017</v>
      </c>
      <c r="D402" s="4">
        <v>1.9794499999999999</v>
      </c>
      <c r="E402" s="4">
        <v>1.5736619999999999</v>
      </c>
      <c r="F402" s="5">
        <v>356.30099999999999</v>
      </c>
      <c r="H402" s="4">
        <v>6.2865000000000002</v>
      </c>
      <c r="I402" s="4">
        <v>167.87</v>
      </c>
      <c r="J402" s="4">
        <v>72.75</v>
      </c>
      <c r="L402" s="8">
        <f t="shared" si="41"/>
        <v>0.79499962110687306</v>
      </c>
      <c r="M402" s="8">
        <f t="shared" si="42"/>
        <v>0.18</v>
      </c>
      <c r="N402" s="8">
        <f t="shared" si="40"/>
        <v>0.97499962110687299</v>
      </c>
      <c r="O402" s="8"/>
      <c r="P402" s="6">
        <f t="shared" si="43"/>
        <v>102.9314</v>
      </c>
      <c r="Q402" s="6">
        <f t="shared" si="38"/>
        <v>22.231175326479576</v>
      </c>
      <c r="S402" s="4">
        <v>142</v>
      </c>
      <c r="AZ402" s="5"/>
      <c r="BB402" s="5"/>
      <c r="BD402" s="5"/>
      <c r="BF402" s="5"/>
      <c r="BH402" s="5"/>
      <c r="BJ402" s="5"/>
      <c r="BL402" s="5"/>
      <c r="BN402" s="5"/>
      <c r="BP402" s="5"/>
      <c r="BR402" s="5"/>
    </row>
    <row r="403" spans="1:70" x14ac:dyDescent="0.25">
      <c r="A403" s="3">
        <v>43087</v>
      </c>
      <c r="B403" s="1">
        <f t="shared" si="44"/>
        <v>12</v>
      </c>
      <c r="C403" s="1">
        <f t="shared" si="45"/>
        <v>2017</v>
      </c>
      <c r="D403" s="4">
        <v>1.9291499999999999</v>
      </c>
      <c r="E403" s="4">
        <v>1.533674</v>
      </c>
      <c r="F403" s="5">
        <v>347.24700000000001</v>
      </c>
      <c r="H403" s="4">
        <v>6.0875000000000004</v>
      </c>
      <c r="I403" s="4">
        <v>168.2</v>
      </c>
      <c r="J403" s="4">
        <v>77.099999999999994</v>
      </c>
      <c r="L403" s="8">
        <f t="shared" si="41"/>
        <v>0.79499987040924758</v>
      </c>
      <c r="M403" s="8">
        <f t="shared" si="42"/>
        <v>0.18000000000000002</v>
      </c>
      <c r="N403" s="8">
        <f t="shared" si="40"/>
        <v>0.97499987040924763</v>
      </c>
      <c r="O403" s="8"/>
      <c r="P403" s="6">
        <f t="shared" si="43"/>
        <v>100.3158</v>
      </c>
      <c r="Q403" s="6">
        <f t="shared" si="38"/>
        <v>22.088743747246198</v>
      </c>
      <c r="S403" s="4">
        <v>129</v>
      </c>
      <c r="AZ403" s="5"/>
      <c r="BB403" s="5"/>
      <c r="BD403" s="5"/>
      <c r="BF403" s="5"/>
      <c r="BH403" s="5"/>
      <c r="BJ403" s="5"/>
      <c r="BL403" s="5"/>
      <c r="BN403" s="5"/>
      <c r="BP403" s="5"/>
      <c r="BR403" s="5"/>
    </row>
    <row r="404" spans="1:70" x14ac:dyDescent="0.25">
      <c r="A404" s="3">
        <v>43094</v>
      </c>
      <c r="B404" s="1">
        <f t="shared" si="44"/>
        <v>12</v>
      </c>
      <c r="C404" s="1">
        <f t="shared" si="45"/>
        <v>2017</v>
      </c>
      <c r="D404" s="4">
        <v>2.0710500000000001</v>
      </c>
      <c r="E404" s="4">
        <v>1.6464840000000001</v>
      </c>
      <c r="F404" s="5">
        <v>372.78899999999999</v>
      </c>
      <c r="H404" s="4">
        <v>6.0525000000000002</v>
      </c>
      <c r="I404" s="4">
        <v>164.53</v>
      </c>
      <c r="J404" s="4">
        <v>87.33</v>
      </c>
      <c r="L404" s="8">
        <f t="shared" si="41"/>
        <v>0.79499963786485117</v>
      </c>
      <c r="M404" s="8">
        <f t="shared" si="42"/>
        <v>0.18</v>
      </c>
      <c r="N404" s="8">
        <f t="shared" si="40"/>
        <v>0.97499963786485111</v>
      </c>
      <c r="O404" s="8"/>
      <c r="P404" s="6">
        <f t="shared" si="43"/>
        <v>107.69460000000001</v>
      </c>
      <c r="Q404" s="6">
        <f t="shared" ref="Q404:Q467" si="46">IF(H404="","",IF(D404="","",H404/(D404/7)))</f>
        <v>20.457014557832981</v>
      </c>
      <c r="S404" s="4">
        <v>113</v>
      </c>
      <c r="AZ404" s="5"/>
      <c r="BB404" s="5"/>
      <c r="BD404" s="5"/>
      <c r="BF404" s="5"/>
      <c r="BH404" s="5"/>
      <c r="BJ404" s="5"/>
      <c r="BL404" s="5"/>
      <c r="BN404" s="5"/>
      <c r="BP404" s="5"/>
      <c r="BR404" s="5"/>
    </row>
    <row r="405" spans="1:70" x14ac:dyDescent="0.25">
      <c r="A405" s="3">
        <v>43101</v>
      </c>
      <c r="B405" s="1">
        <f t="shared" si="44"/>
        <v>1</v>
      </c>
      <c r="C405" s="1">
        <f t="shared" si="45"/>
        <v>2018</v>
      </c>
      <c r="D405" s="4">
        <v>1.9605600000000001</v>
      </c>
      <c r="E405" s="4">
        <v>1.5685199999999999</v>
      </c>
      <c r="F405" s="5">
        <v>352.91699999999997</v>
      </c>
      <c r="H405" s="4">
        <v>6.1645000000000003</v>
      </c>
      <c r="I405" s="4">
        <v>165.04</v>
      </c>
      <c r="J405" s="4">
        <v>93.79</v>
      </c>
      <c r="L405" s="8">
        <f t="shared" si="41"/>
        <v>0.80003672420124849</v>
      </c>
      <c r="M405" s="8">
        <f t="shared" si="42"/>
        <v>0.18000826294528091</v>
      </c>
      <c r="N405" s="8">
        <f t="shared" si="40"/>
        <v>0.98004498714652943</v>
      </c>
      <c r="O405" s="8"/>
      <c r="P405" s="6">
        <f t="shared" si="43"/>
        <v>101.94912000000001</v>
      </c>
      <c r="Q405" s="6">
        <f t="shared" si="46"/>
        <v>22.009782919165954</v>
      </c>
      <c r="S405" s="4">
        <v>132</v>
      </c>
      <c r="AZ405" s="5"/>
      <c r="BB405" s="5"/>
      <c r="BD405" s="5"/>
      <c r="BF405" s="5"/>
      <c r="BH405" s="5"/>
      <c r="BJ405" s="5"/>
      <c r="BL405" s="5"/>
      <c r="BN405" s="5"/>
      <c r="BP405" s="5"/>
      <c r="BR405" s="5"/>
    </row>
    <row r="406" spans="1:70" x14ac:dyDescent="0.25">
      <c r="A406" s="3">
        <v>43108</v>
      </c>
      <c r="B406" s="1">
        <f t="shared" si="44"/>
        <v>1</v>
      </c>
      <c r="C406" s="1">
        <f t="shared" si="45"/>
        <v>2018</v>
      </c>
      <c r="D406" s="4">
        <v>1.6837500000000001</v>
      </c>
      <c r="E406" s="4">
        <v>1.338581</v>
      </c>
      <c r="F406" s="5">
        <v>303.07499999999999</v>
      </c>
      <c r="H406" s="4">
        <v>6.1475</v>
      </c>
      <c r="I406" s="4">
        <v>161.4</v>
      </c>
      <c r="J406" s="4">
        <v>87.33</v>
      </c>
      <c r="L406" s="8">
        <f t="shared" si="41"/>
        <v>0.79499985152190045</v>
      </c>
      <c r="M406" s="8">
        <f t="shared" si="42"/>
        <v>0.18</v>
      </c>
      <c r="N406" s="8">
        <f t="shared" si="40"/>
        <v>0.9749998515219005</v>
      </c>
      <c r="O406" s="8"/>
      <c r="P406" s="6">
        <f t="shared" si="43"/>
        <v>87.555000000000007</v>
      </c>
      <c r="Q406" s="6">
        <f t="shared" si="46"/>
        <v>25.557535263548626</v>
      </c>
      <c r="S406" s="4">
        <v>132</v>
      </c>
      <c r="AZ406" s="5"/>
      <c r="BB406" s="5"/>
      <c r="BD406" s="5"/>
      <c r="BF406" s="5"/>
      <c r="BH406" s="5"/>
      <c r="BJ406" s="5"/>
      <c r="BL406" s="5"/>
      <c r="BN406" s="5"/>
      <c r="BP406" s="5"/>
      <c r="BR406" s="5"/>
    </row>
    <row r="407" spans="1:70" x14ac:dyDescent="0.25">
      <c r="A407" s="3">
        <v>43115</v>
      </c>
      <c r="B407" s="1">
        <f t="shared" si="44"/>
        <v>1</v>
      </c>
      <c r="C407" s="1">
        <f t="shared" si="45"/>
        <v>2018</v>
      </c>
      <c r="D407" s="4">
        <v>1.8165</v>
      </c>
      <c r="E407" s="4">
        <v>1.4441170000000001</v>
      </c>
      <c r="F407" s="5">
        <v>326.97000000000003</v>
      </c>
      <c r="H407" s="4">
        <v>6.1254999999999997</v>
      </c>
      <c r="I407" s="4">
        <v>156.06</v>
      </c>
      <c r="J407" s="4">
        <v>96.75</v>
      </c>
      <c r="L407" s="8">
        <f t="shared" si="41"/>
        <v>0.79499972474538949</v>
      </c>
      <c r="M407" s="8">
        <f t="shared" si="42"/>
        <v>0.18000000000000002</v>
      </c>
      <c r="N407" s="8">
        <f t="shared" si="40"/>
        <v>0.97499972474538954</v>
      </c>
      <c r="O407" s="8"/>
      <c r="P407" s="6">
        <f t="shared" si="43"/>
        <v>94.457999999999998</v>
      </c>
      <c r="Q407" s="6">
        <f t="shared" si="46"/>
        <v>23.605009633911365</v>
      </c>
      <c r="S407" s="4">
        <v>166</v>
      </c>
      <c r="AZ407" s="5"/>
      <c r="BB407" s="5"/>
      <c r="BD407" s="5"/>
      <c r="BF407" s="5"/>
      <c r="BH407" s="5"/>
      <c r="BJ407" s="5"/>
      <c r="BL407" s="5"/>
      <c r="BN407" s="5"/>
      <c r="BP407" s="5"/>
      <c r="BR407" s="5"/>
    </row>
    <row r="408" spans="1:70" x14ac:dyDescent="0.25">
      <c r="A408" s="3">
        <v>43122</v>
      </c>
      <c r="B408" s="1">
        <f t="shared" si="44"/>
        <v>1</v>
      </c>
      <c r="C408" s="1">
        <f t="shared" si="45"/>
        <v>2018</v>
      </c>
      <c r="D408" s="4">
        <v>1.9047499999999999</v>
      </c>
      <c r="E408" s="4">
        <v>1.514276</v>
      </c>
      <c r="F408" s="5">
        <v>342.85500000000002</v>
      </c>
      <c r="H408" s="4"/>
      <c r="I408" s="4"/>
      <c r="J408" s="4"/>
      <c r="L408" s="8">
        <f t="shared" si="41"/>
        <v>0.79499986874917972</v>
      </c>
      <c r="M408" s="8">
        <f t="shared" si="42"/>
        <v>0.18000000000000002</v>
      </c>
      <c r="N408" s="8">
        <f t="shared" si="40"/>
        <v>0.97499986874917977</v>
      </c>
      <c r="O408" s="8"/>
      <c r="P408" s="6">
        <f t="shared" si="43"/>
        <v>99.046999999999997</v>
      </c>
      <c r="Q408" s="6" t="str">
        <f t="shared" si="46"/>
        <v/>
      </c>
      <c r="S408" s="4">
        <v>166</v>
      </c>
      <c r="AZ408" s="5"/>
      <c r="BB408" s="5"/>
      <c r="BD408" s="5"/>
      <c r="BF408" s="5"/>
      <c r="BH408" s="5"/>
      <c r="BJ408" s="5"/>
      <c r="BL408" s="5"/>
      <c r="BN408" s="5"/>
      <c r="BP408" s="5"/>
      <c r="BR408" s="5"/>
    </row>
    <row r="409" spans="1:70" x14ac:dyDescent="0.25">
      <c r="A409" s="3">
        <v>43129</v>
      </c>
      <c r="B409" s="1">
        <f t="shared" si="44"/>
        <v>1</v>
      </c>
      <c r="C409" s="1">
        <f t="shared" si="45"/>
        <v>2018</v>
      </c>
      <c r="D409" s="4">
        <v>1.99505</v>
      </c>
      <c r="E409" s="4">
        <v>1.5860639999999999</v>
      </c>
      <c r="F409" s="5">
        <v>359.10899999999998</v>
      </c>
      <c r="H409" s="4">
        <v>6.2654999999999994</v>
      </c>
      <c r="I409" s="4">
        <v>150.11000000000001</v>
      </c>
      <c r="J409" s="4">
        <v>96.42</v>
      </c>
      <c r="L409" s="8">
        <f t="shared" si="41"/>
        <v>0.79499962406957214</v>
      </c>
      <c r="M409" s="8">
        <f t="shared" si="42"/>
        <v>0.17999999999999997</v>
      </c>
      <c r="N409" s="8">
        <f t="shared" si="40"/>
        <v>0.97499962406957208</v>
      </c>
      <c r="O409" s="8"/>
      <c r="P409" s="6">
        <f t="shared" si="43"/>
        <v>103.7426</v>
      </c>
      <c r="Q409" s="6">
        <f t="shared" si="46"/>
        <v>21.983659557404575</v>
      </c>
      <c r="S409" s="4">
        <v>166</v>
      </c>
      <c r="AZ409" s="5"/>
      <c r="BB409" s="5"/>
      <c r="BD409" s="5"/>
      <c r="BF409" s="5"/>
      <c r="BH409" s="5"/>
      <c r="BJ409" s="5"/>
      <c r="BL409" s="5"/>
      <c r="BN409" s="5"/>
      <c r="BP409" s="5"/>
      <c r="BR409" s="5"/>
    </row>
    <row r="410" spans="1:70" x14ac:dyDescent="0.25">
      <c r="A410" s="3">
        <v>43136</v>
      </c>
      <c r="B410" s="1">
        <f t="shared" si="44"/>
        <v>2</v>
      </c>
      <c r="C410" s="1">
        <f t="shared" si="45"/>
        <v>2018</v>
      </c>
      <c r="D410" s="4">
        <v>1.907</v>
      </c>
      <c r="E410" s="4">
        <v>1.516065</v>
      </c>
      <c r="F410" s="5">
        <v>343.26</v>
      </c>
      <c r="H410" s="4">
        <v>5.8854999999999995</v>
      </c>
      <c r="I410" s="4">
        <v>148.5</v>
      </c>
      <c r="J410" s="4">
        <v>87.93</v>
      </c>
      <c r="L410" s="8">
        <f t="shared" si="41"/>
        <v>0.79500000000000004</v>
      </c>
      <c r="M410" s="8">
        <f t="shared" si="42"/>
        <v>0.18</v>
      </c>
      <c r="N410" s="8">
        <f t="shared" si="40"/>
        <v>0.97500000000000009</v>
      </c>
      <c r="O410" s="8"/>
      <c r="P410" s="6">
        <f t="shared" si="43"/>
        <v>99.164000000000001</v>
      </c>
      <c r="Q410" s="6">
        <f t="shared" si="46"/>
        <v>21.603828002097536</v>
      </c>
      <c r="S410" s="4">
        <v>92</v>
      </c>
      <c r="AZ410" s="5"/>
      <c r="BB410" s="5"/>
      <c r="BD410" s="5"/>
      <c r="BF410" s="5"/>
      <c r="BH410" s="5"/>
      <c r="BJ410" s="5"/>
      <c r="BL410" s="5"/>
      <c r="BN410" s="5"/>
      <c r="BP410" s="5"/>
      <c r="BR410" s="5"/>
    </row>
    <row r="411" spans="1:70" x14ac:dyDescent="0.25">
      <c r="A411" s="3">
        <v>43143</v>
      </c>
      <c r="B411" s="1">
        <f t="shared" si="44"/>
        <v>2</v>
      </c>
      <c r="C411" s="1">
        <f t="shared" si="45"/>
        <v>2018</v>
      </c>
      <c r="D411" s="4">
        <v>1.9318</v>
      </c>
      <c r="E411" s="4">
        <v>1.5357810000000001</v>
      </c>
      <c r="F411" s="5">
        <v>347.72399999999999</v>
      </c>
      <c r="H411" s="4"/>
      <c r="I411" s="4">
        <v>146</v>
      </c>
      <c r="J411" s="4">
        <v>71.709999999999994</v>
      </c>
      <c r="L411" s="8">
        <f t="shared" si="41"/>
        <v>0.79500000000000004</v>
      </c>
      <c r="M411" s="8">
        <f t="shared" si="42"/>
        <v>0.18</v>
      </c>
      <c r="N411" s="8">
        <f t="shared" si="40"/>
        <v>0.97500000000000009</v>
      </c>
      <c r="O411" s="8"/>
      <c r="P411" s="6">
        <f t="shared" si="43"/>
        <v>100.45359999999999</v>
      </c>
      <c r="Q411" s="6" t="str">
        <f t="shared" si="46"/>
        <v/>
      </c>
      <c r="S411" s="4">
        <v>92</v>
      </c>
      <c r="AZ411" s="5"/>
      <c r="BB411" s="5"/>
      <c r="BD411" s="5"/>
      <c r="BF411" s="5"/>
      <c r="BH411" s="5"/>
      <c r="BJ411" s="5"/>
      <c r="BL411" s="5"/>
      <c r="BN411" s="5"/>
      <c r="BP411" s="5"/>
      <c r="BR411" s="5"/>
    </row>
    <row r="412" spans="1:70" x14ac:dyDescent="0.25">
      <c r="A412" s="3">
        <v>43150</v>
      </c>
      <c r="B412" s="1">
        <f t="shared" si="44"/>
        <v>2</v>
      </c>
      <c r="C412" s="1">
        <f t="shared" si="45"/>
        <v>2018</v>
      </c>
      <c r="D412" s="7">
        <f>AVERAGE(D411,D413)</f>
        <v>1.271625</v>
      </c>
      <c r="E412" s="7">
        <f>AVERAGE(E411,E413)</f>
        <v>1.0109414999999999</v>
      </c>
      <c r="F412" s="7">
        <f>AVERAGE(F411,F413)</f>
        <v>228.89249999999998</v>
      </c>
      <c r="H412" s="4"/>
      <c r="I412" s="4"/>
      <c r="J412" s="4"/>
      <c r="L412" s="8">
        <f t="shared" si="41"/>
        <v>0.7949997051017399</v>
      </c>
      <c r="M412" s="8">
        <f t="shared" si="42"/>
        <v>0.17999999999999997</v>
      </c>
      <c r="N412" s="8">
        <f t="shared" si="40"/>
        <v>0.97499970510173983</v>
      </c>
      <c r="O412" s="8"/>
      <c r="P412" s="6">
        <f t="shared" si="43"/>
        <v>66.124499999999998</v>
      </c>
      <c r="Q412" s="6" t="str">
        <f t="shared" si="46"/>
        <v/>
      </c>
      <c r="S412" s="4">
        <v>287</v>
      </c>
      <c r="AZ412" s="5"/>
      <c r="BB412" s="5"/>
      <c r="BD412" s="5"/>
      <c r="BF412" s="5"/>
      <c r="BH412" s="5"/>
      <c r="BJ412" s="5"/>
      <c r="BL412" s="5"/>
      <c r="BN412" s="5"/>
      <c r="BP412" s="5"/>
      <c r="BR412" s="5"/>
    </row>
    <row r="413" spans="1:70" x14ac:dyDescent="0.25">
      <c r="A413" s="3">
        <v>43157</v>
      </c>
      <c r="B413" s="1">
        <f t="shared" si="44"/>
        <v>2</v>
      </c>
      <c r="C413" s="1">
        <f t="shared" si="45"/>
        <v>2018</v>
      </c>
      <c r="D413" s="4">
        <v>0.61145000000000005</v>
      </c>
      <c r="E413" s="4">
        <v>0.48610199999999998</v>
      </c>
      <c r="F413" s="5">
        <v>110.06100000000001</v>
      </c>
      <c r="H413" s="4">
        <v>6.5016999999999996</v>
      </c>
      <c r="I413" s="4">
        <v>141.59</v>
      </c>
      <c r="J413" s="4">
        <v>71.02</v>
      </c>
      <c r="L413" s="8">
        <f t="shared" si="41"/>
        <v>0.79499877340747394</v>
      </c>
      <c r="M413" s="8">
        <f t="shared" si="42"/>
        <v>0.18</v>
      </c>
      <c r="N413" s="8">
        <f t="shared" si="40"/>
        <v>0.97499877340747387</v>
      </c>
      <c r="O413" s="8"/>
      <c r="P413" s="6">
        <f t="shared" si="43"/>
        <v>31.795400000000001</v>
      </c>
      <c r="Q413" s="6">
        <f t="shared" si="46"/>
        <v>74.43274184315969</v>
      </c>
      <c r="S413" s="4">
        <v>344</v>
      </c>
      <c r="AZ413" s="5"/>
      <c r="BB413" s="5"/>
      <c r="BD413" s="5"/>
      <c r="BF413" s="5"/>
      <c r="BH413" s="5"/>
      <c r="BJ413" s="5"/>
      <c r="BL413" s="5"/>
      <c r="BN413" s="5"/>
      <c r="BP413" s="5"/>
      <c r="BR413" s="5"/>
    </row>
    <row r="414" spans="1:70" x14ac:dyDescent="0.25">
      <c r="A414" s="3">
        <v>43164</v>
      </c>
      <c r="B414" s="1">
        <f t="shared" si="44"/>
        <v>3</v>
      </c>
      <c r="C414" s="1">
        <f t="shared" si="45"/>
        <v>2018</v>
      </c>
      <c r="D414" s="4">
        <v>1.4412</v>
      </c>
      <c r="E414" s="4">
        <v>1.1457539999999999</v>
      </c>
      <c r="F414" s="5">
        <v>259.416</v>
      </c>
      <c r="H414" s="4">
        <v>6.6821000000000002</v>
      </c>
      <c r="I414" s="4">
        <v>139.47999999999999</v>
      </c>
      <c r="J414" s="4">
        <v>66.39</v>
      </c>
      <c r="L414" s="8">
        <f t="shared" si="41"/>
        <v>0.79499999999999993</v>
      </c>
      <c r="M414" s="8">
        <f t="shared" si="42"/>
        <v>0.18</v>
      </c>
      <c r="N414" s="8">
        <f t="shared" si="40"/>
        <v>0.97499999999999987</v>
      </c>
      <c r="O414" s="8"/>
      <c r="P414" s="6">
        <f t="shared" si="43"/>
        <v>74.942400000000006</v>
      </c>
      <c r="Q414" s="6">
        <f t="shared" si="46"/>
        <v>32.455384401887315</v>
      </c>
      <c r="S414" s="4">
        <v>344</v>
      </c>
      <c r="AZ414" s="5"/>
      <c r="BB414" s="5"/>
      <c r="BD414" s="5"/>
      <c r="BF414" s="5"/>
      <c r="BH414" s="5"/>
      <c r="BJ414" s="5"/>
      <c r="BL414" s="5"/>
      <c r="BN414" s="5"/>
      <c r="BP414" s="5"/>
      <c r="BR414" s="5"/>
    </row>
    <row r="415" spans="1:70" x14ac:dyDescent="0.25">
      <c r="A415" s="3">
        <v>43171</v>
      </c>
      <c r="B415" s="1">
        <f t="shared" si="44"/>
        <v>3</v>
      </c>
      <c r="C415" s="1">
        <f t="shared" si="45"/>
        <v>2018</v>
      </c>
      <c r="D415" s="4">
        <v>1.8042</v>
      </c>
      <c r="E415" s="4">
        <v>1.434339</v>
      </c>
      <c r="F415" s="5">
        <v>324.75599999999997</v>
      </c>
      <c r="H415" s="4">
        <v>6.343</v>
      </c>
      <c r="I415" s="4">
        <v>146</v>
      </c>
      <c r="J415" s="4">
        <v>71.709999999999994</v>
      </c>
      <c r="L415" s="8">
        <f t="shared" si="41"/>
        <v>0.79500000000000004</v>
      </c>
      <c r="M415" s="8">
        <f t="shared" si="42"/>
        <v>0.18</v>
      </c>
      <c r="N415" s="8">
        <f t="shared" si="40"/>
        <v>0.97500000000000009</v>
      </c>
      <c r="O415" s="8"/>
      <c r="P415" s="6">
        <f t="shared" si="43"/>
        <v>93.818399999999997</v>
      </c>
      <c r="Q415" s="6">
        <f t="shared" si="46"/>
        <v>24.609799357055756</v>
      </c>
      <c r="S415" s="4">
        <v>276</v>
      </c>
      <c r="AZ415" s="5"/>
      <c r="BB415" s="5"/>
      <c r="BD415" s="5"/>
      <c r="BF415" s="5"/>
      <c r="BH415" s="5"/>
      <c r="BJ415" s="5"/>
      <c r="BL415" s="5"/>
      <c r="BN415" s="5"/>
      <c r="BP415" s="5"/>
      <c r="BR415" s="5"/>
    </row>
    <row r="416" spans="1:70" x14ac:dyDescent="0.25">
      <c r="A416" s="3">
        <v>43178</v>
      </c>
      <c r="B416" s="1">
        <f t="shared" si="44"/>
        <v>3</v>
      </c>
      <c r="C416" s="1">
        <f t="shared" si="45"/>
        <v>2018</v>
      </c>
      <c r="D416" s="4">
        <v>1.819</v>
      </c>
      <c r="E416" s="4">
        <v>1.446105</v>
      </c>
      <c r="F416" s="5">
        <v>327.42</v>
      </c>
      <c r="H416" s="4">
        <v>6.0179999999999998</v>
      </c>
      <c r="I416" s="4">
        <v>139.47999999999999</v>
      </c>
      <c r="J416" s="4">
        <v>66.39</v>
      </c>
      <c r="L416" s="8">
        <f t="shared" si="41"/>
        <v>0.79500000000000004</v>
      </c>
      <c r="M416" s="8">
        <f t="shared" si="42"/>
        <v>0.18</v>
      </c>
      <c r="N416" s="8">
        <f t="shared" si="40"/>
        <v>0.97500000000000009</v>
      </c>
      <c r="O416" s="8"/>
      <c r="P416" s="6">
        <f t="shared" si="43"/>
        <v>94.587999999999994</v>
      </c>
      <c r="Q416" s="6">
        <f t="shared" si="46"/>
        <v>23.158878504672899</v>
      </c>
      <c r="S416" s="4">
        <v>276</v>
      </c>
      <c r="AZ416" s="5"/>
      <c r="BB416" s="5"/>
      <c r="BD416" s="5"/>
      <c r="BF416" s="5"/>
      <c r="BH416" s="5"/>
      <c r="BJ416" s="5"/>
      <c r="BL416" s="5"/>
      <c r="BN416" s="5"/>
      <c r="BP416" s="5"/>
      <c r="BR416" s="5"/>
    </row>
    <row r="417" spans="1:70" x14ac:dyDescent="0.25">
      <c r="A417" s="3">
        <v>43185</v>
      </c>
      <c r="B417" s="1">
        <f t="shared" si="44"/>
        <v>3</v>
      </c>
      <c r="C417" s="1">
        <f t="shared" si="45"/>
        <v>2018</v>
      </c>
      <c r="D417" s="4">
        <v>1.6515</v>
      </c>
      <c r="E417" s="4">
        <v>1.3129420000000001</v>
      </c>
      <c r="F417" s="5">
        <v>297.27</v>
      </c>
      <c r="H417" s="4">
        <v>5.7309999999999999</v>
      </c>
      <c r="I417" s="4">
        <v>140.44999999999999</v>
      </c>
      <c r="J417" s="4">
        <v>79.989999999999995</v>
      </c>
      <c r="L417" s="8">
        <f t="shared" si="41"/>
        <v>0.79499969724492892</v>
      </c>
      <c r="M417" s="8">
        <f t="shared" si="42"/>
        <v>0.18</v>
      </c>
      <c r="N417" s="8">
        <f t="shared" si="40"/>
        <v>0.97499969724492885</v>
      </c>
      <c r="O417" s="8"/>
      <c r="P417" s="6">
        <f t="shared" si="43"/>
        <v>85.878</v>
      </c>
      <c r="Q417" s="6">
        <f t="shared" si="46"/>
        <v>24.291250378443838</v>
      </c>
      <c r="S417" s="4">
        <v>276</v>
      </c>
      <c r="AZ417" s="5"/>
      <c r="BB417" s="5"/>
      <c r="BD417" s="5"/>
      <c r="BF417" s="5"/>
      <c r="BH417" s="5"/>
      <c r="BJ417" s="5"/>
      <c r="BL417" s="5"/>
      <c r="BN417" s="5"/>
      <c r="BP417" s="5"/>
      <c r="BR417" s="5"/>
    </row>
    <row r="418" spans="1:70" x14ac:dyDescent="0.25">
      <c r="A418" s="3">
        <v>43192</v>
      </c>
      <c r="B418" s="1">
        <f t="shared" si="44"/>
        <v>4</v>
      </c>
      <c r="C418" s="1">
        <f t="shared" si="45"/>
        <v>2018</v>
      </c>
      <c r="D418" s="7">
        <f>AVERAGE(D417,D419)</f>
        <v>1.5661499999999999</v>
      </c>
      <c r="E418" s="7">
        <f>AVERAGE(E417,E419)</f>
        <v>1.2450890000000001</v>
      </c>
      <c r="F418" s="7">
        <f>AVERAGE(F417,F419)</f>
        <v>281.90699999999998</v>
      </c>
      <c r="H418" s="4"/>
      <c r="I418" s="7">
        <f>AVERAGE(I417,I419)</f>
        <v>139.035</v>
      </c>
      <c r="J418" s="4"/>
      <c r="L418" s="8">
        <f t="shared" si="41"/>
        <v>0.79499984037288907</v>
      </c>
      <c r="M418" s="8">
        <f t="shared" si="42"/>
        <v>0.18</v>
      </c>
      <c r="N418" s="8">
        <f t="shared" si="40"/>
        <v>0.974999840372889</v>
      </c>
      <c r="O418" s="8"/>
      <c r="P418" s="6">
        <f t="shared" si="43"/>
        <v>81.439799999999991</v>
      </c>
      <c r="Q418" s="6" t="str">
        <f t="shared" si="46"/>
        <v/>
      </c>
      <c r="S418" s="4">
        <v>333</v>
      </c>
      <c r="AZ418" s="5"/>
      <c r="BB418" s="5"/>
      <c r="BD418" s="5"/>
      <c r="BF418" s="5"/>
      <c r="BH418" s="5"/>
      <c r="BJ418" s="5"/>
      <c r="BL418" s="5"/>
      <c r="BN418" s="5"/>
      <c r="BP418" s="5"/>
      <c r="BR418" s="5"/>
    </row>
    <row r="419" spans="1:70" x14ac:dyDescent="0.25">
      <c r="A419" s="3">
        <v>43199</v>
      </c>
      <c r="B419" s="1">
        <f t="shared" si="44"/>
        <v>4</v>
      </c>
      <c r="C419" s="1">
        <f t="shared" si="45"/>
        <v>2018</v>
      </c>
      <c r="D419" s="4">
        <v>1.4807999999999999</v>
      </c>
      <c r="E419" s="4">
        <v>1.1772359999999999</v>
      </c>
      <c r="F419" s="5">
        <v>266.54399999999998</v>
      </c>
      <c r="H419" s="4">
        <v>5.593</v>
      </c>
      <c r="I419" s="4">
        <v>137.62</v>
      </c>
      <c r="J419" s="4">
        <v>82.6</v>
      </c>
      <c r="L419" s="8">
        <f t="shared" si="41"/>
        <v>0.79500000000000004</v>
      </c>
      <c r="M419" s="8">
        <f t="shared" si="42"/>
        <v>0.18000000000000002</v>
      </c>
      <c r="N419" s="8">
        <f t="shared" si="40"/>
        <v>0.97500000000000009</v>
      </c>
      <c r="O419" s="8"/>
      <c r="P419" s="6">
        <f t="shared" si="43"/>
        <v>77.001599999999996</v>
      </c>
      <c r="Q419" s="6">
        <f t="shared" si="46"/>
        <v>26.43908698001081</v>
      </c>
      <c r="S419" s="4">
        <v>266</v>
      </c>
      <c r="AZ419" s="5"/>
      <c r="BB419" s="5"/>
      <c r="BD419" s="5"/>
      <c r="BF419" s="5"/>
      <c r="BH419" s="5"/>
      <c r="BJ419" s="5"/>
      <c r="BL419" s="5"/>
      <c r="BN419" s="5"/>
      <c r="BP419" s="5"/>
      <c r="BR419" s="5"/>
    </row>
    <row r="420" spans="1:70" x14ac:dyDescent="0.25">
      <c r="A420" s="3">
        <v>43206</v>
      </c>
      <c r="B420" s="1">
        <f t="shared" si="44"/>
        <v>4</v>
      </c>
      <c r="C420" s="1">
        <f t="shared" si="45"/>
        <v>2018</v>
      </c>
      <c r="D420" s="4">
        <v>1.6872</v>
      </c>
      <c r="E420" s="4">
        <v>1.341324</v>
      </c>
      <c r="F420" s="5">
        <v>303.69600000000003</v>
      </c>
      <c r="H420" s="4">
        <v>6.0460000000000003</v>
      </c>
      <c r="I420" s="4">
        <v>133.91999999999999</v>
      </c>
      <c r="J420" s="4">
        <v>78.510000000000005</v>
      </c>
      <c r="L420" s="8">
        <f t="shared" si="41"/>
        <v>0.79499999999999993</v>
      </c>
      <c r="M420" s="8">
        <f t="shared" si="42"/>
        <v>0.18000000000000002</v>
      </c>
      <c r="N420" s="8">
        <f t="shared" si="40"/>
        <v>0.97499999999999998</v>
      </c>
      <c r="O420" s="8"/>
      <c r="P420" s="6">
        <f t="shared" si="43"/>
        <v>87.734400000000008</v>
      </c>
      <c r="Q420" s="6">
        <f t="shared" si="46"/>
        <v>25.084163110478901</v>
      </c>
      <c r="S420" s="4">
        <v>207</v>
      </c>
      <c r="AZ420" s="5"/>
      <c r="BB420" s="5"/>
      <c r="BD420" s="5"/>
      <c r="BF420" s="5"/>
      <c r="BH420" s="5"/>
      <c r="BJ420" s="5"/>
      <c r="BL420" s="5"/>
      <c r="BN420" s="5"/>
      <c r="BP420" s="5"/>
      <c r="BR420" s="5"/>
    </row>
    <row r="421" spans="1:70" x14ac:dyDescent="0.25">
      <c r="A421" s="3">
        <v>43213</v>
      </c>
      <c r="B421" s="1">
        <f t="shared" si="44"/>
        <v>4</v>
      </c>
      <c r="C421" s="1">
        <f t="shared" si="45"/>
        <v>2018</v>
      </c>
      <c r="D421" s="4">
        <v>1.71875</v>
      </c>
      <c r="E421" s="4">
        <v>1.366406</v>
      </c>
      <c r="F421" s="5">
        <v>309.375</v>
      </c>
      <c r="H421" s="4">
        <v>6.125</v>
      </c>
      <c r="I421" s="4">
        <v>132.29</v>
      </c>
      <c r="J421" s="4">
        <v>95.02</v>
      </c>
      <c r="L421" s="8">
        <f t="shared" si="41"/>
        <v>0.79499985454545452</v>
      </c>
      <c r="M421" s="8">
        <f t="shared" si="42"/>
        <v>0.18</v>
      </c>
      <c r="N421" s="8">
        <f t="shared" si="40"/>
        <v>0.97499985454545457</v>
      </c>
      <c r="O421" s="8"/>
      <c r="P421" s="6">
        <f t="shared" si="43"/>
        <v>89.375</v>
      </c>
      <c r="Q421" s="6">
        <f t="shared" si="46"/>
        <v>24.945454545454545</v>
      </c>
      <c r="S421" s="4">
        <v>167</v>
      </c>
      <c r="AZ421" s="5"/>
      <c r="BB421" s="5"/>
      <c r="BD421" s="5"/>
      <c r="BF421" s="5"/>
      <c r="BH421" s="5"/>
      <c r="BJ421" s="5"/>
      <c r="BL421" s="5"/>
      <c r="BN421" s="5"/>
      <c r="BP421" s="5"/>
      <c r="BR421" s="5"/>
    </row>
    <row r="422" spans="1:70" x14ac:dyDescent="0.25">
      <c r="A422" s="3">
        <v>43220</v>
      </c>
      <c r="B422" s="1">
        <f t="shared" si="44"/>
        <v>4</v>
      </c>
      <c r="C422" s="1">
        <f t="shared" si="45"/>
        <v>2018</v>
      </c>
      <c r="D422" s="7">
        <f>AVERAGE(D421,D423)</f>
        <v>1.6</v>
      </c>
      <c r="E422" s="7">
        <f>AVERAGE(E421,E423)</f>
        <v>1.2719994999999999</v>
      </c>
      <c r="F422" s="7">
        <f>AVERAGE(F421,F423)</f>
        <v>288</v>
      </c>
      <c r="H422" s="4">
        <v>6.4289999999999994</v>
      </c>
      <c r="I422" s="4">
        <v>129.75</v>
      </c>
      <c r="J422" s="4">
        <v>106.87</v>
      </c>
      <c r="L422" s="8">
        <f t="shared" si="41"/>
        <v>0.79499968749999994</v>
      </c>
      <c r="M422" s="8">
        <f t="shared" si="42"/>
        <v>0.17999999999999997</v>
      </c>
      <c r="N422" s="8">
        <f t="shared" si="40"/>
        <v>0.97499968749999988</v>
      </c>
      <c r="O422" s="8"/>
      <c r="P422" s="6">
        <f t="shared" si="43"/>
        <v>83.2</v>
      </c>
      <c r="Q422" s="6">
        <f t="shared" si="46"/>
        <v>28.126874999999995</v>
      </c>
      <c r="S422" s="4">
        <v>201</v>
      </c>
      <c r="AZ422" s="5"/>
      <c r="BB422" s="5"/>
      <c r="BD422" s="5"/>
      <c r="BF422" s="5"/>
      <c r="BH422" s="5"/>
      <c r="BJ422" s="5"/>
      <c r="BL422" s="5"/>
      <c r="BN422" s="5"/>
      <c r="BP422" s="5"/>
      <c r="BR422" s="5"/>
    </row>
    <row r="423" spans="1:70" x14ac:dyDescent="0.25">
      <c r="A423" s="3">
        <v>43227</v>
      </c>
      <c r="B423" s="1">
        <f t="shared" si="44"/>
        <v>5</v>
      </c>
      <c r="C423" s="1">
        <f t="shared" si="45"/>
        <v>2018</v>
      </c>
      <c r="D423" s="4">
        <v>1.48125</v>
      </c>
      <c r="E423" s="4">
        <v>1.1775929999999999</v>
      </c>
      <c r="F423" s="5">
        <v>266.625</v>
      </c>
      <c r="H423" s="4">
        <v>6.4329999999999998</v>
      </c>
      <c r="I423" s="4">
        <v>130.68</v>
      </c>
      <c r="J423" s="4">
        <v>121.58</v>
      </c>
      <c r="L423" s="8">
        <f t="shared" si="41"/>
        <v>0.79499949367088607</v>
      </c>
      <c r="M423" s="8">
        <f t="shared" si="42"/>
        <v>0.18</v>
      </c>
      <c r="N423" s="8">
        <f t="shared" ref="N423:N486" si="47">M423+L423</f>
        <v>0.97499949367088612</v>
      </c>
      <c r="O423" s="8"/>
      <c r="P423" s="6">
        <f t="shared" si="43"/>
        <v>77.024999999999991</v>
      </c>
      <c r="Q423" s="6">
        <f t="shared" si="46"/>
        <v>30.400675105485231</v>
      </c>
      <c r="S423" s="4">
        <v>106</v>
      </c>
      <c r="AZ423" s="5"/>
      <c r="BB423" s="5"/>
      <c r="BD423" s="5"/>
      <c r="BF423" s="5"/>
      <c r="BH423" s="5"/>
      <c r="BJ423" s="5"/>
      <c r="BL423" s="5"/>
      <c r="BN423" s="5"/>
      <c r="BP423" s="5"/>
      <c r="BR423" s="5"/>
    </row>
    <row r="424" spans="1:70" x14ac:dyDescent="0.25">
      <c r="A424" s="3">
        <v>43234</v>
      </c>
      <c r="B424" s="1">
        <f t="shared" si="44"/>
        <v>5</v>
      </c>
      <c r="C424" s="1">
        <f t="shared" si="45"/>
        <v>2018</v>
      </c>
      <c r="D424" s="4">
        <v>1.4662500000000001</v>
      </c>
      <c r="E424" s="4">
        <v>1.1656679999999999</v>
      </c>
      <c r="F424" s="5">
        <v>263.92500000000001</v>
      </c>
      <c r="H424" s="4">
        <v>6.5779999999999994</v>
      </c>
      <c r="I424" s="4">
        <v>128.68</v>
      </c>
      <c r="J424" s="4">
        <v>120.74</v>
      </c>
      <c r="L424" s="8">
        <f t="shared" si="41"/>
        <v>0.79499948849104851</v>
      </c>
      <c r="M424" s="8">
        <f t="shared" si="42"/>
        <v>0.18000000000000002</v>
      </c>
      <c r="N424" s="8">
        <f t="shared" si="47"/>
        <v>0.97499948849104856</v>
      </c>
      <c r="O424" s="8"/>
      <c r="P424" s="6">
        <f t="shared" si="43"/>
        <v>76.245000000000005</v>
      </c>
      <c r="Q424" s="6">
        <f t="shared" si="46"/>
        <v>31.40392156862745</v>
      </c>
      <c r="S424" s="4">
        <v>-8</v>
      </c>
      <c r="AZ424" s="5"/>
      <c r="BB424" s="5"/>
      <c r="BD424" s="5"/>
      <c r="BF424" s="5"/>
      <c r="BH424" s="5"/>
      <c r="BJ424" s="5"/>
      <c r="BL424" s="5"/>
      <c r="BN424" s="5"/>
      <c r="BP424" s="5"/>
      <c r="BR424" s="5"/>
    </row>
    <row r="425" spans="1:70" x14ac:dyDescent="0.25">
      <c r="A425" s="3">
        <v>43241</v>
      </c>
      <c r="B425" s="1">
        <f t="shared" si="44"/>
        <v>5</v>
      </c>
      <c r="C425" s="1">
        <f t="shared" si="45"/>
        <v>2018</v>
      </c>
      <c r="D425" s="4">
        <v>1.5824499999999999</v>
      </c>
      <c r="E425" s="4">
        <v>1.250135</v>
      </c>
      <c r="F425" s="5">
        <v>300.66500000000002</v>
      </c>
      <c r="H425" s="4">
        <v>7.0129999999999999</v>
      </c>
      <c r="I425" s="4">
        <v>130.82</v>
      </c>
      <c r="J425" s="4">
        <v>115.13</v>
      </c>
      <c r="L425" s="8">
        <f t="shared" si="41"/>
        <v>0.78999968403425069</v>
      </c>
      <c r="M425" s="8">
        <f t="shared" si="42"/>
        <v>0.18999968403425072</v>
      </c>
      <c r="N425" s="8">
        <f t="shared" si="47"/>
        <v>0.97999936806850141</v>
      </c>
      <c r="O425" s="8"/>
      <c r="P425" s="6">
        <f t="shared" si="43"/>
        <v>82.287399999999991</v>
      </c>
      <c r="Q425" s="6">
        <f t="shared" si="46"/>
        <v>31.022149199026828</v>
      </c>
      <c r="S425" s="4">
        <v>92</v>
      </c>
      <c r="AZ425" s="5"/>
      <c r="BB425" s="5"/>
      <c r="BD425" s="5"/>
      <c r="BF425" s="5"/>
      <c r="BH425" s="5"/>
      <c r="BJ425" s="5"/>
      <c r="BL425" s="5"/>
      <c r="BN425" s="5"/>
      <c r="BP425" s="5"/>
      <c r="BR425" s="5"/>
    </row>
    <row r="426" spans="1:70" x14ac:dyDescent="0.25">
      <c r="A426" s="3">
        <v>43248</v>
      </c>
      <c r="B426" s="1">
        <f t="shared" si="44"/>
        <v>5</v>
      </c>
      <c r="C426" s="1">
        <f t="shared" si="45"/>
        <v>2018</v>
      </c>
      <c r="D426" s="4">
        <v>1.65045</v>
      </c>
      <c r="E426" s="4">
        <v>1.303855</v>
      </c>
      <c r="F426" s="5">
        <v>313.58499999999998</v>
      </c>
      <c r="H426" s="4">
        <v>7.2610000000000001</v>
      </c>
      <c r="I426" s="4">
        <v>132</v>
      </c>
      <c r="J426" s="4">
        <v>115.61</v>
      </c>
      <c r="L426" s="8">
        <f t="shared" si="41"/>
        <v>0.78999969705231909</v>
      </c>
      <c r="M426" s="8">
        <f t="shared" si="42"/>
        <v>0.18999969705231906</v>
      </c>
      <c r="N426" s="8">
        <f t="shared" si="47"/>
        <v>0.9799993941046381</v>
      </c>
      <c r="O426" s="8"/>
      <c r="P426" s="6">
        <f t="shared" si="43"/>
        <v>85.823399999999992</v>
      </c>
      <c r="Q426" s="6">
        <f t="shared" si="46"/>
        <v>30.795843557817566</v>
      </c>
      <c r="S426" s="4">
        <v>83</v>
      </c>
      <c r="AZ426" s="5"/>
      <c r="BB426" s="5"/>
      <c r="BD426" s="5"/>
      <c r="BF426" s="5"/>
      <c r="BH426" s="5"/>
      <c r="BJ426" s="5"/>
      <c r="BL426" s="5"/>
      <c r="BN426" s="5"/>
      <c r="BP426" s="5"/>
      <c r="BR426" s="5"/>
    </row>
    <row r="427" spans="1:70" x14ac:dyDescent="0.25">
      <c r="A427" s="3">
        <v>43255</v>
      </c>
      <c r="B427" s="1">
        <f t="shared" si="44"/>
        <v>6</v>
      </c>
      <c r="C427" s="1">
        <f t="shared" si="45"/>
        <v>2018</v>
      </c>
      <c r="D427" s="4">
        <v>1.6291</v>
      </c>
      <c r="E427" s="4">
        <v>1.2869889999999999</v>
      </c>
      <c r="F427" s="5">
        <v>309.529</v>
      </c>
      <c r="H427" s="4">
        <v>7.5860000000000003</v>
      </c>
      <c r="I427" s="4">
        <v>133.97999999999999</v>
      </c>
      <c r="J427" s="4">
        <v>110.06</v>
      </c>
      <c r="L427" s="8">
        <f t="shared" si="41"/>
        <v>0.78999999999999992</v>
      </c>
      <c r="M427" s="8">
        <f t="shared" si="42"/>
        <v>0.19</v>
      </c>
      <c r="N427" s="8">
        <f t="shared" si="47"/>
        <v>0.98</v>
      </c>
      <c r="O427" s="8"/>
      <c r="P427" s="6">
        <f t="shared" si="43"/>
        <v>84.713200000000001</v>
      </c>
      <c r="Q427" s="6">
        <f t="shared" si="46"/>
        <v>32.595911853170463</v>
      </c>
      <c r="S427" s="4">
        <v>-53</v>
      </c>
      <c r="AZ427" s="5"/>
      <c r="BB427" s="5"/>
      <c r="BD427" s="5"/>
      <c r="BF427" s="5"/>
      <c r="BH427" s="5"/>
      <c r="BJ427" s="5"/>
      <c r="BL427" s="5"/>
      <c r="BN427" s="5"/>
      <c r="BP427" s="5"/>
      <c r="BR427" s="5"/>
    </row>
    <row r="428" spans="1:70" x14ac:dyDescent="0.25">
      <c r="A428" s="3">
        <v>43262</v>
      </c>
      <c r="B428" s="1">
        <f t="shared" si="44"/>
        <v>6</v>
      </c>
      <c r="C428" s="1">
        <f t="shared" si="45"/>
        <v>2018</v>
      </c>
      <c r="D428" s="4">
        <v>1.7196</v>
      </c>
      <c r="E428" s="4">
        <v>1.358484</v>
      </c>
      <c r="F428" s="5">
        <v>326.72399999999999</v>
      </c>
      <c r="H428" s="4">
        <v>7.6449999999999996</v>
      </c>
      <c r="I428" s="4">
        <v>135.46</v>
      </c>
      <c r="J428" s="4">
        <v>105.79</v>
      </c>
      <c r="L428" s="8">
        <f t="shared" si="41"/>
        <v>0.79</v>
      </c>
      <c r="M428" s="8">
        <f t="shared" si="42"/>
        <v>0.19</v>
      </c>
      <c r="N428" s="8">
        <f t="shared" si="47"/>
        <v>0.98</v>
      </c>
      <c r="O428" s="8"/>
      <c r="P428" s="6">
        <f t="shared" si="43"/>
        <v>89.419200000000004</v>
      </c>
      <c r="Q428" s="6">
        <f t="shared" si="46"/>
        <v>31.120609444056758</v>
      </c>
      <c r="S428" s="4">
        <v>-63</v>
      </c>
      <c r="AZ428" s="5"/>
      <c r="BB428" s="5"/>
      <c r="BD428" s="5"/>
      <c r="BF428" s="5"/>
      <c r="BH428" s="5"/>
      <c r="BJ428" s="5"/>
      <c r="BL428" s="5"/>
      <c r="BN428" s="5"/>
      <c r="BP428" s="5"/>
      <c r="BR428" s="5"/>
    </row>
    <row r="429" spans="1:70" x14ac:dyDescent="0.25">
      <c r="A429" s="3">
        <v>43269</v>
      </c>
      <c r="B429" s="1">
        <f t="shared" si="44"/>
        <v>6</v>
      </c>
      <c r="C429" s="1">
        <f t="shared" si="45"/>
        <v>2018</v>
      </c>
      <c r="D429" s="7">
        <f>AVERAGE(D428,D430)</f>
        <v>1.7558</v>
      </c>
      <c r="E429" s="7">
        <f>AVERAGE(E428,E430)</f>
        <v>1.3870819999999999</v>
      </c>
      <c r="F429" s="7">
        <f>AVERAGE(F428,F430)</f>
        <v>333.60199999999998</v>
      </c>
      <c r="H429" s="4">
        <v>7.8296000000000001</v>
      </c>
      <c r="I429" s="4">
        <v>140.88</v>
      </c>
      <c r="J429" s="4">
        <v>111.62</v>
      </c>
      <c r="L429" s="8">
        <f t="shared" si="41"/>
        <v>0.78999999999999992</v>
      </c>
      <c r="M429" s="8">
        <f t="shared" si="42"/>
        <v>0.18999999999999997</v>
      </c>
      <c r="N429" s="8">
        <f t="shared" si="47"/>
        <v>0.97999999999999987</v>
      </c>
      <c r="O429" s="8"/>
      <c r="P429" s="6">
        <f t="shared" si="43"/>
        <v>91.301600000000008</v>
      </c>
      <c r="Q429" s="6">
        <f t="shared" si="46"/>
        <v>31.214944754527849</v>
      </c>
      <c r="S429" s="4">
        <v>95</v>
      </c>
      <c r="AZ429" s="5"/>
      <c r="BB429" s="5"/>
      <c r="BD429" s="5"/>
      <c r="BF429" s="5"/>
      <c r="BH429" s="5"/>
      <c r="BJ429" s="5"/>
      <c r="BL429" s="5"/>
      <c r="BN429" s="5"/>
      <c r="BP429" s="5"/>
      <c r="BR429" s="5"/>
    </row>
    <row r="430" spans="1:70" x14ac:dyDescent="0.25">
      <c r="A430" s="3">
        <v>43276</v>
      </c>
      <c r="B430" s="1">
        <f t="shared" si="44"/>
        <v>6</v>
      </c>
      <c r="C430" s="1">
        <f t="shared" si="45"/>
        <v>2018</v>
      </c>
      <c r="D430" s="4">
        <v>1.792</v>
      </c>
      <c r="E430" s="4">
        <v>1.41568</v>
      </c>
      <c r="F430" s="5">
        <v>340.48</v>
      </c>
      <c r="H430" s="4">
        <v>8.0239999999999991</v>
      </c>
      <c r="I430" s="4">
        <v>148.59</v>
      </c>
      <c r="J430" s="4">
        <v>123.82</v>
      </c>
      <c r="L430" s="8">
        <f t="shared" si="41"/>
        <v>0.79</v>
      </c>
      <c r="M430" s="8">
        <f t="shared" si="42"/>
        <v>0.19</v>
      </c>
      <c r="N430" s="8">
        <f t="shared" si="47"/>
        <v>0.98</v>
      </c>
      <c r="O430" s="8"/>
      <c r="P430" s="6">
        <f t="shared" si="43"/>
        <v>93.183999999999997</v>
      </c>
      <c r="Q430" s="6">
        <f t="shared" si="46"/>
        <v>31.343749999999996</v>
      </c>
      <c r="S430" s="4">
        <v>128</v>
      </c>
      <c r="AZ430" s="5"/>
      <c r="BB430" s="5"/>
      <c r="BD430" s="5"/>
      <c r="BF430" s="5"/>
      <c r="BH430" s="5"/>
      <c r="BJ430" s="5"/>
      <c r="BL430" s="5"/>
      <c r="BN430" s="5"/>
      <c r="BP430" s="5"/>
      <c r="BR430" s="5"/>
    </row>
    <row r="431" spans="1:70" x14ac:dyDescent="0.25">
      <c r="A431" s="3">
        <v>43283</v>
      </c>
      <c r="B431" s="1">
        <f t="shared" si="44"/>
        <v>7</v>
      </c>
      <c r="C431" s="1">
        <f t="shared" si="45"/>
        <v>2018</v>
      </c>
      <c r="D431" s="4">
        <v>1.9108499999999999</v>
      </c>
      <c r="E431" s="4">
        <v>1.509571</v>
      </c>
      <c r="F431" s="5">
        <v>363.06099999999998</v>
      </c>
      <c r="H431" s="4">
        <v>8.0425000000000004</v>
      </c>
      <c r="I431" s="4">
        <v>150.16999999999999</v>
      </c>
      <c r="J431" s="4">
        <v>123.91</v>
      </c>
      <c r="L431" s="8">
        <f t="shared" si="41"/>
        <v>0.78999973833634252</v>
      </c>
      <c r="M431" s="8">
        <f t="shared" si="42"/>
        <v>0.18999973833634246</v>
      </c>
      <c r="N431" s="8">
        <f t="shared" si="47"/>
        <v>0.97999947667268494</v>
      </c>
      <c r="O431" s="8"/>
      <c r="P431" s="6">
        <f t="shared" si="43"/>
        <v>99.364199999999997</v>
      </c>
      <c r="Q431" s="6">
        <f t="shared" si="46"/>
        <v>29.462019520108857</v>
      </c>
      <c r="S431" s="4">
        <v>128</v>
      </c>
      <c r="AZ431" s="5"/>
      <c r="BB431" s="5"/>
      <c r="BD431" s="5"/>
      <c r="BF431" s="5"/>
      <c r="BH431" s="5"/>
      <c r="BJ431" s="5"/>
      <c r="BL431" s="5"/>
      <c r="BN431" s="5"/>
      <c r="BP431" s="5"/>
      <c r="BR431" s="5"/>
    </row>
    <row r="432" spans="1:70" x14ac:dyDescent="0.25">
      <c r="A432" s="3">
        <v>43290</v>
      </c>
      <c r="B432" s="1">
        <f t="shared" si="44"/>
        <v>7</v>
      </c>
      <c r="C432" s="1">
        <f t="shared" si="45"/>
        <v>2018</v>
      </c>
      <c r="D432" s="4">
        <v>1.8245</v>
      </c>
      <c r="E432" s="4">
        <v>1.4413549999999999</v>
      </c>
      <c r="F432" s="5">
        <v>346.65499999999997</v>
      </c>
      <c r="H432" s="4">
        <v>8.5259999999999998</v>
      </c>
      <c r="I432" s="4">
        <v>156</v>
      </c>
      <c r="J432" s="4">
        <v>127.21</v>
      </c>
      <c r="L432" s="8">
        <f t="shared" si="41"/>
        <v>0.78999999999999992</v>
      </c>
      <c r="M432" s="8">
        <f t="shared" si="42"/>
        <v>0.19</v>
      </c>
      <c r="N432" s="8">
        <f t="shared" si="47"/>
        <v>0.98</v>
      </c>
      <c r="O432" s="8"/>
      <c r="P432" s="6">
        <f t="shared" si="43"/>
        <v>94.873999999999995</v>
      </c>
      <c r="Q432" s="6">
        <f t="shared" si="46"/>
        <v>32.711427788435188</v>
      </c>
      <c r="S432" s="4">
        <v>140</v>
      </c>
      <c r="AZ432" s="5"/>
      <c r="BB432" s="5"/>
      <c r="BD432" s="5"/>
      <c r="BF432" s="5"/>
      <c r="BH432" s="5"/>
      <c r="BJ432" s="5"/>
      <c r="BL432" s="5"/>
      <c r="BN432" s="5"/>
      <c r="BP432" s="5"/>
      <c r="BR432" s="5"/>
    </row>
    <row r="433" spans="1:70" x14ac:dyDescent="0.25">
      <c r="A433" s="3">
        <v>43297</v>
      </c>
      <c r="B433" s="1">
        <f t="shared" si="44"/>
        <v>7</v>
      </c>
      <c r="C433" s="1">
        <f t="shared" si="45"/>
        <v>2018</v>
      </c>
      <c r="D433" s="4">
        <v>1.7135</v>
      </c>
      <c r="E433" s="4">
        <v>1.3536649999999999</v>
      </c>
      <c r="F433" s="5">
        <v>325.565</v>
      </c>
      <c r="H433" s="4">
        <v>8.2249999999999996</v>
      </c>
      <c r="I433" s="4">
        <v>156.61000000000001</v>
      </c>
      <c r="J433" s="4">
        <v>125.31</v>
      </c>
      <c r="L433" s="8">
        <f t="shared" si="41"/>
        <v>0.78999999999999992</v>
      </c>
      <c r="M433" s="8">
        <f t="shared" si="42"/>
        <v>0.19</v>
      </c>
      <c r="N433" s="8">
        <f t="shared" si="47"/>
        <v>0.98</v>
      </c>
      <c r="O433" s="8"/>
      <c r="P433" s="6">
        <f t="shared" si="43"/>
        <v>89.102000000000004</v>
      </c>
      <c r="Q433" s="6">
        <f t="shared" si="46"/>
        <v>33.600817041143856</v>
      </c>
      <c r="S433" s="4">
        <v>140</v>
      </c>
      <c r="AZ433" s="5"/>
      <c r="BB433" s="5"/>
      <c r="BD433" s="5"/>
      <c r="BF433" s="5"/>
      <c r="BH433" s="5"/>
      <c r="BJ433" s="5"/>
      <c r="BL433" s="5"/>
      <c r="BN433" s="5"/>
      <c r="BP433" s="5"/>
      <c r="BR433" s="5"/>
    </row>
    <row r="434" spans="1:70" x14ac:dyDescent="0.25">
      <c r="A434" s="3">
        <v>43304</v>
      </c>
      <c r="B434" s="1">
        <f t="shared" si="44"/>
        <v>7</v>
      </c>
      <c r="C434" s="1">
        <f t="shared" si="45"/>
        <v>2018</v>
      </c>
      <c r="D434" s="4">
        <v>1.6052</v>
      </c>
      <c r="E434" s="4">
        <v>1.268108</v>
      </c>
      <c r="F434" s="5">
        <v>304.988</v>
      </c>
      <c r="H434" s="4">
        <v>8.1560000000000006</v>
      </c>
      <c r="I434" s="4">
        <v>156.37</v>
      </c>
      <c r="J434" s="4">
        <v>122.84</v>
      </c>
      <c r="L434" s="8">
        <f t="shared" si="41"/>
        <v>0.79</v>
      </c>
      <c r="M434" s="8">
        <f t="shared" si="42"/>
        <v>0.19</v>
      </c>
      <c r="N434" s="8">
        <f t="shared" si="47"/>
        <v>0.98</v>
      </c>
      <c r="O434" s="8"/>
      <c r="P434" s="6">
        <f t="shared" si="43"/>
        <v>83.470399999999998</v>
      </c>
      <c r="Q434" s="6">
        <f t="shared" si="46"/>
        <v>35.566907550461003</v>
      </c>
      <c r="S434" s="4">
        <v>99</v>
      </c>
      <c r="AZ434" s="5"/>
      <c r="BB434" s="5"/>
      <c r="BD434" s="5"/>
      <c r="BF434" s="5"/>
      <c r="BH434" s="5"/>
      <c r="BJ434" s="5"/>
      <c r="BL434" s="5"/>
      <c r="BN434" s="5"/>
      <c r="BP434" s="5"/>
      <c r="BR434" s="5"/>
    </row>
    <row r="435" spans="1:70" x14ac:dyDescent="0.25">
      <c r="A435" s="3">
        <v>43311</v>
      </c>
      <c r="B435" s="1">
        <f t="shared" si="44"/>
        <v>7</v>
      </c>
      <c r="C435" s="1">
        <f t="shared" si="45"/>
        <v>2018</v>
      </c>
      <c r="D435" s="4">
        <v>1.6713499999999999</v>
      </c>
      <c r="E435" s="4">
        <v>1.3203659999999999</v>
      </c>
      <c r="F435" s="5">
        <v>317.55599999999998</v>
      </c>
      <c r="H435" s="4">
        <v>8.0839999999999996</v>
      </c>
      <c r="I435" s="4">
        <v>159.05000000000001</v>
      </c>
      <c r="J435" s="4">
        <v>124.86</v>
      </c>
      <c r="L435" s="8">
        <f t="shared" si="41"/>
        <v>0.78999970084063786</v>
      </c>
      <c r="M435" s="8">
        <f t="shared" si="42"/>
        <v>0.18999970084063783</v>
      </c>
      <c r="N435" s="8">
        <f t="shared" si="47"/>
        <v>0.97999940168127564</v>
      </c>
      <c r="O435" s="8"/>
      <c r="P435" s="6">
        <f t="shared" si="43"/>
        <v>86.910199999999989</v>
      </c>
      <c r="Q435" s="6">
        <f t="shared" si="46"/>
        <v>33.857659975468934</v>
      </c>
      <c r="S435" s="4">
        <v>69</v>
      </c>
      <c r="AZ435" s="5"/>
      <c r="BB435" s="5"/>
      <c r="BD435" s="5"/>
      <c r="BF435" s="5"/>
      <c r="BH435" s="5"/>
      <c r="BJ435" s="5"/>
      <c r="BL435" s="5"/>
      <c r="BN435" s="5"/>
      <c r="BP435" s="5"/>
      <c r="BR435" s="5"/>
    </row>
    <row r="436" spans="1:70" x14ac:dyDescent="0.25">
      <c r="A436" s="3">
        <v>43318</v>
      </c>
      <c r="B436" s="1">
        <f t="shared" si="44"/>
        <v>8</v>
      </c>
      <c r="C436" s="1">
        <f t="shared" si="45"/>
        <v>2018</v>
      </c>
      <c r="D436" s="4">
        <v>1.7661</v>
      </c>
      <c r="E436" s="4">
        <v>1.395219</v>
      </c>
      <c r="F436" s="5">
        <v>335.55900000000003</v>
      </c>
      <c r="H436" s="4">
        <v>8.2160000000000011</v>
      </c>
      <c r="I436" s="4">
        <v>158.61000000000001</v>
      </c>
      <c r="J436" s="4">
        <v>121.65</v>
      </c>
      <c r="L436" s="8">
        <f t="shared" si="41"/>
        <v>0.79</v>
      </c>
      <c r="M436" s="8">
        <f t="shared" si="42"/>
        <v>0.19000000000000003</v>
      </c>
      <c r="N436" s="8">
        <f t="shared" si="47"/>
        <v>0.98000000000000009</v>
      </c>
      <c r="O436" s="8"/>
      <c r="P436" s="6">
        <f t="shared" si="43"/>
        <v>91.837199999999996</v>
      </c>
      <c r="Q436" s="6">
        <f t="shared" si="46"/>
        <v>32.564407451446691</v>
      </c>
      <c r="S436" s="4">
        <v>158</v>
      </c>
      <c r="AZ436" s="5"/>
      <c r="BB436" s="5"/>
      <c r="BD436" s="5"/>
      <c r="BF436" s="5"/>
      <c r="BH436" s="5"/>
      <c r="BJ436" s="5"/>
      <c r="BL436" s="5"/>
      <c r="BN436" s="5"/>
      <c r="BP436" s="5"/>
      <c r="BR436" s="5"/>
    </row>
    <row r="437" spans="1:70" x14ac:dyDescent="0.25">
      <c r="A437" s="3">
        <v>43325</v>
      </c>
      <c r="B437" s="1">
        <f t="shared" si="44"/>
        <v>8</v>
      </c>
      <c r="C437" s="1">
        <f t="shared" si="45"/>
        <v>2018</v>
      </c>
      <c r="D437" s="4">
        <v>1.7113499999999999</v>
      </c>
      <c r="E437" s="4">
        <v>1.351966</v>
      </c>
      <c r="F437" s="5">
        <v>325.15600000000001</v>
      </c>
      <c r="H437" s="4">
        <v>8.3579999999999988</v>
      </c>
      <c r="I437" s="4">
        <v>159.68</v>
      </c>
      <c r="J437" s="4">
        <v>115.83</v>
      </c>
      <c r="L437" s="8">
        <f t="shared" si="41"/>
        <v>0.78999970783299733</v>
      </c>
      <c r="M437" s="8">
        <f t="shared" si="42"/>
        <v>0.18999970783299736</v>
      </c>
      <c r="N437" s="8">
        <f t="shared" si="47"/>
        <v>0.97999941566599469</v>
      </c>
      <c r="O437" s="8"/>
      <c r="P437" s="6">
        <f t="shared" si="43"/>
        <v>88.990200000000002</v>
      </c>
      <c r="Q437" s="6">
        <f t="shared" si="46"/>
        <v>34.187045315102111</v>
      </c>
      <c r="S437" s="4">
        <v>148</v>
      </c>
      <c r="AZ437" s="5"/>
      <c r="BB437" s="5"/>
      <c r="BD437" s="5"/>
      <c r="BF437" s="5"/>
      <c r="BH437" s="5"/>
      <c r="BJ437" s="5"/>
      <c r="BL437" s="5"/>
      <c r="BN437" s="5"/>
      <c r="BP437" s="5"/>
      <c r="BR437" s="5"/>
    </row>
    <row r="438" spans="1:70" x14ac:dyDescent="0.25">
      <c r="A438" s="3">
        <v>43332</v>
      </c>
      <c r="B438" s="1">
        <f t="shared" si="44"/>
        <v>8</v>
      </c>
      <c r="C438" s="1">
        <f t="shared" si="45"/>
        <v>2018</v>
      </c>
      <c r="D438" s="4">
        <v>1.951792</v>
      </c>
      <c r="E438" s="4">
        <v>1.5419149999999999</v>
      </c>
      <c r="F438" s="5">
        <v>370.84</v>
      </c>
      <c r="H438" s="4">
        <v>8.6270000000000007</v>
      </c>
      <c r="I438" s="4">
        <v>161.30000000000001</v>
      </c>
      <c r="J438" s="4">
        <v>126.4</v>
      </c>
      <c r="L438" s="8">
        <f t="shared" si="41"/>
        <v>0.78999965160221985</v>
      </c>
      <c r="M438" s="8">
        <f t="shared" si="42"/>
        <v>0.18999975407215522</v>
      </c>
      <c r="N438" s="8">
        <f t="shared" si="47"/>
        <v>0.97999940567437505</v>
      </c>
      <c r="O438" s="8"/>
      <c r="P438" s="6">
        <f t="shared" si="43"/>
        <v>101.493184</v>
      </c>
      <c r="Q438" s="6">
        <f t="shared" si="46"/>
        <v>30.940284620492353</v>
      </c>
      <c r="S438" s="4">
        <v>78</v>
      </c>
      <c r="AZ438" s="5"/>
      <c r="BB438" s="5"/>
      <c r="BD438" s="5"/>
      <c r="BF438" s="5"/>
      <c r="BH438" s="5"/>
      <c r="BJ438" s="5"/>
      <c r="BL438" s="5"/>
      <c r="BN438" s="5"/>
      <c r="BP438" s="5"/>
      <c r="BR438" s="5"/>
    </row>
    <row r="439" spans="1:70" x14ac:dyDescent="0.25">
      <c r="A439" s="3">
        <v>43339</v>
      </c>
      <c r="B439" s="1">
        <f t="shared" si="44"/>
        <v>8</v>
      </c>
      <c r="C439" s="1">
        <f t="shared" si="45"/>
        <v>2018</v>
      </c>
      <c r="D439" s="4">
        <v>1.9157</v>
      </c>
      <c r="E439" s="4">
        <v>1.5134030000000001</v>
      </c>
      <c r="F439" s="5">
        <v>363.983</v>
      </c>
      <c r="H439" s="4">
        <v>8.2424999999999997</v>
      </c>
      <c r="I439" s="4">
        <v>163.88</v>
      </c>
      <c r="J439" s="4">
        <v>122.34</v>
      </c>
      <c r="L439" s="8">
        <f t="shared" si="41"/>
        <v>0.79</v>
      </c>
      <c r="M439" s="8">
        <f t="shared" si="42"/>
        <v>0.19</v>
      </c>
      <c r="N439" s="8">
        <f t="shared" si="47"/>
        <v>0.98</v>
      </c>
      <c r="O439" s="8"/>
      <c r="P439" s="6">
        <f t="shared" si="43"/>
        <v>99.616399999999999</v>
      </c>
      <c r="Q439" s="6">
        <f t="shared" si="46"/>
        <v>30.1182335438743</v>
      </c>
      <c r="S439" s="4">
        <v>117</v>
      </c>
      <c r="AZ439" s="5"/>
      <c r="BB439" s="5"/>
      <c r="BD439" s="5"/>
      <c r="BF439" s="5"/>
      <c r="BH439" s="5"/>
      <c r="BJ439" s="5"/>
      <c r="BL439" s="5"/>
      <c r="BN439" s="5"/>
      <c r="BP439" s="5"/>
      <c r="BR439" s="5"/>
    </row>
    <row r="440" spans="1:70" x14ac:dyDescent="0.25">
      <c r="A440" s="3">
        <v>43346</v>
      </c>
      <c r="B440" s="1">
        <f t="shared" si="44"/>
        <v>9</v>
      </c>
      <c r="C440" s="1">
        <f t="shared" si="45"/>
        <v>2018</v>
      </c>
      <c r="D440" s="4">
        <v>1.8584099999999999</v>
      </c>
      <c r="E440" s="4">
        <v>1.468143</v>
      </c>
      <c r="F440" s="5">
        <v>353.09699999999998</v>
      </c>
      <c r="H440" s="4">
        <v>8.5850000000000009</v>
      </c>
      <c r="I440" s="4">
        <v>162.75</v>
      </c>
      <c r="J440" s="4">
        <v>118.8</v>
      </c>
      <c r="L440" s="8">
        <f t="shared" ref="L440:L475" si="48">E440/D440</f>
        <v>0.78999951571504679</v>
      </c>
      <c r="M440" s="8">
        <f t="shared" ref="M440:M475" si="49">F440/1000/D440</f>
        <v>0.18999951571504675</v>
      </c>
      <c r="N440" s="8">
        <f t="shared" si="47"/>
        <v>0.97999903143009348</v>
      </c>
      <c r="O440" s="8"/>
      <c r="P440" s="6">
        <f t="shared" ref="P440:P503" si="50">D440*52</f>
        <v>96.637319999999988</v>
      </c>
      <c r="Q440" s="6">
        <f t="shared" si="46"/>
        <v>32.336782518389377</v>
      </c>
      <c r="S440" s="4">
        <v>136</v>
      </c>
      <c r="AZ440" s="5"/>
      <c r="BB440" s="5"/>
      <c r="BD440" s="5"/>
      <c r="BF440" s="5"/>
      <c r="BH440" s="5"/>
      <c r="BJ440" s="5"/>
      <c r="BL440" s="5"/>
      <c r="BN440" s="5"/>
      <c r="BP440" s="5"/>
      <c r="BR440" s="5"/>
    </row>
    <row r="441" spans="1:70" x14ac:dyDescent="0.25">
      <c r="A441" s="3">
        <v>43353</v>
      </c>
      <c r="B441" s="1">
        <f t="shared" si="44"/>
        <v>9</v>
      </c>
      <c r="C441" s="1">
        <f t="shared" si="45"/>
        <v>2018</v>
      </c>
      <c r="D441" s="4">
        <v>1.7022999999999999</v>
      </c>
      <c r="E441" s="4">
        <v>1.3448169999999999</v>
      </c>
      <c r="F441" s="5">
        <v>323.43700000000001</v>
      </c>
      <c r="H441" s="4">
        <v>8.2509999999999994</v>
      </c>
      <c r="I441" s="4">
        <v>159.09</v>
      </c>
      <c r="J441" s="4">
        <v>102.09</v>
      </c>
      <c r="L441" s="8">
        <f t="shared" si="48"/>
        <v>0.79</v>
      </c>
      <c r="M441" s="8">
        <f t="shared" si="49"/>
        <v>0.19000000000000003</v>
      </c>
      <c r="N441" s="8">
        <f t="shared" si="47"/>
        <v>0.98000000000000009</v>
      </c>
      <c r="O441" s="8"/>
      <c r="P441" s="6">
        <f t="shared" si="50"/>
        <v>88.519599999999997</v>
      </c>
      <c r="Q441" s="6">
        <f t="shared" si="46"/>
        <v>33.928802208776361</v>
      </c>
      <c r="S441" s="4">
        <v>157</v>
      </c>
      <c r="AZ441" s="5"/>
      <c r="BB441" s="5"/>
      <c r="BD441" s="5"/>
      <c r="BF441" s="5"/>
      <c r="BH441" s="5"/>
      <c r="BJ441" s="5"/>
      <c r="BL441" s="5"/>
      <c r="BN441" s="5"/>
      <c r="BP441" s="5"/>
      <c r="BR441" s="5"/>
    </row>
    <row r="442" spans="1:70" x14ac:dyDescent="0.25">
      <c r="A442" s="3">
        <v>43360</v>
      </c>
      <c r="B442" s="1">
        <f t="shared" si="44"/>
        <v>9</v>
      </c>
      <c r="C442" s="1">
        <f t="shared" si="45"/>
        <v>2018</v>
      </c>
      <c r="D442" s="4">
        <v>1.8519000000000001</v>
      </c>
      <c r="E442" s="4">
        <v>1.4622109999999999</v>
      </c>
      <c r="F442" s="5">
        <v>369.26499999999999</v>
      </c>
      <c r="H442" s="4">
        <v>8.6240000000000006</v>
      </c>
      <c r="I442" s="4">
        <v>159.22</v>
      </c>
      <c r="J442" s="4">
        <v>93.79</v>
      </c>
      <c r="L442" s="8">
        <f t="shared" si="48"/>
        <v>0.78957341109131152</v>
      </c>
      <c r="M442" s="8">
        <f t="shared" si="49"/>
        <v>0.19939791565419299</v>
      </c>
      <c r="N442" s="8">
        <f t="shared" si="47"/>
        <v>0.98897132674550448</v>
      </c>
      <c r="O442" s="8"/>
      <c r="P442" s="6">
        <f t="shared" si="50"/>
        <v>96.2988</v>
      </c>
      <c r="Q442" s="6">
        <f t="shared" si="46"/>
        <v>32.597872455316164</v>
      </c>
      <c r="S442" s="4">
        <v>157</v>
      </c>
      <c r="AZ442" s="5"/>
      <c r="BB442" s="5"/>
      <c r="BD442" s="5"/>
      <c r="BF442" s="5"/>
      <c r="BH442" s="5"/>
      <c r="BJ442" s="5"/>
      <c r="BL442" s="5"/>
      <c r="BN442" s="5"/>
      <c r="BP442" s="5"/>
      <c r="BR442" s="5"/>
    </row>
    <row r="443" spans="1:70" x14ac:dyDescent="0.25">
      <c r="A443" s="3">
        <v>43367</v>
      </c>
      <c r="B443" s="1">
        <f t="shared" si="44"/>
        <v>9</v>
      </c>
      <c r="C443" s="1">
        <f t="shared" si="45"/>
        <v>2018</v>
      </c>
      <c r="D443" s="4">
        <v>1.9435</v>
      </c>
      <c r="E443" s="4">
        <v>1.5353650000000001</v>
      </c>
      <c r="F443" s="5">
        <v>369.26499999999999</v>
      </c>
      <c r="H443" s="4">
        <v>8.7949999999999999</v>
      </c>
      <c r="I443" s="4">
        <v>165.39</v>
      </c>
      <c r="J443" s="4">
        <v>86.64</v>
      </c>
      <c r="L443" s="8">
        <f t="shared" si="48"/>
        <v>0.79</v>
      </c>
      <c r="M443" s="8">
        <f t="shared" si="49"/>
        <v>0.19</v>
      </c>
      <c r="N443" s="8">
        <f t="shared" si="47"/>
        <v>0.98</v>
      </c>
      <c r="O443" s="8"/>
      <c r="P443" s="6">
        <f t="shared" si="50"/>
        <v>101.062</v>
      </c>
      <c r="Q443" s="6">
        <f t="shared" si="46"/>
        <v>31.67738615899151</v>
      </c>
      <c r="S443" s="4">
        <v>375</v>
      </c>
      <c r="AZ443" s="5"/>
      <c r="BB443" s="5"/>
      <c r="BD443" s="5"/>
      <c r="BF443" s="5"/>
      <c r="BH443" s="5"/>
      <c r="BJ443" s="5"/>
      <c r="BL443" s="5"/>
      <c r="BN443" s="5"/>
      <c r="BP443" s="5"/>
      <c r="BR443" s="5"/>
    </row>
    <row r="444" spans="1:70" x14ac:dyDescent="0.25">
      <c r="A444" s="3">
        <v>43374</v>
      </c>
      <c r="B444" s="1">
        <f t="shared" si="44"/>
        <v>10</v>
      </c>
      <c r="C444" s="1">
        <f t="shared" si="45"/>
        <v>2018</v>
      </c>
      <c r="D444" s="7"/>
      <c r="E444" s="7"/>
      <c r="F444" s="7"/>
      <c r="H444" s="4"/>
      <c r="I444" s="7">
        <f>AVERAGE(I443,I445)</f>
        <v>169.56</v>
      </c>
      <c r="J444" s="4"/>
      <c r="L444" s="8"/>
      <c r="M444" s="8"/>
      <c r="N444" s="8"/>
      <c r="O444" s="8"/>
      <c r="P444" s="6">
        <f t="shared" si="50"/>
        <v>0</v>
      </c>
      <c r="Q444" s="6" t="str">
        <f t="shared" si="46"/>
        <v/>
      </c>
      <c r="S444" s="4"/>
      <c r="AZ444" s="5"/>
      <c r="BB444" s="5"/>
      <c r="BD444" s="5"/>
      <c r="BF444" s="5"/>
      <c r="BH444" s="5"/>
      <c r="BJ444" s="5"/>
      <c r="BL444" s="5"/>
      <c r="BN444" s="5"/>
      <c r="BP444" s="5"/>
      <c r="BR444" s="5"/>
    </row>
    <row r="445" spans="1:70" x14ac:dyDescent="0.25">
      <c r="A445" s="3">
        <v>43381</v>
      </c>
      <c r="B445" s="1">
        <f t="shared" si="44"/>
        <v>10</v>
      </c>
      <c r="C445" s="1">
        <f t="shared" si="45"/>
        <v>2018</v>
      </c>
      <c r="D445" s="4">
        <v>1.7399</v>
      </c>
      <c r="E445" s="4">
        <v>1.3745210000000001</v>
      </c>
      <c r="F445" s="5">
        <v>330.58100000000002</v>
      </c>
      <c r="H445" s="4">
        <v>9.0069999999999997</v>
      </c>
      <c r="I445" s="4">
        <v>173.73</v>
      </c>
      <c r="J445" s="4">
        <v>93.67</v>
      </c>
      <c r="L445" s="8">
        <f t="shared" ref="L445:L456" si="51">E445/D445</f>
        <v>0.79</v>
      </c>
      <c r="M445" s="8">
        <f t="shared" ref="M445:M456" si="52">F445/1000/D445</f>
        <v>0.19</v>
      </c>
      <c r="N445" s="8">
        <f t="shared" si="47"/>
        <v>0.98</v>
      </c>
      <c r="O445" s="8"/>
      <c r="P445" s="6">
        <f t="shared" si="50"/>
        <v>90.474800000000002</v>
      </c>
      <c r="Q445" s="6">
        <f t="shared" si="46"/>
        <v>36.237140065521004</v>
      </c>
      <c r="S445" s="4">
        <v>364</v>
      </c>
      <c r="AZ445" s="5"/>
      <c r="BB445" s="5"/>
      <c r="BD445" s="5"/>
      <c r="BF445" s="5"/>
      <c r="BH445" s="5"/>
      <c r="BJ445" s="5"/>
      <c r="BL445" s="5"/>
      <c r="BN445" s="5"/>
      <c r="BP445" s="5"/>
      <c r="BR445" s="5"/>
    </row>
    <row r="446" spans="1:70" x14ac:dyDescent="0.25">
      <c r="A446" s="3">
        <v>43388</v>
      </c>
      <c r="B446" s="1">
        <f t="shared" si="44"/>
        <v>10</v>
      </c>
      <c r="C446" s="1">
        <f t="shared" si="45"/>
        <v>2018</v>
      </c>
      <c r="D446" s="4">
        <v>1.7485999999999999</v>
      </c>
      <c r="E446" s="4">
        <v>1.381394</v>
      </c>
      <c r="F446" s="5">
        <v>332.23200000000003</v>
      </c>
      <c r="H446" s="4">
        <v>8.5724</v>
      </c>
      <c r="I446" s="4">
        <v>181.43</v>
      </c>
      <c r="J446" s="4">
        <v>89.31</v>
      </c>
      <c r="L446" s="8">
        <f t="shared" si="51"/>
        <v>0.79</v>
      </c>
      <c r="M446" s="8">
        <f t="shared" si="52"/>
        <v>0.18999885622783944</v>
      </c>
      <c r="N446" s="8">
        <f t="shared" si="47"/>
        <v>0.97999885622783944</v>
      </c>
      <c r="O446" s="8"/>
      <c r="P446" s="6">
        <f t="shared" si="50"/>
        <v>90.927199999999999</v>
      </c>
      <c r="Q446" s="6">
        <f t="shared" si="46"/>
        <v>34.317053642914331</v>
      </c>
      <c r="S446" s="4">
        <v>364</v>
      </c>
      <c r="AZ446" s="5"/>
      <c r="BB446" s="5"/>
      <c r="BD446" s="5"/>
      <c r="BF446" s="5"/>
      <c r="BH446" s="5"/>
      <c r="BJ446" s="5"/>
      <c r="BL446" s="5"/>
      <c r="BN446" s="5"/>
      <c r="BP446" s="5"/>
      <c r="BR446" s="5"/>
    </row>
    <row r="447" spans="1:70" x14ac:dyDescent="0.25">
      <c r="A447" s="3">
        <v>43395</v>
      </c>
      <c r="B447" s="1">
        <f t="shared" si="44"/>
        <v>10</v>
      </c>
      <c r="C447" s="1">
        <f t="shared" si="45"/>
        <v>2018</v>
      </c>
      <c r="D447" s="4">
        <v>1.9684999999999999</v>
      </c>
      <c r="E447" s="4">
        <v>1.555115</v>
      </c>
      <c r="F447" s="5">
        <v>374.01499999999999</v>
      </c>
      <c r="H447" s="4">
        <v>8.3129999999999988</v>
      </c>
      <c r="I447" s="4">
        <v>185.03</v>
      </c>
      <c r="J447" s="4">
        <v>77.02</v>
      </c>
      <c r="L447" s="8">
        <f t="shared" si="51"/>
        <v>0.79</v>
      </c>
      <c r="M447" s="8">
        <f t="shared" si="52"/>
        <v>0.19</v>
      </c>
      <c r="N447" s="8">
        <f t="shared" si="47"/>
        <v>0.98</v>
      </c>
      <c r="O447" s="8"/>
      <c r="P447" s="6">
        <f t="shared" si="50"/>
        <v>102.36199999999999</v>
      </c>
      <c r="Q447" s="6">
        <f t="shared" si="46"/>
        <v>29.561087122174243</v>
      </c>
      <c r="S447" s="4">
        <v>354</v>
      </c>
      <c r="AZ447" s="5"/>
      <c r="BB447" s="5"/>
      <c r="BD447" s="5"/>
      <c r="BF447" s="5"/>
      <c r="BH447" s="5"/>
      <c r="BJ447" s="5"/>
      <c r="BL447" s="5"/>
      <c r="BN447" s="5"/>
      <c r="BP447" s="5"/>
      <c r="BR447" s="5"/>
    </row>
    <row r="448" spans="1:70" x14ac:dyDescent="0.25">
      <c r="A448" s="3">
        <v>43402</v>
      </c>
      <c r="B448" s="1">
        <f t="shared" si="44"/>
        <v>10</v>
      </c>
      <c r="C448" s="1">
        <f t="shared" si="45"/>
        <v>2018</v>
      </c>
      <c r="D448" s="4">
        <v>2.0154000000000001</v>
      </c>
      <c r="E448" s="4">
        <v>1.592166</v>
      </c>
      <c r="F448" s="5">
        <v>382.92599999999999</v>
      </c>
      <c r="H448" s="4">
        <v>7.9625000000000004</v>
      </c>
      <c r="I448" s="4">
        <v>185.77</v>
      </c>
      <c r="J448" s="4">
        <v>89.36</v>
      </c>
      <c r="L448" s="8">
        <f t="shared" si="51"/>
        <v>0.78999999999999992</v>
      </c>
      <c r="M448" s="8">
        <f t="shared" si="52"/>
        <v>0.18999999999999997</v>
      </c>
      <c r="N448" s="8">
        <f t="shared" si="47"/>
        <v>0.97999999999999987</v>
      </c>
      <c r="O448" s="8"/>
      <c r="P448" s="6">
        <f t="shared" si="50"/>
        <v>104.80080000000001</v>
      </c>
      <c r="Q448" s="6">
        <f t="shared" si="46"/>
        <v>27.655800337402002</v>
      </c>
      <c r="S448" s="4">
        <v>124</v>
      </c>
      <c r="AZ448" s="5"/>
      <c r="BB448" s="5"/>
      <c r="BD448" s="5"/>
      <c r="BF448" s="5"/>
      <c r="BH448" s="5"/>
      <c r="BJ448" s="5"/>
      <c r="BL448" s="5"/>
      <c r="BN448" s="5"/>
      <c r="BP448" s="5"/>
      <c r="BR448" s="5"/>
    </row>
    <row r="449" spans="1:70" x14ac:dyDescent="0.25">
      <c r="A449" s="3">
        <v>43409</v>
      </c>
      <c r="B449" s="1">
        <f t="shared" si="44"/>
        <v>11</v>
      </c>
      <c r="C449" s="1">
        <f t="shared" si="45"/>
        <v>2018</v>
      </c>
      <c r="D449" s="4">
        <v>1.8651</v>
      </c>
      <c r="E449" s="4">
        <v>1.4734290000000001</v>
      </c>
      <c r="F449" s="5">
        <v>354.36900000000003</v>
      </c>
      <c r="H449" s="4">
        <v>7.5060000000000002</v>
      </c>
      <c r="I449" s="4">
        <v>184.8</v>
      </c>
      <c r="J449" s="4">
        <v>96.89</v>
      </c>
      <c r="L449" s="8">
        <f t="shared" si="51"/>
        <v>0.79</v>
      </c>
      <c r="M449" s="8">
        <f t="shared" si="52"/>
        <v>0.19000000000000003</v>
      </c>
      <c r="N449" s="8">
        <f t="shared" si="47"/>
        <v>0.98000000000000009</v>
      </c>
      <c r="O449" s="8"/>
      <c r="P449" s="6">
        <f t="shared" si="50"/>
        <v>96.985199999999992</v>
      </c>
      <c r="Q449" s="6">
        <f t="shared" si="46"/>
        <v>28.171143638410811</v>
      </c>
      <c r="S449" s="4">
        <v>49</v>
      </c>
      <c r="AZ449" s="5"/>
      <c r="BB449" s="5"/>
      <c r="BD449" s="5"/>
      <c r="BF449" s="5"/>
      <c r="BH449" s="5"/>
      <c r="BJ449" s="5"/>
      <c r="BL449" s="5"/>
      <c r="BN449" s="5"/>
      <c r="BP449" s="5"/>
      <c r="BR449" s="5"/>
    </row>
    <row r="450" spans="1:70" x14ac:dyDescent="0.25">
      <c r="A450" s="3">
        <v>43416</v>
      </c>
      <c r="B450" s="1">
        <f t="shared" ref="B450:B513" si="53">MONTH(A450)</f>
        <v>11</v>
      </c>
      <c r="C450" s="1">
        <f t="shared" ref="C450:C513" si="54">YEAR(A450)</f>
        <v>2018</v>
      </c>
      <c r="D450" s="4">
        <v>1.6974</v>
      </c>
      <c r="E450" s="4">
        <v>1.340946</v>
      </c>
      <c r="F450" s="5">
        <v>322.50599999999997</v>
      </c>
      <c r="H450" s="4">
        <v>7.4520000000000008</v>
      </c>
      <c r="I450" s="4">
        <v>181.84</v>
      </c>
      <c r="J450" s="4">
        <v>97.55</v>
      </c>
      <c r="L450" s="8">
        <f t="shared" si="51"/>
        <v>0.78999999999999992</v>
      </c>
      <c r="M450" s="8">
        <f t="shared" si="52"/>
        <v>0.18999999999999997</v>
      </c>
      <c r="N450" s="8">
        <f t="shared" si="47"/>
        <v>0.97999999999999987</v>
      </c>
      <c r="O450" s="8"/>
      <c r="P450" s="6">
        <f t="shared" si="50"/>
        <v>88.264800000000008</v>
      </c>
      <c r="Q450" s="6">
        <f t="shared" si="46"/>
        <v>30.731707317073177</v>
      </c>
      <c r="S450" s="4">
        <v>1.25</v>
      </c>
      <c r="AZ450" s="5"/>
      <c r="BB450" s="5"/>
      <c r="BD450" s="5"/>
      <c r="BF450" s="5"/>
      <c r="BH450" s="5"/>
      <c r="BJ450" s="5"/>
      <c r="BL450" s="5"/>
      <c r="BN450" s="5"/>
      <c r="BP450" s="5"/>
      <c r="BR450" s="5"/>
    </row>
    <row r="451" spans="1:70" x14ac:dyDescent="0.25">
      <c r="A451" s="3">
        <v>43423</v>
      </c>
      <c r="B451" s="1">
        <f t="shared" si="53"/>
        <v>11</v>
      </c>
      <c r="C451" s="1">
        <f t="shared" si="54"/>
        <v>2018</v>
      </c>
      <c r="D451" s="4">
        <v>1.6948000000000001</v>
      </c>
      <c r="E451" s="4">
        <v>1.338892</v>
      </c>
      <c r="F451" s="5">
        <v>322.012</v>
      </c>
      <c r="H451" s="4">
        <v>7.4520000000000008</v>
      </c>
      <c r="I451" s="4">
        <v>181.44</v>
      </c>
      <c r="J451" s="4">
        <v>102.76</v>
      </c>
      <c r="L451" s="8">
        <f t="shared" si="51"/>
        <v>0.78999999999999992</v>
      </c>
      <c r="M451" s="8">
        <f t="shared" si="52"/>
        <v>0.19</v>
      </c>
      <c r="N451" s="8">
        <f t="shared" si="47"/>
        <v>0.98</v>
      </c>
      <c r="O451" s="8"/>
      <c r="P451" s="6">
        <f t="shared" si="50"/>
        <v>88.129600000000011</v>
      </c>
      <c r="Q451" s="6">
        <f t="shared" si="46"/>
        <v>30.77885296200142</v>
      </c>
      <c r="S451" s="4">
        <v>10</v>
      </c>
      <c r="AZ451" s="5"/>
      <c r="BB451" s="5"/>
      <c r="BD451" s="5"/>
      <c r="BF451" s="5"/>
      <c r="BH451" s="5"/>
      <c r="BJ451" s="5"/>
      <c r="BL451" s="5"/>
      <c r="BN451" s="5"/>
      <c r="BP451" s="5"/>
      <c r="BR451" s="5"/>
    </row>
    <row r="452" spans="1:70" x14ac:dyDescent="0.25">
      <c r="A452" s="3">
        <v>43430</v>
      </c>
      <c r="B452" s="1">
        <f t="shared" si="53"/>
        <v>11</v>
      </c>
      <c r="C452" s="1">
        <f t="shared" si="54"/>
        <v>2018</v>
      </c>
      <c r="D452" s="4">
        <v>1.716</v>
      </c>
      <c r="E452" s="4">
        <v>1.35564</v>
      </c>
      <c r="F452" s="5">
        <v>326.04000000000002</v>
      </c>
      <c r="H452" s="4">
        <v>7.5520000000000005</v>
      </c>
      <c r="I452" s="4">
        <v>180.2</v>
      </c>
      <c r="J452" s="4">
        <v>100.1</v>
      </c>
      <c r="L452" s="8">
        <f t="shared" si="51"/>
        <v>0.79</v>
      </c>
      <c r="M452" s="8">
        <f t="shared" si="52"/>
        <v>0.19</v>
      </c>
      <c r="N452" s="8">
        <f t="shared" si="47"/>
        <v>0.98</v>
      </c>
      <c r="O452" s="8"/>
      <c r="P452" s="6">
        <f t="shared" si="50"/>
        <v>89.231999999999999</v>
      </c>
      <c r="Q452" s="6">
        <f t="shared" si="46"/>
        <v>30.806526806526808</v>
      </c>
      <c r="S452" s="4">
        <v>-29</v>
      </c>
      <c r="AZ452" s="5"/>
      <c r="BB452" s="5"/>
      <c r="BD452" s="5"/>
      <c r="BF452" s="5"/>
      <c r="BH452" s="5"/>
      <c r="BJ452" s="5"/>
      <c r="BL452" s="5"/>
      <c r="BN452" s="5"/>
      <c r="BP452" s="5"/>
      <c r="BR452" s="5"/>
    </row>
    <row r="453" spans="1:70" x14ac:dyDescent="0.25">
      <c r="A453" s="3">
        <v>43437</v>
      </c>
      <c r="B453" s="1">
        <f t="shared" si="53"/>
        <v>12</v>
      </c>
      <c r="C453" s="1">
        <f t="shared" si="54"/>
        <v>2018</v>
      </c>
      <c r="D453" s="4">
        <v>1.69</v>
      </c>
      <c r="E453" s="4">
        <v>1.3351</v>
      </c>
      <c r="F453" s="5">
        <v>321.10000000000002</v>
      </c>
      <c r="H453" s="4">
        <v>6.9795000000000007</v>
      </c>
      <c r="I453" s="4">
        <v>178.5</v>
      </c>
      <c r="J453" s="4">
        <v>94.3</v>
      </c>
      <c r="L453" s="8">
        <f t="shared" si="51"/>
        <v>0.79</v>
      </c>
      <c r="M453" s="8">
        <f t="shared" si="52"/>
        <v>0.19</v>
      </c>
      <c r="N453" s="8">
        <f t="shared" si="47"/>
        <v>0.98</v>
      </c>
      <c r="O453" s="8"/>
      <c r="P453" s="6">
        <f t="shared" si="50"/>
        <v>87.88</v>
      </c>
      <c r="Q453" s="6">
        <f t="shared" si="46"/>
        <v>28.90917159763314</v>
      </c>
      <c r="S453" s="4">
        <v>-29</v>
      </c>
      <c r="AZ453" s="5"/>
      <c r="BB453" s="5"/>
      <c r="BD453" s="5"/>
      <c r="BF453" s="5"/>
      <c r="BH453" s="5"/>
      <c r="BJ453" s="5"/>
      <c r="BL453" s="5"/>
      <c r="BN453" s="5"/>
      <c r="BP453" s="5"/>
      <c r="BR453" s="5"/>
    </row>
    <row r="454" spans="1:70" x14ac:dyDescent="0.25">
      <c r="A454" s="3">
        <v>43444</v>
      </c>
      <c r="B454" s="1">
        <f t="shared" si="53"/>
        <v>12</v>
      </c>
      <c r="C454" s="1">
        <f t="shared" si="54"/>
        <v>2018</v>
      </c>
      <c r="D454" s="4">
        <v>1.669</v>
      </c>
      <c r="E454" s="4">
        <v>1.3185100000000001</v>
      </c>
      <c r="F454" s="5">
        <v>317.11</v>
      </c>
      <c r="H454" s="4">
        <v>6.6270000000000007</v>
      </c>
      <c r="I454" s="4">
        <v>174.87</v>
      </c>
      <c r="J454" s="4">
        <v>93.74</v>
      </c>
      <c r="L454" s="8">
        <f t="shared" si="51"/>
        <v>0.79</v>
      </c>
      <c r="M454" s="8">
        <f t="shared" si="52"/>
        <v>0.19</v>
      </c>
      <c r="N454" s="8">
        <f t="shared" si="47"/>
        <v>0.98</v>
      </c>
      <c r="O454" s="8"/>
      <c r="P454" s="6">
        <f t="shared" si="50"/>
        <v>86.787999999999997</v>
      </c>
      <c r="Q454" s="6">
        <f t="shared" si="46"/>
        <v>27.794487717195928</v>
      </c>
      <c r="S454" s="4">
        <v>-296</v>
      </c>
      <c r="AZ454" s="5"/>
      <c r="BB454" s="5"/>
      <c r="BD454" s="5"/>
      <c r="BF454" s="5"/>
      <c r="BH454" s="5"/>
      <c r="BJ454" s="5"/>
      <c r="BL454" s="5"/>
      <c r="BN454" s="5"/>
      <c r="BP454" s="5"/>
      <c r="BR454" s="5"/>
    </row>
    <row r="455" spans="1:70" x14ac:dyDescent="0.25">
      <c r="A455" s="3">
        <v>43451</v>
      </c>
      <c r="B455" s="1">
        <f t="shared" si="53"/>
        <v>12</v>
      </c>
      <c r="C455" s="1">
        <f t="shared" si="54"/>
        <v>2018</v>
      </c>
      <c r="D455" s="4">
        <v>1.6053999999999999</v>
      </c>
      <c r="E455" s="4">
        <v>1.2682659999999999</v>
      </c>
      <c r="F455" s="5">
        <v>305.02600000000001</v>
      </c>
      <c r="H455" s="4"/>
      <c r="I455" s="4"/>
      <c r="J455" s="4"/>
      <c r="L455" s="8">
        <f t="shared" si="51"/>
        <v>0.78999999999999992</v>
      </c>
      <c r="M455" s="8">
        <f t="shared" si="52"/>
        <v>0.19000000000000003</v>
      </c>
      <c r="N455" s="8">
        <f t="shared" si="47"/>
        <v>0.98</v>
      </c>
      <c r="O455" s="8"/>
      <c r="P455" s="6">
        <f t="shared" si="50"/>
        <v>83.480800000000002</v>
      </c>
      <c r="Q455" s="6" t="str">
        <f t="shared" si="46"/>
        <v/>
      </c>
      <c r="S455" s="4">
        <v>-401</v>
      </c>
      <c r="AZ455" s="5"/>
      <c r="BB455" s="5"/>
      <c r="BD455" s="5"/>
      <c r="BF455" s="5"/>
      <c r="BH455" s="5"/>
      <c r="BJ455" s="5"/>
      <c r="BL455" s="5"/>
      <c r="BN455" s="5"/>
      <c r="BP455" s="5"/>
      <c r="BR455" s="5"/>
    </row>
    <row r="456" spans="1:70" x14ac:dyDescent="0.25">
      <c r="A456" s="3">
        <v>43458</v>
      </c>
      <c r="B456" s="1">
        <f t="shared" si="53"/>
        <v>12</v>
      </c>
      <c r="C456" s="1">
        <f t="shared" si="54"/>
        <v>2018</v>
      </c>
      <c r="D456" s="4">
        <v>1.8628</v>
      </c>
      <c r="E456" s="4">
        <v>1.4716119999999999</v>
      </c>
      <c r="F456" s="5">
        <v>353.93200000000002</v>
      </c>
      <c r="H456" s="4">
        <v>6.5729999999999995</v>
      </c>
      <c r="I456" s="4">
        <v>164.57</v>
      </c>
      <c r="J456" s="4">
        <v>95.09</v>
      </c>
      <c r="L456" s="8">
        <f t="shared" si="51"/>
        <v>0.78999999999999992</v>
      </c>
      <c r="M456" s="8">
        <f t="shared" si="52"/>
        <v>0.19</v>
      </c>
      <c r="N456" s="8">
        <f t="shared" si="47"/>
        <v>0.98</v>
      </c>
      <c r="O456" s="8"/>
      <c r="P456" s="6">
        <f t="shared" si="50"/>
        <v>96.865600000000001</v>
      </c>
      <c r="Q456" s="6">
        <f t="shared" si="46"/>
        <v>24.699914107794719</v>
      </c>
      <c r="S456" s="4">
        <v>-450</v>
      </c>
      <c r="AZ456" s="5"/>
      <c r="BB456" s="5"/>
      <c r="BD456" s="5"/>
      <c r="BF456" s="5"/>
      <c r="BH456" s="5"/>
      <c r="BJ456" s="5"/>
      <c r="BL456" s="5"/>
      <c r="BN456" s="5"/>
      <c r="BP456" s="5"/>
      <c r="BR456" s="5"/>
    </row>
    <row r="457" spans="1:70" x14ac:dyDescent="0.25">
      <c r="A457" s="3">
        <v>43465</v>
      </c>
      <c r="B457" s="1">
        <f t="shared" si="53"/>
        <v>12</v>
      </c>
      <c r="C457" s="1">
        <f t="shared" si="54"/>
        <v>2018</v>
      </c>
      <c r="D457" s="7"/>
      <c r="E457" s="7"/>
      <c r="F457" s="7"/>
      <c r="H457" s="4">
        <v>6.5354999999999999</v>
      </c>
      <c r="I457" s="4">
        <v>162.84</v>
      </c>
      <c r="J457" s="4">
        <v>113.16</v>
      </c>
      <c r="L457" s="8"/>
      <c r="M457" s="8"/>
      <c r="N457" s="8"/>
      <c r="O457" s="8"/>
      <c r="P457" s="6">
        <f t="shared" si="50"/>
        <v>0</v>
      </c>
      <c r="Q457" s="6" t="str">
        <f t="shared" si="46"/>
        <v/>
      </c>
      <c r="S457" s="4">
        <v>-415</v>
      </c>
      <c r="AZ457" s="5"/>
      <c r="BB457" s="5"/>
      <c r="BD457" s="5"/>
      <c r="BF457" s="5"/>
      <c r="BH457" s="5"/>
      <c r="BJ457" s="5"/>
      <c r="BL457" s="5"/>
      <c r="BN457" s="5"/>
      <c r="BP457" s="5"/>
      <c r="BR457" s="5"/>
    </row>
    <row r="458" spans="1:70" x14ac:dyDescent="0.25">
      <c r="A458" s="3">
        <v>43472</v>
      </c>
      <c r="B458" s="1">
        <f t="shared" si="53"/>
        <v>1</v>
      </c>
      <c r="C458" s="1">
        <f t="shared" si="54"/>
        <v>2019</v>
      </c>
      <c r="D458" s="4">
        <v>1.5712999999999999</v>
      </c>
      <c r="E458" s="4">
        <v>1.2413270000000001</v>
      </c>
      <c r="F458" s="5">
        <v>298.54700000000003</v>
      </c>
      <c r="H458" s="4">
        <v>6.5354999999999999</v>
      </c>
      <c r="I458" s="4">
        <v>156.69999999999999</v>
      </c>
      <c r="J458" s="4">
        <v>113.16</v>
      </c>
      <c r="L458" s="8">
        <f>E458/D458</f>
        <v>0.79</v>
      </c>
      <c r="M458" s="8">
        <f>F458/1000/D458</f>
        <v>0.19</v>
      </c>
      <c r="N458" s="8">
        <f t="shared" si="47"/>
        <v>0.98</v>
      </c>
      <c r="O458" s="8"/>
      <c r="P458" s="6">
        <f t="shared" si="50"/>
        <v>81.707599999999999</v>
      </c>
      <c r="Q458" s="6">
        <f t="shared" si="46"/>
        <v>29.115063959778528</v>
      </c>
      <c r="S458" s="4">
        <v>-417</v>
      </c>
      <c r="AZ458" s="5"/>
      <c r="BB458" s="5"/>
      <c r="BD458" s="5"/>
      <c r="BF458" s="5"/>
      <c r="BH458" s="5"/>
      <c r="BJ458" s="5"/>
      <c r="BL458" s="5"/>
      <c r="BN458" s="5"/>
      <c r="BP458" s="5"/>
      <c r="BR458" s="5"/>
    </row>
    <row r="459" spans="1:70" x14ac:dyDescent="0.25">
      <c r="A459" s="3">
        <v>43479</v>
      </c>
      <c r="B459" s="1">
        <f t="shared" si="53"/>
        <v>1</v>
      </c>
      <c r="C459" s="1">
        <f t="shared" si="54"/>
        <v>2019</v>
      </c>
      <c r="D459" s="7"/>
      <c r="E459" s="7"/>
      <c r="F459" s="7"/>
      <c r="H459" s="4">
        <v>6.6574999999999998</v>
      </c>
      <c r="I459" s="4">
        <v>148.19999999999999</v>
      </c>
      <c r="J459" s="4">
        <v>100.76</v>
      </c>
      <c r="L459" s="8"/>
      <c r="M459" s="8"/>
      <c r="N459" s="8"/>
      <c r="O459" s="8"/>
      <c r="P459" s="6">
        <f t="shared" si="50"/>
        <v>0</v>
      </c>
      <c r="Q459" s="6" t="str">
        <f t="shared" si="46"/>
        <v/>
      </c>
      <c r="S459" s="4">
        <v>-207</v>
      </c>
      <c r="AZ459" s="5"/>
      <c r="BB459" s="5"/>
      <c r="BD459" s="5"/>
      <c r="BF459" s="5"/>
      <c r="BH459" s="5"/>
      <c r="BJ459" s="5"/>
      <c r="BL459" s="5"/>
      <c r="BN459" s="5"/>
      <c r="BP459" s="5"/>
      <c r="BR459" s="5"/>
    </row>
    <row r="460" spans="1:70" x14ac:dyDescent="0.25">
      <c r="A460" s="3">
        <v>43486</v>
      </c>
      <c r="B460" s="1">
        <f t="shared" si="53"/>
        <v>1</v>
      </c>
      <c r="C460" s="1">
        <f t="shared" si="54"/>
        <v>2019</v>
      </c>
      <c r="D460" s="4">
        <v>1.4765999999999999</v>
      </c>
      <c r="E460" s="4">
        <v>1.1665140000000001</v>
      </c>
      <c r="F460" s="5">
        <v>280.55399999999997</v>
      </c>
      <c r="H460" s="4">
        <v>6.4770000000000003</v>
      </c>
      <c r="I460" s="4">
        <v>140.93</v>
      </c>
      <c r="J460" s="4">
        <v>84.35</v>
      </c>
      <c r="L460" s="8">
        <f>E460/D460</f>
        <v>0.79</v>
      </c>
      <c r="M460" s="8">
        <f>F460/1000/D460</f>
        <v>0.19</v>
      </c>
      <c r="N460" s="8">
        <f t="shared" si="47"/>
        <v>0.98</v>
      </c>
      <c r="O460" s="8"/>
      <c r="P460" s="6">
        <f t="shared" si="50"/>
        <v>76.783199999999994</v>
      </c>
      <c r="Q460" s="6">
        <f t="shared" si="46"/>
        <v>30.70499796830557</v>
      </c>
      <c r="S460" s="4">
        <v>-150</v>
      </c>
      <c r="AZ460" s="5"/>
      <c r="BB460" s="5"/>
      <c r="BD460" s="5"/>
      <c r="BF460" s="5"/>
      <c r="BH460" s="5"/>
      <c r="BJ460" s="5"/>
      <c r="BL460" s="5"/>
      <c r="BN460" s="5"/>
      <c r="BP460" s="5"/>
      <c r="BR460" s="5"/>
    </row>
    <row r="461" spans="1:70" x14ac:dyDescent="0.25">
      <c r="A461" s="3">
        <v>43493</v>
      </c>
      <c r="B461" s="1">
        <f t="shared" si="53"/>
        <v>1</v>
      </c>
      <c r="C461" s="1">
        <f t="shared" si="54"/>
        <v>2019</v>
      </c>
      <c r="D461" s="4">
        <v>1.8613999999999999</v>
      </c>
      <c r="E461" s="4">
        <v>1.4705060000000001</v>
      </c>
      <c r="F461" s="5">
        <v>353.666</v>
      </c>
      <c r="H461" s="4">
        <v>6.1924999999999999</v>
      </c>
      <c r="I461" s="4">
        <v>134.62</v>
      </c>
      <c r="J461" s="4">
        <v>74.36</v>
      </c>
      <c r="L461" s="8">
        <f>E461/D461</f>
        <v>0.79</v>
      </c>
      <c r="M461" s="8">
        <f>F461/1000/D461</f>
        <v>0.19</v>
      </c>
      <c r="N461" s="8">
        <f t="shared" si="47"/>
        <v>0.98</v>
      </c>
      <c r="O461" s="8"/>
      <c r="P461" s="6">
        <f t="shared" si="50"/>
        <v>96.7928</v>
      </c>
      <c r="Q461" s="6">
        <f t="shared" si="46"/>
        <v>23.287579241431182</v>
      </c>
      <c r="S461" s="4">
        <v>-180</v>
      </c>
      <c r="AZ461" s="5"/>
      <c r="BB461" s="5"/>
      <c r="BD461" s="5"/>
      <c r="BF461" s="5"/>
      <c r="BH461" s="5"/>
      <c r="BJ461" s="5"/>
      <c r="BL461" s="5"/>
      <c r="BN461" s="5"/>
      <c r="BP461" s="5"/>
      <c r="BR461" s="5"/>
    </row>
    <row r="462" spans="1:70" x14ac:dyDescent="0.25">
      <c r="A462" s="3">
        <v>43500</v>
      </c>
      <c r="B462" s="1">
        <f t="shared" si="53"/>
        <v>2</v>
      </c>
      <c r="C462" s="1">
        <f t="shared" si="54"/>
        <v>2019</v>
      </c>
      <c r="D462" s="4">
        <v>1.3420000000000001</v>
      </c>
      <c r="E462" s="4">
        <v>1.0601799999999999</v>
      </c>
      <c r="F462" s="5">
        <v>294.58</v>
      </c>
      <c r="H462" s="4"/>
      <c r="I462" s="4"/>
      <c r="J462" s="4"/>
      <c r="L462" s="8">
        <f>E462/D462</f>
        <v>0.78999999999999992</v>
      </c>
      <c r="M462" s="8">
        <f>F462/1000/D462</f>
        <v>0.21950819672131147</v>
      </c>
      <c r="N462" s="8">
        <f t="shared" si="47"/>
        <v>1.0095081967213113</v>
      </c>
      <c r="O462" s="8"/>
      <c r="P462" s="6">
        <f t="shared" si="50"/>
        <v>69.784000000000006</v>
      </c>
      <c r="Q462" s="6" t="str">
        <f t="shared" si="46"/>
        <v/>
      </c>
      <c r="S462" s="4"/>
      <c r="AZ462" s="5"/>
      <c r="BB462" s="5"/>
      <c r="BD462" s="5"/>
      <c r="BF462" s="5"/>
      <c r="BH462" s="5"/>
      <c r="BJ462" s="5"/>
      <c r="BL462" s="5"/>
      <c r="BN462" s="5"/>
      <c r="BP462" s="5"/>
      <c r="BR462" s="5"/>
    </row>
    <row r="463" spans="1:70" x14ac:dyDescent="0.25">
      <c r="A463" s="3">
        <v>43507</v>
      </c>
      <c r="B463" s="1">
        <f t="shared" si="53"/>
        <v>2</v>
      </c>
      <c r="C463" s="1">
        <f t="shared" si="54"/>
        <v>2019</v>
      </c>
      <c r="D463" s="7"/>
      <c r="E463" s="7"/>
      <c r="F463" s="7"/>
      <c r="H463" s="4"/>
      <c r="I463" s="4"/>
      <c r="J463" s="4"/>
      <c r="L463" s="8"/>
      <c r="M463" s="8"/>
      <c r="N463" s="8"/>
      <c r="O463" s="8"/>
      <c r="P463" s="6">
        <f t="shared" si="50"/>
        <v>0</v>
      </c>
      <c r="Q463" s="6" t="str">
        <f t="shared" si="46"/>
        <v/>
      </c>
      <c r="S463" s="4">
        <v>-220</v>
      </c>
      <c r="AZ463" s="5"/>
      <c r="BB463" s="5"/>
      <c r="BD463" s="5"/>
      <c r="BF463" s="5"/>
      <c r="BH463" s="5"/>
      <c r="BJ463" s="5"/>
      <c r="BL463" s="5"/>
      <c r="BN463" s="5"/>
      <c r="BP463" s="5"/>
      <c r="BR463" s="5"/>
    </row>
    <row r="464" spans="1:70" x14ac:dyDescent="0.25">
      <c r="A464" s="3">
        <v>43514</v>
      </c>
      <c r="B464" s="1">
        <f t="shared" si="53"/>
        <v>2</v>
      </c>
      <c r="C464" s="1">
        <f t="shared" si="54"/>
        <v>2019</v>
      </c>
      <c r="D464" s="4">
        <v>2.3099999999999999E-2</v>
      </c>
      <c r="E464" s="4">
        <v>1.8249000000000001E-2</v>
      </c>
      <c r="F464" s="5">
        <v>4.3890000000000002</v>
      </c>
      <c r="H464" s="4">
        <v>6.5625</v>
      </c>
      <c r="I464" s="4">
        <v>131.03</v>
      </c>
      <c r="J464" s="4">
        <v>56.56</v>
      </c>
      <c r="L464" s="8">
        <f t="shared" ref="L464:L488" si="55">E464/D464</f>
        <v>0.79000000000000015</v>
      </c>
      <c r="M464" s="8">
        <f t="shared" ref="M464:M488" si="56">F464/1000/D464</f>
        <v>0.19000000000000003</v>
      </c>
      <c r="N464" s="8">
        <f t="shared" si="47"/>
        <v>0.9800000000000002</v>
      </c>
      <c r="O464" s="8"/>
      <c r="P464" s="6">
        <f t="shared" si="50"/>
        <v>1.2012</v>
      </c>
      <c r="Q464" s="6">
        <f t="shared" si="46"/>
        <v>1988.6363636363637</v>
      </c>
      <c r="S464" s="4">
        <v>-250</v>
      </c>
      <c r="AZ464" s="5"/>
      <c r="BB464" s="5"/>
      <c r="BD464" s="5"/>
      <c r="BF464" s="5"/>
      <c r="BH464" s="5"/>
      <c r="BJ464" s="5"/>
      <c r="BL464" s="5"/>
      <c r="BN464" s="5"/>
      <c r="BP464" s="5"/>
      <c r="BR464" s="5"/>
    </row>
    <row r="465" spans="1:70" x14ac:dyDescent="0.25">
      <c r="A465" s="3">
        <v>43521</v>
      </c>
      <c r="B465" s="1">
        <f t="shared" si="53"/>
        <v>2</v>
      </c>
      <c r="C465" s="1">
        <f t="shared" si="54"/>
        <v>2019</v>
      </c>
      <c r="D465" s="4">
        <v>1.5664</v>
      </c>
      <c r="E465" s="4">
        <v>1.2374559999999999</v>
      </c>
      <c r="F465" s="5">
        <v>297.61599999999999</v>
      </c>
      <c r="H465" s="4">
        <v>6.3250000000000002</v>
      </c>
      <c r="I465" s="4">
        <v>133.75</v>
      </c>
      <c r="J465" s="4">
        <v>64.47</v>
      </c>
      <c r="L465" s="8">
        <f t="shared" si="55"/>
        <v>0.78999999999999992</v>
      </c>
      <c r="M465" s="8">
        <f t="shared" si="56"/>
        <v>0.19</v>
      </c>
      <c r="N465" s="8">
        <f t="shared" si="47"/>
        <v>0.98</v>
      </c>
      <c r="O465" s="8"/>
      <c r="P465" s="6">
        <f t="shared" si="50"/>
        <v>81.452799999999996</v>
      </c>
      <c r="Q465" s="6">
        <f t="shared" si="46"/>
        <v>28.26544943820225</v>
      </c>
      <c r="S465" s="4">
        <v>-190</v>
      </c>
      <c r="AZ465" s="5"/>
      <c r="BB465" s="5"/>
      <c r="BD465" s="5"/>
      <c r="BF465" s="5"/>
      <c r="BH465" s="5"/>
      <c r="BJ465" s="5"/>
      <c r="BL465" s="5"/>
      <c r="BN465" s="5"/>
      <c r="BP465" s="5"/>
      <c r="BR465" s="5"/>
    </row>
    <row r="466" spans="1:70" x14ac:dyDescent="0.25">
      <c r="A466" s="3">
        <v>43528</v>
      </c>
      <c r="B466" s="1">
        <f t="shared" si="53"/>
        <v>3</v>
      </c>
      <c r="C466" s="1">
        <f t="shared" si="54"/>
        <v>2019</v>
      </c>
      <c r="D466" s="4">
        <v>1.6776</v>
      </c>
      <c r="E466" s="4">
        <v>1.325304</v>
      </c>
      <c r="F466" s="5">
        <v>318.74400000000003</v>
      </c>
      <c r="H466" s="4">
        <v>5.6139999999999999</v>
      </c>
      <c r="I466" s="4">
        <v>134.07</v>
      </c>
      <c r="J466" s="4">
        <v>70.819999999999993</v>
      </c>
      <c r="L466" s="8">
        <f t="shared" si="55"/>
        <v>0.79</v>
      </c>
      <c r="M466" s="8">
        <f t="shared" si="56"/>
        <v>0.19000000000000003</v>
      </c>
      <c r="N466" s="8">
        <f t="shared" si="47"/>
        <v>0.98000000000000009</v>
      </c>
      <c r="O466" s="8"/>
      <c r="P466" s="6">
        <f t="shared" si="50"/>
        <v>87.235199999999992</v>
      </c>
      <c r="Q466" s="6">
        <f t="shared" si="46"/>
        <v>23.425131139723415</v>
      </c>
      <c r="S466" s="4">
        <v>-201</v>
      </c>
      <c r="AZ466" s="5"/>
      <c r="BB466" s="5"/>
      <c r="BD466" s="5"/>
      <c r="BF466" s="5"/>
      <c r="BH466" s="5"/>
      <c r="BJ466" s="5"/>
      <c r="BL466" s="5"/>
      <c r="BN466" s="5"/>
      <c r="BP466" s="5"/>
      <c r="BR466" s="5"/>
    </row>
    <row r="467" spans="1:70" x14ac:dyDescent="0.25">
      <c r="A467" s="3">
        <v>43535</v>
      </c>
      <c r="B467" s="1">
        <f t="shared" si="53"/>
        <v>3</v>
      </c>
      <c r="C467" s="1">
        <f t="shared" si="54"/>
        <v>2019</v>
      </c>
      <c r="D467" s="4">
        <v>1.5158</v>
      </c>
      <c r="E467" s="4">
        <v>1.1974819999999999</v>
      </c>
      <c r="F467" s="5">
        <v>288.00200000000001</v>
      </c>
      <c r="H467" s="4">
        <v>4.9837999999999996</v>
      </c>
      <c r="I467" s="4">
        <v>136.03</v>
      </c>
      <c r="J467" s="4">
        <v>66.86</v>
      </c>
      <c r="L467" s="8">
        <f t="shared" si="55"/>
        <v>0.78999999999999992</v>
      </c>
      <c r="M467" s="8">
        <f t="shared" si="56"/>
        <v>0.19000000000000003</v>
      </c>
      <c r="N467" s="8">
        <f t="shared" si="47"/>
        <v>0.98</v>
      </c>
      <c r="O467" s="8"/>
      <c r="P467" s="6">
        <f t="shared" si="50"/>
        <v>78.821600000000004</v>
      </c>
      <c r="Q467" s="6">
        <f t="shared" si="46"/>
        <v>23.015305449267711</v>
      </c>
      <c r="S467" s="4">
        <v>-171</v>
      </c>
      <c r="AZ467" s="5"/>
      <c r="BB467" s="5"/>
      <c r="BD467" s="5"/>
      <c r="BF467" s="5"/>
      <c r="BH467" s="5"/>
      <c r="BJ467" s="5"/>
      <c r="BL467" s="5"/>
      <c r="BN467" s="5"/>
      <c r="BP467" s="5"/>
      <c r="BR467" s="5"/>
    </row>
    <row r="468" spans="1:70" x14ac:dyDescent="0.25">
      <c r="A468" s="3">
        <v>43542</v>
      </c>
      <c r="B468" s="1">
        <f t="shared" si="53"/>
        <v>3</v>
      </c>
      <c r="C468" s="1">
        <f t="shared" si="54"/>
        <v>2019</v>
      </c>
      <c r="D468" s="4">
        <v>1.5818000000000001</v>
      </c>
      <c r="E468" s="4">
        <v>1.249622</v>
      </c>
      <c r="F468" s="5">
        <v>300.54199999999997</v>
      </c>
      <c r="H468" s="4">
        <v>4.556</v>
      </c>
      <c r="I468" s="4">
        <v>138.13999999999999</v>
      </c>
      <c r="J468" s="4">
        <v>64.39</v>
      </c>
      <c r="L468" s="8">
        <f t="shared" si="55"/>
        <v>0.78999999999999992</v>
      </c>
      <c r="M468" s="8">
        <f t="shared" si="56"/>
        <v>0.18999999999999997</v>
      </c>
      <c r="N468" s="8">
        <f t="shared" si="47"/>
        <v>0.97999999999999987</v>
      </c>
      <c r="O468" s="8"/>
      <c r="P468" s="6">
        <f t="shared" si="50"/>
        <v>82.253600000000006</v>
      </c>
      <c r="Q468" s="6">
        <f t="shared" ref="Q468:Q531" si="57">IF(H468="","",IF(D468="","",H468/(D468/7)))</f>
        <v>20.161840940700468</v>
      </c>
      <c r="S468" s="4">
        <v>-215</v>
      </c>
      <c r="AZ468" s="5"/>
      <c r="BB468" s="5"/>
      <c r="BD468" s="5"/>
      <c r="BF468" s="5"/>
      <c r="BH468" s="5"/>
      <c r="BJ468" s="5"/>
      <c r="BL468" s="5"/>
      <c r="BN468" s="5"/>
      <c r="BP468" s="5"/>
      <c r="BR468" s="5"/>
    </row>
    <row r="469" spans="1:70" x14ac:dyDescent="0.25">
      <c r="A469" s="3">
        <v>43549</v>
      </c>
      <c r="B469" s="1">
        <f t="shared" si="53"/>
        <v>3</v>
      </c>
      <c r="C469" s="1">
        <f t="shared" si="54"/>
        <v>2019</v>
      </c>
      <c r="D469" s="4">
        <v>1.60975</v>
      </c>
      <c r="E469" s="4">
        <v>1.2717020000000001</v>
      </c>
      <c r="F469" s="5">
        <v>305.85199999999998</v>
      </c>
      <c r="H469" s="4">
        <v>4.5255000000000001</v>
      </c>
      <c r="I469" s="4">
        <v>136.47</v>
      </c>
      <c r="J469" s="4">
        <v>62.31</v>
      </c>
      <c r="L469" s="8">
        <f t="shared" si="55"/>
        <v>0.78999968939276288</v>
      </c>
      <c r="M469" s="8">
        <f t="shared" si="56"/>
        <v>0.18999968939276282</v>
      </c>
      <c r="N469" s="8">
        <f t="shared" si="47"/>
        <v>0.97999937878552568</v>
      </c>
      <c r="O469" s="8"/>
      <c r="P469" s="6">
        <f t="shared" si="50"/>
        <v>83.706999999999994</v>
      </c>
      <c r="Q469" s="6">
        <f t="shared" si="57"/>
        <v>19.679142724025471</v>
      </c>
      <c r="S469" s="4">
        <v>-215</v>
      </c>
      <c r="AZ469" s="5"/>
      <c r="BB469" s="5"/>
      <c r="BD469" s="5"/>
      <c r="BF469" s="5"/>
      <c r="BH469" s="5"/>
      <c r="BJ469" s="5"/>
      <c r="BL469" s="5"/>
      <c r="BN469" s="5"/>
      <c r="BP469" s="5"/>
      <c r="BR469" s="5"/>
    </row>
    <row r="470" spans="1:70" x14ac:dyDescent="0.25">
      <c r="A470" s="3">
        <v>43556</v>
      </c>
      <c r="B470" s="1">
        <f t="shared" si="53"/>
        <v>4</v>
      </c>
      <c r="C470" s="1">
        <f t="shared" si="54"/>
        <v>2019</v>
      </c>
      <c r="D470" s="4">
        <v>1.66845</v>
      </c>
      <c r="E470" s="4">
        <v>1.3180750000000001</v>
      </c>
      <c r="F470" s="5">
        <v>317.005</v>
      </c>
      <c r="H470" s="4">
        <v>4.4619999999999997</v>
      </c>
      <c r="I470" s="4">
        <v>134.47999999999999</v>
      </c>
      <c r="J470" s="4">
        <v>63.22</v>
      </c>
      <c r="L470" s="8">
        <f t="shared" si="55"/>
        <v>0.78999970032065692</v>
      </c>
      <c r="M470" s="8">
        <f t="shared" si="56"/>
        <v>0.18999970032065688</v>
      </c>
      <c r="N470" s="8">
        <f t="shared" si="47"/>
        <v>0.97999940064131374</v>
      </c>
      <c r="O470" s="8"/>
      <c r="P470" s="6">
        <f t="shared" si="50"/>
        <v>86.759399999999999</v>
      </c>
      <c r="Q470" s="6">
        <f t="shared" si="57"/>
        <v>18.7203692049507</v>
      </c>
      <c r="S470" s="4">
        <v>-276</v>
      </c>
      <c r="AZ470" s="5"/>
      <c r="BB470" s="5"/>
      <c r="BD470" s="5"/>
      <c r="BF470" s="5"/>
      <c r="BH470" s="5"/>
      <c r="BJ470" s="5"/>
      <c r="BL470" s="5"/>
      <c r="BN470" s="5"/>
      <c r="BP470" s="5"/>
      <c r="BR470" s="5"/>
    </row>
    <row r="471" spans="1:70" x14ac:dyDescent="0.25">
      <c r="A471" s="3">
        <v>43563</v>
      </c>
      <c r="B471" s="1">
        <f t="shared" si="53"/>
        <v>4</v>
      </c>
      <c r="C471" s="1">
        <f t="shared" si="54"/>
        <v>2019</v>
      </c>
      <c r="D471" s="4">
        <v>1.60385</v>
      </c>
      <c r="E471" s="4">
        <v>1.2670410000000001</v>
      </c>
      <c r="F471" s="5">
        <v>304.73099999999999</v>
      </c>
      <c r="H471" s="4">
        <v>4.8260000000000005</v>
      </c>
      <c r="I471" s="4">
        <v>133.68</v>
      </c>
      <c r="J471" s="4">
        <v>60.84</v>
      </c>
      <c r="L471" s="8">
        <f t="shared" si="55"/>
        <v>0.7899996882501481</v>
      </c>
      <c r="M471" s="8">
        <f t="shared" si="56"/>
        <v>0.18999968825014807</v>
      </c>
      <c r="N471" s="8">
        <f t="shared" si="47"/>
        <v>0.97999937650029612</v>
      </c>
      <c r="O471" s="8"/>
      <c r="P471" s="6">
        <f t="shared" si="50"/>
        <v>83.400199999999998</v>
      </c>
      <c r="Q471" s="6">
        <f t="shared" si="57"/>
        <v>21.063066995043179</v>
      </c>
      <c r="S471" s="4">
        <v>-186</v>
      </c>
      <c r="AZ471" s="5"/>
      <c r="BB471" s="5"/>
      <c r="BD471" s="5"/>
      <c r="BF471" s="5"/>
      <c r="BH471" s="5"/>
      <c r="BJ471" s="5"/>
      <c r="BL471" s="5"/>
      <c r="BN471" s="5"/>
      <c r="BP471" s="5"/>
      <c r="BR471" s="5"/>
    </row>
    <row r="472" spans="1:70" x14ac:dyDescent="0.25">
      <c r="A472" s="3">
        <v>43570</v>
      </c>
      <c r="B472" s="1">
        <f t="shared" si="53"/>
        <v>4</v>
      </c>
      <c r="C472" s="1">
        <f t="shared" si="54"/>
        <v>2019</v>
      </c>
      <c r="D472" s="4">
        <v>1.6892499999999999</v>
      </c>
      <c r="E472" s="4">
        <v>1.3345070000000001</v>
      </c>
      <c r="F472" s="5">
        <v>320.95699999999999</v>
      </c>
      <c r="H472" s="4">
        <v>4.859</v>
      </c>
      <c r="I472" s="4">
        <v>135.55000000000001</v>
      </c>
      <c r="J472" s="4">
        <v>67.81</v>
      </c>
      <c r="L472" s="8">
        <f t="shared" si="55"/>
        <v>0.78999970401065567</v>
      </c>
      <c r="M472" s="8">
        <f t="shared" si="56"/>
        <v>0.18999970401065563</v>
      </c>
      <c r="N472" s="8">
        <f t="shared" si="47"/>
        <v>0.97999940802131125</v>
      </c>
      <c r="O472" s="8"/>
      <c r="P472" s="6">
        <f t="shared" si="50"/>
        <v>87.840999999999994</v>
      </c>
      <c r="Q472" s="6">
        <f t="shared" si="57"/>
        <v>20.134971141038925</v>
      </c>
      <c r="S472" s="4">
        <v>-186</v>
      </c>
      <c r="AZ472" s="5"/>
      <c r="BB472" s="5"/>
      <c r="BD472" s="5"/>
      <c r="BF472" s="5"/>
      <c r="BH472" s="5"/>
      <c r="BJ472" s="5"/>
      <c r="BL472" s="5"/>
      <c r="BN472" s="5"/>
      <c r="BP472" s="5"/>
      <c r="BR472" s="5"/>
    </row>
    <row r="473" spans="1:70" x14ac:dyDescent="0.25">
      <c r="A473" s="3">
        <v>43577</v>
      </c>
      <c r="B473" s="1">
        <f t="shared" si="53"/>
        <v>4</v>
      </c>
      <c r="C473" s="1">
        <f t="shared" si="54"/>
        <v>2019</v>
      </c>
      <c r="D473" s="4">
        <v>1.8223499999999999</v>
      </c>
      <c r="E473" s="4">
        <v>1.439656</v>
      </c>
      <c r="F473" s="5">
        <v>346.24599999999998</v>
      </c>
      <c r="H473" s="4">
        <v>4.7465000000000002</v>
      </c>
      <c r="I473" s="4">
        <v>138.16</v>
      </c>
      <c r="J473" s="4">
        <v>70.180000000000007</v>
      </c>
      <c r="L473" s="8">
        <f t="shared" si="55"/>
        <v>0.78999972562899556</v>
      </c>
      <c r="M473" s="8">
        <f t="shared" si="56"/>
        <v>0.18999972562899553</v>
      </c>
      <c r="N473" s="8">
        <f t="shared" si="47"/>
        <v>0.97999945125799104</v>
      </c>
      <c r="O473" s="8"/>
      <c r="P473" s="6">
        <f t="shared" si="50"/>
        <v>94.762199999999993</v>
      </c>
      <c r="Q473" s="6">
        <f t="shared" si="57"/>
        <v>18.232227618185313</v>
      </c>
      <c r="S473" s="4">
        <v>-181</v>
      </c>
      <c r="AZ473" s="5"/>
      <c r="BB473" s="5"/>
      <c r="BD473" s="5"/>
      <c r="BF473" s="5"/>
      <c r="BH473" s="5"/>
      <c r="BJ473" s="5"/>
      <c r="BL473" s="5"/>
      <c r="BN473" s="5"/>
      <c r="BP473" s="5"/>
      <c r="BR473" s="5"/>
    </row>
    <row r="474" spans="1:70" x14ac:dyDescent="0.25">
      <c r="A474" s="3">
        <v>43584</v>
      </c>
      <c r="B474" s="1">
        <f t="shared" si="53"/>
        <v>4</v>
      </c>
      <c r="C474" s="1">
        <f t="shared" si="54"/>
        <v>2019</v>
      </c>
      <c r="D474" s="4">
        <v>1.6603000000000001</v>
      </c>
      <c r="E474" s="4">
        <v>1.3116369999999999</v>
      </c>
      <c r="F474" s="5">
        <v>315.45699999999999</v>
      </c>
      <c r="H474" s="4">
        <v>4.718</v>
      </c>
      <c r="I474" s="4">
        <v>138.21</v>
      </c>
      <c r="J474" s="4">
        <v>62.22</v>
      </c>
      <c r="L474" s="8">
        <f t="shared" si="55"/>
        <v>0.78999999999999992</v>
      </c>
      <c r="M474" s="8">
        <f t="shared" si="56"/>
        <v>0.18999999999999997</v>
      </c>
      <c r="N474" s="8">
        <f t="shared" si="47"/>
        <v>0.97999999999999987</v>
      </c>
      <c r="O474" s="8"/>
      <c r="P474" s="6">
        <f t="shared" si="50"/>
        <v>86.335599999999999</v>
      </c>
      <c r="Q474" s="6">
        <f t="shared" si="57"/>
        <v>19.891585857977471</v>
      </c>
      <c r="S474" s="4">
        <v>-181</v>
      </c>
      <c r="AZ474" s="5"/>
      <c r="BB474" s="5"/>
      <c r="BD474" s="5"/>
      <c r="BF474" s="5"/>
      <c r="BH474" s="5"/>
      <c r="BJ474" s="5"/>
      <c r="BL474" s="5"/>
      <c r="BN474" s="5"/>
      <c r="BP474" s="5"/>
      <c r="BR474" s="5"/>
    </row>
    <row r="475" spans="1:70" x14ac:dyDescent="0.25">
      <c r="A475" s="3">
        <v>43591</v>
      </c>
      <c r="B475" s="1">
        <f t="shared" si="53"/>
        <v>5</v>
      </c>
      <c r="C475" s="1">
        <f t="shared" si="54"/>
        <v>2019</v>
      </c>
      <c r="D475" s="4">
        <v>1.4898499999999999</v>
      </c>
      <c r="E475" s="4">
        <v>1.1769810000000001</v>
      </c>
      <c r="F475" s="5">
        <v>283.07100000000003</v>
      </c>
      <c r="H475" s="4">
        <v>5.2620000000000005</v>
      </c>
      <c r="I475" s="4">
        <v>139.77000000000001</v>
      </c>
      <c r="J475" s="4">
        <v>65.760000000000005</v>
      </c>
      <c r="L475" s="8">
        <f t="shared" si="55"/>
        <v>0.78999966439574465</v>
      </c>
      <c r="M475" s="8">
        <f t="shared" si="56"/>
        <v>0.18999966439574456</v>
      </c>
      <c r="N475" s="8">
        <f t="shared" si="47"/>
        <v>0.97999932879148921</v>
      </c>
      <c r="O475" s="8"/>
      <c r="P475" s="6">
        <f t="shared" si="50"/>
        <v>77.472200000000001</v>
      </c>
      <c r="Q475" s="6">
        <f t="shared" si="57"/>
        <v>24.723294291371619</v>
      </c>
      <c r="S475" s="4">
        <v>-125</v>
      </c>
      <c r="AZ475" s="5"/>
      <c r="BB475" s="5"/>
      <c r="BD475" s="5"/>
      <c r="BF475" s="5"/>
      <c r="BH475" s="5"/>
      <c r="BJ475" s="5"/>
      <c r="BL475" s="5"/>
      <c r="BN475" s="5"/>
      <c r="BP475" s="5"/>
      <c r="BR475" s="5"/>
    </row>
    <row r="476" spans="1:70" x14ac:dyDescent="0.25">
      <c r="A476" s="3">
        <v>43598</v>
      </c>
      <c r="B476" s="1">
        <f t="shared" si="53"/>
        <v>5</v>
      </c>
      <c r="C476" s="1">
        <f t="shared" si="54"/>
        <v>2019</v>
      </c>
      <c r="D476" s="4">
        <v>1.6712</v>
      </c>
      <c r="E476" s="4">
        <v>1.3202480000000001</v>
      </c>
      <c r="F476" s="5">
        <v>317.52800000000002</v>
      </c>
      <c r="H476" s="4">
        <v>5.6129999999999995</v>
      </c>
      <c r="I476" s="4"/>
      <c r="J476" s="4">
        <v>59.07</v>
      </c>
      <c r="L476" s="8">
        <f t="shared" si="55"/>
        <v>0.79</v>
      </c>
      <c r="M476" s="8">
        <f t="shared" si="56"/>
        <v>0.19000000000000003</v>
      </c>
      <c r="N476" s="8">
        <f t="shared" si="47"/>
        <v>0.98000000000000009</v>
      </c>
      <c r="O476" s="8"/>
      <c r="P476" s="6">
        <f t="shared" si="50"/>
        <v>86.9024</v>
      </c>
      <c r="Q476" s="6">
        <f t="shared" si="57"/>
        <v>23.510651029200574</v>
      </c>
      <c r="S476" s="4">
        <v>33</v>
      </c>
      <c r="AZ476" s="5"/>
      <c r="BB476" s="5"/>
      <c r="BD476" s="5"/>
      <c r="BF476" s="5"/>
      <c r="BH476" s="5"/>
      <c r="BJ476" s="5"/>
      <c r="BL476" s="5"/>
      <c r="BN476" s="5"/>
      <c r="BP476" s="5"/>
      <c r="BR476" s="5"/>
    </row>
    <row r="477" spans="1:70" x14ac:dyDescent="0.25">
      <c r="A477" s="3">
        <v>43605</v>
      </c>
      <c r="B477" s="1">
        <f t="shared" si="53"/>
        <v>5</v>
      </c>
      <c r="C477" s="1">
        <f t="shared" si="54"/>
        <v>2019</v>
      </c>
      <c r="D477" s="4">
        <v>1.9356</v>
      </c>
      <c r="E477" s="4">
        <v>1.5291239999999999</v>
      </c>
      <c r="F477" s="5">
        <v>367.76400000000001</v>
      </c>
      <c r="H477" s="4">
        <v>5.4950000000000001</v>
      </c>
      <c r="I477" s="4">
        <v>144.94</v>
      </c>
      <c r="J477" s="4">
        <v>61.66</v>
      </c>
      <c r="L477" s="8">
        <f t="shared" si="55"/>
        <v>0.78999999999999992</v>
      </c>
      <c r="M477" s="8">
        <f t="shared" si="56"/>
        <v>0.19000000000000003</v>
      </c>
      <c r="N477" s="8">
        <f t="shared" si="47"/>
        <v>0.98</v>
      </c>
      <c r="O477" s="8"/>
      <c r="P477" s="6">
        <f t="shared" si="50"/>
        <v>100.6512</v>
      </c>
      <c r="Q477" s="6">
        <f t="shared" si="57"/>
        <v>19.872390989873942</v>
      </c>
      <c r="S477" s="4">
        <v>42</v>
      </c>
      <c r="AZ477" s="5"/>
      <c r="BB477" s="5"/>
      <c r="BD477" s="5"/>
      <c r="BF477" s="5"/>
      <c r="BH477" s="5"/>
      <c r="BJ477" s="5"/>
      <c r="BL477" s="5"/>
      <c r="BN477" s="5"/>
      <c r="BP477" s="5"/>
      <c r="BR477" s="5"/>
    </row>
    <row r="478" spans="1:70" x14ac:dyDescent="0.25">
      <c r="A478" s="3">
        <v>43612</v>
      </c>
      <c r="B478" s="1">
        <f t="shared" si="53"/>
        <v>5</v>
      </c>
      <c r="C478" s="1">
        <f t="shared" si="54"/>
        <v>2019</v>
      </c>
      <c r="D478" s="4">
        <v>1.8576999999999999</v>
      </c>
      <c r="E478" s="4">
        <v>1.4675830000000001</v>
      </c>
      <c r="F478" s="5">
        <v>352.96300000000002</v>
      </c>
      <c r="H478" s="4">
        <v>5.1080000000000005</v>
      </c>
      <c r="I478" s="4">
        <v>144.54</v>
      </c>
      <c r="J478" s="4">
        <v>61.28</v>
      </c>
      <c r="L478" s="8">
        <f t="shared" si="55"/>
        <v>0.79</v>
      </c>
      <c r="M478" s="8">
        <f t="shared" si="56"/>
        <v>0.19000000000000003</v>
      </c>
      <c r="N478" s="8">
        <f t="shared" si="47"/>
        <v>0.98000000000000009</v>
      </c>
      <c r="O478" s="8"/>
      <c r="P478" s="6">
        <f t="shared" si="50"/>
        <v>96.600399999999993</v>
      </c>
      <c r="Q478" s="6">
        <f t="shared" si="57"/>
        <v>19.247456532271091</v>
      </c>
      <c r="S478" s="4">
        <v>209</v>
      </c>
      <c r="AZ478" s="5"/>
      <c r="BB478" s="5"/>
      <c r="BD478" s="5"/>
      <c r="BF478" s="5"/>
      <c r="BH478" s="5"/>
      <c r="BJ478" s="5"/>
      <c r="BL478" s="5"/>
      <c r="BN478" s="5"/>
      <c r="BP478" s="5"/>
      <c r="BR478" s="5"/>
    </row>
    <row r="479" spans="1:70" x14ac:dyDescent="0.25">
      <c r="A479" s="3">
        <v>43619</v>
      </c>
      <c r="B479" s="1">
        <f t="shared" si="53"/>
        <v>6</v>
      </c>
      <c r="C479" s="1">
        <f t="shared" si="54"/>
        <v>2019</v>
      </c>
      <c r="D479" s="4">
        <v>1.7662</v>
      </c>
      <c r="E479" s="4">
        <v>1.3952979999999999</v>
      </c>
      <c r="F479" s="5">
        <v>335.57799999999997</v>
      </c>
      <c r="H479" s="4">
        <v>5.3540000000000001</v>
      </c>
      <c r="I479" s="4">
        <v>140.75</v>
      </c>
      <c r="J479" s="4">
        <v>64.09</v>
      </c>
      <c r="L479" s="8">
        <f t="shared" si="55"/>
        <v>0.78999999999999992</v>
      </c>
      <c r="M479" s="8">
        <f t="shared" si="56"/>
        <v>0.19</v>
      </c>
      <c r="N479" s="8">
        <f t="shared" si="47"/>
        <v>0.98</v>
      </c>
      <c r="O479" s="8"/>
      <c r="P479" s="6">
        <f t="shared" si="50"/>
        <v>91.842399999999998</v>
      </c>
      <c r="Q479" s="6">
        <f t="shared" si="57"/>
        <v>21.219567432906807</v>
      </c>
      <c r="S479" s="4">
        <v>181</v>
      </c>
      <c r="AZ479" s="5"/>
      <c r="BB479" s="5"/>
      <c r="BD479" s="5"/>
      <c r="BF479" s="5"/>
      <c r="BH479" s="5"/>
      <c r="BJ479" s="5"/>
      <c r="BL479" s="5"/>
      <c r="BN479" s="5"/>
      <c r="BP479" s="5"/>
      <c r="BR479" s="5"/>
    </row>
    <row r="480" spans="1:70" x14ac:dyDescent="0.25">
      <c r="A480" s="3">
        <v>43626</v>
      </c>
      <c r="B480" s="1">
        <f t="shared" si="53"/>
        <v>6</v>
      </c>
      <c r="C480" s="1">
        <f t="shared" si="54"/>
        <v>2019</v>
      </c>
      <c r="D480" s="4">
        <v>1.7787999999999999</v>
      </c>
      <c r="E480" s="4">
        <v>1.4052519999999999</v>
      </c>
      <c r="F480" s="5">
        <v>337.97199999999998</v>
      </c>
      <c r="H480" s="4">
        <v>5.3260000000000005</v>
      </c>
      <c r="I480" s="4">
        <v>144.29</v>
      </c>
      <c r="J480" s="4">
        <v>73.61</v>
      </c>
      <c r="L480" s="8">
        <f t="shared" si="55"/>
        <v>0.79</v>
      </c>
      <c r="M480" s="8">
        <f t="shared" si="56"/>
        <v>0.19</v>
      </c>
      <c r="N480" s="8">
        <f t="shared" si="47"/>
        <v>0.98</v>
      </c>
      <c r="O480" s="8"/>
      <c r="P480" s="6">
        <f t="shared" si="50"/>
        <v>92.497599999999991</v>
      </c>
      <c r="Q480" s="6">
        <f t="shared" si="57"/>
        <v>20.959073532718691</v>
      </c>
      <c r="S480" s="4">
        <v>181</v>
      </c>
      <c r="AZ480" s="5"/>
      <c r="BB480" s="5"/>
      <c r="BD480" s="5"/>
      <c r="BF480" s="5"/>
      <c r="BH480" s="5"/>
      <c r="BJ480" s="5"/>
      <c r="BL480" s="5"/>
      <c r="BN480" s="5"/>
      <c r="BP480" s="5"/>
      <c r="BR480" s="5"/>
    </row>
    <row r="481" spans="1:70" x14ac:dyDescent="0.25">
      <c r="A481" s="3">
        <v>43633</v>
      </c>
      <c r="B481" s="1">
        <f t="shared" si="53"/>
        <v>6</v>
      </c>
      <c r="C481" s="1">
        <f t="shared" si="54"/>
        <v>2019</v>
      </c>
      <c r="D481" s="4">
        <v>1.7262</v>
      </c>
      <c r="E481" s="4">
        <v>1.3636980000000001</v>
      </c>
      <c r="F481" s="5">
        <v>327.97800000000001</v>
      </c>
      <c r="H481" s="4">
        <v>5.319</v>
      </c>
      <c r="I481" s="4">
        <v>145.99</v>
      </c>
      <c r="J481" s="4">
        <v>76</v>
      </c>
      <c r="L481" s="8">
        <f t="shared" si="55"/>
        <v>0.79</v>
      </c>
      <c r="M481" s="8">
        <f t="shared" si="56"/>
        <v>0.19</v>
      </c>
      <c r="N481" s="8">
        <f t="shared" si="47"/>
        <v>0.98</v>
      </c>
      <c r="O481" s="8"/>
      <c r="P481" s="6">
        <f t="shared" si="50"/>
        <v>89.7624</v>
      </c>
      <c r="Q481" s="6">
        <f t="shared" si="57"/>
        <v>21.569343065693431</v>
      </c>
      <c r="S481" s="4">
        <v>88</v>
      </c>
      <c r="AZ481" s="5"/>
      <c r="BB481" s="5"/>
      <c r="BD481" s="5"/>
      <c r="BF481" s="5"/>
      <c r="BH481" s="5"/>
      <c r="BJ481" s="5"/>
      <c r="BL481" s="5"/>
      <c r="BN481" s="5"/>
      <c r="BP481" s="5"/>
      <c r="BR481" s="5"/>
    </row>
    <row r="482" spans="1:70" x14ac:dyDescent="0.25">
      <c r="A482" s="3">
        <v>43640</v>
      </c>
      <c r="B482" s="1">
        <f t="shared" si="53"/>
        <v>6</v>
      </c>
      <c r="C482" s="1">
        <f t="shared" si="54"/>
        <v>2019</v>
      </c>
      <c r="D482" s="4">
        <v>1.7924</v>
      </c>
      <c r="E482" s="4">
        <v>1.415996</v>
      </c>
      <c r="F482" s="5">
        <v>340.55599999999998</v>
      </c>
      <c r="H482" s="4">
        <v>5.4020000000000001</v>
      </c>
      <c r="I482" s="4">
        <v>148.34</v>
      </c>
      <c r="J482" s="4">
        <v>85.28</v>
      </c>
      <c r="L482" s="8">
        <f t="shared" si="55"/>
        <v>0.79</v>
      </c>
      <c r="M482" s="8">
        <f t="shared" si="56"/>
        <v>0.18999999999999997</v>
      </c>
      <c r="N482" s="8">
        <f t="shared" si="47"/>
        <v>0.98</v>
      </c>
      <c r="O482" s="8"/>
      <c r="P482" s="6">
        <f t="shared" si="50"/>
        <v>93.204800000000006</v>
      </c>
      <c r="Q482" s="6">
        <f t="shared" si="57"/>
        <v>21.096853380941752</v>
      </c>
      <c r="S482" s="4">
        <v>88</v>
      </c>
      <c r="AZ482" s="5"/>
      <c r="BB482" s="5"/>
      <c r="BD482" s="5"/>
      <c r="BF482" s="5"/>
      <c r="BH482" s="5"/>
      <c r="BJ482" s="5"/>
      <c r="BL482" s="5"/>
      <c r="BN482" s="5"/>
      <c r="BP482" s="5"/>
      <c r="BR482" s="5"/>
    </row>
    <row r="483" spans="1:70" x14ac:dyDescent="0.25">
      <c r="A483" s="3">
        <v>43647</v>
      </c>
      <c r="B483" s="1">
        <f t="shared" si="53"/>
        <v>7</v>
      </c>
      <c r="C483" s="1">
        <f t="shared" si="54"/>
        <v>2019</v>
      </c>
      <c r="D483" s="4">
        <v>1.7307999999999999</v>
      </c>
      <c r="E483" s="4">
        <v>1.367332</v>
      </c>
      <c r="F483" s="5">
        <v>328.85199999999998</v>
      </c>
      <c r="H483" s="4">
        <v>5.2160000000000002</v>
      </c>
      <c r="I483" s="4">
        <v>148.34</v>
      </c>
      <c r="J483" s="4">
        <v>89.5</v>
      </c>
      <c r="L483" s="8">
        <f t="shared" si="55"/>
        <v>0.79</v>
      </c>
      <c r="M483" s="8">
        <f t="shared" si="56"/>
        <v>0.19</v>
      </c>
      <c r="N483" s="8">
        <f t="shared" si="47"/>
        <v>0.98</v>
      </c>
      <c r="O483" s="8"/>
      <c r="P483" s="6">
        <f t="shared" si="50"/>
        <v>90.001599999999996</v>
      </c>
      <c r="Q483" s="6">
        <f t="shared" si="57"/>
        <v>21.095447192049921</v>
      </c>
      <c r="S483" s="4">
        <v>88</v>
      </c>
      <c r="AZ483" s="5"/>
      <c r="BB483" s="5"/>
      <c r="BD483" s="5"/>
      <c r="BF483" s="5"/>
      <c r="BH483" s="5"/>
      <c r="BJ483" s="5"/>
      <c r="BL483" s="5"/>
      <c r="BN483" s="5"/>
      <c r="BP483" s="5"/>
      <c r="BR483" s="5"/>
    </row>
    <row r="484" spans="1:70" x14ac:dyDescent="0.25">
      <c r="A484" s="3">
        <v>43654</v>
      </c>
      <c r="B484" s="1">
        <f t="shared" si="53"/>
        <v>7</v>
      </c>
      <c r="C484" s="1">
        <f t="shared" si="54"/>
        <v>2019</v>
      </c>
      <c r="D484" s="4">
        <v>1.4128000000000001</v>
      </c>
      <c r="E484" s="4">
        <v>1.116112</v>
      </c>
      <c r="F484" s="5">
        <v>268.43200000000002</v>
      </c>
      <c r="H484" s="4">
        <v>5.5229999999999997</v>
      </c>
      <c r="I484" s="4">
        <v>143.69999999999999</v>
      </c>
      <c r="J484" s="4">
        <v>92.47</v>
      </c>
      <c r="L484" s="8">
        <f t="shared" si="55"/>
        <v>0.78999999999999992</v>
      </c>
      <c r="M484" s="8">
        <f t="shared" si="56"/>
        <v>0.19</v>
      </c>
      <c r="N484" s="8">
        <f t="shared" si="47"/>
        <v>0.98</v>
      </c>
      <c r="O484" s="8"/>
      <c r="P484" s="6">
        <f t="shared" si="50"/>
        <v>73.465600000000009</v>
      </c>
      <c r="Q484" s="6">
        <f t="shared" si="57"/>
        <v>27.364807474518685</v>
      </c>
      <c r="S484" s="4">
        <v>-85</v>
      </c>
      <c r="AZ484" s="5"/>
      <c r="BB484" s="5"/>
      <c r="BD484" s="5"/>
      <c r="BF484" s="5"/>
      <c r="BH484" s="5"/>
      <c r="BJ484" s="5"/>
      <c r="BL484" s="5"/>
      <c r="BN484" s="5"/>
      <c r="BP484" s="5"/>
      <c r="BR484" s="5"/>
    </row>
    <row r="485" spans="1:70" x14ac:dyDescent="0.25">
      <c r="A485" s="3">
        <v>43661</v>
      </c>
      <c r="B485" s="1">
        <f t="shared" si="53"/>
        <v>7</v>
      </c>
      <c r="C485" s="1">
        <f t="shared" si="54"/>
        <v>2019</v>
      </c>
      <c r="D485" s="4">
        <v>1.5236000000000001</v>
      </c>
      <c r="E485" s="4">
        <v>1.2036439999999999</v>
      </c>
      <c r="F485" s="5">
        <v>289.48399999999998</v>
      </c>
      <c r="H485" s="4">
        <v>5.5020000000000007</v>
      </c>
      <c r="I485" s="4">
        <v>144.16</v>
      </c>
      <c r="J485" s="4">
        <v>91.29</v>
      </c>
      <c r="L485" s="8">
        <f t="shared" si="55"/>
        <v>0.78999999999999992</v>
      </c>
      <c r="M485" s="8">
        <f t="shared" si="56"/>
        <v>0.18999999999999997</v>
      </c>
      <c r="N485" s="8">
        <f t="shared" si="47"/>
        <v>0.97999999999999987</v>
      </c>
      <c r="O485" s="8"/>
      <c r="P485" s="6">
        <f t="shared" si="50"/>
        <v>79.227200000000011</v>
      </c>
      <c r="Q485" s="6">
        <f t="shared" si="57"/>
        <v>25.278288264636391</v>
      </c>
      <c r="S485" s="4">
        <v>-5</v>
      </c>
      <c r="AZ485" s="5"/>
      <c r="BB485" s="5"/>
      <c r="BD485" s="5"/>
      <c r="BF485" s="5"/>
      <c r="BH485" s="5"/>
      <c r="BJ485" s="5"/>
      <c r="BL485" s="5"/>
      <c r="BN485" s="5"/>
      <c r="BP485" s="5"/>
      <c r="BR485" s="5"/>
    </row>
    <row r="486" spans="1:70" x14ac:dyDescent="0.25">
      <c r="A486" s="3">
        <v>43668</v>
      </c>
      <c r="B486" s="1">
        <f t="shared" si="53"/>
        <v>7</v>
      </c>
      <c r="C486" s="1">
        <f t="shared" si="54"/>
        <v>2019</v>
      </c>
      <c r="D486" s="4">
        <v>1.5056</v>
      </c>
      <c r="E486" s="4">
        <v>1.189424</v>
      </c>
      <c r="F486" s="5">
        <v>286.06400000000002</v>
      </c>
      <c r="H486" s="4">
        <v>5.5020000000000007</v>
      </c>
      <c r="I486" s="4">
        <v>145.94999999999999</v>
      </c>
      <c r="J486" s="4">
        <v>85.69</v>
      </c>
      <c r="L486" s="8">
        <f t="shared" si="55"/>
        <v>0.79</v>
      </c>
      <c r="M486" s="8">
        <f t="shared" si="56"/>
        <v>0.19000000000000003</v>
      </c>
      <c r="N486" s="8">
        <f t="shared" si="47"/>
        <v>0.98000000000000009</v>
      </c>
      <c r="O486" s="8"/>
      <c r="P486" s="6">
        <f t="shared" si="50"/>
        <v>78.291200000000003</v>
      </c>
      <c r="Q486" s="6">
        <f t="shared" si="57"/>
        <v>25.580499468650373</v>
      </c>
      <c r="S486" s="4">
        <v>-61</v>
      </c>
      <c r="AZ486" s="5"/>
      <c r="BB486" s="5"/>
      <c r="BD486" s="5"/>
      <c r="BF486" s="5"/>
      <c r="BH486" s="5"/>
      <c r="BJ486" s="5"/>
      <c r="BL486" s="5"/>
      <c r="BN486" s="5"/>
      <c r="BP486" s="5"/>
      <c r="BR486" s="5"/>
    </row>
    <row r="487" spans="1:70" x14ac:dyDescent="0.25">
      <c r="A487" s="3">
        <v>43675</v>
      </c>
      <c r="B487" s="1">
        <f t="shared" si="53"/>
        <v>7</v>
      </c>
      <c r="C487" s="1">
        <f t="shared" si="54"/>
        <v>2019</v>
      </c>
      <c r="D487" s="4">
        <v>1.5676000000000001</v>
      </c>
      <c r="E487" s="4">
        <v>1.2384040000000001</v>
      </c>
      <c r="F487" s="5">
        <v>297.84399999999999</v>
      </c>
      <c r="H487" s="4">
        <v>6.2160000000000002</v>
      </c>
      <c r="I487" s="4">
        <v>143.94999999999999</v>
      </c>
      <c r="J487" s="4">
        <v>85.69</v>
      </c>
      <c r="L487" s="8">
        <f t="shared" si="55"/>
        <v>0.79</v>
      </c>
      <c r="M487" s="8">
        <f t="shared" si="56"/>
        <v>0.18999999999999997</v>
      </c>
      <c r="N487" s="8">
        <f t="shared" ref="N487:N539" si="58">M487+L487</f>
        <v>0.98</v>
      </c>
      <c r="O487" s="8"/>
      <c r="P487" s="6">
        <f t="shared" si="50"/>
        <v>81.515200000000007</v>
      </c>
      <c r="Q487" s="6">
        <f t="shared" si="57"/>
        <v>27.757080887981626</v>
      </c>
      <c r="S487" s="4">
        <v>-21</v>
      </c>
      <c r="AZ487" s="5"/>
      <c r="BB487" s="5"/>
      <c r="BD487" s="5"/>
      <c r="BF487" s="5"/>
      <c r="BH487" s="5"/>
      <c r="BJ487" s="5"/>
      <c r="BL487" s="5"/>
      <c r="BN487" s="5"/>
      <c r="BP487" s="5"/>
      <c r="BR487" s="5"/>
    </row>
    <row r="488" spans="1:70" x14ac:dyDescent="0.25">
      <c r="A488" s="3">
        <v>43682</v>
      </c>
      <c r="B488" s="1">
        <f t="shared" si="53"/>
        <v>8</v>
      </c>
      <c r="C488" s="1">
        <f t="shared" si="54"/>
        <v>2019</v>
      </c>
      <c r="D488" s="4">
        <v>1.4925999999999999</v>
      </c>
      <c r="E488" s="4">
        <v>1.179154</v>
      </c>
      <c r="F488" s="5">
        <v>283.59399999999999</v>
      </c>
      <c r="H488" s="4">
        <v>6.7240000000000002</v>
      </c>
      <c r="I488" s="4">
        <v>138.82</v>
      </c>
      <c r="J488" s="4">
        <v>84.22</v>
      </c>
      <c r="L488" s="8">
        <f t="shared" si="55"/>
        <v>0.79</v>
      </c>
      <c r="M488" s="8">
        <f t="shared" si="56"/>
        <v>0.19000000000000003</v>
      </c>
      <c r="N488" s="8">
        <f t="shared" si="58"/>
        <v>0.98000000000000009</v>
      </c>
      <c r="O488" s="8"/>
      <c r="P488" s="6">
        <f t="shared" si="50"/>
        <v>77.615200000000002</v>
      </c>
      <c r="Q488" s="6">
        <f t="shared" si="57"/>
        <v>31.534235562106396</v>
      </c>
      <c r="S488" s="4">
        <v>65.95</v>
      </c>
      <c r="AZ488" s="5"/>
      <c r="BB488" s="5"/>
      <c r="BD488" s="5"/>
      <c r="BF488" s="5"/>
      <c r="BH488" s="5"/>
      <c r="BJ488" s="5"/>
      <c r="BL488" s="5"/>
      <c r="BN488" s="5"/>
      <c r="BP488" s="5"/>
      <c r="BR488" s="5"/>
    </row>
    <row r="489" spans="1:70" x14ac:dyDescent="0.25">
      <c r="A489" s="3">
        <v>43689</v>
      </c>
      <c r="B489" s="1">
        <f t="shared" si="53"/>
        <v>8</v>
      </c>
      <c r="C489" s="1">
        <f t="shared" si="54"/>
        <v>2019</v>
      </c>
      <c r="D489" s="7"/>
      <c r="E489" s="7"/>
      <c r="F489" s="7"/>
      <c r="H489" s="4">
        <v>6.6429999999999998</v>
      </c>
      <c r="I489" s="4">
        <v>137.63999999999999</v>
      </c>
      <c r="J489" s="4">
        <v>85.9</v>
      </c>
      <c r="L489" s="8"/>
      <c r="M489" s="8"/>
      <c r="N489" s="8"/>
      <c r="O489" s="8"/>
      <c r="P489" s="6">
        <f t="shared" si="50"/>
        <v>0</v>
      </c>
      <c r="Q489" s="6" t="str">
        <f t="shared" si="57"/>
        <v/>
      </c>
      <c r="S489" s="4">
        <v>155.25</v>
      </c>
      <c r="AZ489" s="5"/>
      <c r="BB489" s="5"/>
      <c r="BD489" s="5"/>
      <c r="BF489" s="5"/>
      <c r="BH489" s="5"/>
      <c r="BJ489" s="5"/>
      <c r="BL489" s="5"/>
      <c r="BN489" s="5"/>
      <c r="BP489" s="5"/>
      <c r="BR489" s="5"/>
    </row>
    <row r="490" spans="1:70" x14ac:dyDescent="0.25">
      <c r="A490" s="3">
        <v>43696</v>
      </c>
      <c r="B490" s="1">
        <f t="shared" si="53"/>
        <v>8</v>
      </c>
      <c r="C490" s="1">
        <f t="shared" si="54"/>
        <v>2019</v>
      </c>
      <c r="D490" s="4">
        <v>1.6576</v>
      </c>
      <c r="E490" s="4">
        <v>1.309504</v>
      </c>
      <c r="F490" s="5">
        <v>314.94400000000002</v>
      </c>
      <c r="H490" s="4">
        <v>6.1639999999999997</v>
      </c>
      <c r="I490" s="4">
        <v>133.16</v>
      </c>
      <c r="J490" s="4">
        <v>84.21</v>
      </c>
      <c r="L490" s="8">
        <f t="shared" ref="L490:L496" si="59">E490/D490</f>
        <v>0.79</v>
      </c>
      <c r="M490" s="8">
        <f t="shared" ref="M490:M496" si="60">F490/1000/D490</f>
        <v>0.19</v>
      </c>
      <c r="N490" s="8">
        <f t="shared" si="58"/>
        <v>0.98</v>
      </c>
      <c r="O490" s="8"/>
      <c r="P490" s="6">
        <f t="shared" si="50"/>
        <v>86.1952</v>
      </c>
      <c r="Q490" s="6">
        <f t="shared" si="57"/>
        <v>26.030405405405407</v>
      </c>
      <c r="S490" s="4">
        <v>191.2</v>
      </c>
      <c r="AZ490" s="5"/>
      <c r="BB490" s="5"/>
      <c r="BD490" s="5"/>
      <c r="BF490" s="5"/>
      <c r="BH490" s="5"/>
      <c r="BJ490" s="5"/>
      <c r="BL490" s="5"/>
      <c r="BN490" s="5"/>
      <c r="BP490" s="5"/>
      <c r="BR490" s="5"/>
    </row>
    <row r="491" spans="1:70" x14ac:dyDescent="0.25">
      <c r="A491" s="3">
        <v>43703</v>
      </c>
      <c r="B491" s="1">
        <f t="shared" si="53"/>
        <v>8</v>
      </c>
      <c r="C491" s="1">
        <f t="shared" si="54"/>
        <v>2019</v>
      </c>
      <c r="D491" s="4">
        <v>1.7048000000000001</v>
      </c>
      <c r="E491" s="4">
        <v>1.346792</v>
      </c>
      <c r="F491" s="5">
        <v>323.91199999999998</v>
      </c>
      <c r="H491" s="4">
        <v>6.625</v>
      </c>
      <c r="I491" s="4">
        <v>131.94999999999999</v>
      </c>
      <c r="J491" s="4">
        <v>73.17</v>
      </c>
      <c r="L491" s="8">
        <f t="shared" si="59"/>
        <v>0.78999999999999992</v>
      </c>
      <c r="M491" s="8">
        <f t="shared" si="60"/>
        <v>0.18999999999999997</v>
      </c>
      <c r="N491" s="8">
        <f t="shared" si="58"/>
        <v>0.97999999999999987</v>
      </c>
      <c r="O491" s="8"/>
      <c r="P491" s="6">
        <f t="shared" si="50"/>
        <v>88.649600000000007</v>
      </c>
      <c r="Q491" s="6">
        <f t="shared" si="57"/>
        <v>27.202604411074613</v>
      </c>
      <c r="S491" s="4">
        <v>265</v>
      </c>
      <c r="AZ491" s="5"/>
      <c r="BB491" s="5"/>
      <c r="BD491" s="5"/>
      <c r="BF491" s="5"/>
      <c r="BH491" s="5"/>
      <c r="BJ491" s="5"/>
      <c r="BL491" s="5"/>
      <c r="BN491" s="5"/>
      <c r="BP491" s="5"/>
      <c r="BR491" s="5"/>
    </row>
    <row r="492" spans="1:70" x14ac:dyDescent="0.25">
      <c r="A492" s="3">
        <v>43710</v>
      </c>
      <c r="B492" s="1">
        <f t="shared" si="53"/>
        <v>9</v>
      </c>
      <c r="C492" s="1">
        <f t="shared" si="54"/>
        <v>2019</v>
      </c>
      <c r="D492" s="4">
        <v>1.9004000000000001</v>
      </c>
      <c r="E492" s="4">
        <v>1.5013160000000001</v>
      </c>
      <c r="F492" s="5">
        <v>361.07600000000002</v>
      </c>
      <c r="H492" s="4">
        <v>6.4229999999999992</v>
      </c>
      <c r="I492" s="4">
        <v>133.63</v>
      </c>
      <c r="J492" s="4">
        <v>77.66</v>
      </c>
      <c r="L492" s="8">
        <f t="shared" si="59"/>
        <v>0.79</v>
      </c>
      <c r="M492" s="8">
        <f t="shared" si="60"/>
        <v>0.19</v>
      </c>
      <c r="N492" s="8">
        <f t="shared" si="58"/>
        <v>0.98</v>
      </c>
      <c r="O492" s="8"/>
      <c r="P492" s="6">
        <f t="shared" si="50"/>
        <v>98.820800000000006</v>
      </c>
      <c r="Q492" s="6">
        <f t="shared" si="57"/>
        <v>23.658703430856658</v>
      </c>
      <c r="S492" s="4">
        <v>255.5</v>
      </c>
      <c r="AZ492" s="5"/>
      <c r="BB492" s="5"/>
      <c r="BD492" s="5"/>
      <c r="BF492" s="5"/>
      <c r="BH492" s="5"/>
      <c r="BJ492" s="5"/>
      <c r="BL492" s="5"/>
      <c r="BN492" s="5"/>
      <c r="BP492" s="5"/>
      <c r="BR492" s="5"/>
    </row>
    <row r="493" spans="1:70" x14ac:dyDescent="0.25">
      <c r="A493" s="3">
        <v>43717</v>
      </c>
      <c r="B493" s="1">
        <f t="shared" si="53"/>
        <v>9</v>
      </c>
      <c r="C493" s="1">
        <f t="shared" si="54"/>
        <v>2019</v>
      </c>
      <c r="D493" s="4">
        <v>1.81315</v>
      </c>
      <c r="E493" s="4">
        <v>1.432388</v>
      </c>
      <c r="F493" s="5">
        <v>344.49799999999999</v>
      </c>
      <c r="H493" s="4">
        <v>6.5739999999999998</v>
      </c>
      <c r="I493" s="4">
        <v>133.18</v>
      </c>
      <c r="J493" s="4">
        <v>78.98</v>
      </c>
      <c r="L493" s="8">
        <f t="shared" si="59"/>
        <v>0.78999972423682541</v>
      </c>
      <c r="M493" s="8">
        <f t="shared" si="60"/>
        <v>0.1899997242368254</v>
      </c>
      <c r="N493" s="8">
        <f t="shared" si="58"/>
        <v>0.97999944847365084</v>
      </c>
      <c r="O493" s="8"/>
      <c r="P493" s="6">
        <f t="shared" si="50"/>
        <v>94.283799999999999</v>
      </c>
      <c r="Q493" s="6">
        <f t="shared" si="57"/>
        <v>25.38013953616634</v>
      </c>
      <c r="S493" s="4">
        <v>233.9</v>
      </c>
      <c r="AZ493" s="5"/>
      <c r="BB493" s="5"/>
      <c r="BD493" s="5"/>
      <c r="BF493" s="5"/>
      <c r="BH493" s="5"/>
      <c r="BJ493" s="5"/>
      <c r="BL493" s="5"/>
      <c r="BN493" s="5"/>
      <c r="BP493" s="5"/>
      <c r="BR493" s="5"/>
    </row>
    <row r="494" spans="1:70" x14ac:dyDescent="0.25">
      <c r="A494" s="3">
        <v>43724</v>
      </c>
      <c r="B494" s="1">
        <f t="shared" si="53"/>
        <v>9</v>
      </c>
      <c r="C494" s="1">
        <f t="shared" si="54"/>
        <v>2019</v>
      </c>
      <c r="D494" s="4">
        <v>1.7997000000000001</v>
      </c>
      <c r="E494" s="4">
        <v>1.4217630000000001</v>
      </c>
      <c r="F494" s="5">
        <v>341.94299999999998</v>
      </c>
      <c r="H494" s="4">
        <v>6.5250000000000004</v>
      </c>
      <c r="I494" s="4">
        <v>133.07</v>
      </c>
      <c r="J494" s="4">
        <v>78.98</v>
      </c>
      <c r="L494" s="8">
        <f t="shared" si="59"/>
        <v>0.79</v>
      </c>
      <c r="M494" s="8">
        <f t="shared" si="60"/>
        <v>0.19</v>
      </c>
      <c r="N494" s="8">
        <f t="shared" si="58"/>
        <v>0.98</v>
      </c>
      <c r="O494" s="8"/>
      <c r="P494" s="6">
        <f t="shared" si="50"/>
        <v>93.584400000000002</v>
      </c>
      <c r="Q494" s="6">
        <f t="shared" si="57"/>
        <v>25.379229871645276</v>
      </c>
      <c r="S494" s="4">
        <v>219.55</v>
      </c>
      <c r="AZ494" s="5"/>
      <c r="BB494" s="5"/>
      <c r="BD494" s="5"/>
      <c r="BF494" s="5"/>
      <c r="BH494" s="5"/>
      <c r="BJ494" s="5"/>
      <c r="BL494" s="5"/>
      <c r="BN494" s="5"/>
      <c r="BP494" s="5"/>
      <c r="BR494" s="5"/>
    </row>
    <row r="495" spans="1:70" x14ac:dyDescent="0.25">
      <c r="A495" s="3">
        <v>43731</v>
      </c>
      <c r="B495" s="1">
        <f t="shared" si="53"/>
        <v>9</v>
      </c>
      <c r="C495" s="1">
        <f t="shared" si="54"/>
        <v>2019</v>
      </c>
      <c r="D495" s="4">
        <v>1.829</v>
      </c>
      <c r="E495" s="4">
        <v>1.4449099999999999</v>
      </c>
      <c r="F495" s="5">
        <v>347.51</v>
      </c>
      <c r="H495" s="4">
        <v>5.8339999999999996</v>
      </c>
      <c r="I495" s="4">
        <v>134.80000000000001</v>
      </c>
      <c r="J495" s="4">
        <v>76.73</v>
      </c>
      <c r="L495" s="8">
        <f t="shared" si="59"/>
        <v>0.78999999999999992</v>
      </c>
      <c r="M495" s="8">
        <f t="shared" si="60"/>
        <v>0.19</v>
      </c>
      <c r="N495" s="8">
        <f t="shared" si="58"/>
        <v>0.98</v>
      </c>
      <c r="O495" s="8"/>
      <c r="P495" s="6">
        <f t="shared" si="50"/>
        <v>95.108000000000004</v>
      </c>
      <c r="Q495" s="6">
        <f t="shared" si="57"/>
        <v>22.328048113723344</v>
      </c>
      <c r="S495" s="4">
        <v>9.5500000000000007</v>
      </c>
      <c r="AZ495" s="5"/>
      <c r="BB495" s="5"/>
      <c r="BD495" s="5"/>
      <c r="BF495" s="5"/>
      <c r="BH495" s="5"/>
      <c r="BJ495" s="5"/>
      <c r="BL495" s="5"/>
      <c r="BN495" s="5"/>
      <c r="BP495" s="5"/>
      <c r="BR495" s="5"/>
    </row>
    <row r="496" spans="1:70" x14ac:dyDescent="0.25">
      <c r="A496" s="3">
        <v>43738</v>
      </c>
      <c r="B496" s="1">
        <f t="shared" si="53"/>
        <v>9</v>
      </c>
      <c r="C496" s="1">
        <f t="shared" si="54"/>
        <v>2019</v>
      </c>
      <c r="D496" s="4">
        <v>1.81515</v>
      </c>
      <c r="E496" s="4">
        <v>1.4339679999999999</v>
      </c>
      <c r="F496" s="5">
        <v>344.87799999999999</v>
      </c>
      <c r="H496" s="4">
        <v>5.226</v>
      </c>
      <c r="I496" s="4">
        <v>134.91</v>
      </c>
      <c r="J496" s="4">
        <v>67.430000000000007</v>
      </c>
      <c r="L496" s="8">
        <f t="shared" si="59"/>
        <v>0.78999972454067147</v>
      </c>
      <c r="M496" s="8">
        <f t="shared" si="60"/>
        <v>0.18999972454067154</v>
      </c>
      <c r="N496" s="8">
        <f t="shared" si="58"/>
        <v>0.97999944908134307</v>
      </c>
      <c r="O496" s="8"/>
      <c r="P496" s="6">
        <f t="shared" si="50"/>
        <v>94.387799999999999</v>
      </c>
      <c r="Q496" s="6">
        <f t="shared" si="57"/>
        <v>20.153706305264027</v>
      </c>
      <c r="S496" s="4">
        <v>-52.35</v>
      </c>
      <c r="AZ496" s="5"/>
      <c r="BB496" s="5"/>
      <c r="BD496" s="5"/>
      <c r="BF496" s="5"/>
      <c r="BH496" s="5"/>
      <c r="BJ496" s="5"/>
      <c r="BL496" s="5"/>
      <c r="BN496" s="5"/>
      <c r="BP496" s="5"/>
      <c r="BR496" s="5"/>
    </row>
    <row r="497" spans="1:70" x14ac:dyDescent="0.25">
      <c r="A497" s="3">
        <v>43745</v>
      </c>
      <c r="B497" s="1">
        <f t="shared" si="53"/>
        <v>10</v>
      </c>
      <c r="C497" s="1">
        <f t="shared" si="54"/>
        <v>2019</v>
      </c>
      <c r="D497" s="7"/>
      <c r="E497" s="7"/>
      <c r="F497" s="7"/>
      <c r="H497" s="4"/>
      <c r="I497" s="4"/>
      <c r="J497" s="4"/>
      <c r="L497" s="8"/>
      <c r="M497" s="8"/>
      <c r="N497" s="8"/>
      <c r="O497" s="8"/>
      <c r="P497" s="6">
        <f t="shared" si="50"/>
        <v>0</v>
      </c>
      <c r="Q497" s="6" t="str">
        <f t="shared" si="57"/>
        <v/>
      </c>
      <c r="S497" s="4">
        <v>31.45</v>
      </c>
      <c r="AZ497" s="5"/>
      <c r="BB497" s="5"/>
      <c r="BD497" s="5"/>
      <c r="BF497" s="5"/>
      <c r="BH497" s="5"/>
      <c r="BJ497" s="5"/>
      <c r="BL497" s="5"/>
      <c r="BN497" s="5"/>
      <c r="BP497" s="5"/>
      <c r="BR497" s="5"/>
    </row>
    <row r="498" spans="1:70" x14ac:dyDescent="0.25">
      <c r="A498" s="3">
        <v>43752</v>
      </c>
      <c r="B498" s="1">
        <f t="shared" si="53"/>
        <v>10</v>
      </c>
      <c r="C498" s="1">
        <f t="shared" si="54"/>
        <v>2019</v>
      </c>
      <c r="D498" s="4">
        <v>1.1556999999999999</v>
      </c>
      <c r="E498" s="4">
        <v>0.91300300000000001</v>
      </c>
      <c r="F498" s="5">
        <v>219.583</v>
      </c>
      <c r="H498" s="4">
        <v>5.2720000000000002</v>
      </c>
      <c r="I498" s="4">
        <v>135.36000000000001</v>
      </c>
      <c r="J498" s="4">
        <v>52.51</v>
      </c>
      <c r="L498" s="8">
        <f t="shared" ref="L498:L509" si="61">E498/D498</f>
        <v>0.79</v>
      </c>
      <c r="M498" s="8">
        <f t="shared" ref="M498:M509" si="62">F498/1000/D498</f>
        <v>0.19</v>
      </c>
      <c r="N498" s="8">
        <f t="shared" si="58"/>
        <v>0.98</v>
      </c>
      <c r="O498" s="8"/>
      <c r="P498" s="6">
        <f t="shared" si="50"/>
        <v>60.096399999999996</v>
      </c>
      <c r="Q498" s="6">
        <f t="shared" si="57"/>
        <v>31.932162325863114</v>
      </c>
      <c r="S498" s="4">
        <v>91.15</v>
      </c>
      <c r="AZ498" s="5"/>
      <c r="BB498" s="5"/>
      <c r="BD498" s="5"/>
      <c r="BF498" s="5"/>
      <c r="BH498" s="5"/>
      <c r="BJ498" s="5"/>
      <c r="BL498" s="5"/>
      <c r="BN498" s="5"/>
      <c r="BP498" s="5"/>
      <c r="BR498" s="5"/>
    </row>
    <row r="499" spans="1:70" x14ac:dyDescent="0.25">
      <c r="A499" s="3">
        <v>43759</v>
      </c>
      <c r="B499" s="1">
        <f t="shared" si="53"/>
        <v>10</v>
      </c>
      <c r="C499" s="1">
        <f t="shared" si="54"/>
        <v>2019</v>
      </c>
      <c r="D499" s="4">
        <v>1.7278</v>
      </c>
      <c r="E499" s="4">
        <v>1.364962</v>
      </c>
      <c r="F499" s="5">
        <v>328.28199999999998</v>
      </c>
      <c r="H499" s="4">
        <v>5.0489999999999995</v>
      </c>
      <c r="I499" s="4">
        <v>134.15</v>
      </c>
      <c r="J499" s="4">
        <v>57.38</v>
      </c>
      <c r="L499" s="8">
        <f t="shared" si="61"/>
        <v>0.79</v>
      </c>
      <c r="M499" s="8">
        <f t="shared" si="62"/>
        <v>0.18999999999999997</v>
      </c>
      <c r="N499" s="8">
        <f t="shared" si="58"/>
        <v>0.98</v>
      </c>
      <c r="O499" s="8"/>
      <c r="P499" s="6">
        <f t="shared" si="50"/>
        <v>89.845600000000005</v>
      </c>
      <c r="Q499" s="6">
        <f t="shared" si="57"/>
        <v>20.455492533858084</v>
      </c>
      <c r="S499" s="4">
        <v>164.75</v>
      </c>
      <c r="AZ499" s="5"/>
      <c r="BB499" s="5"/>
      <c r="BD499" s="5"/>
      <c r="BF499" s="5"/>
      <c r="BH499" s="5"/>
      <c r="BJ499" s="5"/>
      <c r="BL499" s="5"/>
      <c r="BN499" s="5"/>
      <c r="BP499" s="5"/>
      <c r="BR499" s="5"/>
    </row>
    <row r="500" spans="1:70" x14ac:dyDescent="0.25">
      <c r="A500" s="3">
        <v>43766</v>
      </c>
      <c r="B500" s="1">
        <f t="shared" si="53"/>
        <v>10</v>
      </c>
      <c r="C500" s="1">
        <f t="shared" si="54"/>
        <v>2019</v>
      </c>
      <c r="D500" s="4">
        <v>1.7499499999999999</v>
      </c>
      <c r="E500" s="4">
        <v>1.38246</v>
      </c>
      <c r="F500" s="5">
        <v>332.49</v>
      </c>
      <c r="H500" s="4">
        <v>4.6260000000000003</v>
      </c>
      <c r="I500" s="4">
        <v>131.44999999999999</v>
      </c>
      <c r="J500" s="4">
        <v>55.65</v>
      </c>
      <c r="L500" s="8">
        <f t="shared" si="61"/>
        <v>0.78999971427755089</v>
      </c>
      <c r="M500" s="8">
        <f t="shared" si="62"/>
        <v>0.1899997142775508</v>
      </c>
      <c r="N500" s="8">
        <f t="shared" si="58"/>
        <v>0.97999942855510169</v>
      </c>
      <c r="O500" s="8"/>
      <c r="P500" s="6">
        <f t="shared" si="50"/>
        <v>90.997399999999999</v>
      </c>
      <c r="Q500" s="6">
        <f t="shared" si="57"/>
        <v>18.504528700820025</v>
      </c>
      <c r="S500" s="4">
        <v>164.9</v>
      </c>
      <c r="AZ500" s="5"/>
      <c r="BB500" s="5"/>
      <c r="BD500" s="5"/>
      <c r="BF500" s="5"/>
      <c r="BH500" s="5"/>
      <c r="BJ500" s="5"/>
      <c r="BL500" s="5"/>
      <c r="BN500" s="5"/>
      <c r="BP500" s="5"/>
      <c r="BR500" s="5"/>
    </row>
    <row r="501" spans="1:70" x14ac:dyDescent="0.25">
      <c r="A501" s="3">
        <v>43773</v>
      </c>
      <c r="B501" s="1">
        <f t="shared" si="53"/>
        <v>11</v>
      </c>
      <c r="C501" s="1">
        <f t="shared" si="54"/>
        <v>2019</v>
      </c>
      <c r="D501" s="4">
        <v>1.5544500000000001</v>
      </c>
      <c r="E501" s="4">
        <v>1.2280150000000001</v>
      </c>
      <c r="F501" s="5">
        <v>295.34500000000003</v>
      </c>
      <c r="H501" s="4">
        <v>4.3739999999999997</v>
      </c>
      <c r="I501" s="4">
        <v>125.65</v>
      </c>
      <c r="J501" s="4">
        <v>48.12</v>
      </c>
      <c r="L501" s="8">
        <f t="shared" si="61"/>
        <v>0.78999967834282225</v>
      </c>
      <c r="M501" s="8">
        <f t="shared" si="62"/>
        <v>0.18999967834282222</v>
      </c>
      <c r="N501" s="8">
        <f t="shared" si="58"/>
        <v>0.97999935668564442</v>
      </c>
      <c r="O501" s="8"/>
      <c r="P501" s="6">
        <f t="shared" si="50"/>
        <v>80.831400000000002</v>
      </c>
      <c r="Q501" s="6">
        <f t="shared" si="57"/>
        <v>19.696998938531308</v>
      </c>
      <c r="S501" s="4">
        <v>269.10000000000002</v>
      </c>
      <c r="AZ501" s="5"/>
      <c r="BB501" s="5"/>
      <c r="BD501" s="5"/>
      <c r="BF501" s="5"/>
      <c r="BH501" s="5"/>
      <c r="BJ501" s="5"/>
      <c r="BL501" s="5"/>
      <c r="BN501" s="5"/>
      <c r="BP501" s="5"/>
      <c r="BR501" s="5"/>
    </row>
    <row r="502" spans="1:70" x14ac:dyDescent="0.25">
      <c r="A502" s="3">
        <v>43780</v>
      </c>
      <c r="B502" s="1">
        <f t="shared" si="53"/>
        <v>11</v>
      </c>
      <c r="C502" s="1">
        <f t="shared" si="54"/>
        <v>2019</v>
      </c>
      <c r="D502" s="4">
        <v>1.54745</v>
      </c>
      <c r="E502" s="4">
        <v>1.222485</v>
      </c>
      <c r="F502" s="5">
        <v>294.01499999999999</v>
      </c>
      <c r="H502" s="4">
        <v>4.532</v>
      </c>
      <c r="I502" s="4">
        <v>118.435</v>
      </c>
      <c r="J502" s="4">
        <v>41.21</v>
      </c>
      <c r="L502" s="8">
        <f t="shared" si="61"/>
        <v>0.78999967688778316</v>
      </c>
      <c r="M502" s="8">
        <f t="shared" si="62"/>
        <v>0.1899996768877831</v>
      </c>
      <c r="N502" s="8">
        <f t="shared" si="58"/>
        <v>0.97999935377556624</v>
      </c>
      <c r="O502" s="8"/>
      <c r="P502" s="6">
        <f t="shared" si="50"/>
        <v>80.467399999999998</v>
      </c>
      <c r="Q502" s="6">
        <f t="shared" si="57"/>
        <v>20.500823936153026</v>
      </c>
      <c r="S502" s="4">
        <v>248.7</v>
      </c>
      <c r="AZ502" s="5"/>
      <c r="BB502" s="5"/>
      <c r="BD502" s="5"/>
      <c r="BF502" s="5"/>
      <c r="BH502" s="5"/>
      <c r="BJ502" s="5"/>
      <c r="BL502" s="5"/>
      <c r="BN502" s="5"/>
      <c r="BP502" s="5"/>
      <c r="BR502" s="5"/>
    </row>
    <row r="503" spans="1:70" x14ac:dyDescent="0.25">
      <c r="A503" s="3">
        <v>43787</v>
      </c>
      <c r="B503" s="1">
        <f t="shared" si="53"/>
        <v>11</v>
      </c>
      <c r="C503" s="1">
        <f t="shared" si="54"/>
        <v>2019</v>
      </c>
      <c r="D503" s="4">
        <v>1.6351</v>
      </c>
      <c r="E503" s="4">
        <v>1.222485</v>
      </c>
      <c r="F503" s="5">
        <v>294.01499999999999</v>
      </c>
      <c r="H503" s="4">
        <v>4.4910000000000005</v>
      </c>
      <c r="I503" s="4">
        <v>113.5</v>
      </c>
      <c r="J503" s="4">
        <v>35.51</v>
      </c>
      <c r="L503" s="8">
        <f t="shared" si="61"/>
        <v>0.74765151978472266</v>
      </c>
      <c r="M503" s="8">
        <f t="shared" si="62"/>
        <v>0.17981469023301325</v>
      </c>
      <c r="N503" s="8">
        <f t="shared" si="58"/>
        <v>0.92746621001773588</v>
      </c>
      <c r="O503" s="8"/>
      <c r="P503" s="6">
        <f t="shared" si="50"/>
        <v>85.025199999999998</v>
      </c>
      <c r="Q503" s="6">
        <f t="shared" si="57"/>
        <v>19.226347012415147</v>
      </c>
      <c r="S503" s="4">
        <v>233.85</v>
      </c>
      <c r="AZ503" s="5"/>
      <c r="BB503" s="5"/>
      <c r="BD503" s="5"/>
      <c r="BF503" s="5"/>
      <c r="BH503" s="5"/>
      <c r="BJ503" s="5"/>
      <c r="BL503" s="5"/>
      <c r="BN503" s="5"/>
      <c r="BP503" s="5"/>
      <c r="BR503" s="5"/>
    </row>
    <row r="504" spans="1:70" x14ac:dyDescent="0.25">
      <c r="A504" s="3">
        <v>43794</v>
      </c>
      <c r="B504" s="1">
        <f t="shared" si="53"/>
        <v>11</v>
      </c>
      <c r="C504" s="1">
        <f t="shared" si="54"/>
        <v>2019</v>
      </c>
      <c r="D504" s="4">
        <v>1.7706999999999999</v>
      </c>
      <c r="E504" s="4">
        <v>1.3988529999999999</v>
      </c>
      <c r="F504" s="5">
        <v>336.43299999999999</v>
      </c>
      <c r="H504" s="4">
        <v>4.4050000000000002</v>
      </c>
      <c r="I504" s="4">
        <v>113.5</v>
      </c>
      <c r="J504" s="4">
        <v>37.130000000000003</v>
      </c>
      <c r="L504" s="8">
        <f t="shared" si="61"/>
        <v>0.78999999999999992</v>
      </c>
      <c r="M504" s="8">
        <f t="shared" si="62"/>
        <v>0.19</v>
      </c>
      <c r="N504" s="8">
        <f t="shared" si="58"/>
        <v>0.98</v>
      </c>
      <c r="O504" s="8"/>
      <c r="P504" s="6">
        <f t="shared" ref="P504:P539" si="63">D504*52</f>
        <v>92.076399999999992</v>
      </c>
      <c r="Q504" s="6">
        <f t="shared" si="57"/>
        <v>17.414017055401821</v>
      </c>
      <c r="S504" s="4">
        <v>214.85</v>
      </c>
      <c r="AZ504" s="5"/>
      <c r="BB504" s="5"/>
      <c r="BD504" s="5"/>
      <c r="BF504" s="5"/>
      <c r="BH504" s="5"/>
      <c r="BJ504" s="5"/>
      <c r="BL504" s="5"/>
      <c r="BN504" s="5"/>
      <c r="BP504" s="5"/>
      <c r="BR504" s="5"/>
    </row>
    <row r="505" spans="1:70" x14ac:dyDescent="0.25">
      <c r="A505" s="3">
        <v>43801</v>
      </c>
      <c r="B505" s="1">
        <f t="shared" si="53"/>
        <v>12</v>
      </c>
      <c r="C505" s="1">
        <f t="shared" si="54"/>
        <v>2019</v>
      </c>
      <c r="D505" s="4">
        <v>1.77535</v>
      </c>
      <c r="E505" s="4">
        <v>1.4025259999999999</v>
      </c>
      <c r="F505" s="5">
        <v>337.31599999999997</v>
      </c>
      <c r="H505" s="4">
        <v>4.3469999999999995</v>
      </c>
      <c r="I505" s="4">
        <v>106.09</v>
      </c>
      <c r="J505" s="4">
        <v>41.37</v>
      </c>
      <c r="L505" s="8">
        <f t="shared" si="61"/>
        <v>0.78999971836539273</v>
      </c>
      <c r="M505" s="8">
        <f t="shared" si="62"/>
        <v>0.1899997183653927</v>
      </c>
      <c r="N505" s="8">
        <f t="shared" si="58"/>
        <v>0.97999943673078538</v>
      </c>
      <c r="O505" s="8"/>
      <c r="P505" s="6">
        <f t="shared" si="63"/>
        <v>92.318200000000004</v>
      </c>
      <c r="Q505" s="6">
        <f t="shared" si="57"/>
        <v>17.139718928661953</v>
      </c>
      <c r="S505" s="4">
        <v>174.3</v>
      </c>
      <c r="AZ505" s="5"/>
      <c r="BB505" s="5"/>
      <c r="BD505" s="5"/>
      <c r="BF505" s="5"/>
      <c r="BH505" s="5"/>
      <c r="BJ505" s="5"/>
      <c r="BL505" s="5"/>
      <c r="BN505" s="5"/>
      <c r="BP505" s="5"/>
      <c r="BR505" s="5"/>
    </row>
    <row r="506" spans="1:70" x14ac:dyDescent="0.25">
      <c r="A506" s="3">
        <v>43808</v>
      </c>
      <c r="B506" s="1">
        <f t="shared" si="53"/>
        <v>12</v>
      </c>
      <c r="C506" s="1">
        <f t="shared" si="54"/>
        <v>2019</v>
      </c>
      <c r="D506" s="4">
        <v>1.6526000000000001</v>
      </c>
      <c r="E506" s="4">
        <v>1.3055540000000001</v>
      </c>
      <c r="F506" s="5">
        <v>313.99400000000003</v>
      </c>
      <c r="H506" s="4">
        <v>4.6930000000000005</v>
      </c>
      <c r="I506" s="4">
        <v>99.64</v>
      </c>
      <c r="J506" s="4">
        <v>42.29</v>
      </c>
      <c r="L506" s="8">
        <f t="shared" si="61"/>
        <v>0.79</v>
      </c>
      <c r="M506" s="8">
        <f t="shared" si="62"/>
        <v>0.19000000000000003</v>
      </c>
      <c r="N506" s="8">
        <f t="shared" si="58"/>
        <v>0.98000000000000009</v>
      </c>
      <c r="O506" s="8"/>
      <c r="P506" s="6">
        <f t="shared" si="63"/>
        <v>85.935200000000009</v>
      </c>
      <c r="Q506" s="6">
        <f t="shared" si="57"/>
        <v>19.878373472104563</v>
      </c>
      <c r="S506" s="4">
        <v>122.6</v>
      </c>
      <c r="AZ506" s="5"/>
      <c r="BB506" s="5"/>
      <c r="BD506" s="5"/>
      <c r="BF506" s="5"/>
      <c r="BH506" s="5"/>
      <c r="BJ506" s="5"/>
      <c r="BL506" s="5"/>
      <c r="BN506" s="5"/>
      <c r="BP506" s="5"/>
      <c r="BR506" s="5"/>
    </row>
    <row r="507" spans="1:70" x14ac:dyDescent="0.25">
      <c r="A507" s="3">
        <v>43815</v>
      </c>
      <c r="B507" s="1">
        <f t="shared" si="53"/>
        <v>12</v>
      </c>
      <c r="C507" s="1">
        <f t="shared" si="54"/>
        <v>2019</v>
      </c>
      <c r="D507" s="4">
        <v>1.667</v>
      </c>
      <c r="E507" s="4">
        <v>1.3169299999999999</v>
      </c>
      <c r="F507" s="5">
        <v>316.73</v>
      </c>
      <c r="H507" s="4">
        <v>4.7439999999999998</v>
      </c>
      <c r="I507" s="4">
        <v>95.04</v>
      </c>
      <c r="J507" s="4">
        <v>39.200000000000003</v>
      </c>
      <c r="L507" s="8">
        <f t="shared" si="61"/>
        <v>0.78999999999999992</v>
      </c>
      <c r="M507" s="8">
        <f t="shared" si="62"/>
        <v>0.19</v>
      </c>
      <c r="N507" s="8">
        <f t="shared" si="58"/>
        <v>0.98</v>
      </c>
      <c r="O507" s="8"/>
      <c r="P507" s="6">
        <f t="shared" si="63"/>
        <v>86.683999999999997</v>
      </c>
      <c r="Q507" s="6">
        <f t="shared" si="57"/>
        <v>19.920815836832631</v>
      </c>
      <c r="S507" s="4">
        <v>90.1</v>
      </c>
      <c r="AZ507" s="5"/>
      <c r="BB507" s="5"/>
      <c r="BD507" s="5"/>
      <c r="BF507" s="5"/>
      <c r="BH507" s="5"/>
      <c r="BJ507" s="5"/>
      <c r="BL507" s="5"/>
      <c r="BN507" s="5"/>
      <c r="BP507" s="5"/>
      <c r="BR507" s="5"/>
    </row>
    <row r="508" spans="1:70" x14ac:dyDescent="0.25">
      <c r="A508" s="3">
        <v>43822</v>
      </c>
      <c r="B508" s="1">
        <f t="shared" si="53"/>
        <v>12</v>
      </c>
      <c r="C508" s="1">
        <f t="shared" si="54"/>
        <v>2019</v>
      </c>
      <c r="D508" s="4">
        <v>1.9987999999999999</v>
      </c>
      <c r="E508" s="4">
        <v>1.4666349999999999</v>
      </c>
      <c r="F508" s="5">
        <v>352.73500000000001</v>
      </c>
      <c r="H508" s="4">
        <v>5.1679999999999993</v>
      </c>
      <c r="I508" s="4">
        <v>90.09</v>
      </c>
      <c r="J508" s="4">
        <v>43.58</v>
      </c>
      <c r="L508" s="8">
        <f t="shared" si="61"/>
        <v>0.73375775465279169</v>
      </c>
      <c r="M508" s="8">
        <f t="shared" si="62"/>
        <v>0.17647338403041826</v>
      </c>
      <c r="N508" s="8">
        <f t="shared" si="58"/>
        <v>0.91023113868320993</v>
      </c>
      <c r="O508" s="8"/>
      <c r="P508" s="6">
        <f t="shared" si="63"/>
        <v>103.93759999999999</v>
      </c>
      <c r="Q508" s="6">
        <f t="shared" si="57"/>
        <v>18.098859315589351</v>
      </c>
      <c r="S508" s="4">
        <v>110.35</v>
      </c>
      <c r="AZ508" s="5"/>
      <c r="BB508" s="5"/>
      <c r="BD508" s="5"/>
      <c r="BF508" s="5"/>
      <c r="BH508" s="5"/>
      <c r="BJ508" s="5"/>
      <c r="BL508" s="5"/>
      <c r="BN508" s="5"/>
      <c r="BP508" s="5"/>
      <c r="BR508" s="5"/>
    </row>
    <row r="509" spans="1:70" x14ac:dyDescent="0.25">
      <c r="A509" s="3">
        <v>43829</v>
      </c>
      <c r="B509" s="1">
        <f t="shared" si="53"/>
        <v>12</v>
      </c>
      <c r="C509" s="1">
        <f t="shared" si="54"/>
        <v>2019</v>
      </c>
      <c r="D509" s="4">
        <v>1.9987999999999999</v>
      </c>
      <c r="E509" s="4">
        <v>1.580395</v>
      </c>
      <c r="F509" s="5">
        <v>379.77199999999999</v>
      </c>
      <c r="H509" s="4">
        <v>4.7439999999999998</v>
      </c>
      <c r="I509" s="4">
        <v>90.09</v>
      </c>
      <c r="J509" s="4">
        <v>43.58</v>
      </c>
      <c r="L509" s="8">
        <f t="shared" si="61"/>
        <v>0.79067190314188518</v>
      </c>
      <c r="M509" s="8">
        <f t="shared" si="62"/>
        <v>0.19</v>
      </c>
      <c r="N509" s="8">
        <f t="shared" si="58"/>
        <v>0.98067190314188513</v>
      </c>
      <c r="O509" s="8"/>
      <c r="P509" s="6">
        <f t="shared" si="63"/>
        <v>103.93759999999999</v>
      </c>
      <c r="Q509" s="6">
        <f t="shared" si="57"/>
        <v>16.613968381028617</v>
      </c>
      <c r="S509" s="4">
        <v>178.55</v>
      </c>
      <c r="AZ509" s="5"/>
      <c r="BB509" s="5"/>
      <c r="BD509" s="5"/>
      <c r="BF509" s="5"/>
      <c r="BH509" s="5"/>
      <c r="BJ509" s="5"/>
      <c r="BL509" s="5"/>
      <c r="BN509" s="5"/>
      <c r="BP509" s="5"/>
      <c r="BR509" s="5"/>
    </row>
    <row r="510" spans="1:70" x14ac:dyDescent="0.25">
      <c r="A510" s="3">
        <v>43836</v>
      </c>
      <c r="B510" s="1">
        <f t="shared" si="53"/>
        <v>1</v>
      </c>
      <c r="C510" s="1">
        <f t="shared" si="54"/>
        <v>2020</v>
      </c>
      <c r="D510" s="10">
        <f>E510/L510</f>
        <v>2.0585986668746146</v>
      </c>
      <c r="E510" s="4">
        <v>1.6116790000000001</v>
      </c>
      <c r="F510" s="11">
        <f>D510*M510*1000</f>
        <v>391.13374670617679</v>
      </c>
      <c r="H510" s="4">
        <v>5.5712000000000002</v>
      </c>
      <c r="I510" s="4">
        <v>91.67</v>
      </c>
      <c r="J510" s="4">
        <v>52.03</v>
      </c>
      <c r="L510" s="12">
        <f>AVERAGE(L511,L509)</f>
        <v>0.78290102191063182</v>
      </c>
      <c r="M510" s="12">
        <v>0.19</v>
      </c>
      <c r="N510" s="8">
        <f t="shared" si="58"/>
        <v>0.97290102191063177</v>
      </c>
      <c r="O510" s="8"/>
      <c r="P510" s="6">
        <f t="shared" si="63"/>
        <v>107.04713067747996</v>
      </c>
      <c r="Q510" s="6">
        <f t="shared" si="57"/>
        <v>18.944149060004868</v>
      </c>
      <c r="S510" s="4">
        <v>188.45</v>
      </c>
      <c r="AZ510" s="5"/>
      <c r="BB510" s="5"/>
      <c r="BD510" s="5"/>
      <c r="BF510" s="5"/>
      <c r="BH510" s="5"/>
      <c r="BJ510" s="5"/>
      <c r="BL510" s="5"/>
      <c r="BN510" s="5"/>
      <c r="BP510" s="5"/>
      <c r="BR510" s="5"/>
    </row>
    <row r="511" spans="1:70" x14ac:dyDescent="0.25">
      <c r="A511" s="3">
        <v>43843</v>
      </c>
      <c r="B511" s="1">
        <f t="shared" si="53"/>
        <v>1</v>
      </c>
      <c r="C511" s="1">
        <f t="shared" si="54"/>
        <v>2020</v>
      </c>
      <c r="D511" s="4">
        <v>2.0400999999999998</v>
      </c>
      <c r="E511" s="4">
        <v>1.5813429999999999</v>
      </c>
      <c r="F511" s="5">
        <v>387.61900000000003</v>
      </c>
      <c r="H511" s="4">
        <v>5.3812999999999995</v>
      </c>
      <c r="I511" s="4">
        <v>92.45</v>
      </c>
      <c r="J511" s="4">
        <v>58.94</v>
      </c>
      <c r="L511" s="8">
        <f t="shared" ref="L511:L539" si="64">E511/D511</f>
        <v>0.77513014067937847</v>
      </c>
      <c r="M511" s="8">
        <f t="shared" ref="M511:M539" si="65">F511/1000/D511</f>
        <v>0.19000000000000003</v>
      </c>
      <c r="N511" s="8">
        <f t="shared" si="58"/>
        <v>0.96513014067937852</v>
      </c>
      <c r="O511" s="8"/>
      <c r="P511" s="6">
        <f t="shared" si="63"/>
        <v>106.08519999999999</v>
      </c>
      <c r="Q511" s="6">
        <f t="shared" si="57"/>
        <v>18.464339983334149</v>
      </c>
      <c r="S511" s="4">
        <v>140.94999999999999</v>
      </c>
      <c r="AZ511" s="5"/>
      <c r="BB511" s="5"/>
      <c r="BD511" s="5"/>
      <c r="BF511" s="5"/>
      <c r="BH511" s="5"/>
      <c r="BJ511" s="5"/>
      <c r="BL511" s="5"/>
      <c r="BN511" s="5"/>
      <c r="BP511" s="5"/>
      <c r="BR511" s="5"/>
    </row>
    <row r="512" spans="1:70" x14ac:dyDescent="0.25">
      <c r="A512" s="3">
        <v>43850</v>
      </c>
      <c r="B512" s="1">
        <f t="shared" si="53"/>
        <v>1</v>
      </c>
      <c r="C512" s="1">
        <f t="shared" si="54"/>
        <v>2020</v>
      </c>
      <c r="D512" s="4">
        <v>2.0017</v>
      </c>
      <c r="E512" s="4">
        <f>D512*0.79</f>
        <v>1.5813430000000002</v>
      </c>
      <c r="F512" s="5">
        <v>380.32299999999998</v>
      </c>
      <c r="H512" s="4">
        <v>5.2003999999999992</v>
      </c>
      <c r="I512" s="4">
        <v>87.75</v>
      </c>
      <c r="J512" s="4">
        <v>59.37</v>
      </c>
      <c r="L512" s="8">
        <f t="shared" si="64"/>
        <v>0.79</v>
      </c>
      <c r="M512" s="8">
        <f t="shared" si="65"/>
        <v>0.18999999999999997</v>
      </c>
      <c r="N512" s="8">
        <f t="shared" si="58"/>
        <v>0.98</v>
      </c>
      <c r="O512" s="8"/>
      <c r="P512" s="6">
        <f t="shared" si="63"/>
        <v>104.08840000000001</v>
      </c>
      <c r="Q512" s="6">
        <f t="shared" si="57"/>
        <v>18.185941949343057</v>
      </c>
      <c r="S512" s="4">
        <v>120.05</v>
      </c>
      <c r="AZ512" s="5"/>
      <c r="BB512" s="5"/>
      <c r="BD512" s="5"/>
      <c r="BF512" s="5"/>
      <c r="BH512" s="5"/>
      <c r="BJ512" s="5"/>
      <c r="BL512" s="5"/>
      <c r="BN512" s="5"/>
      <c r="BP512" s="5"/>
      <c r="BR512" s="5"/>
    </row>
    <row r="513" spans="1:70" x14ac:dyDescent="0.25">
      <c r="A513" s="3">
        <v>43857</v>
      </c>
      <c r="B513" s="1">
        <f t="shared" si="53"/>
        <v>1</v>
      </c>
      <c r="C513" s="1">
        <f t="shared" si="54"/>
        <v>2020</v>
      </c>
      <c r="D513" s="4">
        <v>0.94199999999999995</v>
      </c>
      <c r="E513" s="4">
        <v>0.74417999999999995</v>
      </c>
      <c r="F513" s="5">
        <v>178.98</v>
      </c>
      <c r="H513" s="4"/>
      <c r="I513" s="7">
        <f>(($I$515-$I$512)/3)+I512</f>
        <v>88.396666666666661</v>
      </c>
      <c r="J513" s="4"/>
      <c r="L513" s="8">
        <f t="shared" si="64"/>
        <v>0.79</v>
      </c>
      <c r="M513" s="8">
        <f t="shared" si="65"/>
        <v>0.19</v>
      </c>
      <c r="N513" s="8">
        <f t="shared" si="58"/>
        <v>0.98</v>
      </c>
      <c r="O513" s="8"/>
      <c r="P513" s="6">
        <f t="shared" si="63"/>
        <v>48.983999999999995</v>
      </c>
      <c r="Q513" s="6" t="str">
        <f t="shared" si="57"/>
        <v/>
      </c>
      <c r="S513" s="4"/>
      <c r="AZ513" s="5"/>
      <c r="BB513" s="5"/>
      <c r="BD513" s="5"/>
      <c r="BF513" s="5"/>
      <c r="BH513" s="5"/>
      <c r="BJ513" s="5"/>
      <c r="BL513" s="5"/>
      <c r="BN513" s="5"/>
      <c r="BP513" s="5"/>
      <c r="BR513" s="5"/>
    </row>
    <row r="514" spans="1:70" x14ac:dyDescent="0.25">
      <c r="A514" s="3">
        <v>43864</v>
      </c>
      <c r="B514" s="1">
        <f t="shared" ref="B514:B552" si="66">MONTH(A514)</f>
        <v>2</v>
      </c>
      <c r="C514" s="1">
        <f t="shared" ref="C514:C551" si="67">YEAR(A514)</f>
        <v>2020</v>
      </c>
      <c r="D514" s="4">
        <v>5.2699999999999997E-2</v>
      </c>
      <c r="E514" s="4">
        <v>4.1633000000000003E-2</v>
      </c>
      <c r="F514" s="5">
        <v>10.013</v>
      </c>
      <c r="H514" s="4"/>
      <c r="I514" s="7">
        <f>(($I$515-$I$512)/3)+I513</f>
        <v>89.043333333333322</v>
      </c>
      <c r="J514" s="4"/>
      <c r="L514" s="8">
        <f t="shared" si="64"/>
        <v>0.79000000000000015</v>
      </c>
      <c r="M514" s="8">
        <f t="shared" si="65"/>
        <v>0.19</v>
      </c>
      <c r="N514" s="8">
        <f t="shared" si="58"/>
        <v>0.9800000000000002</v>
      </c>
      <c r="O514" s="8"/>
      <c r="P514" s="6">
        <f t="shared" si="63"/>
        <v>2.7403999999999997</v>
      </c>
      <c r="Q514" s="6" t="str">
        <f t="shared" si="57"/>
        <v/>
      </c>
      <c r="S514" s="4">
        <v>106.7</v>
      </c>
      <c r="AZ514" s="5"/>
      <c r="BB514" s="5"/>
      <c r="BD514" s="5"/>
      <c r="BF514" s="5"/>
      <c r="BH514" s="5"/>
      <c r="BJ514" s="5"/>
      <c r="BL514" s="5"/>
      <c r="BN514" s="5"/>
      <c r="BP514" s="5"/>
      <c r="BR514" s="5"/>
    </row>
    <row r="515" spans="1:70" x14ac:dyDescent="0.25">
      <c r="A515" s="3">
        <v>43871</v>
      </c>
      <c r="B515" s="1">
        <f t="shared" si="66"/>
        <v>2</v>
      </c>
      <c r="C515" s="1">
        <f t="shared" si="67"/>
        <v>2020</v>
      </c>
      <c r="D515" s="4">
        <v>0.78749999999999998</v>
      </c>
      <c r="E515" s="4">
        <v>0.62212500000000004</v>
      </c>
      <c r="F515" s="5">
        <v>149.625</v>
      </c>
      <c r="H515" s="4">
        <v>6.1738999999999997</v>
      </c>
      <c r="I515" s="4">
        <v>89.69</v>
      </c>
      <c r="J515" s="4">
        <v>32.31</v>
      </c>
      <c r="L515" s="8">
        <f t="shared" si="64"/>
        <v>0.79</v>
      </c>
      <c r="M515" s="8">
        <f t="shared" si="65"/>
        <v>0.19</v>
      </c>
      <c r="N515" s="8">
        <f t="shared" si="58"/>
        <v>0.98</v>
      </c>
      <c r="O515" s="8"/>
      <c r="P515" s="6">
        <f t="shared" si="63"/>
        <v>40.949999999999996</v>
      </c>
      <c r="Q515" s="6">
        <f t="shared" si="57"/>
        <v>54.879111111111108</v>
      </c>
      <c r="S515" s="4">
        <v>51.6</v>
      </c>
      <c r="AZ515" s="5"/>
      <c r="BB515" s="5"/>
      <c r="BD515" s="5"/>
      <c r="BF515" s="5"/>
      <c r="BH515" s="5"/>
      <c r="BJ515" s="5"/>
      <c r="BL515" s="5"/>
      <c r="BN515" s="5"/>
      <c r="BP515" s="5"/>
      <c r="BR515" s="5"/>
    </row>
    <row r="516" spans="1:70" x14ac:dyDescent="0.25">
      <c r="A516" s="3">
        <v>43878</v>
      </c>
      <c r="B516" s="1">
        <f t="shared" si="66"/>
        <v>2</v>
      </c>
      <c r="C516" s="1">
        <f t="shared" si="67"/>
        <v>2020</v>
      </c>
      <c r="D516" s="4">
        <v>1.5755999999999999</v>
      </c>
      <c r="E516" s="4">
        <v>1.2447239999999999</v>
      </c>
      <c r="F516" s="5">
        <v>299.36399999999998</v>
      </c>
      <c r="H516" s="4">
        <v>6.3426999999999998</v>
      </c>
      <c r="I516" s="4">
        <v>102.76</v>
      </c>
      <c r="J516" s="4">
        <v>34.65</v>
      </c>
      <c r="L516" s="8">
        <f t="shared" si="64"/>
        <v>0.79</v>
      </c>
      <c r="M516" s="8">
        <f t="shared" si="65"/>
        <v>0.19</v>
      </c>
      <c r="N516" s="8">
        <f t="shared" si="58"/>
        <v>0.98</v>
      </c>
      <c r="O516" s="8"/>
      <c r="P516" s="6">
        <f t="shared" si="63"/>
        <v>81.93119999999999</v>
      </c>
      <c r="Q516" s="6">
        <f t="shared" si="57"/>
        <v>28.17904290429043</v>
      </c>
      <c r="S516" s="4">
        <v>128.30000000000001</v>
      </c>
      <c r="AZ516" s="5"/>
      <c r="BB516" s="5"/>
      <c r="BD516" s="5"/>
      <c r="BF516" s="5"/>
      <c r="BH516" s="5"/>
      <c r="BJ516" s="5"/>
      <c r="BL516" s="5"/>
      <c r="BN516" s="5"/>
      <c r="BP516" s="5"/>
      <c r="BR516" s="5"/>
    </row>
    <row r="517" spans="1:70" x14ac:dyDescent="0.25">
      <c r="A517" s="3">
        <v>43885</v>
      </c>
      <c r="B517" s="1">
        <f t="shared" si="66"/>
        <v>2</v>
      </c>
      <c r="C517" s="1">
        <f t="shared" si="67"/>
        <v>2020</v>
      </c>
      <c r="D517" s="4">
        <v>1.8088</v>
      </c>
      <c r="E517" s="4">
        <v>1.428952</v>
      </c>
      <c r="F517" s="5">
        <v>343.67200000000003</v>
      </c>
      <c r="H517" s="4">
        <v>5.6715</v>
      </c>
      <c r="I517" s="4">
        <v>119.78</v>
      </c>
      <c r="J517" s="4">
        <v>36.57</v>
      </c>
      <c r="L517" s="8">
        <f t="shared" si="64"/>
        <v>0.79</v>
      </c>
      <c r="M517" s="8">
        <f t="shared" si="65"/>
        <v>0.19000000000000003</v>
      </c>
      <c r="N517" s="8">
        <f t="shared" si="58"/>
        <v>0.98000000000000009</v>
      </c>
      <c r="O517" s="8"/>
      <c r="P517" s="6">
        <f t="shared" si="63"/>
        <v>94.057599999999994</v>
      </c>
      <c r="Q517" s="6">
        <f t="shared" si="57"/>
        <v>21.948529411764703</v>
      </c>
      <c r="S517" s="4">
        <v>96</v>
      </c>
      <c r="AZ517" s="5"/>
      <c r="BB517" s="5"/>
      <c r="BD517" s="5"/>
      <c r="BF517" s="5"/>
      <c r="BH517" s="5"/>
      <c r="BJ517" s="5"/>
      <c r="BL517" s="5"/>
      <c r="BN517" s="5"/>
      <c r="BP517" s="5"/>
      <c r="BR517" s="5"/>
    </row>
    <row r="518" spans="1:70" x14ac:dyDescent="0.25">
      <c r="A518" s="3">
        <v>43892</v>
      </c>
      <c r="B518" s="1">
        <f t="shared" si="66"/>
        <v>3</v>
      </c>
      <c r="C518" s="1">
        <f t="shared" si="67"/>
        <v>2020</v>
      </c>
      <c r="D518" s="4">
        <v>1.9272</v>
      </c>
      <c r="E518" s="4">
        <v>1.5224880000000001</v>
      </c>
      <c r="F518" s="5">
        <v>366.16800000000001</v>
      </c>
      <c r="H518" s="4">
        <v>4.9161999999999999</v>
      </c>
      <c r="I518" s="4">
        <v>134.41999999999999</v>
      </c>
      <c r="J518" s="4">
        <v>47.14</v>
      </c>
      <c r="L518" s="8">
        <f t="shared" si="64"/>
        <v>0.79</v>
      </c>
      <c r="M518" s="8">
        <f t="shared" si="65"/>
        <v>0.19</v>
      </c>
      <c r="N518" s="8">
        <f t="shared" si="58"/>
        <v>0.98</v>
      </c>
      <c r="O518" s="8"/>
      <c r="P518" s="6">
        <f t="shared" si="63"/>
        <v>100.2144</v>
      </c>
      <c r="Q518" s="6">
        <f t="shared" si="57"/>
        <v>17.856683271066832</v>
      </c>
      <c r="S518" s="4">
        <v>123.95</v>
      </c>
      <c r="AZ518" s="5"/>
      <c r="BB518" s="5"/>
      <c r="BD518" s="5"/>
      <c r="BF518" s="5"/>
      <c r="BH518" s="5"/>
      <c r="BJ518" s="5"/>
      <c r="BL518" s="5"/>
      <c r="BN518" s="5"/>
      <c r="BP518" s="5"/>
      <c r="BR518" s="5"/>
    </row>
    <row r="519" spans="1:70" x14ac:dyDescent="0.25">
      <c r="A519" s="3">
        <v>43899</v>
      </c>
      <c r="B519" s="1">
        <f t="shared" si="66"/>
        <v>3</v>
      </c>
      <c r="C519" s="1">
        <f t="shared" si="67"/>
        <v>2020</v>
      </c>
      <c r="D519" s="4">
        <v>1.6593</v>
      </c>
      <c r="E519" s="4">
        <v>1.3108470000000001</v>
      </c>
      <c r="F519" s="5">
        <v>315.267</v>
      </c>
      <c r="H519" s="4">
        <v>3.9169</v>
      </c>
      <c r="I519" s="4">
        <v>139.96</v>
      </c>
      <c r="J519" s="4">
        <v>51.24</v>
      </c>
      <c r="L519" s="8">
        <f t="shared" si="64"/>
        <v>0.79</v>
      </c>
      <c r="M519" s="8">
        <f t="shared" si="65"/>
        <v>0.19</v>
      </c>
      <c r="N519" s="8">
        <f t="shared" si="58"/>
        <v>0.98</v>
      </c>
      <c r="O519" s="8"/>
      <c r="P519" s="6">
        <f t="shared" si="63"/>
        <v>86.283600000000007</v>
      </c>
      <c r="Q519" s="6">
        <f t="shared" si="57"/>
        <v>16.524016151389141</v>
      </c>
      <c r="S519" s="4">
        <v>104.7</v>
      </c>
      <c r="AZ519" s="5"/>
      <c r="BB519" s="5"/>
      <c r="BD519" s="5"/>
      <c r="BF519" s="5"/>
      <c r="BH519" s="5"/>
      <c r="BJ519" s="5"/>
      <c r="BL519" s="5"/>
      <c r="BN519" s="5"/>
      <c r="BP519" s="5"/>
      <c r="BR519" s="5"/>
    </row>
    <row r="520" spans="1:70" x14ac:dyDescent="0.25">
      <c r="A520" s="3">
        <v>43906</v>
      </c>
      <c r="B520" s="1">
        <f t="shared" si="66"/>
        <v>3</v>
      </c>
      <c r="C520" s="1">
        <f t="shared" si="67"/>
        <v>2020</v>
      </c>
      <c r="D520" s="4">
        <v>1.4711000000000001</v>
      </c>
      <c r="E520" s="4">
        <v>1.162169</v>
      </c>
      <c r="F520" s="5">
        <v>279.50900000000001</v>
      </c>
      <c r="H520" s="4">
        <v>3.3689</v>
      </c>
      <c r="I520" s="4">
        <v>139.21</v>
      </c>
      <c r="J520" s="4">
        <v>44.05</v>
      </c>
      <c r="L520" s="8">
        <f t="shared" si="64"/>
        <v>0.78999999999999992</v>
      </c>
      <c r="M520" s="8">
        <f t="shared" si="65"/>
        <v>0.19</v>
      </c>
      <c r="N520" s="8">
        <f t="shared" si="58"/>
        <v>0.98</v>
      </c>
      <c r="O520" s="8"/>
      <c r="P520" s="6">
        <f t="shared" si="63"/>
        <v>76.497200000000007</v>
      </c>
      <c r="Q520" s="6">
        <f t="shared" si="57"/>
        <v>16.030385425871795</v>
      </c>
      <c r="S520" s="4">
        <v>176.4</v>
      </c>
      <c r="AZ520" s="5"/>
      <c r="BB520" s="5"/>
      <c r="BD520" s="5"/>
      <c r="BF520" s="5"/>
      <c r="BH520" s="5"/>
      <c r="BJ520" s="5"/>
      <c r="BL520" s="5"/>
      <c r="BN520" s="5"/>
      <c r="BP520" s="5"/>
      <c r="BR520" s="5"/>
    </row>
    <row r="521" spans="1:70" x14ac:dyDescent="0.25">
      <c r="A521" s="3">
        <v>43913</v>
      </c>
      <c r="B521" s="1">
        <f t="shared" si="66"/>
        <v>3</v>
      </c>
      <c r="C521" s="1">
        <f t="shared" si="67"/>
        <v>2020</v>
      </c>
      <c r="D521" s="4">
        <v>1.4761</v>
      </c>
      <c r="E521" s="4">
        <v>1.0954140000000001</v>
      </c>
      <c r="F521" s="5">
        <v>263.45400000000001</v>
      </c>
      <c r="H521" s="4">
        <v>3.5470999999999999</v>
      </c>
      <c r="I521" s="4">
        <v>125.63</v>
      </c>
      <c r="J521" s="4">
        <v>27.93</v>
      </c>
      <c r="L521" s="8">
        <f t="shared" si="64"/>
        <v>0.7421001287175667</v>
      </c>
      <c r="M521" s="8">
        <f t="shared" si="65"/>
        <v>0.17847977779283247</v>
      </c>
      <c r="N521" s="8">
        <f t="shared" si="58"/>
        <v>0.92057990651039923</v>
      </c>
      <c r="O521" s="8"/>
      <c r="P521" s="6">
        <f t="shared" si="63"/>
        <v>76.757199999999997</v>
      </c>
      <c r="Q521" s="6">
        <f t="shared" si="57"/>
        <v>16.821150328568525</v>
      </c>
      <c r="S521" s="4">
        <v>374.15</v>
      </c>
      <c r="AZ521" s="5"/>
      <c r="BB521" s="5"/>
      <c r="BD521" s="5"/>
      <c r="BF521" s="5"/>
      <c r="BH521" s="5"/>
      <c r="BJ521" s="5"/>
      <c r="BL521" s="5"/>
      <c r="BN521" s="5"/>
      <c r="BP521" s="5"/>
      <c r="BR521" s="5"/>
    </row>
    <row r="522" spans="1:70" x14ac:dyDescent="0.25">
      <c r="A522" s="3">
        <v>43920</v>
      </c>
      <c r="B522" s="1">
        <f t="shared" si="66"/>
        <v>3</v>
      </c>
      <c r="C522" s="1">
        <f t="shared" si="67"/>
        <v>2020</v>
      </c>
      <c r="D522" s="4">
        <v>1.4383999999999999</v>
      </c>
      <c r="E522" s="4">
        <v>1.1661189999999999</v>
      </c>
      <c r="F522" s="5">
        <v>273.29599999999999</v>
      </c>
      <c r="H522" s="4">
        <v>3.4898000000000002</v>
      </c>
      <c r="I522" s="4">
        <v>115.13</v>
      </c>
      <c r="J522" s="4">
        <v>17.7</v>
      </c>
      <c r="L522" s="8">
        <f t="shared" si="64"/>
        <v>0.81070564516129029</v>
      </c>
      <c r="M522" s="8">
        <f t="shared" si="65"/>
        <v>0.19</v>
      </c>
      <c r="N522" s="8">
        <f t="shared" si="58"/>
        <v>1.0007056451612903</v>
      </c>
      <c r="O522" s="8"/>
      <c r="P522" s="6">
        <f t="shared" si="63"/>
        <v>74.79679999999999</v>
      </c>
      <c r="Q522" s="6">
        <f t="shared" si="57"/>
        <v>16.983175750834263</v>
      </c>
      <c r="S522" s="4">
        <v>414.7</v>
      </c>
      <c r="AZ522" s="5"/>
      <c r="BB522" s="5"/>
      <c r="BD522" s="5"/>
      <c r="BF522" s="5"/>
      <c r="BH522" s="5"/>
      <c r="BJ522" s="5"/>
      <c r="BL522" s="5"/>
      <c r="BN522" s="5"/>
      <c r="BP522" s="5"/>
      <c r="BR522" s="5"/>
    </row>
    <row r="523" spans="1:70" x14ac:dyDescent="0.25">
      <c r="A523" s="3">
        <v>43927</v>
      </c>
      <c r="B523" s="1">
        <f t="shared" si="66"/>
        <v>4</v>
      </c>
      <c r="C523" s="1">
        <f t="shared" si="67"/>
        <v>2020</v>
      </c>
      <c r="D523" s="4">
        <v>1.3566</v>
      </c>
      <c r="E523" s="4">
        <v>1.136336</v>
      </c>
      <c r="F523" s="5">
        <v>257.75400000000002</v>
      </c>
      <c r="H523" s="4">
        <v>3.6738999999999997</v>
      </c>
      <c r="I523" s="4">
        <v>102.77</v>
      </c>
      <c r="J523" s="4">
        <v>17.41</v>
      </c>
      <c r="L523" s="8">
        <f t="shared" si="64"/>
        <v>0.83763526463216864</v>
      </c>
      <c r="M523" s="8">
        <f t="shared" si="65"/>
        <v>0.19000000000000003</v>
      </c>
      <c r="N523" s="8">
        <f t="shared" si="58"/>
        <v>1.0276352646321687</v>
      </c>
      <c r="O523" s="8"/>
      <c r="P523" s="6">
        <f t="shared" si="63"/>
        <v>70.543199999999999</v>
      </c>
      <c r="Q523" s="6">
        <f t="shared" si="57"/>
        <v>18.957172342621259</v>
      </c>
      <c r="S523" s="4">
        <v>425.75</v>
      </c>
      <c r="AZ523" s="5"/>
      <c r="BB523" s="5"/>
      <c r="BD523" s="5"/>
      <c r="BF523" s="5"/>
      <c r="BH523" s="5"/>
      <c r="BJ523" s="5"/>
      <c r="BL523" s="5"/>
      <c r="BN523" s="5"/>
      <c r="BP523" s="5"/>
      <c r="BR523" s="5"/>
    </row>
    <row r="524" spans="1:70" x14ac:dyDescent="0.25">
      <c r="A524" s="3">
        <v>43934</v>
      </c>
      <c r="B524" s="1">
        <f t="shared" si="66"/>
        <v>4</v>
      </c>
      <c r="C524" s="1">
        <f t="shared" si="67"/>
        <v>2020</v>
      </c>
      <c r="D524" s="4">
        <v>1.5824</v>
      </c>
      <c r="E524" s="4">
        <v>1.0717140000000001</v>
      </c>
      <c r="F524" s="5">
        <v>300.65600000000001</v>
      </c>
      <c r="H524" s="4">
        <v>3.4074</v>
      </c>
      <c r="I524" s="4">
        <v>90.45</v>
      </c>
      <c r="J524" s="4">
        <v>13.92</v>
      </c>
      <c r="L524" s="8">
        <f t="shared" si="64"/>
        <v>0.67727123356926189</v>
      </c>
      <c r="M524" s="8">
        <f t="shared" si="65"/>
        <v>0.18999999999999997</v>
      </c>
      <c r="N524" s="8">
        <f t="shared" si="58"/>
        <v>0.86727123356926183</v>
      </c>
      <c r="O524" s="8"/>
      <c r="P524" s="6">
        <f t="shared" si="63"/>
        <v>82.284800000000004</v>
      </c>
      <c r="Q524" s="6">
        <f t="shared" si="57"/>
        <v>15.073179979777551</v>
      </c>
      <c r="S524" s="4">
        <v>364.4</v>
      </c>
      <c r="AZ524" s="5"/>
      <c r="BB524" s="5"/>
      <c r="BD524" s="5"/>
      <c r="BF524" s="5"/>
      <c r="BH524" s="5"/>
      <c r="BJ524" s="5"/>
      <c r="BL524" s="5"/>
      <c r="BN524" s="5"/>
      <c r="BP524" s="5"/>
      <c r="BR524" s="5"/>
    </row>
    <row r="525" spans="1:70" x14ac:dyDescent="0.25">
      <c r="A525" s="3">
        <v>43941</v>
      </c>
      <c r="B525" s="1">
        <f t="shared" si="66"/>
        <v>4</v>
      </c>
      <c r="C525" s="1">
        <f t="shared" si="67"/>
        <v>2020</v>
      </c>
      <c r="D525" s="4">
        <v>1.6749000000000001</v>
      </c>
      <c r="E525" s="4">
        <v>1.2500960000000001</v>
      </c>
      <c r="F525" s="5">
        <v>318.23099999999999</v>
      </c>
      <c r="H525" s="4">
        <v>3.7673000000000001</v>
      </c>
      <c r="I525" s="4">
        <v>83.77</v>
      </c>
      <c r="J525" s="4">
        <v>16.86</v>
      </c>
      <c r="L525" s="8">
        <f t="shared" si="64"/>
        <v>0.74637052958385575</v>
      </c>
      <c r="M525" s="8">
        <f t="shared" si="65"/>
        <v>0.18999999999999997</v>
      </c>
      <c r="N525" s="8">
        <f t="shared" si="58"/>
        <v>0.93637052958385569</v>
      </c>
      <c r="O525" s="8"/>
      <c r="P525" s="6">
        <f t="shared" si="63"/>
        <v>87.094800000000006</v>
      </c>
      <c r="Q525" s="6">
        <f t="shared" si="57"/>
        <v>15.744880291360678</v>
      </c>
      <c r="S525" s="4">
        <v>325.85000000000002</v>
      </c>
      <c r="AZ525" s="5"/>
      <c r="BB525" s="5"/>
      <c r="BD525" s="5"/>
      <c r="BF525" s="5"/>
      <c r="BH525" s="5"/>
      <c r="BJ525" s="5"/>
      <c r="BL525" s="5"/>
      <c r="BN525" s="5"/>
      <c r="BP525" s="5"/>
      <c r="BR525" s="5"/>
    </row>
    <row r="526" spans="1:70" x14ac:dyDescent="0.25">
      <c r="A526" s="3">
        <v>43948</v>
      </c>
      <c r="B526" s="1">
        <f t="shared" si="66"/>
        <v>4</v>
      </c>
      <c r="C526" s="1">
        <f t="shared" si="67"/>
        <v>2020</v>
      </c>
      <c r="D526" s="4">
        <v>1.7769999999999999</v>
      </c>
      <c r="E526" s="4">
        <v>1.3231710000000001</v>
      </c>
      <c r="F526" s="5">
        <v>337.63</v>
      </c>
      <c r="H526" s="4">
        <v>4.2625000000000002</v>
      </c>
      <c r="I526" s="4">
        <v>81.22</v>
      </c>
      <c r="J526" s="4">
        <v>18.55</v>
      </c>
      <c r="L526" s="8">
        <f t="shared" si="64"/>
        <v>0.74460945413618462</v>
      </c>
      <c r="M526" s="8">
        <f t="shared" si="65"/>
        <v>0.19</v>
      </c>
      <c r="N526" s="8">
        <f t="shared" si="58"/>
        <v>0.93460945413618468</v>
      </c>
      <c r="O526" s="8"/>
      <c r="P526" s="6">
        <f t="shared" si="63"/>
        <v>92.403999999999996</v>
      </c>
      <c r="Q526" s="6">
        <f t="shared" si="57"/>
        <v>16.790939786156446</v>
      </c>
      <c r="S526" s="4">
        <v>278.5</v>
      </c>
      <c r="AZ526" s="5"/>
      <c r="BB526" s="5"/>
      <c r="BD526" s="5"/>
      <c r="BF526" s="5"/>
      <c r="BH526" s="5"/>
      <c r="BJ526" s="5"/>
      <c r="BL526" s="5"/>
      <c r="BN526" s="5"/>
      <c r="BP526" s="5"/>
      <c r="BR526" s="5"/>
    </row>
    <row r="527" spans="1:70" x14ac:dyDescent="0.25">
      <c r="A527" s="3">
        <v>43955</v>
      </c>
      <c r="B527" s="1">
        <f t="shared" si="66"/>
        <v>5</v>
      </c>
      <c r="C527" s="1">
        <f t="shared" si="67"/>
        <v>2020</v>
      </c>
      <c r="D527" s="4">
        <v>1.7495000000000001</v>
      </c>
      <c r="E527" s="4">
        <v>1.4038299999999999</v>
      </c>
      <c r="F527" s="5">
        <v>332.40499999999997</v>
      </c>
      <c r="H527" s="4">
        <v>4.3416000000000006</v>
      </c>
      <c r="I527" s="4">
        <v>84.5</v>
      </c>
      <c r="J527" s="4">
        <v>31.99</v>
      </c>
      <c r="L527" s="8">
        <f t="shared" si="64"/>
        <v>0.80241783366676189</v>
      </c>
      <c r="M527" s="8">
        <f t="shared" si="65"/>
        <v>0.18999999999999997</v>
      </c>
      <c r="N527" s="8">
        <f t="shared" si="58"/>
        <v>0.99241783366676184</v>
      </c>
      <c r="O527" s="8"/>
      <c r="P527" s="6">
        <f t="shared" si="63"/>
        <v>90.974000000000004</v>
      </c>
      <c r="Q527" s="6">
        <f t="shared" si="57"/>
        <v>17.371363246641899</v>
      </c>
      <c r="S527" s="4">
        <v>155.4</v>
      </c>
      <c r="AZ527" s="5"/>
      <c r="BB527" s="5"/>
      <c r="BD527" s="5"/>
      <c r="BF527" s="5"/>
      <c r="BH527" s="5"/>
      <c r="BJ527" s="5"/>
      <c r="BL527" s="5"/>
      <c r="BN527" s="5"/>
      <c r="BP527" s="5"/>
      <c r="BR527" s="5"/>
    </row>
    <row r="528" spans="1:70" x14ac:dyDescent="0.25">
      <c r="A528" s="3">
        <v>43962</v>
      </c>
      <c r="B528" s="1">
        <f t="shared" si="66"/>
        <v>5</v>
      </c>
      <c r="C528" s="1">
        <f t="shared" si="67"/>
        <v>2020</v>
      </c>
      <c r="D528" s="4">
        <v>1.9121999999999999</v>
      </c>
      <c r="E528" s="4">
        <v>1.3821049999999999</v>
      </c>
      <c r="F528" s="5">
        <v>363.31799999999998</v>
      </c>
      <c r="H528" s="4">
        <v>5.2992999999999997</v>
      </c>
      <c r="I528" s="4">
        <v>86.83</v>
      </c>
      <c r="J528" s="4">
        <v>38.14</v>
      </c>
      <c r="L528" s="8">
        <f t="shared" si="64"/>
        <v>0.7227826587177073</v>
      </c>
      <c r="M528" s="8">
        <f t="shared" si="65"/>
        <v>0.19</v>
      </c>
      <c r="N528" s="8">
        <f t="shared" si="58"/>
        <v>0.91278265871770725</v>
      </c>
      <c r="O528" s="8"/>
      <c r="P528" s="6">
        <f t="shared" si="63"/>
        <v>99.434399999999997</v>
      </c>
      <c r="Q528" s="6">
        <f t="shared" si="57"/>
        <v>19.399173726597635</v>
      </c>
      <c r="S528" s="4">
        <v>101.95</v>
      </c>
      <c r="AZ528" s="5"/>
      <c r="BB528" s="5"/>
      <c r="BD528" s="5"/>
      <c r="BF528" s="5"/>
      <c r="BH528" s="5"/>
      <c r="BJ528" s="5"/>
      <c r="BL528" s="5"/>
      <c r="BN528" s="5"/>
      <c r="BP528" s="5"/>
      <c r="BR528" s="5"/>
    </row>
    <row r="529" spans="1:70" x14ac:dyDescent="0.25">
      <c r="A529" s="3">
        <v>43969</v>
      </c>
      <c r="B529" s="1">
        <f t="shared" si="66"/>
        <v>5</v>
      </c>
      <c r="C529" s="1">
        <f t="shared" si="67"/>
        <v>2020</v>
      </c>
      <c r="D529" s="4">
        <v>2.0975000000000001</v>
      </c>
      <c r="E529" s="4">
        <v>1.5106379999999999</v>
      </c>
      <c r="F529" s="5">
        <v>398.52499999999998</v>
      </c>
      <c r="H529" s="4">
        <v>5.8888999999999996</v>
      </c>
      <c r="I529" s="4">
        <v>88.92</v>
      </c>
      <c r="J529" s="4">
        <v>54.33</v>
      </c>
      <c r="L529" s="8">
        <f t="shared" si="64"/>
        <v>0.72020882002383779</v>
      </c>
      <c r="M529" s="8">
        <f t="shared" si="65"/>
        <v>0.18999999999999997</v>
      </c>
      <c r="N529" s="8">
        <f t="shared" si="58"/>
        <v>0.91020882002383774</v>
      </c>
      <c r="O529" s="8"/>
      <c r="P529" s="6">
        <f t="shared" si="63"/>
        <v>109.07000000000001</v>
      </c>
      <c r="Q529" s="6">
        <f t="shared" si="57"/>
        <v>19.653063170440998</v>
      </c>
      <c r="S529" s="4">
        <v>68.599999999999994</v>
      </c>
      <c r="AZ529" s="5"/>
      <c r="BB529" s="5"/>
      <c r="BD529" s="5"/>
      <c r="BF529" s="5"/>
      <c r="BH529" s="5"/>
      <c r="BJ529" s="5"/>
      <c r="BL529" s="5"/>
      <c r="BN529" s="5"/>
      <c r="BP529" s="5"/>
      <c r="BR529" s="5"/>
    </row>
    <row r="530" spans="1:70" x14ac:dyDescent="0.25">
      <c r="A530" s="3">
        <v>43976</v>
      </c>
      <c r="B530" s="1">
        <f t="shared" si="66"/>
        <v>5</v>
      </c>
      <c r="C530" s="1">
        <f t="shared" si="67"/>
        <v>2020</v>
      </c>
      <c r="D530" s="4">
        <v>2.0661</v>
      </c>
      <c r="E530" s="4">
        <v>1.657025</v>
      </c>
      <c r="F530" s="5">
        <v>392.55900000000003</v>
      </c>
      <c r="H530" s="4">
        <v>6.0004</v>
      </c>
      <c r="I530" s="4">
        <v>93.17</v>
      </c>
      <c r="J530" s="4">
        <v>68.59</v>
      </c>
      <c r="L530" s="8">
        <f t="shared" si="64"/>
        <v>0.80200619524708383</v>
      </c>
      <c r="M530" s="8">
        <f t="shared" si="65"/>
        <v>0.19000000000000003</v>
      </c>
      <c r="N530" s="8">
        <f t="shared" si="58"/>
        <v>0.99200619524708389</v>
      </c>
      <c r="O530" s="8"/>
      <c r="P530" s="6">
        <f t="shared" si="63"/>
        <v>107.4372</v>
      </c>
      <c r="Q530" s="6">
        <f t="shared" si="57"/>
        <v>20.329509704273754</v>
      </c>
      <c r="S530" s="4">
        <v>194.95</v>
      </c>
      <c r="AZ530" s="5"/>
      <c r="BB530" s="5"/>
      <c r="BD530" s="5"/>
      <c r="BF530" s="5"/>
      <c r="BH530" s="5"/>
      <c r="BJ530" s="5"/>
      <c r="BL530" s="5"/>
      <c r="BN530" s="5"/>
      <c r="BP530" s="5"/>
      <c r="BR530" s="5"/>
    </row>
    <row r="531" spans="1:70" x14ac:dyDescent="0.25">
      <c r="A531" s="3">
        <v>43983</v>
      </c>
      <c r="B531" s="1">
        <f t="shared" si="66"/>
        <v>6</v>
      </c>
      <c r="C531" s="1">
        <f t="shared" si="67"/>
        <v>2020</v>
      </c>
      <c r="D531" s="4">
        <v>1.9155500000000001</v>
      </c>
      <c r="E531" s="4">
        <v>1.6322190000000001</v>
      </c>
      <c r="F531" s="5">
        <v>363.95499999999998</v>
      </c>
      <c r="H531" s="4">
        <v>6.2752999999999997</v>
      </c>
      <c r="I531" s="4">
        <v>94.95</v>
      </c>
      <c r="J531" s="4">
        <v>70.63</v>
      </c>
      <c r="L531" s="8">
        <f t="shared" si="64"/>
        <v>0.85208895617446689</v>
      </c>
      <c r="M531" s="8">
        <f t="shared" si="65"/>
        <v>0.19000026102163867</v>
      </c>
      <c r="N531" s="8">
        <f t="shared" si="58"/>
        <v>1.0420892171961056</v>
      </c>
      <c r="O531" s="8"/>
      <c r="P531" s="6">
        <f t="shared" si="63"/>
        <v>99.60860000000001</v>
      </c>
      <c r="Q531" s="6">
        <f t="shared" si="57"/>
        <v>22.931847250137036</v>
      </c>
      <c r="S531" s="4">
        <v>209.8</v>
      </c>
      <c r="AZ531" s="5"/>
      <c r="BB531" s="5"/>
      <c r="BD531" s="5"/>
      <c r="BF531" s="5"/>
      <c r="BH531" s="5"/>
      <c r="BJ531" s="5"/>
      <c r="BL531" s="5"/>
      <c r="BN531" s="5"/>
      <c r="BP531" s="5"/>
      <c r="BR531" s="5"/>
    </row>
    <row r="532" spans="1:70" x14ac:dyDescent="0.25">
      <c r="A532" s="3">
        <v>43990</v>
      </c>
      <c r="B532" s="1">
        <f t="shared" si="66"/>
        <v>6</v>
      </c>
      <c r="C532" s="1">
        <f t="shared" si="67"/>
        <v>2020</v>
      </c>
      <c r="D532" s="4">
        <v>2.052</v>
      </c>
      <c r="E532" s="4">
        <v>1.513285</v>
      </c>
      <c r="F532" s="5">
        <v>389.88</v>
      </c>
      <c r="H532" s="4">
        <v>6.5129999999999999</v>
      </c>
      <c r="I532" s="4">
        <v>95.62</v>
      </c>
      <c r="J532" s="4">
        <v>79.16</v>
      </c>
      <c r="L532" s="8">
        <f t="shared" si="64"/>
        <v>0.73746832358674463</v>
      </c>
      <c r="M532" s="8">
        <f t="shared" si="65"/>
        <v>0.19</v>
      </c>
      <c r="N532" s="8">
        <f t="shared" si="58"/>
        <v>0.92746832358674469</v>
      </c>
      <c r="O532" s="8"/>
      <c r="P532" s="6">
        <f t="shared" si="63"/>
        <v>106.70400000000001</v>
      </c>
      <c r="Q532" s="6">
        <f t="shared" ref="Q532:Q539" si="68">IF(H532="","",IF(D532="","",H532/(D532/7)))</f>
        <v>22.217836257309941</v>
      </c>
      <c r="S532" s="4">
        <v>150.1</v>
      </c>
      <c r="AZ532" s="5"/>
      <c r="BB532" s="5"/>
      <c r="BD532" s="5"/>
      <c r="BF532" s="5"/>
      <c r="BH532" s="5"/>
      <c r="BJ532" s="5"/>
      <c r="BL532" s="5"/>
      <c r="BN532" s="5"/>
      <c r="BP532" s="5"/>
      <c r="BR532" s="5"/>
    </row>
    <row r="533" spans="1:70" x14ac:dyDescent="0.25">
      <c r="A533" s="3">
        <v>43997</v>
      </c>
      <c r="B533" s="1">
        <f t="shared" si="66"/>
        <v>6</v>
      </c>
      <c r="C533" s="1">
        <f t="shared" si="67"/>
        <v>2020</v>
      </c>
      <c r="D533" s="4">
        <v>2.1381999999999999</v>
      </c>
      <c r="E533" s="4">
        <v>1.6210800000000001</v>
      </c>
      <c r="F533" s="5">
        <v>406.25799999999998</v>
      </c>
      <c r="H533" s="4">
        <v>6.5625</v>
      </c>
      <c r="I533" s="4">
        <v>103.76</v>
      </c>
      <c r="J533" s="4">
        <v>94.85</v>
      </c>
      <c r="L533" s="8">
        <f t="shared" si="64"/>
        <v>0.75815171639696954</v>
      </c>
      <c r="M533" s="8">
        <f t="shared" si="65"/>
        <v>0.19</v>
      </c>
      <c r="N533" s="8">
        <f t="shared" si="58"/>
        <v>0.94815171639696949</v>
      </c>
      <c r="O533" s="8"/>
      <c r="P533" s="6">
        <f t="shared" si="63"/>
        <v>111.18639999999999</v>
      </c>
      <c r="Q533" s="6">
        <f t="shared" si="68"/>
        <v>21.484192311289874</v>
      </c>
      <c r="S533" s="4">
        <v>165.3</v>
      </c>
      <c r="AZ533" s="5"/>
      <c r="BB533" s="5"/>
      <c r="BD533" s="5"/>
      <c r="BF533" s="5"/>
      <c r="BH533" s="5"/>
      <c r="BJ533" s="5"/>
      <c r="BL533" s="5"/>
      <c r="BN533" s="5"/>
      <c r="BP533" s="5"/>
      <c r="BR533" s="5"/>
    </row>
    <row r="534" spans="1:70" x14ac:dyDescent="0.25">
      <c r="A534" s="3">
        <v>44004</v>
      </c>
      <c r="B534" s="1">
        <f t="shared" si="66"/>
        <v>6</v>
      </c>
      <c r="C534" s="1">
        <f t="shared" si="67"/>
        <v>2020</v>
      </c>
      <c r="D534" s="4">
        <v>2.0310000000000001</v>
      </c>
      <c r="E534" s="4">
        <v>1.6891780000000001</v>
      </c>
      <c r="F534" s="5">
        <v>385.89</v>
      </c>
      <c r="H534" s="4">
        <v>7.2134999999999998</v>
      </c>
      <c r="I534" s="4">
        <v>112.25</v>
      </c>
      <c r="J534" s="4">
        <v>104.27</v>
      </c>
      <c r="L534" s="8">
        <f t="shared" si="64"/>
        <v>0.83169768586903003</v>
      </c>
      <c r="M534" s="8">
        <f t="shared" si="65"/>
        <v>0.19</v>
      </c>
      <c r="N534" s="8">
        <f t="shared" si="58"/>
        <v>1.0216976858690301</v>
      </c>
      <c r="O534" s="8"/>
      <c r="P534" s="6">
        <f t="shared" si="63"/>
        <v>105.61200000000001</v>
      </c>
      <c r="Q534" s="6">
        <f t="shared" si="68"/>
        <v>24.861890694239289</v>
      </c>
      <c r="S534" s="4">
        <v>179.3</v>
      </c>
      <c r="AZ534" s="5"/>
      <c r="BB534" s="5"/>
      <c r="BD534" s="5"/>
      <c r="BF534" s="5"/>
      <c r="BH534" s="5"/>
      <c r="BJ534" s="5"/>
      <c r="BL534" s="5"/>
      <c r="BN534" s="5"/>
      <c r="BP534" s="5"/>
      <c r="BR534" s="5"/>
    </row>
    <row r="535" spans="1:70" x14ac:dyDescent="0.25">
      <c r="A535" s="3">
        <v>44011</v>
      </c>
      <c r="B535" s="1">
        <f t="shared" si="66"/>
        <v>6</v>
      </c>
      <c r="C535" s="1">
        <f t="shared" si="67"/>
        <v>2020</v>
      </c>
      <c r="D535" s="4">
        <v>2.0427</v>
      </c>
      <c r="E535" s="4">
        <v>1.60449</v>
      </c>
      <c r="F535" s="5">
        <v>388.113</v>
      </c>
      <c r="H535" s="4">
        <v>7.1577000000000002</v>
      </c>
      <c r="I535" s="4">
        <v>118.23</v>
      </c>
      <c r="J535" s="4">
        <v>104.80500000000001</v>
      </c>
      <c r="L535" s="8">
        <f t="shared" si="64"/>
        <v>0.78547510647672203</v>
      </c>
      <c r="M535" s="8">
        <f t="shared" si="65"/>
        <v>0.19</v>
      </c>
      <c r="N535" s="8">
        <f t="shared" si="58"/>
        <v>0.97547510647672198</v>
      </c>
      <c r="O535" s="8"/>
      <c r="P535" s="6">
        <f t="shared" si="63"/>
        <v>106.2204</v>
      </c>
      <c r="Q535" s="6">
        <f t="shared" si="68"/>
        <v>24.528271405492731</v>
      </c>
      <c r="S535" s="4">
        <v>248.6</v>
      </c>
      <c r="AZ535" s="5"/>
      <c r="BB535" s="5"/>
      <c r="BD535" s="5"/>
      <c r="BF535" s="5"/>
      <c r="BH535" s="5"/>
      <c r="BJ535" s="5"/>
      <c r="BL535" s="5"/>
      <c r="BN535" s="5"/>
      <c r="BP535" s="5"/>
      <c r="BR535" s="5"/>
    </row>
    <row r="536" spans="1:70" x14ac:dyDescent="0.25">
      <c r="A536" s="3">
        <v>44018</v>
      </c>
      <c r="B536" s="1">
        <f t="shared" si="66"/>
        <v>7</v>
      </c>
      <c r="C536" s="1">
        <f t="shared" si="67"/>
        <v>2020</v>
      </c>
      <c r="D536" s="4">
        <v>1.9996</v>
      </c>
      <c r="E536" s="4">
        <v>1.6137330000000001</v>
      </c>
      <c r="F536" s="5">
        <v>379.92399999999998</v>
      </c>
      <c r="H536" s="4">
        <v>7.1825000000000001</v>
      </c>
      <c r="I536" s="4">
        <v>118.88</v>
      </c>
      <c r="J536" s="4">
        <v>97.74</v>
      </c>
      <c r="L536" s="8">
        <f t="shared" si="64"/>
        <v>0.80702790558111626</v>
      </c>
      <c r="M536" s="8">
        <f t="shared" si="65"/>
        <v>0.18999999999999997</v>
      </c>
      <c r="N536" s="8">
        <f t="shared" si="58"/>
        <v>0.9970279055811162</v>
      </c>
      <c r="O536" s="8"/>
      <c r="P536" s="6">
        <f t="shared" si="63"/>
        <v>103.97920000000001</v>
      </c>
      <c r="Q536" s="6">
        <f t="shared" si="68"/>
        <v>25.143778755751146</v>
      </c>
      <c r="S536" s="4">
        <v>276.25</v>
      </c>
      <c r="AZ536" s="5"/>
      <c r="BB536" s="5"/>
      <c r="BD536" s="5"/>
      <c r="BF536" s="5"/>
      <c r="BH536" s="5"/>
      <c r="BJ536" s="5"/>
      <c r="BL536" s="5"/>
      <c r="BN536" s="5"/>
      <c r="BP536" s="5"/>
      <c r="BR536" s="5"/>
    </row>
    <row r="537" spans="1:70" x14ac:dyDescent="0.25">
      <c r="A537" s="3">
        <v>44025</v>
      </c>
      <c r="B537" s="1">
        <f t="shared" si="66"/>
        <v>7</v>
      </c>
      <c r="C537" s="1">
        <f t="shared" si="67"/>
        <v>2020</v>
      </c>
      <c r="D537" s="4">
        <v>2.0634999999999999</v>
      </c>
      <c r="E537" s="4">
        <v>1.5796840000000001</v>
      </c>
      <c r="F537" s="5">
        <v>392.065</v>
      </c>
      <c r="H537" s="4">
        <v>7.3902000000000001</v>
      </c>
      <c r="I537" s="4">
        <v>119.68</v>
      </c>
      <c r="J537" s="4">
        <v>93.41</v>
      </c>
      <c r="L537" s="8">
        <f t="shared" si="64"/>
        <v>0.76553622486067374</v>
      </c>
      <c r="M537" s="8">
        <f t="shared" si="65"/>
        <v>0.19</v>
      </c>
      <c r="N537" s="8">
        <f t="shared" si="58"/>
        <v>0.9555362248606738</v>
      </c>
      <c r="O537" s="8"/>
      <c r="P537" s="6">
        <f t="shared" si="63"/>
        <v>107.30199999999999</v>
      </c>
      <c r="Q537" s="6">
        <f t="shared" si="68"/>
        <v>25.069735885631211</v>
      </c>
      <c r="S537" s="4">
        <v>243.6</v>
      </c>
      <c r="AZ537" s="5"/>
      <c r="BB537" s="5"/>
      <c r="BD537" s="5"/>
      <c r="BF537" s="5"/>
      <c r="BH537" s="5"/>
      <c r="BJ537" s="5"/>
      <c r="BL537" s="5"/>
      <c r="BN537" s="5"/>
      <c r="BP537" s="5"/>
      <c r="BR537" s="5"/>
    </row>
    <row r="538" spans="1:70" x14ac:dyDescent="0.25">
      <c r="A538" s="3">
        <v>44032</v>
      </c>
      <c r="B538" s="1">
        <f t="shared" si="66"/>
        <v>7</v>
      </c>
      <c r="C538" s="1">
        <f t="shared" si="67"/>
        <v>2020</v>
      </c>
      <c r="D538" s="4">
        <v>1.9553</v>
      </c>
      <c r="E538" s="4">
        <v>1.6301650000000001</v>
      </c>
      <c r="F538" s="5">
        <v>371.50700000000001</v>
      </c>
      <c r="H538" s="4">
        <v>7.0091000000000001</v>
      </c>
      <c r="I538" s="4">
        <v>123.63</v>
      </c>
      <c r="J538" s="4">
        <v>91.66</v>
      </c>
      <c r="L538" s="8">
        <f t="shared" si="64"/>
        <v>0.83371605380248559</v>
      </c>
      <c r="M538" s="8">
        <f t="shared" si="65"/>
        <v>0.19</v>
      </c>
      <c r="N538" s="8">
        <f t="shared" si="58"/>
        <v>1.0237160538024856</v>
      </c>
      <c r="O538" s="8"/>
      <c r="P538" s="6">
        <f t="shared" si="63"/>
        <v>101.6756</v>
      </c>
      <c r="Q538" s="6">
        <f t="shared" si="68"/>
        <v>25.092671201350178</v>
      </c>
      <c r="S538" s="4">
        <v>370.25</v>
      </c>
      <c r="AZ538" s="5"/>
      <c r="BB538" s="5"/>
      <c r="BD538" s="5"/>
      <c r="BF538" s="5"/>
      <c r="BH538" s="5"/>
      <c r="BJ538" s="5"/>
      <c r="BL538" s="5"/>
      <c r="BN538" s="5"/>
      <c r="BP538" s="5"/>
      <c r="BR538" s="5"/>
    </row>
    <row r="539" spans="1:70" x14ac:dyDescent="0.25">
      <c r="A539" s="3">
        <v>44039</v>
      </c>
      <c r="B539" s="1">
        <f t="shared" si="66"/>
        <v>7</v>
      </c>
      <c r="C539" s="1">
        <f t="shared" si="67"/>
        <v>2020</v>
      </c>
      <c r="D539" s="7">
        <v>1.98</v>
      </c>
      <c r="E539" s="7">
        <f>AVERAGE(E538,E540)</f>
        <v>1.6294145</v>
      </c>
      <c r="F539" s="5">
        <f>D539*0.19*1000</f>
        <v>376.2</v>
      </c>
      <c r="H539" s="7">
        <f>AVERAGE(H538,H540)</f>
        <v>7.2481000000000009</v>
      </c>
      <c r="I539" s="7">
        <f t="shared" ref="I539:J539" si="69">AVERAGE(I538,I540)</f>
        <v>123.955</v>
      </c>
      <c r="J539" s="7">
        <f t="shared" si="69"/>
        <v>95.614999999999995</v>
      </c>
      <c r="L539" s="8">
        <f t="shared" si="64"/>
        <v>0.82293661616161617</v>
      </c>
      <c r="M539" s="8">
        <f t="shared" si="65"/>
        <v>0.19</v>
      </c>
      <c r="N539" s="8">
        <f t="shared" si="58"/>
        <v>1.0129366161616162</v>
      </c>
      <c r="O539" s="8"/>
      <c r="P539" s="6">
        <f t="shared" si="63"/>
        <v>102.96</v>
      </c>
      <c r="Q539" s="6">
        <f t="shared" si="68"/>
        <v>25.624595959595961</v>
      </c>
      <c r="S539" s="4" t="e">
        <f ca="1">_xll.RHistory("JCI-SBMG-DALNI","NDA_RAW.Nda_last","START:"&amp;$A539&amp;" END:"&amp;$A539&amp;" INTERVAL:1W",,,)</f>
        <v>#NAME?</v>
      </c>
      <c r="AZ539" s="5"/>
      <c r="BB539" s="5"/>
      <c r="BD539" s="5"/>
      <c r="BF539" s="5"/>
      <c r="BH539" s="5"/>
      <c r="BJ539" s="5"/>
      <c r="BL539" s="5"/>
      <c r="BN539" s="5"/>
      <c r="BP539" s="5"/>
      <c r="BR539" s="5"/>
    </row>
    <row r="540" spans="1:70" x14ac:dyDescent="0.25">
      <c r="A540" s="3">
        <v>44046</v>
      </c>
      <c r="B540" s="1">
        <f t="shared" si="66"/>
        <v>8</v>
      </c>
      <c r="C540" s="1">
        <f t="shared" si="67"/>
        <v>2020</v>
      </c>
      <c r="D540" s="4">
        <v>2.0444</v>
      </c>
      <c r="E540" s="4">
        <v>1.6286639999999999</v>
      </c>
      <c r="F540" s="5">
        <v>388.43599999999998</v>
      </c>
      <c r="H540" s="4">
        <v>7.4871000000000008</v>
      </c>
      <c r="I540" s="4">
        <v>124.28</v>
      </c>
      <c r="J540" s="4">
        <v>99.57</v>
      </c>
      <c r="L540" s="8">
        <v>0.79664644883584423</v>
      </c>
      <c r="M540" s="8">
        <v>0.19</v>
      </c>
      <c r="N540" s="8">
        <v>0.98664644883584418</v>
      </c>
      <c r="O540" s="8"/>
      <c r="P540" s="6">
        <v>106.30880000000001</v>
      </c>
      <c r="Q540" s="6">
        <v>25.635736646448841</v>
      </c>
      <c r="S540" s="4">
        <v>317</v>
      </c>
      <c r="AZ540" s="5"/>
      <c r="BB540" s="5"/>
      <c r="BD540" s="5"/>
      <c r="BF540" s="5"/>
      <c r="BH540" s="5"/>
      <c r="BJ540" s="5"/>
      <c r="BL540" s="5"/>
      <c r="BN540" s="5"/>
      <c r="BP540" s="5"/>
      <c r="BR540" s="5"/>
    </row>
    <row r="541" spans="1:70" x14ac:dyDescent="0.25">
      <c r="A541" s="3">
        <v>44053</v>
      </c>
      <c r="B541" s="1">
        <f t="shared" si="66"/>
        <v>8</v>
      </c>
      <c r="C541" s="1">
        <f t="shared" si="67"/>
        <v>2020</v>
      </c>
      <c r="D541" s="4">
        <v>1.9658</v>
      </c>
      <c r="E541" s="4">
        <v>1.615076</v>
      </c>
      <c r="F541" s="5">
        <v>373.50200000000001</v>
      </c>
      <c r="H541" s="4">
        <v>7.6891999999999996</v>
      </c>
      <c r="I541" s="4">
        <v>122.69</v>
      </c>
      <c r="J541" s="4">
        <v>110.13</v>
      </c>
      <c r="L541" s="8">
        <v>0.82158714009563538</v>
      </c>
      <c r="M541" s="8">
        <v>0.19</v>
      </c>
      <c r="N541" s="8">
        <v>1.0115871400956353</v>
      </c>
      <c r="O541" s="8"/>
      <c r="P541" s="6">
        <v>102.2216</v>
      </c>
      <c r="Q541" s="6">
        <v>27.380404924203884</v>
      </c>
      <c r="S541" s="4">
        <v>173.95</v>
      </c>
      <c r="AZ541" s="5"/>
      <c r="BB541" s="5"/>
      <c r="BD541" s="5"/>
      <c r="BF541" s="5"/>
      <c r="BH541" s="5"/>
      <c r="BJ541" s="5"/>
      <c r="BL541" s="5"/>
      <c r="BN541" s="5"/>
      <c r="BP541" s="5"/>
      <c r="BR541" s="5"/>
    </row>
    <row r="542" spans="1:70" x14ac:dyDescent="0.25">
      <c r="A542" s="3">
        <v>44060</v>
      </c>
      <c r="B542" s="1">
        <f t="shared" si="66"/>
        <v>8</v>
      </c>
      <c r="C542" s="1">
        <f t="shared" si="67"/>
        <v>2020</v>
      </c>
      <c r="D542" s="4">
        <v>2.0169999999999999</v>
      </c>
      <c r="E542" s="4">
        <v>1.5529820000000001</v>
      </c>
      <c r="F542" s="5">
        <v>383.23</v>
      </c>
      <c r="H542" s="4">
        <v>7.8329999999999993</v>
      </c>
      <c r="I542" s="4">
        <v>126</v>
      </c>
      <c r="J542" s="4">
        <v>121.47</v>
      </c>
      <c r="L542" s="8">
        <v>0.76994645513138327</v>
      </c>
      <c r="M542" s="8">
        <v>0.19000000000000003</v>
      </c>
      <c r="N542" s="8">
        <v>0.95994645513138332</v>
      </c>
      <c r="O542" s="8"/>
      <c r="P542" s="6">
        <v>104.884</v>
      </c>
      <c r="Q542" s="6">
        <v>27.184432325235495</v>
      </c>
      <c r="S542" s="4">
        <v>179.3</v>
      </c>
      <c r="AZ542" s="5"/>
      <c r="BB542" s="5"/>
      <c r="BD542" s="5"/>
      <c r="BF542" s="5"/>
      <c r="BH542" s="5"/>
      <c r="BJ542" s="5"/>
      <c r="BL542" s="5"/>
      <c r="BN542" s="5"/>
      <c r="BP542" s="5"/>
      <c r="BR542" s="5"/>
    </row>
    <row r="543" spans="1:70" x14ac:dyDescent="0.25">
      <c r="A543" s="3">
        <v>44067</v>
      </c>
      <c r="B543" s="1">
        <f t="shared" si="66"/>
        <v>8</v>
      </c>
      <c r="C543" s="1">
        <f t="shared" si="67"/>
        <v>2020</v>
      </c>
      <c r="D543" s="4">
        <v>2.0381999999999998</v>
      </c>
      <c r="E543" s="4">
        <v>1.5934299999999999</v>
      </c>
      <c r="F543" s="5">
        <v>387.25799999999998</v>
      </c>
      <c r="H543" s="4">
        <v>7.8329999999999993</v>
      </c>
      <c r="I543" s="4">
        <v>130.75</v>
      </c>
      <c r="J543" s="4">
        <v>126.88</v>
      </c>
      <c r="L543" s="8">
        <v>0.78178294573643414</v>
      </c>
      <c r="M543" s="8">
        <v>0.19</v>
      </c>
      <c r="N543" s="8">
        <v>0.9717829457364342</v>
      </c>
      <c r="O543" s="8"/>
      <c r="P543" s="6">
        <v>105.98639999999999</v>
      </c>
      <c r="Q543" s="6">
        <v>26.901677951133355</v>
      </c>
      <c r="S543" s="4">
        <v>262.39999999999998</v>
      </c>
      <c r="AZ543" s="5"/>
      <c r="BB543" s="5"/>
      <c r="BD543" s="5"/>
      <c r="BF543" s="5"/>
      <c r="BH543" s="5"/>
      <c r="BJ543" s="5"/>
      <c r="BL543" s="5"/>
      <c r="BN543" s="5"/>
      <c r="BP543" s="5"/>
      <c r="BR543" s="5"/>
    </row>
    <row r="544" spans="1:70" x14ac:dyDescent="0.25">
      <c r="A544" s="3">
        <v>44074</v>
      </c>
      <c r="B544" s="1">
        <f t="shared" si="66"/>
        <v>8</v>
      </c>
      <c r="C544" s="1">
        <f t="shared" si="67"/>
        <v>2020</v>
      </c>
      <c r="D544" s="4">
        <v>1.95105</v>
      </c>
      <c r="E544" s="4">
        <v>1.6101780000000001</v>
      </c>
      <c r="F544" s="5">
        <v>370.7</v>
      </c>
      <c r="H544" s="4">
        <v>7.8098000000000001</v>
      </c>
      <c r="I544" s="4">
        <v>127.5</v>
      </c>
      <c r="J544" s="4">
        <v>123.23</v>
      </c>
      <c r="L544" s="8">
        <v>0.82528792188821409</v>
      </c>
      <c r="M544" s="8">
        <v>0.19000025627226363</v>
      </c>
      <c r="N544" s="8">
        <v>1.0152881781604777</v>
      </c>
      <c r="O544" s="8"/>
      <c r="P544" s="6">
        <v>101.4546</v>
      </c>
      <c r="Q544" s="6">
        <v>28.020091745470388</v>
      </c>
      <c r="S544" s="4">
        <v>245.3</v>
      </c>
      <c r="AZ544" s="5"/>
      <c r="BB544" s="5"/>
      <c r="BD544" s="5"/>
      <c r="BF544" s="5"/>
      <c r="BH544" s="5"/>
      <c r="BJ544" s="5"/>
      <c r="BL544" s="5"/>
      <c r="BN544" s="5"/>
      <c r="BP544" s="5"/>
      <c r="BR544" s="5"/>
    </row>
    <row r="545" spans="1:70" x14ac:dyDescent="0.25">
      <c r="A545" s="3">
        <v>44081</v>
      </c>
      <c r="B545" s="1">
        <f t="shared" si="66"/>
        <v>9</v>
      </c>
      <c r="C545" s="1">
        <f t="shared" si="67"/>
        <v>2020</v>
      </c>
      <c r="D545" s="4">
        <v>1.9716499999999999</v>
      </c>
      <c r="E545" s="4">
        <v>1.5413300000000001</v>
      </c>
      <c r="F545" s="5">
        <v>374.61399999999998</v>
      </c>
      <c r="H545" s="4">
        <v>7.9340000000000002</v>
      </c>
      <c r="I545" s="4">
        <v>127.16</v>
      </c>
      <c r="J545" s="4">
        <v>112.37</v>
      </c>
      <c r="L545" s="8">
        <v>0.78174625313823454</v>
      </c>
      <c r="M545" s="8">
        <v>0.19000025359470496</v>
      </c>
      <c r="N545" s="8">
        <v>0.9717465067329395</v>
      </c>
      <c r="O545" s="8"/>
      <c r="P545" s="6">
        <v>102.52579999999999</v>
      </c>
      <c r="Q545" s="6">
        <v>28.168285446199885</v>
      </c>
      <c r="S545" s="4">
        <v>293.85000000000002</v>
      </c>
      <c r="AZ545" s="5"/>
      <c r="BB545" s="5"/>
      <c r="BD545" s="5"/>
      <c r="BF545" s="5"/>
      <c r="BH545" s="5"/>
      <c r="BJ545" s="5"/>
      <c r="BL545" s="5"/>
      <c r="BN545" s="5"/>
      <c r="BP545" s="5"/>
      <c r="BR545" s="5"/>
    </row>
    <row r="546" spans="1:70" x14ac:dyDescent="0.25">
      <c r="A546" s="3">
        <v>44088</v>
      </c>
      <c r="B546" s="1">
        <f t="shared" si="66"/>
        <v>9</v>
      </c>
      <c r="C546" s="1">
        <f t="shared" si="67"/>
        <v>2020</v>
      </c>
      <c r="D546" s="4">
        <v>2.1836500000000001</v>
      </c>
      <c r="E546" s="4">
        <v>1.557604</v>
      </c>
      <c r="F546" s="5">
        <v>414.89400000000001</v>
      </c>
      <c r="H546" s="4">
        <v>7.5637999999999996</v>
      </c>
      <c r="I546" s="4">
        <v>133.09</v>
      </c>
      <c r="J546" s="4">
        <v>111.55</v>
      </c>
      <c r="L546" s="8">
        <v>0.71330295605980809</v>
      </c>
      <c r="M546" s="8">
        <v>0.19000022897442354</v>
      </c>
      <c r="N546" s="8">
        <v>0.90330318503423168</v>
      </c>
      <c r="O546" s="8"/>
      <c r="P546" s="6">
        <v>113.5498</v>
      </c>
      <c r="Q546" s="6">
        <v>24.246834428594326</v>
      </c>
      <c r="S546" s="4">
        <v>447.4</v>
      </c>
      <c r="AZ546" s="5"/>
      <c r="BB546" s="5"/>
      <c r="BD546" s="5"/>
      <c r="BF546" s="5"/>
      <c r="BH546" s="5"/>
      <c r="BJ546" s="5"/>
      <c r="BL546" s="5"/>
      <c r="BN546" s="5"/>
      <c r="BP546" s="5"/>
      <c r="BR546" s="5"/>
    </row>
    <row r="547" spans="1:70" x14ac:dyDescent="0.25">
      <c r="A547" s="3">
        <v>44095</v>
      </c>
      <c r="B547" s="1">
        <f t="shared" si="66"/>
        <v>9</v>
      </c>
      <c r="C547" s="1">
        <f t="shared" si="67"/>
        <v>2020</v>
      </c>
      <c r="D547" s="4">
        <v>2.27325</v>
      </c>
      <c r="E547" s="4">
        <v>1.7250840000000001</v>
      </c>
      <c r="F547" s="5">
        <v>431.91800000000001</v>
      </c>
      <c r="H547" s="4">
        <v>7.4853999999999994</v>
      </c>
      <c r="I547" s="4">
        <v>133.65</v>
      </c>
      <c r="J547" s="4"/>
      <c r="L547" s="8">
        <v>0.75886242164302209</v>
      </c>
      <c r="M547" s="8">
        <v>0.19000021994941166</v>
      </c>
      <c r="N547" s="8">
        <v>0.94886264159243372</v>
      </c>
      <c r="O547" s="8"/>
      <c r="P547" s="6">
        <v>118.209</v>
      </c>
      <c r="Q547" s="6">
        <v>23.049730561970748</v>
      </c>
      <c r="S547" s="4">
        <v>353.25</v>
      </c>
      <c r="AZ547" s="5"/>
      <c r="BB547" s="5"/>
      <c r="BD547" s="5"/>
      <c r="BF547" s="5"/>
      <c r="BH547" s="5"/>
      <c r="BJ547" s="5"/>
      <c r="BL547" s="5"/>
      <c r="BN547" s="5"/>
      <c r="BP547" s="5"/>
      <c r="BR547" s="5"/>
    </row>
    <row r="548" spans="1:70" x14ac:dyDescent="0.25">
      <c r="A548" s="3">
        <v>44102</v>
      </c>
      <c r="B548" s="1">
        <f t="shared" si="66"/>
        <v>9</v>
      </c>
      <c r="C548" s="1">
        <f t="shared" si="67"/>
        <v>2020</v>
      </c>
      <c r="D548" s="4">
        <v>1.8735999999999999</v>
      </c>
      <c r="E548" s="4">
        <v>1.795868</v>
      </c>
      <c r="F548" s="5">
        <v>355.98399999999998</v>
      </c>
      <c r="H548" s="4"/>
      <c r="I548" s="4">
        <v>133.69999999999999</v>
      </c>
      <c r="J548" s="4"/>
      <c r="L548" s="8">
        <v>0.95851195559350988</v>
      </c>
      <c r="M548" s="8">
        <v>0.19</v>
      </c>
      <c r="N548" s="8">
        <v>1.1485119555935099</v>
      </c>
      <c r="O548" s="8"/>
      <c r="P548" s="6">
        <v>97.427199999999999</v>
      </c>
      <c r="Q548" s="6" t="s">
        <v>12</v>
      </c>
      <c r="S548" s="4">
        <v>316.55</v>
      </c>
      <c r="AZ548" s="5"/>
      <c r="BB548" s="5"/>
      <c r="BD548" s="5"/>
      <c r="BF548" s="5"/>
      <c r="BH548" s="5"/>
      <c r="BJ548" s="5"/>
      <c r="BL548" s="5"/>
      <c r="BN548" s="5"/>
      <c r="BP548" s="5"/>
      <c r="BR548" s="5"/>
    </row>
    <row r="549" spans="1:70" x14ac:dyDescent="0.25">
      <c r="A549" s="3">
        <v>44109</v>
      </c>
      <c r="B549" s="1">
        <f t="shared" si="66"/>
        <v>10</v>
      </c>
      <c r="C549" s="1">
        <f t="shared" si="67"/>
        <v>2020</v>
      </c>
      <c r="D549" s="4">
        <v>1.3875500000000001</v>
      </c>
      <c r="E549" s="4">
        <v>1.4801439999999999</v>
      </c>
      <c r="F549" s="5">
        <v>263.63499999999999</v>
      </c>
      <c r="H549" s="4">
        <v>7.1227999999999998</v>
      </c>
      <c r="I549" s="4">
        <v>134.41</v>
      </c>
      <c r="J549" s="4">
        <v>99.45</v>
      </c>
      <c r="L549" s="8">
        <v>1.0667320096573096</v>
      </c>
      <c r="M549" s="8">
        <v>0.19000036034737486</v>
      </c>
      <c r="N549" s="8">
        <v>1.2567323700046844</v>
      </c>
      <c r="O549" s="8"/>
      <c r="P549" s="6">
        <v>72.152600000000007</v>
      </c>
      <c r="Q549" s="6">
        <v>35.933551944074082</v>
      </c>
      <c r="S549" s="4">
        <v>443.15</v>
      </c>
      <c r="AZ549" s="5"/>
      <c r="BB549" s="5"/>
      <c r="BD549" s="5"/>
      <c r="BF549" s="5"/>
      <c r="BH549" s="5"/>
      <c r="BJ549" s="5"/>
      <c r="BL549" s="5"/>
      <c r="BN549" s="5"/>
      <c r="BP549" s="5"/>
      <c r="BR549" s="5"/>
    </row>
    <row r="550" spans="1:70" x14ac:dyDescent="0.25">
      <c r="A550" s="3">
        <v>44116</v>
      </c>
      <c r="B550" s="1">
        <f t="shared" si="66"/>
        <v>10</v>
      </c>
      <c r="C550" s="1">
        <f t="shared" si="67"/>
        <v>2020</v>
      </c>
      <c r="D550" s="4">
        <v>2.0882999999999998</v>
      </c>
      <c r="E550" s="4">
        <v>1.0961650000000001</v>
      </c>
      <c r="F550" s="5">
        <v>396.77699999999999</v>
      </c>
      <c r="H550" s="4">
        <v>7.0214999999999996</v>
      </c>
      <c r="I550" s="4">
        <v>128.84</v>
      </c>
      <c r="J550" s="4">
        <v>93.79</v>
      </c>
      <c r="L550" s="8">
        <v>0.52490781975769774</v>
      </c>
      <c r="M550" s="8">
        <v>0.19</v>
      </c>
      <c r="N550" s="8">
        <v>0.71490781975769768</v>
      </c>
      <c r="O550" s="8"/>
      <c r="P550" s="6">
        <v>108.59159999999999</v>
      </c>
      <c r="Q550" s="6">
        <v>23.536129866398507</v>
      </c>
      <c r="S550" s="4">
        <v>400.95</v>
      </c>
      <c r="AZ550" s="5"/>
      <c r="BB550" s="5"/>
      <c r="BD550" s="5"/>
      <c r="BF550" s="5"/>
      <c r="BH550" s="5"/>
      <c r="BJ550" s="5"/>
      <c r="BL550" s="5"/>
      <c r="BN550" s="5"/>
      <c r="BP550" s="5"/>
      <c r="BR550" s="5"/>
    </row>
    <row r="551" spans="1:70" x14ac:dyDescent="0.25">
      <c r="A551" s="3">
        <v>44123</v>
      </c>
      <c r="B551" s="1">
        <f t="shared" si="66"/>
        <v>10</v>
      </c>
      <c r="C551" s="1">
        <f t="shared" si="67"/>
        <v>2020</v>
      </c>
      <c r="D551" s="4">
        <v>2.1972499999999999</v>
      </c>
      <c r="E551" s="4">
        <v>1.6497569999999999</v>
      </c>
      <c r="F551" s="5">
        <v>417.47800000000001</v>
      </c>
      <c r="H551" s="4">
        <v>6.5763999999999996</v>
      </c>
      <c r="I551" s="4">
        <v>127.26</v>
      </c>
      <c r="J551" s="4">
        <v>98.05</v>
      </c>
      <c r="L551" s="8">
        <v>0.75082808055523953</v>
      </c>
      <c r="M551" s="8">
        <v>0.19000022755717375</v>
      </c>
      <c r="N551" s="8">
        <v>0.94082830811241325</v>
      </c>
      <c r="O551" s="8"/>
      <c r="P551" s="6">
        <v>114.25699999999999</v>
      </c>
      <c r="Q551" s="6">
        <v>20.951097963363292</v>
      </c>
      <c r="S551" s="4">
        <v>449.15</v>
      </c>
      <c r="AZ551" s="5"/>
      <c r="BB551" s="5"/>
      <c r="BD551" s="5"/>
      <c r="BF551" s="5"/>
      <c r="BH551" s="5"/>
      <c r="BJ551" s="5"/>
      <c r="BL551" s="5"/>
      <c r="BN551" s="5"/>
      <c r="BP551" s="5"/>
      <c r="BR551" s="5"/>
    </row>
    <row r="552" spans="1:70" x14ac:dyDescent="0.25">
      <c r="A552" s="3">
        <v>44130</v>
      </c>
      <c r="B552" s="1">
        <f t="shared" si="66"/>
        <v>10</v>
      </c>
      <c r="C552" s="1">
        <f>YEAR(A552)</f>
        <v>2020</v>
      </c>
      <c r="D552" s="4">
        <v>2.09348</v>
      </c>
      <c r="E552" s="4">
        <v>1.7358279999999999</v>
      </c>
      <c r="F552" s="5">
        <v>397.76100000000002</v>
      </c>
      <c r="H552" s="4">
        <v>6.9630999999999998</v>
      </c>
      <c r="I552" s="4">
        <v>125.12</v>
      </c>
      <c r="J552" s="4">
        <v>93.93</v>
      </c>
      <c r="L552" s="8">
        <v>0.82915910350230237</v>
      </c>
      <c r="M552" s="8">
        <v>0.18999990446529225</v>
      </c>
      <c r="N552" s="8">
        <v>1.0191590079675947</v>
      </c>
      <c r="O552" s="8"/>
      <c r="P552" s="6">
        <v>108.86096000000001</v>
      </c>
      <c r="Q552" s="6">
        <v>23.282620325964423</v>
      </c>
      <c r="S552" s="4">
        <v>370.1</v>
      </c>
      <c r="AZ552" s="5"/>
      <c r="BB552" s="5"/>
      <c r="BD552" s="5"/>
      <c r="BF552" s="5"/>
      <c r="BH552" s="5"/>
      <c r="BJ552" s="5"/>
      <c r="BL552" s="5"/>
      <c r="BN552" s="5"/>
      <c r="BP552" s="5"/>
      <c r="BR552" s="5"/>
    </row>
    <row r="553" spans="1:70" x14ac:dyDescent="0.25">
      <c r="A553" s="3">
        <v>44137</v>
      </c>
      <c r="B553" s="1">
        <f>MONTH(A553)</f>
        <v>11</v>
      </c>
      <c r="C553" s="1">
        <f>YEAR(A553)</f>
        <v>2020</v>
      </c>
      <c r="D553" s="4">
        <v>2.09558</v>
      </c>
      <c r="E553" s="4">
        <v>1.6538489999999999</v>
      </c>
      <c r="F553" s="5">
        <v>398.16</v>
      </c>
      <c r="H553" s="4">
        <v>7.2403999999999993</v>
      </c>
      <c r="I553" s="4">
        <v>121.84</v>
      </c>
      <c r="J553" s="4">
        <v>92.68</v>
      </c>
      <c r="L553" s="8">
        <v>0.78920823829202413</v>
      </c>
      <c r="M553" s="8">
        <v>0.18999990456102847</v>
      </c>
      <c r="N553" s="8">
        <v>0.97920814285305258</v>
      </c>
      <c r="O553" s="8"/>
      <c r="P553" s="6">
        <v>108.97015999999999</v>
      </c>
      <c r="Q553" s="6">
        <v>24.185571536281124</v>
      </c>
      <c r="S553" s="4">
        <v>457</v>
      </c>
      <c r="AZ553" s="5"/>
      <c r="BB553" s="5"/>
      <c r="BD553" s="5"/>
      <c r="BF553" s="5"/>
      <c r="BH553" s="5"/>
      <c r="BJ553" s="5"/>
      <c r="BL553" s="5"/>
      <c r="BN553" s="5"/>
      <c r="BP553" s="5"/>
      <c r="BR553" s="5"/>
    </row>
    <row r="554" spans="1:70" x14ac:dyDescent="0.25">
      <c r="A554" s="3">
        <v>44144</v>
      </c>
      <c r="B554" s="1">
        <f t="shared" ref="B554:B617" si="70">MONTH(A554)</f>
        <v>11</v>
      </c>
      <c r="C554" s="1">
        <f t="shared" ref="C554:C617" si="71">YEAR(A554)</f>
        <v>2020</v>
      </c>
      <c r="D554" s="4">
        <v>2.1200800000000002</v>
      </c>
      <c r="E554" s="4">
        <v>1.655508</v>
      </c>
      <c r="F554" s="5">
        <v>402.815</v>
      </c>
      <c r="H554" s="4">
        <v>7.2659000000000002</v>
      </c>
      <c r="I554" s="4">
        <v>117.91</v>
      </c>
      <c r="J554" s="4">
        <v>97.96</v>
      </c>
      <c r="L554" s="8">
        <v>0.78087053318742683</v>
      </c>
      <c r="M554" s="8">
        <v>0.18999990566393718</v>
      </c>
      <c r="N554" s="8">
        <v>0.97087043885136404</v>
      </c>
      <c r="O554" s="8"/>
      <c r="P554" s="6">
        <v>110.24416000000001</v>
      </c>
      <c r="Q554" s="6">
        <v>23.990273951926344</v>
      </c>
      <c r="S554" s="4">
        <v>383.9</v>
      </c>
      <c r="AZ554" s="5"/>
      <c r="BB554" s="5"/>
      <c r="BD554" s="5"/>
      <c r="BF554" s="5"/>
      <c r="BH554" s="5"/>
      <c r="BJ554" s="5"/>
      <c r="BL554" s="5"/>
      <c r="BN554" s="5"/>
      <c r="BP554" s="5"/>
      <c r="BR554" s="5"/>
    </row>
    <row r="555" spans="1:70" x14ac:dyDescent="0.25">
      <c r="A555" s="3">
        <v>44151</v>
      </c>
      <c r="B555" s="1">
        <f t="shared" si="70"/>
        <v>11</v>
      </c>
      <c r="C555" s="1">
        <f t="shared" si="71"/>
        <v>2020</v>
      </c>
      <c r="D555" s="4">
        <v>2.0356800000000002</v>
      </c>
      <c r="E555" s="4">
        <v>1.674863</v>
      </c>
      <c r="F555" s="5">
        <v>386.779</v>
      </c>
      <c r="H555" s="4">
        <v>6.9699</v>
      </c>
      <c r="I555" s="4">
        <v>117.58</v>
      </c>
      <c r="J555" s="4">
        <v>109.17</v>
      </c>
      <c r="L555" s="8">
        <v>0.82275357620058154</v>
      </c>
      <c r="M555" s="8">
        <v>0.18999990175273127</v>
      </c>
      <c r="N555" s="8">
        <v>1.0127534779533127</v>
      </c>
      <c r="O555" s="8"/>
      <c r="P555" s="6">
        <v>105.85536</v>
      </c>
      <c r="Q555" s="6">
        <v>23.967077340249936</v>
      </c>
      <c r="S555" s="4">
        <v>469.05</v>
      </c>
      <c r="AZ555" s="5"/>
      <c r="BB555" s="5"/>
      <c r="BD555" s="5"/>
      <c r="BF555" s="5"/>
      <c r="BH555" s="5"/>
      <c r="BJ555" s="5"/>
      <c r="BL555" s="5"/>
      <c r="BN555" s="5"/>
      <c r="BP555" s="5"/>
      <c r="BR555" s="5"/>
    </row>
    <row r="556" spans="1:70" x14ac:dyDescent="0.25">
      <c r="A556" s="3">
        <v>44158</v>
      </c>
      <c r="B556" s="1">
        <f t="shared" si="70"/>
        <v>11</v>
      </c>
      <c r="C556" s="1">
        <f t="shared" si="71"/>
        <v>2020</v>
      </c>
      <c r="D556" s="4">
        <v>1.84328</v>
      </c>
      <c r="E556" s="4">
        <v>1.608187</v>
      </c>
      <c r="F556" s="5">
        <v>350.22300000000001</v>
      </c>
      <c r="H556" s="4">
        <v>6.4369000000000005</v>
      </c>
      <c r="I556" s="4">
        <v>115.1</v>
      </c>
      <c r="J556" s="4">
        <v>103.24</v>
      </c>
      <c r="L556" s="8">
        <v>0.87245942016405542</v>
      </c>
      <c r="M556" s="8">
        <v>0.18999989149776486</v>
      </c>
      <c r="N556" s="8">
        <v>1.0624593116618204</v>
      </c>
      <c r="O556" s="8"/>
      <c r="P556" s="6">
        <v>95.850560000000002</v>
      </c>
      <c r="Q556" s="6">
        <v>24.444631309404976</v>
      </c>
      <c r="S556" s="4">
        <v>409.8</v>
      </c>
      <c r="AZ556" s="5"/>
      <c r="BB556" s="5"/>
      <c r="BD556" s="5"/>
      <c r="BF556" s="5"/>
      <c r="BH556" s="5"/>
      <c r="BJ556" s="5"/>
      <c r="BL556" s="5"/>
      <c r="BN556" s="5"/>
      <c r="BP556" s="5"/>
      <c r="BR556" s="5"/>
    </row>
    <row r="557" spans="1:70" x14ac:dyDescent="0.25">
      <c r="A557" s="3">
        <v>44165</v>
      </c>
      <c r="B557" s="1">
        <f t="shared" si="70"/>
        <v>11</v>
      </c>
      <c r="C557" s="1">
        <f t="shared" si="71"/>
        <v>2020</v>
      </c>
      <c r="D557" s="4">
        <v>1.7896799999999999</v>
      </c>
      <c r="E557" s="4">
        <v>1.456191</v>
      </c>
      <c r="F557" s="5">
        <v>340.03899999999999</v>
      </c>
      <c r="H557" s="4">
        <v>6.8207000000000004</v>
      </c>
      <c r="I557" s="4">
        <v>107.93</v>
      </c>
      <c r="J557" s="4">
        <v>93.91</v>
      </c>
      <c r="L557" s="8">
        <v>0.81365998390773775</v>
      </c>
      <c r="M557" s="8">
        <v>0.18999988824817843</v>
      </c>
      <c r="N557" s="8">
        <v>1.0036598721559162</v>
      </c>
      <c r="O557" s="8"/>
      <c r="P557" s="6">
        <v>93.063360000000003</v>
      </c>
      <c r="Q557" s="6">
        <v>26.677897724732915</v>
      </c>
      <c r="S557" s="4">
        <v>370.9</v>
      </c>
      <c r="AZ557" s="5"/>
      <c r="BB557" s="5"/>
      <c r="BD557" s="5"/>
      <c r="BF557" s="5"/>
      <c r="BH557" s="5"/>
      <c r="BJ557" s="5"/>
      <c r="BL557" s="5"/>
      <c r="BN557" s="5"/>
      <c r="BP557" s="5"/>
      <c r="BR557" s="5"/>
    </row>
    <row r="558" spans="1:70" x14ac:dyDescent="0.25">
      <c r="A558" s="3">
        <v>44172</v>
      </c>
      <c r="B558" s="1">
        <f t="shared" si="70"/>
        <v>12</v>
      </c>
      <c r="C558" s="1">
        <f t="shared" si="71"/>
        <v>2020</v>
      </c>
      <c r="D558" s="4">
        <v>1.95078</v>
      </c>
      <c r="E558" s="4">
        <v>1.4138470000000001</v>
      </c>
      <c r="F558" s="5">
        <v>370.64800000000002</v>
      </c>
      <c r="H558" s="4">
        <v>6.7514000000000003</v>
      </c>
      <c r="I558" s="4">
        <v>103.62</v>
      </c>
      <c r="J558" s="4">
        <v>99.85</v>
      </c>
      <c r="L558" s="8">
        <v>0.72475983965388213</v>
      </c>
      <c r="M558" s="8">
        <v>0.18999989747690668</v>
      </c>
      <c r="N558" s="8">
        <v>0.91475973713078884</v>
      </c>
      <c r="O558" s="8"/>
      <c r="P558" s="6">
        <v>101.44056</v>
      </c>
      <c r="Q558" s="6">
        <v>24.226104430022865</v>
      </c>
      <c r="S558" s="4">
        <v>357.25</v>
      </c>
      <c r="AZ558" s="5"/>
      <c r="BB558" s="5"/>
      <c r="BD558" s="5"/>
      <c r="BF558" s="5"/>
      <c r="BH558" s="5"/>
      <c r="BJ558" s="5"/>
      <c r="BL558" s="5"/>
      <c r="BN558" s="5"/>
      <c r="BP558" s="5"/>
      <c r="BR558" s="5"/>
    </row>
    <row r="559" spans="1:70" x14ac:dyDescent="0.25">
      <c r="A559" s="3">
        <v>44179</v>
      </c>
      <c r="B559" s="1">
        <f t="shared" si="70"/>
        <v>12</v>
      </c>
      <c r="C559" s="1">
        <f t="shared" si="71"/>
        <v>2020</v>
      </c>
      <c r="D559" s="4">
        <v>2.00718</v>
      </c>
      <c r="E559" s="4">
        <v>1.5411159999999999</v>
      </c>
      <c r="F559" s="5">
        <v>381.36399999999998</v>
      </c>
      <c r="H559" s="4">
        <v>6.5823999999999998</v>
      </c>
      <c r="I559" s="4">
        <v>102.07</v>
      </c>
      <c r="J559" s="4">
        <v>95.86</v>
      </c>
      <c r="L559" s="8">
        <v>0.76780159228370148</v>
      </c>
      <c r="M559" s="8">
        <v>0.1899999003577158</v>
      </c>
      <c r="N559" s="8">
        <v>0.95780149264141734</v>
      </c>
      <c r="O559" s="8"/>
      <c r="P559" s="6">
        <v>104.37335999999999</v>
      </c>
      <c r="Q559" s="6">
        <v>22.955988003068981</v>
      </c>
      <c r="S559" s="4">
        <v>489.6</v>
      </c>
      <c r="AZ559" s="5"/>
      <c r="BB559" s="5"/>
      <c r="BD559" s="5"/>
      <c r="BF559" s="5"/>
      <c r="BH559" s="5"/>
      <c r="BJ559" s="5"/>
      <c r="BL559" s="5"/>
      <c r="BN559" s="5"/>
      <c r="BP559" s="5"/>
      <c r="BR559" s="5"/>
    </row>
    <row r="560" spans="1:70" x14ac:dyDescent="0.25">
      <c r="A560" s="3">
        <v>44186</v>
      </c>
      <c r="B560" s="1">
        <f t="shared" si="70"/>
        <v>12</v>
      </c>
      <c r="C560" s="1">
        <f t="shared" si="71"/>
        <v>2020</v>
      </c>
      <c r="D560" s="4">
        <v>1.88208</v>
      </c>
      <c r="E560" s="4">
        <v>1.585672</v>
      </c>
      <c r="F560" s="5">
        <v>357.59500000000003</v>
      </c>
      <c r="H560" s="4">
        <v>6.6841999999999997</v>
      </c>
      <c r="I560" s="4">
        <v>100.29</v>
      </c>
      <c r="J560" s="4">
        <v>97.1</v>
      </c>
      <c r="L560" s="8">
        <v>0.84251041401003146</v>
      </c>
      <c r="M560" s="8">
        <v>0.18999989373459156</v>
      </c>
      <c r="N560" s="8">
        <v>1.0325103077446229</v>
      </c>
      <c r="O560" s="8"/>
      <c r="P560" s="6">
        <v>97.868160000000003</v>
      </c>
      <c r="Q560" s="6">
        <v>24.860473518660207</v>
      </c>
      <c r="S560" s="4">
        <v>613.5</v>
      </c>
      <c r="AZ560" s="5"/>
      <c r="BB560" s="5"/>
      <c r="BD560" s="5"/>
      <c r="BF560" s="5"/>
      <c r="BH560" s="5"/>
      <c r="BJ560" s="5"/>
      <c r="BL560" s="5"/>
      <c r="BN560" s="5"/>
      <c r="BP560" s="5"/>
      <c r="BR560" s="5"/>
    </row>
    <row r="561" spans="1:70" x14ac:dyDescent="0.25">
      <c r="A561" s="3">
        <v>44193</v>
      </c>
      <c r="B561" s="1">
        <f t="shared" si="70"/>
        <v>12</v>
      </c>
      <c r="C561" s="1">
        <f t="shared" si="71"/>
        <v>2020</v>
      </c>
      <c r="D561" s="7">
        <v>1.8599462029662295</v>
      </c>
      <c r="E561" s="4">
        <v>1.4868429999999999</v>
      </c>
      <c r="F561" s="13">
        <v>353.3897785635836</v>
      </c>
      <c r="H561" s="4">
        <v>6.2144000000000004</v>
      </c>
      <c r="I561" s="4">
        <v>95.84</v>
      </c>
      <c r="J561" s="4">
        <v>97.3</v>
      </c>
      <c r="L561" s="14">
        <v>0.79940107817569828</v>
      </c>
      <c r="M561" s="14">
        <v>0.19</v>
      </c>
      <c r="N561" s="8">
        <v>0.98940107817569833</v>
      </c>
      <c r="O561" s="8"/>
      <c r="P561" s="6">
        <v>96.717202554243926</v>
      </c>
      <c r="Q561" s="6">
        <v>23.388203341916679</v>
      </c>
      <c r="S561" s="4">
        <v>744.85</v>
      </c>
      <c r="AZ561" s="5"/>
      <c r="BB561" s="5"/>
      <c r="BD561" s="5"/>
      <c r="BF561" s="5"/>
      <c r="BH561" s="5"/>
      <c r="BJ561" s="5"/>
      <c r="BL561" s="5"/>
      <c r="BN561" s="5"/>
      <c r="BP561" s="5"/>
      <c r="BR561" s="5"/>
    </row>
    <row r="562" spans="1:70" x14ac:dyDescent="0.25">
      <c r="A562" s="3">
        <v>44200</v>
      </c>
      <c r="B562" s="1">
        <f t="shared" si="70"/>
        <v>1</v>
      </c>
      <c r="C562" s="1">
        <f t="shared" si="71"/>
        <v>2021</v>
      </c>
      <c r="D562" s="4">
        <v>1.68458</v>
      </c>
      <c r="E562" s="7">
        <v>1.3548375783063651</v>
      </c>
      <c r="F562" s="5">
        <v>320.07</v>
      </c>
      <c r="H562" s="4">
        <v>6.4760999999999997</v>
      </c>
      <c r="I562" s="4">
        <v>88.44</v>
      </c>
      <c r="J562" s="4">
        <v>88.37</v>
      </c>
      <c r="L562" s="14">
        <v>0.80425837793774413</v>
      </c>
      <c r="M562" s="8">
        <v>0.18999988127604506</v>
      </c>
      <c r="N562" s="8">
        <v>0.99425825921378919</v>
      </c>
      <c r="O562" s="8"/>
      <c r="P562" s="6">
        <v>87.598159999999993</v>
      </c>
      <c r="Q562" s="6">
        <v>26.910387158817034</v>
      </c>
      <c r="S562" s="4">
        <v>917.3</v>
      </c>
      <c r="AZ562" s="5"/>
      <c r="BB562" s="5"/>
      <c r="BD562" s="5"/>
      <c r="BF562" s="5"/>
      <c r="BH562" s="5"/>
      <c r="BJ562" s="5"/>
      <c r="BL562" s="5"/>
      <c r="BN562" s="5"/>
      <c r="BP562" s="5"/>
      <c r="BR562" s="5"/>
    </row>
    <row r="563" spans="1:70" x14ac:dyDescent="0.25">
      <c r="A563" s="3">
        <v>44207</v>
      </c>
      <c r="B563" s="1">
        <f t="shared" si="70"/>
        <v>1</v>
      </c>
      <c r="C563" s="1">
        <f t="shared" si="71"/>
        <v>2021</v>
      </c>
      <c r="D563" s="4">
        <v>1.9819800000000001</v>
      </c>
      <c r="E563" s="4">
        <v>1.3308180000000001</v>
      </c>
      <c r="F563" s="5">
        <v>376.57600000000002</v>
      </c>
      <c r="H563" s="4">
        <v>6.4253</v>
      </c>
      <c r="I563" s="4">
        <v>84.8</v>
      </c>
      <c r="J563" s="4">
        <v>68.17</v>
      </c>
      <c r="L563" s="8">
        <v>0.6714588441861169</v>
      </c>
      <c r="M563" s="8">
        <v>0.18999989909080819</v>
      </c>
      <c r="N563" s="8">
        <v>0.86145874327692507</v>
      </c>
      <c r="O563" s="8"/>
      <c r="P563" s="6">
        <v>103.06296</v>
      </c>
      <c r="Q563" s="6">
        <v>22.693014056650419</v>
      </c>
      <c r="S563" s="4">
        <v>1211.0999999999999</v>
      </c>
      <c r="AZ563" s="5"/>
      <c r="BB563" s="5"/>
      <c r="BD563" s="5"/>
      <c r="BF563" s="5"/>
      <c r="BH563" s="5"/>
      <c r="BJ563" s="5"/>
      <c r="BL563" s="5"/>
      <c r="BN563" s="5"/>
      <c r="BP563" s="5"/>
      <c r="BR563" s="5"/>
    </row>
    <row r="564" spans="1:70" x14ac:dyDescent="0.25">
      <c r="A564" s="3">
        <v>44214</v>
      </c>
      <c r="B564" s="1">
        <f t="shared" si="70"/>
        <v>1</v>
      </c>
      <c r="C564" s="1">
        <f t="shared" si="71"/>
        <v>2021</v>
      </c>
      <c r="D564" s="4">
        <v>2.1076199999999998</v>
      </c>
      <c r="E564" s="4">
        <v>1.5657639999999999</v>
      </c>
      <c r="F564" s="5">
        <v>400.44799999999998</v>
      </c>
      <c r="H564" s="4">
        <v>5.8422999999999998</v>
      </c>
      <c r="I564" s="4">
        <v>81.569999999999993</v>
      </c>
      <c r="J564" s="4">
        <v>52.96</v>
      </c>
      <c r="L564" s="8">
        <v>0.7429062164906387</v>
      </c>
      <c r="M564" s="8">
        <v>0.19000009489376643</v>
      </c>
      <c r="N564" s="8">
        <v>0.93290631138440516</v>
      </c>
      <c r="O564" s="8"/>
      <c r="P564" s="6">
        <v>109.59623999999999</v>
      </c>
      <c r="Q564" s="6">
        <v>19.403924806179482</v>
      </c>
      <c r="S564" s="4">
        <v>1074.5999999999999</v>
      </c>
      <c r="AZ564" s="5"/>
      <c r="BB564" s="5"/>
      <c r="BD564" s="5"/>
      <c r="BF564" s="5"/>
      <c r="BH564" s="5"/>
      <c r="BJ564" s="5"/>
      <c r="BL564" s="5"/>
      <c r="BN564" s="5"/>
      <c r="BP564" s="5"/>
      <c r="BR564" s="5"/>
    </row>
    <row r="565" spans="1:70" x14ac:dyDescent="0.25">
      <c r="A565" s="3">
        <v>44221</v>
      </c>
      <c r="B565" s="1">
        <f t="shared" si="70"/>
        <v>1</v>
      </c>
      <c r="C565" s="1">
        <f t="shared" si="71"/>
        <v>2021</v>
      </c>
      <c r="D565" s="4">
        <v>2.1488</v>
      </c>
      <c r="E565" s="4">
        <v>1.6650199999999999</v>
      </c>
      <c r="F565" s="5">
        <v>408.27199999999999</v>
      </c>
      <c r="H565" s="4">
        <v>5.4873000000000003</v>
      </c>
      <c r="I565" s="4">
        <v>80.459999999999994</v>
      </c>
      <c r="J565" s="4">
        <v>47.73</v>
      </c>
      <c r="L565" s="8">
        <v>0.77486038719285177</v>
      </c>
      <c r="M565" s="8">
        <v>0.18999999999999997</v>
      </c>
      <c r="N565" s="8">
        <v>0.96486038719285172</v>
      </c>
      <c r="O565" s="8"/>
      <c r="P565" s="6">
        <v>111.7376</v>
      </c>
      <c r="Q565" s="6">
        <v>17.875604988830975</v>
      </c>
      <c r="S565" s="4">
        <v>1124</v>
      </c>
      <c r="AZ565" s="5"/>
      <c r="BB565" s="5"/>
      <c r="BD565" s="5"/>
      <c r="BF565" s="5"/>
      <c r="BH565" s="5"/>
      <c r="BJ565" s="5"/>
      <c r="BL565" s="5"/>
      <c r="BN565" s="5"/>
      <c r="BP565" s="5"/>
      <c r="BR565" s="5"/>
    </row>
    <row r="566" spans="1:70" x14ac:dyDescent="0.25">
      <c r="A566" s="3">
        <v>44228</v>
      </c>
      <c r="B566" s="1">
        <f t="shared" si="70"/>
        <v>2</v>
      </c>
      <c r="C566" s="1">
        <f t="shared" si="71"/>
        <v>2021</v>
      </c>
      <c r="D566" s="4">
        <v>1.9873000000000001</v>
      </c>
      <c r="E566" s="4">
        <v>1.6975519999999999</v>
      </c>
      <c r="F566" s="5">
        <v>377.58699999999999</v>
      </c>
      <c r="H566" s="4">
        <v>4.8377999999999997</v>
      </c>
      <c r="I566" s="4">
        <v>83.66</v>
      </c>
      <c r="J566" s="4">
        <v>50.98</v>
      </c>
      <c r="L566" s="8">
        <v>0.85420017108639856</v>
      </c>
      <c r="M566" s="8">
        <v>0.19</v>
      </c>
      <c r="N566" s="8">
        <v>1.0442001710863986</v>
      </c>
      <c r="O566" s="8"/>
      <c r="P566" s="6">
        <v>103.3396</v>
      </c>
      <c r="Q566" s="6">
        <v>17.040507220852412</v>
      </c>
      <c r="S566" s="4">
        <v>1033.8</v>
      </c>
      <c r="AZ566" s="5"/>
      <c r="BB566" s="5"/>
      <c r="BD566" s="5"/>
      <c r="BF566" s="5"/>
      <c r="BH566" s="5"/>
      <c r="BJ566" s="5"/>
      <c r="BL566" s="5"/>
      <c r="BN566" s="5"/>
      <c r="BP566" s="5"/>
      <c r="BR566" s="5"/>
    </row>
    <row r="567" spans="1:70" x14ac:dyDescent="0.25">
      <c r="A567" s="3">
        <v>44235</v>
      </c>
      <c r="B567" s="1">
        <f t="shared" si="70"/>
        <v>2</v>
      </c>
      <c r="C567" s="1">
        <f t="shared" si="71"/>
        <v>2021</v>
      </c>
      <c r="D567" s="4">
        <v>0.91359999999999997</v>
      </c>
      <c r="E567" s="4">
        <v>1.5699669999999999</v>
      </c>
      <c r="F567" s="5">
        <v>173.584</v>
      </c>
      <c r="H567" s="4">
        <v>5.4472000000000005</v>
      </c>
      <c r="I567" s="4">
        <v>85.5</v>
      </c>
      <c r="J567" s="4">
        <v>72.8</v>
      </c>
      <c r="L567" s="8">
        <v>1.7184402364273204</v>
      </c>
      <c r="M567" s="8">
        <v>0.19000000000000003</v>
      </c>
      <c r="N567" s="8">
        <v>1.9084402364273203</v>
      </c>
      <c r="O567" s="8"/>
      <c r="P567" s="6">
        <v>47.507199999999997</v>
      </c>
      <c r="Q567" s="6">
        <v>41.736427320490371</v>
      </c>
      <c r="S567" s="4">
        <v>1088.9000000000001</v>
      </c>
      <c r="AZ567" s="5"/>
      <c r="BB567" s="5"/>
      <c r="BD567" s="5"/>
      <c r="BF567" s="5"/>
      <c r="BH567" s="5"/>
      <c r="BJ567" s="5"/>
      <c r="BL567" s="5"/>
      <c r="BN567" s="5"/>
      <c r="BP567" s="5"/>
      <c r="BR567" s="5"/>
    </row>
    <row r="568" spans="1:70" x14ac:dyDescent="0.25">
      <c r="A568" s="3">
        <v>44242</v>
      </c>
      <c r="B568" s="1">
        <f t="shared" si="70"/>
        <v>2</v>
      </c>
      <c r="C568" s="1">
        <f t="shared" si="71"/>
        <v>2021</v>
      </c>
      <c r="D568" s="4">
        <v>0.32900000000000001</v>
      </c>
      <c r="E568" s="4">
        <v>0.72174400000000005</v>
      </c>
      <c r="F568" s="5">
        <v>62.51</v>
      </c>
      <c r="H568" s="4">
        <v>5.7303999999999995</v>
      </c>
      <c r="I568" s="4">
        <v>87.36</v>
      </c>
      <c r="J568" s="4">
        <v>75.88</v>
      </c>
      <c r="L568" s="8">
        <v>2.1937507598784194</v>
      </c>
      <c r="M568" s="8">
        <v>0.18999999999999997</v>
      </c>
      <c r="N568" s="8">
        <v>2.3837507598784193</v>
      </c>
      <c r="O568" s="8"/>
      <c r="P568" s="6">
        <v>17.108000000000001</v>
      </c>
      <c r="Q568" s="6">
        <v>121.92340425531914</v>
      </c>
      <c r="S568" s="4">
        <v>943.7</v>
      </c>
      <c r="AZ568" s="5"/>
      <c r="BB568" s="5"/>
      <c r="BD568" s="5"/>
      <c r="BF568" s="5"/>
      <c r="BH568" s="5"/>
      <c r="BJ568" s="5"/>
      <c r="BL568" s="5"/>
      <c r="BN568" s="5"/>
      <c r="BP568" s="5"/>
      <c r="BR568" s="5"/>
    </row>
    <row r="569" spans="1:70" x14ac:dyDescent="0.25">
      <c r="A569" s="3">
        <v>44249</v>
      </c>
      <c r="B569" s="1">
        <f t="shared" si="70"/>
        <v>2</v>
      </c>
      <c r="C569" s="1">
        <f t="shared" si="71"/>
        <v>2021</v>
      </c>
      <c r="D569" s="4">
        <v>1.5192000000000001</v>
      </c>
      <c r="E569" s="4">
        <v>0.25990999999999997</v>
      </c>
      <c r="F569" s="5">
        <v>288.64800000000002</v>
      </c>
      <c r="H569" s="4">
        <v>6.0152999999999999</v>
      </c>
      <c r="I569" s="4">
        <v>84.74</v>
      </c>
      <c r="J569" s="4">
        <v>83.02</v>
      </c>
      <c r="L569" s="8">
        <v>0.17108346498156921</v>
      </c>
      <c r="M569" s="8">
        <v>0.19</v>
      </c>
      <c r="N569" s="8">
        <v>0.36108346498156918</v>
      </c>
      <c r="O569" s="8"/>
      <c r="P569" s="6">
        <v>78.998400000000004</v>
      </c>
      <c r="Q569" s="6">
        <v>27.716627172195892</v>
      </c>
      <c r="S569" s="4">
        <v>821.3</v>
      </c>
      <c r="AZ569" s="5"/>
      <c r="BB569" s="5"/>
      <c r="BD569" s="5"/>
      <c r="BF569" s="5"/>
      <c r="BH569" s="5"/>
      <c r="BJ569" s="5"/>
      <c r="BL569" s="5"/>
      <c r="BN569" s="5"/>
      <c r="BP569" s="5"/>
      <c r="BR569" s="5"/>
    </row>
    <row r="570" spans="1:70" x14ac:dyDescent="0.25">
      <c r="A570" s="3">
        <v>44256</v>
      </c>
      <c r="B570" s="1">
        <f t="shared" si="70"/>
        <v>3</v>
      </c>
      <c r="C570" s="1">
        <f t="shared" si="71"/>
        <v>2021</v>
      </c>
      <c r="D570" s="4">
        <v>1.6815</v>
      </c>
      <c r="E570" s="4">
        <v>1.2001679999999999</v>
      </c>
      <c r="F570" s="5">
        <v>319.48500000000001</v>
      </c>
      <c r="H570" s="4">
        <v>5.7558000000000007</v>
      </c>
      <c r="I570" s="4">
        <v>83.07</v>
      </c>
      <c r="J570" s="4">
        <v>94.77</v>
      </c>
      <c r="L570" s="8">
        <v>0.71374843889384476</v>
      </c>
      <c r="M570" s="8">
        <v>0.19</v>
      </c>
      <c r="N570" s="8">
        <v>0.90374843889384482</v>
      </c>
      <c r="O570" s="8"/>
      <c r="P570" s="6">
        <v>87.438000000000002</v>
      </c>
      <c r="Q570" s="6">
        <v>23.961106155218559</v>
      </c>
      <c r="S570" s="4">
        <v>755.4</v>
      </c>
      <c r="AZ570" s="5"/>
      <c r="BB570" s="5"/>
      <c r="BD570" s="5"/>
      <c r="BF570" s="5"/>
      <c r="BH570" s="5"/>
      <c r="BJ570" s="5"/>
      <c r="BL570" s="5"/>
      <c r="BN570" s="5"/>
      <c r="BP570" s="5"/>
      <c r="BR570" s="5"/>
    </row>
    <row r="571" spans="1:70" x14ac:dyDescent="0.25">
      <c r="A571" s="3">
        <v>44266</v>
      </c>
      <c r="B571" s="1">
        <f t="shared" si="70"/>
        <v>3</v>
      </c>
      <c r="C571" s="1">
        <f t="shared" si="71"/>
        <v>2021</v>
      </c>
      <c r="D571" s="4">
        <v>1.4487000000000001</v>
      </c>
      <c r="E571" s="4">
        <v>1.3283849999999999</v>
      </c>
      <c r="F571" s="5">
        <v>275.25299999999999</v>
      </c>
      <c r="H571" s="4">
        <v>5.2652999999999999</v>
      </c>
      <c r="I571" s="4">
        <v>74.83</v>
      </c>
      <c r="J571" s="4">
        <v>85.3</v>
      </c>
      <c r="L571" s="8">
        <v>0.91694967902257185</v>
      </c>
      <c r="M571" s="8">
        <v>0.18999999999999997</v>
      </c>
      <c r="N571" s="8">
        <v>1.1069496790225719</v>
      </c>
      <c r="O571" s="8"/>
      <c r="P571" s="6">
        <v>75.332400000000007</v>
      </c>
      <c r="Q571" s="6">
        <v>25.441499275212259</v>
      </c>
      <c r="S571" s="4">
        <v>666.7</v>
      </c>
      <c r="AZ571" s="5"/>
      <c r="BB571" s="5"/>
      <c r="BD571" s="5"/>
      <c r="BF571" s="5"/>
      <c r="BH571" s="5"/>
      <c r="BJ571" s="5"/>
      <c r="BL571" s="5"/>
      <c r="BN571" s="5"/>
      <c r="BP571" s="5"/>
      <c r="BR571" s="5"/>
    </row>
    <row r="572" spans="1:70" x14ac:dyDescent="0.25">
      <c r="A572" s="3">
        <v>44273</v>
      </c>
      <c r="B572" s="1">
        <f t="shared" si="70"/>
        <v>3</v>
      </c>
      <c r="C572" s="1">
        <f t="shared" si="71"/>
        <v>2021</v>
      </c>
      <c r="D572" s="4">
        <v>1.57</v>
      </c>
      <c r="E572" s="4">
        <f>L572*D572</f>
        <v>1.2403000000000002</v>
      </c>
      <c r="F572" s="5">
        <f>D572*M572*1000</f>
        <v>298.3</v>
      </c>
      <c r="H572" s="4" t="e">
        <f ca="1">_xll.RHistory("CFD-SBSTK-NATN","NDA_RAW.Nda_last","START:"&amp;$A572&amp;" END:"&amp;$A572&amp;" INTERVAL:1W",,,)/100</f>
        <v>#NAME?</v>
      </c>
      <c r="I572" s="7">
        <v>75</v>
      </c>
      <c r="J572" s="7">
        <v>85</v>
      </c>
      <c r="L572" s="8">
        <v>0.79</v>
      </c>
      <c r="M572" s="8">
        <v>0.19</v>
      </c>
      <c r="N572" s="8">
        <f t="shared" ref="N572:N577" si="72">M572+L572</f>
        <v>0.98</v>
      </c>
      <c r="O572" s="8"/>
      <c r="P572" s="6">
        <f t="shared" ref="P572:P577" si="73">D572*52</f>
        <v>81.64</v>
      </c>
      <c r="Q572" s="6" t="e">
        <f t="shared" ref="Q572:Q577" ca="1" si="74">IF(H572="","",IF(D572="","",H572/(D572/7)))</f>
        <v>#NAME?</v>
      </c>
      <c r="S572" s="4" t="e">
        <f ca="1">_xll.RHistory("JCI-SBMG-DALNI","NDA_RAW.Nda_last","START:"&amp;$A572&amp;" END:"&amp;$A572&amp;" INTERVAL:1W",,,)</f>
        <v>#NAME?</v>
      </c>
      <c r="AZ572" s="5"/>
      <c r="BB572" s="5"/>
      <c r="BD572" s="5"/>
      <c r="BF572" s="5"/>
      <c r="BH572" s="5"/>
      <c r="BJ572" s="5"/>
      <c r="BL572" s="5"/>
      <c r="BN572" s="5"/>
      <c r="BP572" s="5"/>
      <c r="BR572" s="5"/>
    </row>
    <row r="573" spans="1:70" x14ac:dyDescent="0.25">
      <c r="A573" s="3">
        <v>44280</v>
      </c>
      <c r="B573" s="1">
        <f t="shared" si="70"/>
        <v>3</v>
      </c>
      <c r="C573" s="1">
        <f t="shared" si="71"/>
        <v>2021</v>
      </c>
      <c r="D573" s="4">
        <v>1.56</v>
      </c>
      <c r="E573" s="4">
        <f t="shared" ref="E573:E636" si="75">L573*D573</f>
        <v>1.2324000000000002</v>
      </c>
      <c r="F573" s="5">
        <f t="shared" ref="F573:F636" si="76">D573*M573*1000</f>
        <v>296.39999999999998</v>
      </c>
      <c r="H573" s="4" t="e">
        <f ca="1">_xll.RHistory("CFD-SBSTK-NATN","NDA_RAW.Nda_last","START:"&amp;$A573&amp;" END:"&amp;$A573&amp;" INTERVAL:1W",,,)/100</f>
        <v>#NAME?</v>
      </c>
      <c r="I573" s="7">
        <v>75</v>
      </c>
      <c r="J573" s="7">
        <v>85</v>
      </c>
      <c r="L573" s="8">
        <v>0.79</v>
      </c>
      <c r="M573" s="8">
        <v>0.19</v>
      </c>
      <c r="N573" s="8">
        <f t="shared" si="72"/>
        <v>0.98</v>
      </c>
      <c r="O573" s="8"/>
      <c r="P573" s="6">
        <f t="shared" si="73"/>
        <v>81.12</v>
      </c>
      <c r="Q573" s="6" t="e">
        <f t="shared" ca="1" si="74"/>
        <v>#NAME?</v>
      </c>
      <c r="S573" s="4" t="e">
        <f ca="1">_xll.RHistory("JCI-SBMG-DALNI","NDA_RAW.Nda_last","START:"&amp;$A573&amp;" END:"&amp;$A573&amp;" INTERVAL:1W",,,)</f>
        <v>#NAME?</v>
      </c>
      <c r="AZ573" s="5"/>
      <c r="BB573" s="5"/>
      <c r="BD573" s="5"/>
      <c r="BF573" s="5"/>
      <c r="BH573" s="5"/>
      <c r="BJ573" s="5"/>
      <c r="BL573" s="5"/>
      <c r="BN573" s="5"/>
      <c r="BP573" s="5"/>
      <c r="BR573" s="5"/>
    </row>
    <row r="574" spans="1:70" x14ac:dyDescent="0.25">
      <c r="A574" s="3">
        <v>44287</v>
      </c>
      <c r="B574" s="1">
        <f t="shared" si="70"/>
        <v>4</v>
      </c>
      <c r="C574" s="1">
        <f t="shared" si="71"/>
        <v>2021</v>
      </c>
      <c r="D574" s="4">
        <v>1.55</v>
      </c>
      <c r="E574" s="4">
        <f t="shared" si="75"/>
        <v>1.2245000000000001</v>
      </c>
      <c r="F574" s="5">
        <f t="shared" si="76"/>
        <v>294.50000000000006</v>
      </c>
      <c r="H574" s="4" t="e">
        <f ca="1">_xll.RHistory("CFD-SBSTK-NATN","NDA_RAW.Nda_last","START:"&amp;$A574&amp;" END:"&amp;$A574&amp;" INTERVAL:1W",,,)/100</f>
        <v>#NAME?</v>
      </c>
      <c r="I574" s="7">
        <v>75</v>
      </c>
      <c r="J574" s="7">
        <v>85</v>
      </c>
      <c r="L574" s="8">
        <v>0.79</v>
      </c>
      <c r="M574" s="8">
        <v>0.19</v>
      </c>
      <c r="N574" s="8">
        <f t="shared" si="72"/>
        <v>0.98</v>
      </c>
      <c r="O574" s="8"/>
      <c r="P574" s="6">
        <f t="shared" si="73"/>
        <v>80.600000000000009</v>
      </c>
      <c r="Q574" s="6" t="e">
        <f t="shared" ca="1" si="74"/>
        <v>#NAME?</v>
      </c>
      <c r="S574" s="4" t="e">
        <f ca="1">_xll.RHistory("JCI-SBMG-DALNI","NDA_RAW.Nda_last","START:"&amp;$A574&amp;" END:"&amp;$A574&amp;" INTERVAL:1W",,,)</f>
        <v>#NAME?</v>
      </c>
      <c r="AZ574" s="5"/>
      <c r="BB574" s="5"/>
      <c r="BD574" s="5"/>
      <c r="BF574" s="5"/>
      <c r="BH574" s="5"/>
      <c r="BJ574" s="5"/>
      <c r="BL574" s="5"/>
      <c r="BN574" s="5"/>
      <c r="BP574" s="5"/>
      <c r="BR574" s="5"/>
    </row>
    <row r="575" spans="1:70" x14ac:dyDescent="0.25">
      <c r="A575" s="3">
        <v>44294</v>
      </c>
      <c r="B575" s="1">
        <f t="shared" si="70"/>
        <v>4</v>
      </c>
      <c r="C575" s="1">
        <f t="shared" si="71"/>
        <v>2021</v>
      </c>
      <c r="D575" s="4">
        <v>1.36</v>
      </c>
      <c r="E575" s="4">
        <f t="shared" si="75"/>
        <v>1.0744</v>
      </c>
      <c r="F575" s="5">
        <f t="shared" si="76"/>
        <v>258.40000000000003</v>
      </c>
      <c r="H575" s="4" t="e">
        <f ca="1">_xll.RHistory("CFD-SBSTK-NATN","NDA_RAW.Nda_last","START:"&amp;$A575&amp;" END:"&amp;$A575&amp;" INTERVAL:1W",,,)/100</f>
        <v>#NAME?</v>
      </c>
      <c r="I575" s="7">
        <v>75</v>
      </c>
      <c r="J575" s="7">
        <v>85</v>
      </c>
      <c r="L575" s="8">
        <v>0.79</v>
      </c>
      <c r="M575" s="8">
        <v>0.19</v>
      </c>
      <c r="N575" s="8">
        <f t="shared" si="72"/>
        <v>0.98</v>
      </c>
      <c r="O575" s="8"/>
      <c r="P575" s="6">
        <f t="shared" si="73"/>
        <v>70.72</v>
      </c>
      <c r="Q575" s="6" t="e">
        <f t="shared" ca="1" si="74"/>
        <v>#NAME?</v>
      </c>
      <c r="S575" s="4" t="e">
        <f ca="1">_xll.RHistory("JCI-SBMG-DALNI","NDA_RAW.Nda_last","START:"&amp;$A575&amp;" END:"&amp;$A575&amp;" INTERVAL:1W",,,)</f>
        <v>#NAME?</v>
      </c>
      <c r="AZ575" s="5"/>
      <c r="BB575" s="5"/>
      <c r="BD575" s="5"/>
      <c r="BF575" s="5"/>
      <c r="BH575" s="5"/>
      <c r="BJ575" s="5"/>
      <c r="BL575" s="5"/>
      <c r="BN575" s="5"/>
      <c r="BP575" s="5"/>
      <c r="BR575" s="5"/>
    </row>
    <row r="576" spans="1:70" x14ac:dyDescent="0.25">
      <c r="A576" s="3">
        <v>44301</v>
      </c>
      <c r="B576" s="1">
        <f t="shared" si="70"/>
        <v>4</v>
      </c>
      <c r="C576" s="1">
        <f t="shared" si="71"/>
        <v>2021</v>
      </c>
      <c r="D576" s="4">
        <v>1.62</v>
      </c>
      <c r="E576" s="4">
        <f t="shared" si="75"/>
        <v>1.2798</v>
      </c>
      <c r="F576" s="5">
        <f t="shared" si="76"/>
        <v>307.8</v>
      </c>
      <c r="H576" s="4" t="e">
        <f ca="1">_xll.RHistory("CFD-SBSTK-NATN","NDA_RAW.Nda_last","START:"&amp;$A576&amp;" END:"&amp;$A576&amp;" INTERVAL:1W",,,)/100</f>
        <v>#NAME?</v>
      </c>
      <c r="I576" s="7">
        <v>75</v>
      </c>
      <c r="J576" s="7">
        <v>85</v>
      </c>
      <c r="L576" s="8">
        <v>0.79</v>
      </c>
      <c r="M576" s="8">
        <v>0.19</v>
      </c>
      <c r="N576" s="8">
        <f t="shared" si="72"/>
        <v>0.98</v>
      </c>
      <c r="O576" s="8"/>
      <c r="P576" s="6">
        <f t="shared" si="73"/>
        <v>84.240000000000009</v>
      </c>
      <c r="Q576" s="6" t="e">
        <f t="shared" ca="1" si="74"/>
        <v>#NAME?</v>
      </c>
      <c r="S576" s="4" t="e">
        <f ca="1">_xll.RHistory("JCI-SBMG-DALNI","NDA_RAW.Nda_last","START:"&amp;$A576&amp;" END:"&amp;$A576&amp;" INTERVAL:1W",,,)</f>
        <v>#NAME?</v>
      </c>
      <c r="AZ576" s="5"/>
      <c r="BB576" s="5"/>
      <c r="BD576" s="5"/>
      <c r="BF576" s="5"/>
      <c r="BH576" s="5"/>
      <c r="BJ576" s="5"/>
      <c r="BL576" s="5"/>
      <c r="BN576" s="5"/>
      <c r="BP576" s="5"/>
      <c r="BR576" s="5"/>
    </row>
    <row r="577" spans="1:70" x14ac:dyDescent="0.25">
      <c r="A577" s="3">
        <v>44308</v>
      </c>
      <c r="B577" s="1">
        <f t="shared" si="70"/>
        <v>4</v>
      </c>
      <c r="C577" s="1">
        <f t="shared" si="71"/>
        <v>2021</v>
      </c>
      <c r="D577" s="10">
        <v>1.78</v>
      </c>
      <c r="E577" s="4">
        <f t="shared" si="75"/>
        <v>1.4062000000000001</v>
      </c>
      <c r="F577" s="5">
        <f t="shared" si="76"/>
        <v>338.2</v>
      </c>
      <c r="H577" s="4" t="e">
        <f ca="1">_xll.RHistory("CFD-SBSTK-NATN","NDA_RAW.Nda_last","START:"&amp;$A577&amp;" END:"&amp;$A577&amp;" INTERVAL:1W",,,)/100</f>
        <v>#NAME?</v>
      </c>
      <c r="I577" s="4">
        <v>75</v>
      </c>
      <c r="J577" s="4">
        <v>85</v>
      </c>
      <c r="L577" s="8">
        <v>0.79</v>
      </c>
      <c r="M577" s="8">
        <v>0.19</v>
      </c>
      <c r="N577" s="8">
        <f t="shared" si="72"/>
        <v>0.98</v>
      </c>
      <c r="O577" s="8"/>
      <c r="P577" s="6">
        <f t="shared" si="73"/>
        <v>92.56</v>
      </c>
      <c r="Q577" s="6" t="e">
        <f t="shared" ca="1" si="74"/>
        <v>#NAME?</v>
      </c>
      <c r="S577" s="4" t="e">
        <f ca="1">_xll.RHistory("JCI-SBMG-DALNI","NDA_RAW.Nda_last","START:"&amp;$A577&amp;" END:"&amp;$A577&amp;" INTERVAL:1W",,,)</f>
        <v>#NAME?</v>
      </c>
      <c r="AZ577" s="5"/>
      <c r="BB577" s="5"/>
      <c r="BD577" s="5"/>
      <c r="BF577" s="5"/>
      <c r="BH577" s="5"/>
      <c r="BJ577" s="5"/>
      <c r="BL577" s="5"/>
      <c r="BN577" s="5"/>
      <c r="BP577" s="5"/>
      <c r="BR577" s="5"/>
    </row>
    <row r="578" spans="1:70" x14ac:dyDescent="0.25">
      <c r="A578" s="3">
        <v>44315</v>
      </c>
      <c r="B578" s="1">
        <f t="shared" si="70"/>
        <v>4</v>
      </c>
      <c r="C578" s="1">
        <f t="shared" si="71"/>
        <v>2021</v>
      </c>
      <c r="D578" s="1">
        <v>1.82</v>
      </c>
      <c r="E578" s="4">
        <f t="shared" si="75"/>
        <v>1.4378000000000002</v>
      </c>
      <c r="F578" s="5">
        <f t="shared" si="76"/>
        <v>345.8</v>
      </c>
      <c r="L578" s="8">
        <v>0.79</v>
      </c>
      <c r="M578" s="8">
        <v>0.19</v>
      </c>
      <c r="S578" s="4" t="e">
        <f ca="1">_xll.RHistory("JCI-SBMG-DALNI","NDA_RAW.Nda_last","START:"&amp;$A578&amp;" END:"&amp;$A578&amp;" INTERVAL:1W",,,)</f>
        <v>#NAME?</v>
      </c>
      <c r="AZ578" s="5"/>
      <c r="BB578" s="5"/>
      <c r="BD578" s="5"/>
      <c r="BF578" s="5"/>
      <c r="BH578" s="5"/>
      <c r="BJ578" s="5"/>
      <c r="BL578" s="5"/>
      <c r="BN578" s="5"/>
      <c r="BP578" s="5"/>
      <c r="BR578" s="5"/>
    </row>
    <row r="579" spans="1:70" x14ac:dyDescent="0.25">
      <c r="A579" s="3">
        <v>44322</v>
      </c>
      <c r="B579" s="1">
        <f t="shared" si="70"/>
        <v>5</v>
      </c>
      <c r="C579" s="1">
        <f t="shared" si="71"/>
        <v>2021</v>
      </c>
      <c r="E579" s="4"/>
      <c r="F579" s="5"/>
      <c r="I579" s="4" t="e">
        <f ca="1">_xll.RHistory("CFD-SBOST-NATN","NDA_RAW.Nda_last","START:"&amp;$A579&amp;" END:"&amp;$A579&amp;" INTERVAL:1W",,,)</f>
        <v>#NAME?</v>
      </c>
      <c r="J579" s="4" t="e">
        <f ca="1">_xll.RHistory("CFD-SBMST-NATN","NDA_RAW.Nda_last","START:"&amp;$A579&amp;" END:"&amp;$A579&amp;" INTERVAL:1W",,,)</f>
        <v>#NAME?</v>
      </c>
      <c r="L579" s="8">
        <v>0.79</v>
      </c>
      <c r="M579" s="8">
        <v>0.19</v>
      </c>
      <c r="S579" s="4" t="e">
        <f ca="1">_xll.RHistory("JCI-SBMG-DALNI","NDA_RAW.Nda_last","START:"&amp;$A579&amp;" END:"&amp;$A579&amp;" INTERVAL:1W",,,)</f>
        <v>#NAME?</v>
      </c>
      <c r="AZ579" s="5"/>
      <c r="BB579" s="5"/>
      <c r="BD579" s="5"/>
      <c r="BF579" s="5"/>
      <c r="BH579" s="5"/>
      <c r="BJ579" s="5"/>
      <c r="BL579" s="5"/>
      <c r="BN579" s="5"/>
      <c r="BP579" s="5"/>
      <c r="BR579" s="5"/>
    </row>
    <row r="580" spans="1:70" x14ac:dyDescent="0.25">
      <c r="A580" s="3">
        <v>44329</v>
      </c>
      <c r="B580" s="1">
        <f t="shared" si="70"/>
        <v>5</v>
      </c>
      <c r="C580" s="1">
        <f t="shared" si="71"/>
        <v>2021</v>
      </c>
      <c r="D580" s="1">
        <v>1.88</v>
      </c>
      <c r="E580" s="4">
        <f t="shared" si="75"/>
        <v>1.4852000000000001</v>
      </c>
      <c r="F580" s="5">
        <f t="shared" si="76"/>
        <v>357.2</v>
      </c>
      <c r="L580" s="8">
        <v>0.79</v>
      </c>
      <c r="M580" s="8">
        <v>0.19</v>
      </c>
      <c r="S580" s="4" t="e">
        <f ca="1">_xll.RHistory("JCI-SBMG-DALNI","NDA_RAW.Nda_last","START:"&amp;$A580&amp;" END:"&amp;$A580&amp;" INTERVAL:1W",,,)</f>
        <v>#NAME?</v>
      </c>
      <c r="AZ580" s="5"/>
      <c r="BB580" s="5"/>
      <c r="BD580" s="5"/>
      <c r="BF580" s="5"/>
      <c r="BH580" s="5"/>
      <c r="BJ580" s="5"/>
      <c r="BL580" s="5"/>
      <c r="BN580" s="5"/>
      <c r="BP580" s="5"/>
      <c r="BR580" s="5"/>
    </row>
    <row r="581" spans="1:70" x14ac:dyDescent="0.25">
      <c r="A581" s="3">
        <v>44336</v>
      </c>
      <c r="B581" s="1">
        <f t="shared" si="70"/>
        <v>5</v>
      </c>
      <c r="C581" s="1">
        <f t="shared" si="71"/>
        <v>2021</v>
      </c>
      <c r="D581" s="1">
        <v>1.92</v>
      </c>
      <c r="E581" s="4">
        <f t="shared" si="75"/>
        <v>1.5167999999999999</v>
      </c>
      <c r="F581" s="5">
        <f t="shared" si="76"/>
        <v>364.8</v>
      </c>
      <c r="L581" s="8">
        <v>0.79</v>
      </c>
      <c r="M581" s="8">
        <v>0.19</v>
      </c>
      <c r="S581" s="4" t="e">
        <f ca="1">_xll.RHistory("JCI-SBMG-DALNI","NDA_RAW.Nda_last","START:"&amp;$A581&amp;" END:"&amp;$A581&amp;" INTERVAL:1W",,,)</f>
        <v>#NAME?</v>
      </c>
      <c r="AZ581" s="5"/>
      <c r="BB581" s="5"/>
      <c r="BD581" s="5"/>
      <c r="BF581" s="5"/>
      <c r="BH581" s="5"/>
      <c r="BJ581" s="5"/>
      <c r="BL581" s="5"/>
      <c r="BN581" s="5"/>
      <c r="BP581" s="5"/>
      <c r="BR581" s="5"/>
    </row>
    <row r="582" spans="1:70" x14ac:dyDescent="0.25">
      <c r="A582" s="3">
        <v>44343</v>
      </c>
      <c r="B582" s="1">
        <f t="shared" si="70"/>
        <v>5</v>
      </c>
      <c r="C582" s="1">
        <f t="shared" si="71"/>
        <v>2021</v>
      </c>
      <c r="D582" s="1">
        <v>2.0699999999999998</v>
      </c>
      <c r="E582" s="4">
        <f t="shared" si="75"/>
        <v>1.6353</v>
      </c>
      <c r="F582" s="5">
        <f t="shared" si="76"/>
        <v>393.29999999999995</v>
      </c>
      <c r="L582" s="8">
        <v>0.79</v>
      </c>
      <c r="M582" s="8">
        <v>0.19</v>
      </c>
      <c r="S582" s="4" t="e">
        <f ca="1">_xll.RHistory("JCI-SBMG-DALNI","NDA_RAW.Nda_last","START:"&amp;$A582&amp;" END:"&amp;$A582&amp;" INTERVAL:1W",,,)</f>
        <v>#NAME?</v>
      </c>
      <c r="AZ582" s="5"/>
      <c r="BB582" s="5"/>
      <c r="BD582" s="5"/>
      <c r="BF582" s="5"/>
      <c r="BH582" s="5"/>
      <c r="BJ582" s="5"/>
      <c r="BL582" s="5"/>
      <c r="BN582" s="5"/>
      <c r="BP582" s="5"/>
      <c r="BR582" s="5"/>
    </row>
    <row r="583" spans="1:70" x14ac:dyDescent="0.25">
      <c r="A583" s="3">
        <v>44350</v>
      </c>
      <c r="B583" s="1">
        <f t="shared" si="70"/>
        <v>6</v>
      </c>
      <c r="C583" s="1">
        <f t="shared" si="71"/>
        <v>2021</v>
      </c>
      <c r="D583" s="1">
        <v>2.02</v>
      </c>
      <c r="E583" s="4">
        <f t="shared" si="75"/>
        <v>1.5958000000000001</v>
      </c>
      <c r="F583" s="5">
        <f t="shared" si="76"/>
        <v>383.8</v>
      </c>
      <c r="L583" s="8">
        <v>0.79</v>
      </c>
      <c r="M583" s="8">
        <v>0.19</v>
      </c>
      <c r="S583" s="4" t="e">
        <f ca="1">_xll.RHistory("JCI-SBMG-DALNI","NDA_RAW.Nda_last","START:"&amp;$A583&amp;" END:"&amp;$A583&amp;" INTERVAL:1W",,,)</f>
        <v>#NAME?</v>
      </c>
      <c r="AZ583" s="5"/>
      <c r="BB583" s="5"/>
      <c r="BD583" s="5"/>
      <c r="BF583" s="5"/>
      <c r="BH583" s="5"/>
      <c r="BJ583" s="5"/>
      <c r="BL583" s="5"/>
      <c r="BN583" s="5"/>
      <c r="BP583" s="5"/>
      <c r="BR583" s="5"/>
    </row>
    <row r="584" spans="1:70" x14ac:dyDescent="0.25">
      <c r="A584" s="3">
        <v>44357</v>
      </c>
      <c r="B584" s="1">
        <f t="shared" si="70"/>
        <v>6</v>
      </c>
      <c r="C584" s="1">
        <f t="shared" si="71"/>
        <v>2021</v>
      </c>
      <c r="D584" s="1">
        <v>1.95</v>
      </c>
      <c r="E584" s="4">
        <f t="shared" si="75"/>
        <v>1.5405</v>
      </c>
      <c r="F584" s="5">
        <f t="shared" si="76"/>
        <v>370.5</v>
      </c>
      <c r="L584" s="8">
        <v>0.79</v>
      </c>
      <c r="M584" s="8">
        <v>0.19</v>
      </c>
      <c r="S584" s="4" t="e">
        <f ca="1">_xll.RHistory("JCI-SBMG-DALNI","NDA_RAW.Nda_last","START:"&amp;$A584&amp;" END:"&amp;$A584&amp;" INTERVAL:1W",,,)</f>
        <v>#NAME?</v>
      </c>
      <c r="AZ584" s="5"/>
      <c r="BB584" s="5"/>
      <c r="BD584" s="5"/>
      <c r="BF584" s="5"/>
      <c r="BH584" s="5"/>
      <c r="BJ584" s="5"/>
      <c r="BL584" s="5"/>
      <c r="BN584" s="5"/>
      <c r="BP584" s="5"/>
      <c r="BR584" s="5"/>
    </row>
    <row r="585" spans="1:70" x14ac:dyDescent="0.25">
      <c r="A585" s="3">
        <v>44364</v>
      </c>
      <c r="B585" s="1">
        <f t="shared" si="70"/>
        <v>6</v>
      </c>
      <c r="C585" s="1">
        <f t="shared" si="71"/>
        <v>2021</v>
      </c>
      <c r="D585" s="1">
        <v>1.9</v>
      </c>
      <c r="E585" s="4">
        <f t="shared" si="75"/>
        <v>1.5009999999999999</v>
      </c>
      <c r="F585" s="5">
        <f t="shared" si="76"/>
        <v>361</v>
      </c>
      <c r="L585" s="8">
        <v>0.79</v>
      </c>
      <c r="M585" s="8">
        <v>0.19</v>
      </c>
      <c r="S585" s="4" t="e">
        <f ca="1">_xll.RHistory("JCI-SBMG-DALNI","NDA_RAW.Nda_last","START:"&amp;$A585&amp;" END:"&amp;$A585&amp;" INTERVAL:1W",,,)</f>
        <v>#NAME?</v>
      </c>
      <c r="AZ585" s="5"/>
      <c r="BB585" s="5"/>
      <c r="BD585" s="5"/>
      <c r="BF585" s="5"/>
      <c r="BH585" s="5"/>
      <c r="BJ585" s="5"/>
      <c r="BL585" s="5"/>
      <c r="BN585" s="5"/>
      <c r="BP585" s="5"/>
      <c r="BR585" s="5"/>
    </row>
    <row r="586" spans="1:70" x14ac:dyDescent="0.25">
      <c r="A586" s="3">
        <v>44371</v>
      </c>
      <c r="B586" s="1">
        <f t="shared" si="70"/>
        <v>6</v>
      </c>
      <c r="C586" s="1">
        <f t="shared" si="71"/>
        <v>2021</v>
      </c>
      <c r="D586" s="1">
        <v>1.72</v>
      </c>
      <c r="E586" s="4">
        <f t="shared" si="75"/>
        <v>1.3588</v>
      </c>
      <c r="F586" s="5">
        <f t="shared" si="76"/>
        <v>326.79999999999995</v>
      </c>
      <c r="L586" s="8">
        <v>0.79</v>
      </c>
      <c r="M586" s="8">
        <v>0.19</v>
      </c>
      <c r="S586" s="4" t="e">
        <f ca="1">_xll.RHistory("JCI-SBMG-DALNI","NDA_RAW.Nda_last","START:"&amp;$A586&amp;" END:"&amp;$A586&amp;" INTERVAL:1W",,,)</f>
        <v>#NAME?</v>
      </c>
      <c r="AZ586" s="5"/>
      <c r="BB586" s="5"/>
      <c r="BD586" s="5"/>
      <c r="BF586" s="5"/>
      <c r="BH586" s="5"/>
      <c r="BJ586" s="5"/>
      <c r="BL586" s="5"/>
      <c r="BN586" s="5"/>
      <c r="BP586" s="5"/>
      <c r="BR586" s="5"/>
    </row>
    <row r="587" spans="1:70" x14ac:dyDescent="0.25">
      <c r="A587" s="3">
        <v>44378</v>
      </c>
      <c r="B587" s="1">
        <f t="shared" si="70"/>
        <v>7</v>
      </c>
      <c r="C587" s="1">
        <f t="shared" si="71"/>
        <v>2021</v>
      </c>
      <c r="D587" s="1">
        <v>1.69</v>
      </c>
      <c r="E587" s="4">
        <f t="shared" si="75"/>
        <v>1.3351</v>
      </c>
      <c r="F587" s="5">
        <f t="shared" si="76"/>
        <v>321.10000000000002</v>
      </c>
      <c r="L587" s="8">
        <v>0.79</v>
      </c>
      <c r="M587" s="8">
        <v>0.19</v>
      </c>
      <c r="S587" s="4" t="e">
        <f ca="1">_xll.RHistory("JCI-SBMG-DALNI","NDA_RAW.Nda_last","START:"&amp;$A587&amp;" END:"&amp;$A587&amp;" INTERVAL:1W",,,)</f>
        <v>#NAME?</v>
      </c>
      <c r="AZ587" s="5"/>
      <c r="BB587" s="5"/>
      <c r="BD587" s="5"/>
      <c r="BF587" s="5"/>
      <c r="BH587" s="5"/>
      <c r="BJ587" s="5"/>
      <c r="BL587" s="5"/>
      <c r="BN587" s="5"/>
      <c r="BP587" s="5"/>
      <c r="BR587" s="5"/>
    </row>
    <row r="588" spans="1:70" x14ac:dyDescent="0.25">
      <c r="A588" s="3">
        <v>44385</v>
      </c>
      <c r="B588" s="1">
        <f t="shared" si="70"/>
        <v>7</v>
      </c>
      <c r="C588" s="1">
        <f t="shared" si="71"/>
        <v>2021</v>
      </c>
      <c r="D588" s="1">
        <v>1.78</v>
      </c>
      <c r="E588" s="4">
        <f t="shared" si="75"/>
        <v>1.4062000000000001</v>
      </c>
      <c r="F588" s="5">
        <f t="shared" si="76"/>
        <v>338.2</v>
      </c>
      <c r="L588" s="8">
        <v>0.79</v>
      </c>
      <c r="M588" s="8">
        <v>0.19</v>
      </c>
      <c r="S588" s="4" t="e">
        <f ca="1">_xll.RHistory("JCI-SBMG-DALNI","NDA_RAW.Nda_last","START:"&amp;$A588&amp;" END:"&amp;$A588&amp;" INTERVAL:1W",,,)</f>
        <v>#NAME?</v>
      </c>
      <c r="AZ588" s="5"/>
      <c r="BB588" s="5"/>
      <c r="BD588" s="5"/>
      <c r="BF588" s="5"/>
      <c r="BH588" s="5"/>
      <c r="BJ588" s="5"/>
      <c r="BL588" s="5"/>
      <c r="BN588" s="5"/>
      <c r="BP588" s="5"/>
      <c r="BR588" s="5"/>
    </row>
    <row r="589" spans="1:70" x14ac:dyDescent="0.25">
      <c r="A589" s="3">
        <v>44392</v>
      </c>
      <c r="B589" s="1">
        <f t="shared" si="70"/>
        <v>7</v>
      </c>
      <c r="C589" s="1">
        <f t="shared" si="71"/>
        <v>2021</v>
      </c>
      <c r="D589" s="1">
        <v>1.73</v>
      </c>
      <c r="E589" s="4">
        <f t="shared" si="75"/>
        <v>1.3667</v>
      </c>
      <c r="F589" s="5">
        <f t="shared" si="76"/>
        <v>328.7</v>
      </c>
      <c r="L589" s="8">
        <v>0.79</v>
      </c>
      <c r="M589" s="8">
        <v>0.19</v>
      </c>
      <c r="S589" s="4" t="e">
        <f ca="1">_xll.RHistory("JCI-SBMG-DALNI","NDA_RAW.Nda_last","START:"&amp;$A589&amp;" END:"&amp;$A589&amp;" INTERVAL:1W",,,)</f>
        <v>#NAME?</v>
      </c>
      <c r="AZ589" s="5"/>
      <c r="BB589" s="5"/>
      <c r="BD589" s="5"/>
      <c r="BF589" s="5"/>
      <c r="BH589" s="5"/>
      <c r="BJ589" s="5"/>
      <c r="BL589" s="5"/>
      <c r="BN589" s="5"/>
      <c r="BP589" s="5"/>
      <c r="BR589" s="5"/>
    </row>
    <row r="590" spans="1:70" x14ac:dyDescent="0.25">
      <c r="A590" s="3">
        <v>44399</v>
      </c>
      <c r="B590" s="1">
        <f t="shared" si="70"/>
        <v>7</v>
      </c>
      <c r="C590" s="1">
        <f t="shared" si="71"/>
        <v>2021</v>
      </c>
      <c r="D590" s="1">
        <v>1.88</v>
      </c>
      <c r="E590" s="4">
        <f t="shared" si="75"/>
        <v>1.4852000000000001</v>
      </c>
      <c r="F590" s="5">
        <f t="shared" si="76"/>
        <v>357.2</v>
      </c>
      <c r="L590" s="8">
        <v>0.79</v>
      </c>
      <c r="M590" s="8">
        <v>0.19</v>
      </c>
      <c r="S590" s="4" t="e">
        <f ca="1">_xll.RHistory("JCI-SBMG-DALNI","NDA_RAW.Nda_last","START:"&amp;$A590&amp;" END:"&amp;$A590&amp;" INTERVAL:1W",,,)</f>
        <v>#NAME?</v>
      </c>
      <c r="AZ590" s="5"/>
      <c r="BB590" s="5"/>
      <c r="BD590" s="5"/>
      <c r="BF590" s="5"/>
      <c r="BH590" s="5"/>
      <c r="BJ590" s="5"/>
      <c r="BL590" s="5"/>
      <c r="BN590" s="5"/>
      <c r="BP590" s="5"/>
      <c r="BR590" s="5"/>
    </row>
    <row r="591" spans="1:70" x14ac:dyDescent="0.25">
      <c r="A591" s="3">
        <v>44406</v>
      </c>
      <c r="B591" s="1">
        <f t="shared" si="70"/>
        <v>7</v>
      </c>
      <c r="C591" s="1">
        <f t="shared" si="71"/>
        <v>2021</v>
      </c>
      <c r="D591" s="1">
        <v>1.72</v>
      </c>
      <c r="E591" s="4">
        <f t="shared" si="75"/>
        <v>1.3588</v>
      </c>
      <c r="F591" s="5">
        <f t="shared" si="76"/>
        <v>326.79999999999995</v>
      </c>
      <c r="L591" s="8">
        <v>0.79</v>
      </c>
      <c r="M591" s="8">
        <v>0.19</v>
      </c>
      <c r="S591" s="4" t="e">
        <f ca="1">_xll.RHistory("JCI-SBMG-DALNI","NDA_RAW.Nda_last","START:"&amp;$A591&amp;" END:"&amp;$A591&amp;" INTERVAL:1W",,,)</f>
        <v>#NAME?</v>
      </c>
      <c r="AZ591" s="5"/>
      <c r="BB591" s="5"/>
      <c r="BD591" s="5"/>
      <c r="BF591" s="5"/>
      <c r="BH591" s="5"/>
      <c r="BJ591" s="5"/>
      <c r="BL591" s="5"/>
      <c r="BN591" s="5"/>
      <c r="BP591" s="5"/>
      <c r="BR591" s="5"/>
    </row>
    <row r="592" spans="1:70" x14ac:dyDescent="0.25">
      <c r="A592" s="3">
        <v>44413</v>
      </c>
      <c r="B592" s="1">
        <f t="shared" si="70"/>
        <v>8</v>
      </c>
      <c r="C592" s="1">
        <f t="shared" si="71"/>
        <v>2021</v>
      </c>
      <c r="D592" s="1">
        <v>1.78</v>
      </c>
      <c r="E592" s="4">
        <f t="shared" si="75"/>
        <v>1.4062000000000001</v>
      </c>
      <c r="F592" s="5">
        <f t="shared" si="76"/>
        <v>338.2</v>
      </c>
      <c r="L592" s="8">
        <v>0.79</v>
      </c>
      <c r="M592" s="8">
        <v>0.19</v>
      </c>
      <c r="S592" s="4" t="e">
        <f ca="1">_xll.RHistory("JCI-SBMG-DALNI","NDA_RAW.Nda_last","START:"&amp;$A592&amp;" END:"&amp;$A592&amp;" INTERVAL:1W",,,)</f>
        <v>#NAME?</v>
      </c>
      <c r="AZ592" s="5"/>
      <c r="BB592" s="5"/>
      <c r="BD592" s="5"/>
      <c r="BF592" s="5"/>
      <c r="BH592" s="5"/>
      <c r="BJ592" s="5"/>
      <c r="BL592" s="5"/>
      <c r="BN592" s="5"/>
      <c r="BP592" s="5"/>
      <c r="BR592" s="5"/>
    </row>
    <row r="593" spans="1:70" x14ac:dyDescent="0.25">
      <c r="A593" s="3">
        <v>44420</v>
      </c>
      <c r="B593" s="1">
        <f t="shared" si="70"/>
        <v>8</v>
      </c>
      <c r="C593" s="1">
        <f t="shared" si="71"/>
        <v>2021</v>
      </c>
      <c r="D593" s="1">
        <v>1.97</v>
      </c>
      <c r="E593" s="4">
        <f t="shared" si="75"/>
        <v>1.5563</v>
      </c>
      <c r="F593" s="5">
        <f t="shared" si="76"/>
        <v>374.3</v>
      </c>
      <c r="L593" s="8">
        <v>0.79</v>
      </c>
      <c r="M593" s="8">
        <v>0.19</v>
      </c>
      <c r="S593" s="4" t="e">
        <f ca="1">_xll.RHistory("JCI-SBMG-DALNI","NDA_RAW.Nda_last","START:"&amp;$A593&amp;" END:"&amp;$A593&amp;" INTERVAL:1W",,,)</f>
        <v>#NAME?</v>
      </c>
      <c r="AZ593" s="5"/>
      <c r="BB593" s="5"/>
      <c r="BD593" s="5"/>
      <c r="BF593" s="5"/>
      <c r="BH593" s="5"/>
      <c r="BJ593" s="5"/>
      <c r="BL593" s="5"/>
      <c r="BN593" s="5"/>
      <c r="BP593" s="5"/>
      <c r="BR593" s="5"/>
    </row>
    <row r="594" spans="1:70" x14ac:dyDescent="0.25">
      <c r="A594" s="3">
        <v>44427</v>
      </c>
      <c r="B594" s="1">
        <f t="shared" si="70"/>
        <v>8</v>
      </c>
      <c r="C594" s="1">
        <f t="shared" si="71"/>
        <v>2021</v>
      </c>
      <c r="D594" s="1">
        <v>2.0099999999999998</v>
      </c>
      <c r="E594" s="4">
        <f t="shared" si="75"/>
        <v>1.5878999999999999</v>
      </c>
      <c r="F594" s="5">
        <f t="shared" si="76"/>
        <v>381.9</v>
      </c>
      <c r="L594" s="8">
        <v>0.79</v>
      </c>
      <c r="M594" s="8">
        <v>0.19</v>
      </c>
      <c r="S594" s="4" t="e">
        <f ca="1">_xll.RHistory("JCI-SBMG-DALNI","NDA_RAW.Nda_last","START:"&amp;$A594&amp;" END:"&amp;$A594&amp;" INTERVAL:1W",,,)</f>
        <v>#NAME?</v>
      </c>
      <c r="AZ594" s="5"/>
      <c r="BB594" s="5"/>
      <c r="BD594" s="5"/>
      <c r="BF594" s="5"/>
      <c r="BH594" s="5"/>
      <c r="BJ594" s="5"/>
      <c r="BL594" s="5"/>
      <c r="BN594" s="5"/>
      <c r="BP594" s="5"/>
      <c r="BR594" s="5"/>
    </row>
    <row r="595" spans="1:70" x14ac:dyDescent="0.25">
      <c r="A595" s="3">
        <v>44434</v>
      </c>
      <c r="B595" s="1">
        <f t="shared" si="70"/>
        <v>8</v>
      </c>
      <c r="C595" s="1">
        <f t="shared" si="71"/>
        <v>2021</v>
      </c>
      <c r="D595" s="1">
        <v>1.98</v>
      </c>
      <c r="E595" s="4">
        <f t="shared" si="75"/>
        <v>1.5642</v>
      </c>
      <c r="F595" s="5">
        <f t="shared" si="76"/>
        <v>376.2</v>
      </c>
      <c r="L595" s="8">
        <v>0.79</v>
      </c>
      <c r="M595" s="8">
        <v>0.19</v>
      </c>
      <c r="S595" s="4" t="e">
        <f ca="1">_xll.RHistory("JCI-SBMG-DALNI","NDA_RAW.Nda_last","START:"&amp;$A595&amp;" END:"&amp;$A595&amp;" INTERVAL:1W",,,)</f>
        <v>#NAME?</v>
      </c>
      <c r="AZ595" s="5"/>
      <c r="BB595" s="5"/>
      <c r="BD595" s="5"/>
      <c r="BF595" s="5"/>
      <c r="BH595" s="5"/>
      <c r="BJ595" s="5"/>
      <c r="BL595" s="5"/>
      <c r="BN595" s="5"/>
      <c r="BP595" s="5"/>
      <c r="BR595" s="5"/>
    </row>
    <row r="596" spans="1:70" x14ac:dyDescent="0.25">
      <c r="A596" s="3">
        <v>44441</v>
      </c>
      <c r="B596" s="1">
        <f t="shared" si="70"/>
        <v>9</v>
      </c>
      <c r="C596" s="1">
        <f t="shared" si="71"/>
        <v>2021</v>
      </c>
      <c r="D596" s="1">
        <v>1.73</v>
      </c>
      <c r="E596" s="4">
        <f t="shared" si="75"/>
        <v>1.3667</v>
      </c>
      <c r="F596" s="5">
        <f t="shared" si="76"/>
        <v>328.7</v>
      </c>
      <c r="L596" s="8">
        <v>0.79</v>
      </c>
      <c r="M596" s="8">
        <v>0.19</v>
      </c>
      <c r="S596" s="4" t="e">
        <f ca="1">_xll.RHistory("JCI-SBMG-DALNI","NDA_RAW.Nda_last","START:"&amp;$A596&amp;" END:"&amp;$A596&amp;" INTERVAL:1W",,,)</f>
        <v>#NAME?</v>
      </c>
      <c r="AZ596" s="5"/>
      <c r="BB596" s="5"/>
      <c r="BD596" s="5"/>
      <c r="BF596" s="5"/>
      <c r="BH596" s="5"/>
      <c r="BJ596" s="5"/>
      <c r="BL596" s="5"/>
      <c r="BN596" s="5"/>
      <c r="BP596" s="5"/>
      <c r="BR596" s="5"/>
    </row>
    <row r="597" spans="1:70" x14ac:dyDescent="0.25">
      <c r="A597" s="3">
        <v>44448</v>
      </c>
      <c r="B597" s="1">
        <f t="shared" si="70"/>
        <v>9</v>
      </c>
      <c r="C597" s="1">
        <f t="shared" si="71"/>
        <v>2021</v>
      </c>
      <c r="D597" s="1">
        <v>1.86</v>
      </c>
      <c r="E597" s="4">
        <f t="shared" si="75"/>
        <v>1.4694</v>
      </c>
      <c r="F597" s="5">
        <f t="shared" si="76"/>
        <v>353.40000000000003</v>
      </c>
      <c r="L597" s="8">
        <v>0.79</v>
      </c>
      <c r="M597" s="8">
        <v>0.19</v>
      </c>
      <c r="S597" s="4" t="e">
        <f ca="1">_xll.RHistory("JCI-SBMG-DALNI","NDA_RAW.Nda_last","START:"&amp;$A597&amp;" END:"&amp;$A597&amp;" INTERVAL:1W",,,)</f>
        <v>#NAME?</v>
      </c>
      <c r="AZ597" s="5"/>
      <c r="BB597" s="5"/>
      <c r="BD597" s="5"/>
      <c r="BF597" s="5"/>
      <c r="BH597" s="5"/>
      <c r="BJ597" s="5"/>
      <c r="BL597" s="5"/>
      <c r="BN597" s="5"/>
      <c r="BP597" s="5"/>
      <c r="BR597" s="5"/>
    </row>
    <row r="598" spans="1:70" x14ac:dyDescent="0.25">
      <c r="A598" s="3">
        <v>44455</v>
      </c>
      <c r="B598" s="1">
        <f t="shared" si="70"/>
        <v>9</v>
      </c>
      <c r="C598" s="1">
        <f t="shared" si="71"/>
        <v>2021</v>
      </c>
      <c r="D598" s="1">
        <v>1.89</v>
      </c>
      <c r="E598" s="4">
        <f t="shared" si="75"/>
        <v>1.4931000000000001</v>
      </c>
      <c r="F598" s="5">
        <f t="shared" si="76"/>
        <v>359.09999999999997</v>
      </c>
      <c r="L598" s="8">
        <v>0.79</v>
      </c>
      <c r="M598" s="8">
        <v>0.19</v>
      </c>
      <c r="S598" s="4" t="e">
        <f ca="1">_xll.RHistory("JCI-SBMG-DALNI","NDA_RAW.Nda_last","START:"&amp;$A598&amp;" END:"&amp;$A598&amp;" INTERVAL:1W",,,)</f>
        <v>#NAME?</v>
      </c>
      <c r="AZ598" s="5"/>
      <c r="BB598" s="5"/>
      <c r="BD598" s="5"/>
      <c r="BF598" s="5"/>
      <c r="BH598" s="5"/>
      <c r="BJ598" s="5"/>
      <c r="BL598" s="5"/>
      <c r="BN598" s="5"/>
      <c r="BP598" s="5"/>
      <c r="BR598" s="5"/>
    </row>
    <row r="599" spans="1:70" x14ac:dyDescent="0.25">
      <c r="A599" s="3">
        <v>44462</v>
      </c>
      <c r="B599" s="1">
        <f t="shared" si="70"/>
        <v>9</v>
      </c>
      <c r="C599" s="1">
        <f t="shared" si="71"/>
        <v>2021</v>
      </c>
      <c r="D599" s="1">
        <v>1.71</v>
      </c>
      <c r="E599" s="4">
        <f t="shared" si="75"/>
        <v>1.3509</v>
      </c>
      <c r="F599" s="5">
        <f t="shared" si="76"/>
        <v>324.90000000000003</v>
      </c>
      <c r="L599" s="8">
        <v>0.79</v>
      </c>
      <c r="M599" s="8">
        <v>0.19</v>
      </c>
      <c r="S599" s="4" t="e">
        <f ca="1">_xll.RHistory("JCI-SBMG-DALNI","NDA_RAW.Nda_last","START:"&amp;$A599&amp;" END:"&amp;$A599&amp;" INTERVAL:1W",,,)</f>
        <v>#NAME?</v>
      </c>
      <c r="AZ599" s="5"/>
      <c r="BB599" s="5"/>
      <c r="BD599" s="5"/>
      <c r="BF599" s="5"/>
      <c r="BH599" s="5"/>
      <c r="BJ599" s="5"/>
      <c r="BL599" s="5"/>
      <c r="BN599" s="5"/>
      <c r="BP599" s="5"/>
      <c r="BR599" s="5"/>
    </row>
    <row r="600" spans="1:70" x14ac:dyDescent="0.25">
      <c r="A600" s="3">
        <v>44469</v>
      </c>
      <c r="B600" s="1">
        <f t="shared" si="70"/>
        <v>9</v>
      </c>
      <c r="C600" s="1">
        <f t="shared" si="71"/>
        <v>2021</v>
      </c>
      <c r="E600" s="4"/>
      <c r="F600" s="5"/>
      <c r="L600" s="8">
        <v>0.79</v>
      </c>
      <c r="M600" s="8">
        <v>0.19</v>
      </c>
      <c r="S600" s="4" t="e">
        <f ca="1">_xll.RHistory("JCI-SBMG-DALNI","NDA_RAW.Nda_last","START:"&amp;$A600&amp;" END:"&amp;$A600&amp;" INTERVAL:1W",,,)</f>
        <v>#NAME?</v>
      </c>
      <c r="AZ600" s="5"/>
      <c r="BB600" s="5"/>
      <c r="BD600" s="5"/>
      <c r="BF600" s="5"/>
      <c r="BH600" s="5"/>
      <c r="BJ600" s="5"/>
      <c r="BL600" s="5"/>
      <c r="BN600" s="5"/>
      <c r="BP600" s="5"/>
      <c r="BR600" s="5"/>
    </row>
    <row r="601" spans="1:70" x14ac:dyDescent="0.25">
      <c r="A601" s="3">
        <v>44476</v>
      </c>
      <c r="B601" s="1">
        <f t="shared" si="70"/>
        <v>10</v>
      </c>
      <c r="C601" s="1">
        <f t="shared" si="71"/>
        <v>2021</v>
      </c>
      <c r="D601" s="1">
        <v>1.41</v>
      </c>
      <c r="E601" s="4">
        <f t="shared" si="75"/>
        <v>1.1138999999999999</v>
      </c>
      <c r="F601" s="5">
        <f t="shared" si="76"/>
        <v>267.89999999999998</v>
      </c>
      <c r="L601" s="8">
        <v>0.79</v>
      </c>
      <c r="M601" s="8">
        <v>0.19</v>
      </c>
      <c r="S601" s="4" t="e">
        <f ca="1">_xll.RHistory("JCI-SBMG-DALNI","NDA_RAW.Nda_last","START:"&amp;$A601&amp;" END:"&amp;$A601&amp;" INTERVAL:1W",,,)</f>
        <v>#NAME?</v>
      </c>
      <c r="AZ601" s="5"/>
      <c r="BB601" s="5"/>
      <c r="BD601" s="5"/>
      <c r="BF601" s="5"/>
      <c r="BH601" s="5"/>
      <c r="BJ601" s="5"/>
      <c r="BL601" s="5"/>
      <c r="BN601" s="5"/>
      <c r="BP601" s="5"/>
      <c r="BR601" s="5"/>
    </row>
    <row r="602" spans="1:70" x14ac:dyDescent="0.25">
      <c r="A602" s="3">
        <v>44483</v>
      </c>
      <c r="B602" s="1">
        <f t="shared" si="70"/>
        <v>10</v>
      </c>
      <c r="C602" s="1">
        <f t="shared" si="71"/>
        <v>2021</v>
      </c>
      <c r="D602" s="1">
        <v>1.67</v>
      </c>
      <c r="E602" s="4">
        <f t="shared" si="75"/>
        <v>1.3192999999999999</v>
      </c>
      <c r="F602" s="5">
        <f t="shared" si="76"/>
        <v>317.29999999999995</v>
      </c>
      <c r="L602" s="8">
        <v>0.79</v>
      </c>
      <c r="M602" s="8">
        <v>0.19</v>
      </c>
      <c r="S602" s="4" t="e">
        <f ca="1">_xll.RHistory("JCI-SBMG-DALNI","NDA_RAW.Nda_last","START:"&amp;$A602&amp;" END:"&amp;$A602&amp;" INTERVAL:1W",,,)</f>
        <v>#NAME?</v>
      </c>
      <c r="AZ602" s="5"/>
      <c r="BB602" s="5"/>
      <c r="BD602" s="5"/>
      <c r="BF602" s="5"/>
      <c r="BH602" s="5"/>
      <c r="BJ602" s="5"/>
      <c r="BL602" s="5"/>
      <c r="BN602" s="5"/>
      <c r="BP602" s="5"/>
      <c r="BR602" s="5"/>
    </row>
    <row r="603" spans="1:70" x14ac:dyDescent="0.25">
      <c r="A603" s="3">
        <v>44490</v>
      </c>
      <c r="B603" s="1">
        <f t="shared" si="70"/>
        <v>10</v>
      </c>
      <c r="C603" s="1">
        <f t="shared" si="71"/>
        <v>2021</v>
      </c>
      <c r="D603" s="1">
        <v>1.6</v>
      </c>
      <c r="E603" s="4">
        <f t="shared" si="75"/>
        <v>1.2640000000000002</v>
      </c>
      <c r="F603" s="5">
        <f t="shared" si="76"/>
        <v>304.00000000000006</v>
      </c>
      <c r="L603" s="8">
        <v>0.79</v>
      </c>
      <c r="M603" s="8">
        <v>0.19</v>
      </c>
      <c r="S603" s="4" t="e">
        <f ca="1">_xll.RHistory("JCI-SBMG-DALNI","NDA_RAW.Nda_last","START:"&amp;$A603&amp;" END:"&amp;$A603&amp;" INTERVAL:1W",,,)</f>
        <v>#NAME?</v>
      </c>
      <c r="AZ603" s="5"/>
      <c r="BB603" s="5"/>
      <c r="BD603" s="5"/>
      <c r="BF603" s="5"/>
      <c r="BH603" s="5"/>
      <c r="BJ603" s="5"/>
      <c r="BL603" s="5"/>
      <c r="BN603" s="5"/>
      <c r="BP603" s="5"/>
      <c r="BR603" s="5"/>
    </row>
    <row r="604" spans="1:70" x14ac:dyDescent="0.25">
      <c r="A604" s="3">
        <v>44497</v>
      </c>
      <c r="B604" s="1">
        <f t="shared" si="70"/>
        <v>10</v>
      </c>
      <c r="C604" s="1">
        <f t="shared" si="71"/>
        <v>2021</v>
      </c>
      <c r="D604" s="1">
        <v>1.89</v>
      </c>
      <c r="E604" s="4">
        <f t="shared" si="75"/>
        <v>1.4931000000000001</v>
      </c>
      <c r="F604" s="5">
        <f t="shared" si="76"/>
        <v>359.09999999999997</v>
      </c>
      <c r="L604" s="8">
        <v>0.79</v>
      </c>
      <c r="M604" s="8">
        <v>0.19</v>
      </c>
      <c r="S604" s="4" t="e">
        <f ca="1">_xll.RHistory("JCI-SBMG-DALNI","NDA_RAW.Nda_last","START:"&amp;$A604&amp;" END:"&amp;$A604&amp;" INTERVAL:1W",,,)</f>
        <v>#NAME?</v>
      </c>
      <c r="AZ604" s="5"/>
      <c r="BB604" s="5"/>
      <c r="BD604" s="5"/>
      <c r="BF604" s="5"/>
      <c r="BH604" s="5"/>
      <c r="BJ604" s="5"/>
      <c r="BL604" s="5"/>
      <c r="BN604" s="5"/>
      <c r="BP604" s="5"/>
      <c r="BR604" s="5"/>
    </row>
    <row r="605" spans="1:70" x14ac:dyDescent="0.25">
      <c r="A605" s="3">
        <v>44504</v>
      </c>
      <c r="B605" s="1">
        <f t="shared" si="70"/>
        <v>11</v>
      </c>
      <c r="C605" s="1">
        <f t="shared" si="71"/>
        <v>2021</v>
      </c>
      <c r="D605" s="1">
        <v>2.0699999999999998</v>
      </c>
      <c r="E605" s="4">
        <f t="shared" si="75"/>
        <v>1.6353</v>
      </c>
      <c r="F605" s="5">
        <f t="shared" si="76"/>
        <v>393.29999999999995</v>
      </c>
      <c r="L605" s="8">
        <v>0.79</v>
      </c>
      <c r="M605" s="8">
        <v>0.19</v>
      </c>
      <c r="S605" s="4" t="e">
        <f ca="1">_xll.RHistory("JCI-SBMG-DALNI","NDA_RAW.Nda_last","START:"&amp;$A605&amp;" END:"&amp;$A605&amp;" INTERVAL:1W",,,)</f>
        <v>#NAME?</v>
      </c>
      <c r="AZ605" s="5"/>
      <c r="BB605" s="5"/>
      <c r="BD605" s="5"/>
      <c r="BF605" s="5"/>
      <c r="BH605" s="5"/>
      <c r="BJ605" s="5"/>
      <c r="BL605" s="5"/>
      <c r="BN605" s="5"/>
      <c r="BP605" s="5"/>
      <c r="BR605" s="5"/>
    </row>
    <row r="606" spans="1:70" x14ac:dyDescent="0.25">
      <c r="A606" s="3">
        <v>44511</v>
      </c>
      <c r="B606" s="1">
        <f t="shared" si="70"/>
        <v>11</v>
      </c>
      <c r="C606" s="1">
        <f t="shared" si="71"/>
        <v>2021</v>
      </c>
      <c r="D606" s="1">
        <v>1.95</v>
      </c>
      <c r="E606" s="4">
        <f t="shared" si="75"/>
        <v>1.5405</v>
      </c>
      <c r="F606" s="5">
        <f t="shared" si="76"/>
        <v>370.5</v>
      </c>
      <c r="L606" s="8">
        <v>0.79</v>
      </c>
      <c r="M606" s="8">
        <v>0.19</v>
      </c>
      <c r="S606" s="4" t="e">
        <f ca="1">_xll.RHistory("JCI-SBMG-DALNI","NDA_RAW.Nda_last","START:"&amp;$A606&amp;" END:"&amp;$A606&amp;" INTERVAL:1W",,,)</f>
        <v>#NAME?</v>
      </c>
      <c r="AZ606" s="5"/>
      <c r="BB606" s="5"/>
      <c r="BD606" s="5"/>
      <c r="BF606" s="5"/>
      <c r="BH606" s="5"/>
      <c r="BJ606" s="5"/>
      <c r="BL606" s="5"/>
      <c r="BN606" s="5"/>
      <c r="BP606" s="5"/>
      <c r="BR606" s="5"/>
    </row>
    <row r="607" spans="1:70" x14ac:dyDescent="0.25">
      <c r="A607" s="3">
        <v>44518</v>
      </c>
      <c r="B607" s="1">
        <f t="shared" si="70"/>
        <v>11</v>
      </c>
      <c r="C607" s="1">
        <f t="shared" si="71"/>
        <v>2021</v>
      </c>
      <c r="D607" s="1">
        <v>1.89</v>
      </c>
      <c r="E607" s="4">
        <f t="shared" si="75"/>
        <v>1.4931000000000001</v>
      </c>
      <c r="F607" s="5">
        <f t="shared" si="76"/>
        <v>359.09999999999997</v>
      </c>
      <c r="L607" s="8">
        <v>0.79</v>
      </c>
      <c r="M607" s="8">
        <v>0.19</v>
      </c>
      <c r="S607" s="4" t="e">
        <f ca="1">_xll.RHistory("JCI-SBMG-DALNI","NDA_RAW.Nda_last","START:"&amp;$A607&amp;" END:"&amp;$A607&amp;" INTERVAL:1W",,,)</f>
        <v>#NAME?</v>
      </c>
      <c r="AZ607" s="5"/>
      <c r="BB607" s="5"/>
      <c r="BD607" s="5"/>
      <c r="BF607" s="5"/>
      <c r="BH607" s="5"/>
      <c r="BJ607" s="5"/>
      <c r="BL607" s="5"/>
      <c r="BN607" s="5"/>
      <c r="BP607" s="5"/>
      <c r="BR607" s="5"/>
    </row>
    <row r="608" spans="1:70" x14ac:dyDescent="0.25">
      <c r="A608" s="3">
        <v>44525</v>
      </c>
      <c r="B608" s="1">
        <f t="shared" si="70"/>
        <v>11</v>
      </c>
      <c r="C608" s="1">
        <f t="shared" si="71"/>
        <v>2021</v>
      </c>
      <c r="D608" s="1">
        <v>2.02</v>
      </c>
      <c r="E608" s="4">
        <f t="shared" si="75"/>
        <v>1.5958000000000001</v>
      </c>
      <c r="F608" s="5">
        <f t="shared" si="76"/>
        <v>383.8</v>
      </c>
      <c r="L608" s="8">
        <v>0.79</v>
      </c>
      <c r="M608" s="8">
        <v>0.19</v>
      </c>
      <c r="S608" s="4" t="e">
        <f ca="1">_xll.RHistory("JCI-SBMG-DALNI","NDA_RAW.Nda_last","START:"&amp;$A608&amp;" END:"&amp;$A608&amp;" INTERVAL:1W",,,)</f>
        <v>#NAME?</v>
      </c>
      <c r="AZ608" s="5"/>
      <c r="BB608" s="5"/>
      <c r="BD608" s="5"/>
      <c r="BF608" s="5"/>
      <c r="BH608" s="5"/>
      <c r="BJ608" s="5"/>
      <c r="BL608" s="5"/>
      <c r="BN608" s="5"/>
      <c r="BP608" s="5"/>
      <c r="BR608" s="5"/>
    </row>
    <row r="609" spans="1:70" x14ac:dyDescent="0.25">
      <c r="A609" s="3">
        <v>44532</v>
      </c>
      <c r="B609" s="1">
        <f t="shared" si="70"/>
        <v>12</v>
      </c>
      <c r="C609" s="1">
        <f t="shared" si="71"/>
        <v>2021</v>
      </c>
      <c r="D609" s="1">
        <v>1.89</v>
      </c>
      <c r="E609" s="4">
        <f t="shared" si="75"/>
        <v>1.4931000000000001</v>
      </c>
      <c r="F609" s="5">
        <f t="shared" si="76"/>
        <v>359.09999999999997</v>
      </c>
      <c r="L609" s="8">
        <v>0.79</v>
      </c>
      <c r="M609" s="8">
        <v>0.19</v>
      </c>
      <c r="S609" s="4" t="e">
        <f ca="1">_xll.RHistory("JCI-SBMG-DALNI","NDA_RAW.Nda_last","START:"&amp;$A609&amp;" END:"&amp;$A609&amp;" INTERVAL:1W",,,)</f>
        <v>#NAME?</v>
      </c>
      <c r="AZ609" s="5"/>
      <c r="BB609" s="5"/>
      <c r="BD609" s="5"/>
      <c r="BF609" s="5"/>
      <c r="BH609" s="5"/>
      <c r="BJ609" s="5"/>
      <c r="BL609" s="5"/>
      <c r="BN609" s="5"/>
      <c r="BP609" s="5"/>
      <c r="BR609" s="5"/>
    </row>
    <row r="610" spans="1:70" x14ac:dyDescent="0.25">
      <c r="A610" s="3">
        <v>44539</v>
      </c>
      <c r="B610" s="1">
        <f t="shared" si="70"/>
        <v>12</v>
      </c>
      <c r="C610" s="1">
        <f t="shared" si="71"/>
        <v>2021</v>
      </c>
      <c r="D610" s="1">
        <v>1.91</v>
      </c>
      <c r="E610" s="4">
        <f t="shared" si="75"/>
        <v>1.5088999999999999</v>
      </c>
      <c r="F610" s="5">
        <f t="shared" si="76"/>
        <v>362.9</v>
      </c>
      <c r="L610" s="8">
        <v>0.79</v>
      </c>
      <c r="M610" s="8">
        <v>0.19</v>
      </c>
      <c r="S610" s="4" t="e">
        <f ca="1">_xll.RHistory("JCI-SBMG-DALNI","NDA_RAW.Nda_last","START:"&amp;$A610&amp;" END:"&amp;$A610&amp;" INTERVAL:1W",,,)</f>
        <v>#NAME?</v>
      </c>
      <c r="AZ610" s="5"/>
      <c r="BB610" s="5"/>
      <c r="BD610" s="5"/>
      <c r="BF610" s="5"/>
      <c r="BH610" s="5"/>
      <c r="BJ610" s="5"/>
      <c r="BL610" s="5"/>
      <c r="BN610" s="5"/>
      <c r="BP610" s="5"/>
      <c r="BR610" s="5"/>
    </row>
    <row r="611" spans="1:70" x14ac:dyDescent="0.25">
      <c r="A611" s="3">
        <v>44546</v>
      </c>
      <c r="B611" s="1">
        <f t="shared" si="70"/>
        <v>12</v>
      </c>
      <c r="C611" s="1">
        <f t="shared" si="71"/>
        <v>2021</v>
      </c>
      <c r="D611" s="1">
        <v>1.84</v>
      </c>
      <c r="E611" s="4">
        <f t="shared" si="75"/>
        <v>1.4536000000000002</v>
      </c>
      <c r="F611" s="5">
        <f t="shared" si="76"/>
        <v>349.6</v>
      </c>
      <c r="L611" s="8">
        <v>0.79</v>
      </c>
      <c r="M611" s="8">
        <v>0.19</v>
      </c>
      <c r="S611" s="4" t="e">
        <f ca="1">_xll.RHistory("JCI-SBMG-DALNI","NDA_RAW.Nda_last","START:"&amp;$A611&amp;" END:"&amp;$A611&amp;" INTERVAL:1W",,,)</f>
        <v>#NAME?</v>
      </c>
      <c r="AZ611" s="5"/>
      <c r="BB611" s="5"/>
      <c r="BD611" s="5"/>
      <c r="BF611" s="5"/>
      <c r="BH611" s="5"/>
      <c r="BJ611" s="5"/>
      <c r="BL611" s="5"/>
      <c r="BN611" s="5"/>
      <c r="BP611" s="5"/>
      <c r="BR611" s="5"/>
    </row>
    <row r="612" spans="1:70" x14ac:dyDescent="0.25">
      <c r="A612" s="3">
        <v>44553</v>
      </c>
      <c r="B612" s="1">
        <f t="shared" si="70"/>
        <v>12</v>
      </c>
      <c r="C612" s="1">
        <f t="shared" si="71"/>
        <v>2021</v>
      </c>
      <c r="D612" s="1">
        <v>1.79</v>
      </c>
      <c r="E612" s="4">
        <f t="shared" si="75"/>
        <v>1.4141000000000001</v>
      </c>
      <c r="F612" s="5">
        <f t="shared" si="76"/>
        <v>340.1</v>
      </c>
      <c r="L612" s="8">
        <v>0.79</v>
      </c>
      <c r="M612" s="8">
        <v>0.19</v>
      </c>
      <c r="S612" s="4" t="e">
        <f ca="1">_xll.RHistory("JCI-SBMG-DALNI","NDA_RAW.Nda_last","START:"&amp;$A612&amp;" END:"&amp;$A612&amp;" INTERVAL:1W",,,)</f>
        <v>#NAME?</v>
      </c>
      <c r="AZ612" s="5"/>
      <c r="BB612" s="5"/>
      <c r="BD612" s="5"/>
      <c r="BF612" s="5"/>
      <c r="BH612" s="5"/>
      <c r="BJ612" s="5"/>
      <c r="BL612" s="5"/>
      <c r="BN612" s="5"/>
      <c r="BP612" s="5"/>
      <c r="BR612" s="5"/>
    </row>
    <row r="613" spans="1:70" x14ac:dyDescent="0.25">
      <c r="A613" s="3">
        <v>44560</v>
      </c>
      <c r="B613" s="1">
        <f t="shared" si="70"/>
        <v>12</v>
      </c>
      <c r="C613" s="1">
        <f t="shared" si="71"/>
        <v>2021</v>
      </c>
      <c r="D613" s="1">
        <v>1.59</v>
      </c>
      <c r="E613" s="4">
        <f t="shared" si="75"/>
        <v>1.2561000000000002</v>
      </c>
      <c r="F613" s="5">
        <f t="shared" si="76"/>
        <v>302.10000000000002</v>
      </c>
      <c r="L613" s="8">
        <v>0.79</v>
      </c>
      <c r="M613" s="8">
        <v>0.19</v>
      </c>
      <c r="S613" s="4" t="e">
        <f ca="1">_xll.RHistory("JCI-SBMG-DALNI","NDA_RAW.Nda_last","START:"&amp;$A613&amp;" END:"&amp;$A613&amp;" INTERVAL:1W",,,)</f>
        <v>#NAME?</v>
      </c>
      <c r="AZ613" s="5"/>
      <c r="BB613" s="5"/>
      <c r="BD613" s="5"/>
      <c r="BF613" s="5"/>
      <c r="BH613" s="5"/>
      <c r="BJ613" s="5"/>
      <c r="BL613" s="5"/>
      <c r="BN613" s="5"/>
      <c r="BP613" s="5"/>
      <c r="BR613" s="5"/>
    </row>
    <row r="614" spans="1:70" x14ac:dyDescent="0.25">
      <c r="A614" s="3">
        <v>44567</v>
      </c>
      <c r="B614" s="1">
        <f t="shared" si="70"/>
        <v>1</v>
      </c>
      <c r="C614" s="1">
        <f t="shared" si="71"/>
        <v>2022</v>
      </c>
      <c r="D614" s="1">
        <v>1.46</v>
      </c>
      <c r="E614" s="4">
        <f t="shared" si="75"/>
        <v>1.1534</v>
      </c>
      <c r="F614" s="5">
        <f t="shared" si="76"/>
        <v>277.39999999999998</v>
      </c>
      <c r="L614" s="8">
        <v>0.79</v>
      </c>
      <c r="M614" s="8">
        <v>0.19</v>
      </c>
      <c r="S614" s="4" t="e">
        <f ca="1">_xll.RHistory("JCI-SBMG-DALNI","NDA_RAW.Nda_last","START:"&amp;$A614&amp;" END:"&amp;$A614&amp;" INTERVAL:1W",,,)</f>
        <v>#NAME?</v>
      </c>
      <c r="AZ614" s="5"/>
      <c r="BB614" s="5"/>
      <c r="BD614" s="5"/>
      <c r="BF614" s="5"/>
      <c r="BH614" s="5"/>
      <c r="BJ614" s="5"/>
      <c r="BL614" s="5"/>
      <c r="BN614" s="5"/>
      <c r="BP614" s="5"/>
      <c r="BR614" s="5"/>
    </row>
    <row r="615" spans="1:70" x14ac:dyDescent="0.25">
      <c r="A615" s="3">
        <v>44574</v>
      </c>
      <c r="B615" s="1">
        <f t="shared" si="70"/>
        <v>1</v>
      </c>
      <c r="C615" s="1">
        <f t="shared" si="71"/>
        <v>2022</v>
      </c>
      <c r="D615" s="1">
        <v>1.89</v>
      </c>
      <c r="E615" s="4">
        <f t="shared" si="75"/>
        <v>1.4931000000000001</v>
      </c>
      <c r="F615" s="5">
        <f t="shared" si="76"/>
        <v>359.09999999999997</v>
      </c>
      <c r="L615" s="8">
        <v>0.79</v>
      </c>
      <c r="M615" s="8">
        <v>0.19</v>
      </c>
      <c r="S615" s="4" t="e">
        <f ca="1">_xll.RHistory("JCI-SBMG-DALNI","NDA_RAW.Nda_last","START:"&amp;$A615&amp;" END:"&amp;$A615&amp;" INTERVAL:1W",,,)</f>
        <v>#NAME?</v>
      </c>
      <c r="AZ615" s="5"/>
      <c r="BB615" s="5"/>
      <c r="BD615" s="5"/>
      <c r="BF615" s="5"/>
      <c r="BH615" s="5"/>
      <c r="BJ615" s="5"/>
      <c r="BL615" s="5"/>
      <c r="BN615" s="5"/>
      <c r="BP615" s="5"/>
      <c r="BR615" s="5"/>
    </row>
    <row r="616" spans="1:70" x14ac:dyDescent="0.25">
      <c r="A616" s="3">
        <v>44581</v>
      </c>
      <c r="B616" s="1">
        <f t="shared" si="70"/>
        <v>1</v>
      </c>
      <c r="C616" s="1">
        <f t="shared" si="71"/>
        <v>2022</v>
      </c>
      <c r="D616" s="1">
        <v>2.15</v>
      </c>
      <c r="E616" s="4">
        <f t="shared" si="75"/>
        <v>1.6984999999999999</v>
      </c>
      <c r="F616" s="5">
        <f t="shared" si="76"/>
        <v>408.5</v>
      </c>
      <c r="L616" s="8">
        <v>0.79</v>
      </c>
      <c r="M616" s="8">
        <v>0.19</v>
      </c>
      <c r="S616" s="4" t="e">
        <f ca="1">_xll.RHistory("JCI-SBMG-DALNI","NDA_RAW.Nda_last","START:"&amp;$A616&amp;" END:"&amp;$A616&amp;" INTERVAL:1W",,,)</f>
        <v>#NAME?</v>
      </c>
      <c r="AZ616" s="5"/>
      <c r="BB616" s="5"/>
      <c r="BD616" s="5"/>
      <c r="BF616" s="5"/>
      <c r="BH616" s="5"/>
      <c r="BJ616" s="5"/>
      <c r="BL616" s="5"/>
      <c r="BN616" s="5"/>
      <c r="BP616" s="5"/>
      <c r="BR616" s="5"/>
    </row>
    <row r="617" spans="1:70" x14ac:dyDescent="0.25">
      <c r="A617" s="3">
        <v>44588</v>
      </c>
      <c r="B617" s="1">
        <f t="shared" si="70"/>
        <v>1</v>
      </c>
      <c r="C617" s="1">
        <f t="shared" si="71"/>
        <v>2022</v>
      </c>
      <c r="E617" s="4"/>
      <c r="F617" s="5"/>
      <c r="L617" s="8">
        <v>0.79</v>
      </c>
      <c r="M617" s="8">
        <v>0.19</v>
      </c>
      <c r="S617" s="4" t="e">
        <f ca="1">_xll.RHistory("JCI-SBMG-DALNI","NDA_RAW.Nda_last","START:"&amp;$A617&amp;" END:"&amp;$A617&amp;" INTERVAL:1W",,,)</f>
        <v>#NAME?</v>
      </c>
      <c r="AZ617" s="5"/>
      <c r="BB617" s="5"/>
      <c r="BD617" s="5"/>
      <c r="BF617" s="5"/>
      <c r="BH617" s="5"/>
      <c r="BJ617" s="5"/>
      <c r="BL617" s="5"/>
      <c r="BN617" s="5"/>
      <c r="BP617" s="5"/>
      <c r="BR617" s="5"/>
    </row>
    <row r="618" spans="1:70" x14ac:dyDescent="0.25">
      <c r="A618" s="3">
        <v>44595</v>
      </c>
      <c r="B618" s="1">
        <f t="shared" ref="B618:B681" si="77">MONTH(A618)</f>
        <v>2</v>
      </c>
      <c r="C618" s="1">
        <f t="shared" ref="C618:C681" si="78">YEAR(A618)</f>
        <v>2022</v>
      </c>
      <c r="D618" s="1">
        <v>1.173</v>
      </c>
      <c r="E618" s="4">
        <f t="shared" si="75"/>
        <v>0.9266700000000001</v>
      </c>
      <c r="F618" s="5">
        <f t="shared" si="76"/>
        <v>222.87</v>
      </c>
      <c r="L618" s="8">
        <v>0.79</v>
      </c>
      <c r="M618" s="8">
        <v>0.19</v>
      </c>
      <c r="S618" s="4" t="e">
        <f ca="1">_xll.RHistory("JCI-SBMG-DALNI","NDA_RAW.Nda_last","START:"&amp;$A618&amp;" END:"&amp;$A618&amp;" INTERVAL:1W",,,)</f>
        <v>#NAME?</v>
      </c>
      <c r="AZ618" s="5"/>
      <c r="BB618" s="5"/>
      <c r="BD618" s="5"/>
      <c r="BF618" s="5"/>
      <c r="BH618" s="5"/>
      <c r="BJ618" s="5"/>
      <c r="BL618" s="5"/>
      <c r="BN618" s="5"/>
      <c r="BP618" s="5"/>
      <c r="BR618" s="5"/>
    </row>
    <row r="619" spans="1:70" x14ac:dyDescent="0.25">
      <c r="A619" s="3">
        <v>44602</v>
      </c>
      <c r="B619" s="1">
        <f t="shared" si="77"/>
        <v>2</v>
      </c>
      <c r="C619" s="1">
        <f t="shared" si="78"/>
        <v>2022</v>
      </c>
      <c r="D619" s="1">
        <v>1.7</v>
      </c>
      <c r="E619" s="4">
        <f t="shared" si="75"/>
        <v>1.343</v>
      </c>
      <c r="F619" s="5">
        <f t="shared" si="76"/>
        <v>323</v>
      </c>
      <c r="L619" s="8">
        <v>0.79</v>
      </c>
      <c r="M619" s="8">
        <v>0.19</v>
      </c>
      <c r="S619" s="4" t="e">
        <f ca="1">_xll.RHistory("JCI-SBMG-DALNI","NDA_RAW.Nda_last","START:"&amp;$A619&amp;" END:"&amp;$A619&amp;" INTERVAL:1W",,,)</f>
        <v>#NAME?</v>
      </c>
      <c r="AZ619" s="5"/>
      <c r="BB619" s="5"/>
      <c r="BD619" s="5"/>
      <c r="BF619" s="5"/>
      <c r="BH619" s="5"/>
      <c r="BJ619" s="5"/>
      <c r="BL619" s="5"/>
      <c r="BN619" s="5"/>
      <c r="BP619" s="5"/>
      <c r="BR619" s="5"/>
    </row>
    <row r="620" spans="1:70" x14ac:dyDescent="0.25">
      <c r="A620" s="3">
        <v>44609</v>
      </c>
      <c r="B620" s="1">
        <f t="shared" si="77"/>
        <v>2</v>
      </c>
      <c r="C620" s="1">
        <f t="shared" si="78"/>
        <v>2022</v>
      </c>
      <c r="D620" s="1">
        <v>1.7</v>
      </c>
      <c r="E620" s="4">
        <f t="shared" si="75"/>
        <v>1.343</v>
      </c>
      <c r="F620" s="5">
        <f t="shared" si="76"/>
        <v>323</v>
      </c>
      <c r="L620" s="8">
        <v>0.79</v>
      </c>
      <c r="M620" s="8">
        <v>0.19</v>
      </c>
      <c r="S620" s="4" t="e">
        <f ca="1">_xll.RHistory("JCI-SBMG-DALNI","NDA_RAW.Nda_last","START:"&amp;$A620&amp;" END:"&amp;$A620&amp;" INTERVAL:1W",,,)</f>
        <v>#NAME?</v>
      </c>
      <c r="AZ620" s="5"/>
      <c r="BB620" s="5"/>
      <c r="BD620" s="5"/>
      <c r="BF620" s="5"/>
      <c r="BH620" s="5"/>
      <c r="BJ620" s="5"/>
      <c r="BL620" s="5"/>
      <c r="BN620" s="5"/>
      <c r="BP620" s="5"/>
      <c r="BR620" s="5"/>
    </row>
    <row r="621" spans="1:70" x14ac:dyDescent="0.25">
      <c r="A621" s="3">
        <v>44616</v>
      </c>
      <c r="B621" s="1">
        <f t="shared" si="77"/>
        <v>2</v>
      </c>
      <c r="C621" s="1">
        <f t="shared" si="78"/>
        <v>2022</v>
      </c>
      <c r="D621" s="1">
        <v>1.71</v>
      </c>
      <c r="E621" s="4">
        <f t="shared" si="75"/>
        <v>1.3509</v>
      </c>
      <c r="F621" s="5">
        <f t="shared" si="76"/>
        <v>324.90000000000003</v>
      </c>
      <c r="L621" s="8">
        <v>0.79</v>
      </c>
      <c r="M621" s="8">
        <v>0.19</v>
      </c>
      <c r="S621" s="4" t="e">
        <f ca="1">_xll.RHistory("JCI-SBMG-DALNI","NDA_RAW.Nda_last","START:"&amp;$A621&amp;" END:"&amp;$A621&amp;" INTERVAL:1W",,,)</f>
        <v>#NAME?</v>
      </c>
      <c r="AZ621" s="5"/>
      <c r="BB621" s="5"/>
      <c r="BD621" s="5"/>
      <c r="BF621" s="5"/>
      <c r="BH621" s="5"/>
      <c r="BJ621" s="5"/>
      <c r="BL621" s="5"/>
      <c r="BN621" s="5"/>
      <c r="BP621" s="5"/>
      <c r="BR621" s="5"/>
    </row>
    <row r="622" spans="1:70" x14ac:dyDescent="0.25">
      <c r="A622" s="3">
        <v>44623</v>
      </c>
      <c r="B622" s="1">
        <f t="shared" si="77"/>
        <v>3</v>
      </c>
      <c r="C622" s="1">
        <f t="shared" si="78"/>
        <v>2022</v>
      </c>
      <c r="D622" s="1">
        <v>1.48</v>
      </c>
      <c r="E622" s="4">
        <f t="shared" si="75"/>
        <v>1.1692</v>
      </c>
      <c r="F622" s="5">
        <f t="shared" si="76"/>
        <v>281.2</v>
      </c>
      <c r="L622" s="8">
        <v>0.79</v>
      </c>
      <c r="M622" s="8">
        <v>0.19</v>
      </c>
      <c r="S622" s="4" t="e">
        <f ca="1">_xll.RHistory("JCI-SBMG-DALNI","NDA_RAW.Nda_last","START:"&amp;$A622&amp;" END:"&amp;$A622&amp;" INTERVAL:1W",,,)</f>
        <v>#NAME?</v>
      </c>
      <c r="AZ622" s="5"/>
      <c r="BB622" s="5"/>
      <c r="BD622" s="5"/>
      <c r="BF622" s="5"/>
      <c r="BH622" s="5"/>
      <c r="BJ622" s="5"/>
      <c r="BL622" s="5"/>
      <c r="BN622" s="5"/>
      <c r="BP622" s="5"/>
      <c r="BR622" s="5"/>
    </row>
    <row r="623" spans="1:70" x14ac:dyDescent="0.25">
      <c r="A623" s="3">
        <v>44630</v>
      </c>
      <c r="B623" s="1">
        <f t="shared" si="77"/>
        <v>3</v>
      </c>
      <c r="C623" s="1">
        <f t="shared" si="78"/>
        <v>2022</v>
      </c>
      <c r="D623" s="1">
        <v>1.44</v>
      </c>
      <c r="E623" s="4">
        <f t="shared" si="75"/>
        <v>1.1375999999999999</v>
      </c>
      <c r="F623" s="5">
        <f t="shared" si="76"/>
        <v>273.60000000000002</v>
      </c>
      <c r="L623" s="8">
        <v>0.79</v>
      </c>
      <c r="M623" s="8">
        <v>0.19</v>
      </c>
      <c r="S623" s="4" t="e">
        <f ca="1">_xll.RHistory("JCI-SBMG-DALNI","NDA_RAW.Nda_last","START:"&amp;$A623&amp;" END:"&amp;$A623&amp;" INTERVAL:1W",,,)</f>
        <v>#NAME?</v>
      </c>
      <c r="AZ623" s="5"/>
      <c r="BB623" s="5"/>
      <c r="BD623" s="5"/>
      <c r="BF623" s="5"/>
      <c r="BH623" s="5"/>
      <c r="BJ623" s="5"/>
      <c r="BL623" s="5"/>
      <c r="BN623" s="5"/>
      <c r="BP623" s="5"/>
      <c r="BR623" s="5"/>
    </row>
    <row r="624" spans="1:70" x14ac:dyDescent="0.25">
      <c r="A624" s="3">
        <v>44637</v>
      </c>
      <c r="B624" s="1">
        <f t="shared" si="77"/>
        <v>3</v>
      </c>
      <c r="C624" s="1">
        <f t="shared" si="78"/>
        <v>2022</v>
      </c>
      <c r="D624" s="1">
        <v>1.3</v>
      </c>
      <c r="E624" s="4">
        <f t="shared" si="75"/>
        <v>1.0270000000000001</v>
      </c>
      <c r="F624" s="5">
        <f t="shared" si="76"/>
        <v>247.00000000000003</v>
      </c>
      <c r="L624" s="8">
        <v>0.79</v>
      </c>
      <c r="M624" s="8">
        <v>0.19</v>
      </c>
      <c r="S624" s="4" t="e">
        <f ca="1">_xll.RHistory("JCI-SBMG-DALNI","NDA_RAW.Nda_last","START:"&amp;$A624&amp;" END:"&amp;$A624&amp;" INTERVAL:1W",,,)</f>
        <v>#NAME?</v>
      </c>
      <c r="AZ624" s="5"/>
      <c r="BB624" s="5"/>
      <c r="BD624" s="5"/>
      <c r="BF624" s="5"/>
      <c r="BH624" s="5"/>
      <c r="BJ624" s="5"/>
      <c r="BL624" s="5"/>
      <c r="BN624" s="5"/>
      <c r="BP624" s="5"/>
      <c r="BR624" s="5"/>
    </row>
    <row r="625" spans="1:70" x14ac:dyDescent="0.25">
      <c r="A625" s="3">
        <v>44644</v>
      </c>
      <c r="B625" s="1">
        <f t="shared" si="77"/>
        <v>3</v>
      </c>
      <c r="C625" s="1">
        <f t="shared" si="78"/>
        <v>2022</v>
      </c>
      <c r="D625" s="1">
        <v>1.2</v>
      </c>
      <c r="E625" s="4">
        <f t="shared" si="75"/>
        <v>0.94799999999999995</v>
      </c>
      <c r="F625" s="5">
        <f t="shared" si="76"/>
        <v>227.99999999999997</v>
      </c>
      <c r="L625" s="8">
        <v>0.79</v>
      </c>
      <c r="M625" s="8">
        <v>0.19</v>
      </c>
      <c r="S625" s="4" t="e">
        <f ca="1">_xll.RHistory("JCI-SBMG-DALNI","NDA_RAW.Nda_last","START:"&amp;$A625&amp;" END:"&amp;$A625&amp;" INTERVAL:1W",,,)</f>
        <v>#NAME?</v>
      </c>
      <c r="AZ625" s="5"/>
      <c r="BB625" s="5"/>
      <c r="BD625" s="5"/>
      <c r="BF625" s="5"/>
      <c r="BH625" s="5"/>
      <c r="BJ625" s="5"/>
      <c r="BL625" s="5"/>
      <c r="BN625" s="5"/>
      <c r="BP625" s="5"/>
      <c r="BR625" s="5"/>
    </row>
    <row r="626" spans="1:70" x14ac:dyDescent="0.25">
      <c r="A626" s="3">
        <v>44651</v>
      </c>
      <c r="B626" s="1">
        <f t="shared" si="77"/>
        <v>3</v>
      </c>
      <c r="C626" s="1">
        <f t="shared" si="78"/>
        <v>2022</v>
      </c>
      <c r="D626" s="1">
        <v>1.07</v>
      </c>
      <c r="E626" s="4">
        <f t="shared" si="75"/>
        <v>0.84530000000000005</v>
      </c>
      <c r="F626" s="5">
        <f t="shared" si="76"/>
        <v>203.3</v>
      </c>
      <c r="L626" s="8">
        <v>0.79</v>
      </c>
      <c r="M626" s="8">
        <v>0.19</v>
      </c>
      <c r="S626" s="4" t="e">
        <f ca="1">_xll.RHistory("JCI-SBMG-DALNI","NDA_RAW.Nda_last","START:"&amp;$A626&amp;" END:"&amp;$A626&amp;" INTERVAL:1W",,,)</f>
        <v>#NAME?</v>
      </c>
      <c r="AZ626" s="5"/>
      <c r="BB626" s="5"/>
      <c r="BD626" s="5"/>
      <c r="BF626" s="5"/>
      <c r="BH626" s="5"/>
      <c r="BJ626" s="5"/>
      <c r="BL626" s="5"/>
      <c r="BN626" s="5"/>
      <c r="BP626" s="5"/>
      <c r="BR626" s="5"/>
    </row>
    <row r="627" spans="1:70" x14ac:dyDescent="0.25">
      <c r="A627" s="3">
        <v>44658</v>
      </c>
      <c r="B627" s="1">
        <f t="shared" si="77"/>
        <v>4</v>
      </c>
      <c r="C627" s="1">
        <f t="shared" si="78"/>
        <v>2022</v>
      </c>
      <c r="D627" s="1">
        <v>1.22</v>
      </c>
      <c r="E627" s="4">
        <f t="shared" si="75"/>
        <v>0.96379999999999999</v>
      </c>
      <c r="F627" s="5">
        <f t="shared" si="76"/>
        <v>231.8</v>
      </c>
      <c r="L627" s="8">
        <v>0.79</v>
      </c>
      <c r="M627" s="8">
        <v>0.19</v>
      </c>
      <c r="S627" s="4" t="e">
        <f ca="1">_xll.RHistory("JCI-SBMG-DALNI","NDA_RAW.Nda_last","START:"&amp;$A627&amp;" END:"&amp;$A627&amp;" INTERVAL:1W",,,)</f>
        <v>#NAME?</v>
      </c>
      <c r="AZ627" s="5"/>
      <c r="BB627" s="5"/>
      <c r="BD627" s="5"/>
      <c r="BF627" s="5"/>
      <c r="BH627" s="5"/>
      <c r="BJ627" s="5"/>
      <c r="BL627" s="5"/>
      <c r="BN627" s="5"/>
      <c r="BP627" s="5"/>
      <c r="BR627" s="5"/>
    </row>
    <row r="628" spans="1:70" x14ac:dyDescent="0.25">
      <c r="A628" s="3">
        <v>44665</v>
      </c>
      <c r="B628" s="1">
        <f t="shared" si="77"/>
        <v>4</v>
      </c>
      <c r="C628" s="1">
        <f t="shared" si="78"/>
        <v>2022</v>
      </c>
      <c r="D628" s="1">
        <v>1.41</v>
      </c>
      <c r="E628" s="4">
        <f t="shared" si="75"/>
        <v>1.1138999999999999</v>
      </c>
      <c r="F628" s="5">
        <f t="shared" si="76"/>
        <v>267.89999999999998</v>
      </c>
      <c r="L628" s="8">
        <v>0.79</v>
      </c>
      <c r="M628" s="8">
        <v>0.19</v>
      </c>
      <c r="S628" s="4" t="e">
        <f ca="1">_xll.RHistory("JCI-SBMG-DALNI","NDA_RAW.Nda_last","START:"&amp;$A628&amp;" END:"&amp;$A628&amp;" INTERVAL:1W",,,)</f>
        <v>#NAME?</v>
      </c>
      <c r="AZ628" s="5"/>
      <c r="BB628" s="5"/>
      <c r="BD628" s="5"/>
      <c r="BF628" s="5"/>
      <c r="BH628" s="5"/>
      <c r="BJ628" s="5"/>
      <c r="BL628" s="5"/>
      <c r="BN628" s="5"/>
      <c r="BP628" s="5"/>
      <c r="BR628" s="5"/>
    </row>
    <row r="629" spans="1:70" x14ac:dyDescent="0.25">
      <c r="A629" s="3">
        <v>44672</v>
      </c>
      <c r="B629" s="1">
        <f t="shared" si="77"/>
        <v>4</v>
      </c>
      <c r="C629" s="1">
        <f t="shared" si="78"/>
        <v>2022</v>
      </c>
      <c r="D629" s="1">
        <v>1.65</v>
      </c>
      <c r="E629" s="4">
        <f t="shared" si="75"/>
        <v>1.3034999999999999</v>
      </c>
      <c r="F629" s="5">
        <f t="shared" si="76"/>
        <v>313.5</v>
      </c>
      <c r="L629" s="8">
        <v>0.79</v>
      </c>
      <c r="M629" s="8">
        <v>0.19</v>
      </c>
      <c r="S629" s="4" t="e">
        <f ca="1">_xll.RHistory("JCI-SBMG-DALNI","NDA_RAW.Nda_last","START:"&amp;$A629&amp;" END:"&amp;$A629&amp;" INTERVAL:1W",,,)</f>
        <v>#NAME?</v>
      </c>
      <c r="AZ629" s="5"/>
      <c r="BB629" s="5"/>
      <c r="BD629" s="5"/>
      <c r="BF629" s="5"/>
      <c r="BH629" s="5"/>
      <c r="BJ629" s="5"/>
      <c r="BL629" s="5"/>
      <c r="BN629" s="5"/>
      <c r="BP629" s="5"/>
      <c r="BR629" s="5"/>
    </row>
    <row r="630" spans="1:70" x14ac:dyDescent="0.25">
      <c r="A630" s="3">
        <v>44679</v>
      </c>
      <c r="B630" s="1">
        <f t="shared" si="77"/>
        <v>4</v>
      </c>
      <c r="C630" s="1">
        <f t="shared" si="78"/>
        <v>2022</v>
      </c>
      <c r="D630" s="1">
        <v>1.77</v>
      </c>
      <c r="E630" s="4">
        <f t="shared" si="75"/>
        <v>1.3983000000000001</v>
      </c>
      <c r="F630" s="5">
        <f t="shared" si="76"/>
        <v>336.3</v>
      </c>
      <c r="L630" s="8">
        <v>0.79</v>
      </c>
      <c r="M630" s="8">
        <v>0.19</v>
      </c>
      <c r="S630" s="4" t="e">
        <f ca="1">_xll.RHistory("JCI-SBMG-DALNI","NDA_RAW.Nda_last","START:"&amp;$A630&amp;" END:"&amp;$A630&amp;" INTERVAL:1W",,,)</f>
        <v>#NAME?</v>
      </c>
      <c r="AZ630" s="5"/>
      <c r="BB630" s="5"/>
      <c r="BD630" s="5"/>
      <c r="BF630" s="5"/>
      <c r="BH630" s="5"/>
      <c r="BJ630" s="5"/>
      <c r="BL630" s="5"/>
      <c r="BN630" s="5"/>
      <c r="BP630" s="5"/>
      <c r="BR630" s="5"/>
    </row>
    <row r="631" spans="1:70" x14ac:dyDescent="0.25">
      <c r="A631" s="3">
        <v>44686</v>
      </c>
      <c r="B631" s="1">
        <f t="shared" si="77"/>
        <v>5</v>
      </c>
      <c r="C631" s="1">
        <f t="shared" si="78"/>
        <v>2022</v>
      </c>
      <c r="D631" s="1">
        <v>1.71</v>
      </c>
      <c r="E631" s="4">
        <f t="shared" si="75"/>
        <v>1.3509</v>
      </c>
      <c r="F631" s="5">
        <f t="shared" si="76"/>
        <v>324.90000000000003</v>
      </c>
      <c r="L631" s="8">
        <v>0.79</v>
      </c>
      <c r="M631" s="8">
        <v>0.19</v>
      </c>
      <c r="S631" s="4" t="e">
        <f ca="1">_xll.RHistory("JCI-SBMG-DALNI","NDA_RAW.Nda_last","START:"&amp;$A631&amp;" END:"&amp;$A631&amp;" INTERVAL:1W",,,)</f>
        <v>#NAME?</v>
      </c>
      <c r="AZ631" s="5"/>
      <c r="BB631" s="5"/>
      <c r="BD631" s="5"/>
      <c r="BF631" s="5"/>
      <c r="BH631" s="5"/>
      <c r="BJ631" s="5"/>
      <c r="BL631" s="5"/>
      <c r="BN631" s="5"/>
      <c r="BP631" s="5"/>
      <c r="BR631" s="5"/>
    </row>
    <row r="632" spans="1:70" x14ac:dyDescent="0.25">
      <c r="A632" s="3">
        <v>44693</v>
      </c>
      <c r="B632" s="1">
        <f t="shared" si="77"/>
        <v>5</v>
      </c>
      <c r="C632" s="1">
        <f t="shared" si="78"/>
        <v>2022</v>
      </c>
      <c r="D632" s="1">
        <v>1.7</v>
      </c>
      <c r="E632" s="4">
        <f t="shared" si="75"/>
        <v>1.343</v>
      </c>
      <c r="F632" s="5">
        <f t="shared" si="76"/>
        <v>323</v>
      </c>
      <c r="L632" s="8">
        <v>0.79</v>
      </c>
      <c r="M632" s="8">
        <v>0.19</v>
      </c>
      <c r="S632" s="4" t="e">
        <f ca="1">_xll.RHistory("JCI-SBMG-DALNI","NDA_RAW.Nda_last","START:"&amp;$A632&amp;" END:"&amp;$A632&amp;" INTERVAL:1W",,,)</f>
        <v>#NAME?</v>
      </c>
      <c r="AZ632" s="5"/>
      <c r="BB632" s="5"/>
      <c r="BD632" s="5"/>
      <c r="BF632" s="5"/>
      <c r="BH632" s="5"/>
      <c r="BJ632" s="5"/>
      <c r="BL632" s="5"/>
      <c r="BN632" s="5"/>
      <c r="BP632" s="5"/>
      <c r="BR632" s="5"/>
    </row>
    <row r="633" spans="1:70" x14ac:dyDescent="0.25">
      <c r="A633" s="3">
        <v>44700</v>
      </c>
      <c r="B633" s="1">
        <f t="shared" si="77"/>
        <v>5</v>
      </c>
      <c r="C633" s="1">
        <f t="shared" si="78"/>
        <v>2022</v>
      </c>
      <c r="D633" s="1">
        <v>1.93</v>
      </c>
      <c r="E633" s="4">
        <f t="shared" si="75"/>
        <v>1.5246999999999999</v>
      </c>
      <c r="F633" s="5">
        <f t="shared" si="76"/>
        <v>366.7</v>
      </c>
      <c r="L633" s="8">
        <v>0.79</v>
      </c>
      <c r="M633" s="8">
        <v>0.19</v>
      </c>
      <c r="S633" s="4" t="e">
        <f ca="1">_xll.RHistory("JCI-SBMG-DALNI","NDA_RAW.Nda_last","START:"&amp;$A633&amp;" END:"&amp;$A633&amp;" INTERVAL:1W",,,)</f>
        <v>#NAME?</v>
      </c>
      <c r="AZ633" s="5"/>
      <c r="BB633" s="5"/>
      <c r="BD633" s="5"/>
      <c r="BF633" s="5"/>
      <c r="BH633" s="5"/>
      <c r="BJ633" s="5"/>
      <c r="BL633" s="5"/>
      <c r="BN633" s="5"/>
      <c r="BP633" s="5"/>
      <c r="BR633" s="5"/>
    </row>
    <row r="634" spans="1:70" x14ac:dyDescent="0.25">
      <c r="A634" s="3">
        <v>44707</v>
      </c>
      <c r="B634" s="1">
        <f t="shared" si="77"/>
        <v>5</v>
      </c>
      <c r="C634" s="1">
        <f t="shared" si="78"/>
        <v>2022</v>
      </c>
      <c r="D634" s="1">
        <v>1.88</v>
      </c>
      <c r="E634" s="4">
        <f t="shared" si="75"/>
        <v>1.4852000000000001</v>
      </c>
      <c r="F634" s="5">
        <f t="shared" si="76"/>
        <v>357.2</v>
      </c>
      <c r="L634" s="8">
        <v>0.79</v>
      </c>
      <c r="M634" s="8">
        <v>0.19</v>
      </c>
      <c r="S634" s="4" t="e">
        <f ca="1">_xll.RHistory("JCI-SBMG-DALNI","NDA_RAW.Nda_last","START:"&amp;$A634&amp;" END:"&amp;$A634&amp;" INTERVAL:1W",,,)</f>
        <v>#NAME?</v>
      </c>
      <c r="AZ634" s="5"/>
      <c r="BB634" s="5"/>
      <c r="BD634" s="5"/>
      <c r="BF634" s="5"/>
      <c r="BH634" s="5"/>
      <c r="BJ634" s="5"/>
      <c r="BL634" s="5"/>
      <c r="BN634" s="5"/>
      <c r="BP634" s="5"/>
      <c r="BR634" s="5"/>
    </row>
    <row r="635" spans="1:70" x14ac:dyDescent="0.25">
      <c r="A635" s="3">
        <v>44714</v>
      </c>
      <c r="B635" s="1">
        <f t="shared" si="77"/>
        <v>6</v>
      </c>
      <c r="C635" s="1">
        <f t="shared" si="78"/>
        <v>2022</v>
      </c>
      <c r="D635" s="1">
        <v>1.64</v>
      </c>
      <c r="E635" s="4">
        <f t="shared" si="75"/>
        <v>1.2956000000000001</v>
      </c>
      <c r="F635" s="5">
        <f t="shared" si="76"/>
        <v>311.59999999999997</v>
      </c>
      <c r="L635" s="8">
        <v>0.79</v>
      </c>
      <c r="M635" s="8">
        <v>0.19</v>
      </c>
      <c r="S635" s="4" t="e">
        <f ca="1">_xll.RHistory("JCI-SBMG-DALNI","NDA_RAW.Nda_last","START:"&amp;$A635&amp;" END:"&amp;$A635&amp;" INTERVAL:1W",,,)</f>
        <v>#NAME?</v>
      </c>
      <c r="AZ635" s="5"/>
      <c r="BB635" s="5"/>
      <c r="BD635" s="5"/>
      <c r="BF635" s="5"/>
      <c r="BH635" s="5"/>
      <c r="BJ635" s="5"/>
      <c r="BL635" s="5"/>
      <c r="BN635" s="5"/>
      <c r="BP635" s="5"/>
      <c r="BR635" s="5"/>
    </row>
    <row r="636" spans="1:70" x14ac:dyDescent="0.25">
      <c r="A636" s="3">
        <v>44721</v>
      </c>
      <c r="B636" s="1">
        <f t="shared" si="77"/>
        <v>6</v>
      </c>
      <c r="C636" s="1">
        <f t="shared" si="78"/>
        <v>2022</v>
      </c>
      <c r="D636" s="1">
        <v>1.63</v>
      </c>
      <c r="E636" s="4">
        <f t="shared" si="75"/>
        <v>1.2877000000000001</v>
      </c>
      <c r="F636" s="5">
        <f t="shared" si="76"/>
        <v>309.7</v>
      </c>
      <c r="L636" s="8">
        <v>0.79</v>
      </c>
      <c r="M636" s="8">
        <v>0.19</v>
      </c>
      <c r="S636" s="4" t="e">
        <f ca="1">_xll.RHistory("JCI-SBMG-DALNI","NDA_RAW.Nda_last","START:"&amp;$A636&amp;" END:"&amp;$A636&amp;" INTERVAL:1W",,,)</f>
        <v>#NAME?</v>
      </c>
      <c r="AZ636" s="5"/>
      <c r="BB636" s="5"/>
      <c r="BD636" s="5"/>
      <c r="BF636" s="5"/>
      <c r="BH636" s="5"/>
      <c r="BJ636" s="5"/>
      <c r="BL636" s="5"/>
      <c r="BN636" s="5"/>
      <c r="BP636" s="5"/>
      <c r="BR636" s="5"/>
    </row>
    <row r="637" spans="1:70" x14ac:dyDescent="0.25">
      <c r="A637" s="3">
        <v>44728</v>
      </c>
      <c r="B637" s="1">
        <f t="shared" si="77"/>
        <v>6</v>
      </c>
      <c r="C637" s="1">
        <f t="shared" si="78"/>
        <v>2022</v>
      </c>
      <c r="D637" s="1">
        <v>1.88</v>
      </c>
      <c r="E637" s="4">
        <f t="shared" ref="E637:E665" si="79">L637*D637</f>
        <v>1.4852000000000001</v>
      </c>
      <c r="F637" s="5">
        <f t="shared" ref="F637:F665" si="80">D637*M637*1000</f>
        <v>357.2</v>
      </c>
      <c r="L637" s="8">
        <v>0.79</v>
      </c>
      <c r="M637" s="8">
        <v>0.19</v>
      </c>
      <c r="S637" s="4" t="e">
        <f ca="1">_xll.RHistory("JCI-SBMG-DALNI","NDA_RAW.Nda_last","START:"&amp;$A637&amp;" END:"&amp;$A637&amp;" INTERVAL:1W",,,)</f>
        <v>#NAME?</v>
      </c>
      <c r="AZ637" s="5"/>
      <c r="BB637" s="5"/>
      <c r="BD637" s="5"/>
      <c r="BF637" s="5"/>
      <c r="BH637" s="5"/>
      <c r="BJ637" s="5"/>
      <c r="BL637" s="5"/>
      <c r="BN637" s="5"/>
      <c r="BP637" s="5"/>
      <c r="BR637" s="5"/>
    </row>
    <row r="638" spans="1:70" x14ac:dyDescent="0.25">
      <c r="A638" s="3">
        <v>44735</v>
      </c>
      <c r="B638" s="1">
        <f t="shared" si="77"/>
        <v>6</v>
      </c>
      <c r="C638" s="1">
        <f t="shared" si="78"/>
        <v>2022</v>
      </c>
      <c r="D638" s="1">
        <v>1.81</v>
      </c>
      <c r="E638" s="4">
        <f t="shared" si="79"/>
        <v>1.4299000000000002</v>
      </c>
      <c r="F638" s="5">
        <f t="shared" si="80"/>
        <v>343.90000000000003</v>
      </c>
      <c r="L638" s="8">
        <v>0.79</v>
      </c>
      <c r="M638" s="8">
        <v>0.19</v>
      </c>
      <c r="S638" s="4" t="e">
        <f ca="1">_xll.RHistory("JCI-SBMG-DALNI","NDA_RAW.Nda_last","START:"&amp;$A638&amp;" END:"&amp;$A638&amp;" INTERVAL:1W",,,)</f>
        <v>#NAME?</v>
      </c>
      <c r="AZ638" s="5"/>
      <c r="BB638" s="5"/>
      <c r="BD638" s="5"/>
      <c r="BF638" s="5"/>
      <c r="BH638" s="5"/>
      <c r="BJ638" s="5"/>
      <c r="BL638" s="5"/>
      <c r="BN638" s="5"/>
      <c r="BP638" s="5"/>
      <c r="BR638" s="5"/>
    </row>
    <row r="639" spans="1:70" x14ac:dyDescent="0.25">
      <c r="A639" s="3">
        <v>44742</v>
      </c>
      <c r="B639" s="1">
        <f t="shared" si="77"/>
        <v>6</v>
      </c>
      <c r="C639" s="1">
        <f t="shared" si="78"/>
        <v>2022</v>
      </c>
      <c r="D639" s="1">
        <v>1.82</v>
      </c>
      <c r="E639" s="4">
        <f t="shared" si="79"/>
        <v>1.4378000000000002</v>
      </c>
      <c r="F639" s="5">
        <f t="shared" si="80"/>
        <v>345.8</v>
      </c>
      <c r="L639" s="8">
        <v>0.79</v>
      </c>
      <c r="M639" s="8">
        <v>0.19</v>
      </c>
      <c r="S639" s="4" t="e">
        <f ca="1">_xll.RHistory("JCI-SBMG-DALNI","NDA_RAW.Nda_last","START:"&amp;$A639&amp;" END:"&amp;$A639&amp;" INTERVAL:1W",,,)</f>
        <v>#NAME?</v>
      </c>
      <c r="AZ639" s="5"/>
      <c r="BB639" s="5"/>
      <c r="BD639" s="5"/>
      <c r="BF639" s="5"/>
      <c r="BH639" s="5"/>
      <c r="BJ639" s="5"/>
      <c r="BL639" s="5"/>
      <c r="BN639" s="5"/>
      <c r="BP639" s="5"/>
      <c r="BR639" s="5"/>
    </row>
    <row r="640" spans="1:70" x14ac:dyDescent="0.25">
      <c r="A640" s="3">
        <v>44749</v>
      </c>
      <c r="B640" s="1">
        <f t="shared" si="77"/>
        <v>7</v>
      </c>
      <c r="C640" s="1">
        <f t="shared" si="78"/>
        <v>2022</v>
      </c>
      <c r="D640" s="1">
        <v>1.71</v>
      </c>
      <c r="E640" s="4">
        <f t="shared" si="79"/>
        <v>1.3509</v>
      </c>
      <c r="F640" s="5">
        <f t="shared" si="80"/>
        <v>324.90000000000003</v>
      </c>
      <c r="L640" s="8">
        <v>0.79</v>
      </c>
      <c r="M640" s="8">
        <v>0.19</v>
      </c>
      <c r="S640" s="4" t="e">
        <f ca="1">_xll.RHistory("JCI-SBMG-DALNI","NDA_RAW.Nda_last","START:"&amp;$A640&amp;" END:"&amp;$A640&amp;" INTERVAL:1W",,,)</f>
        <v>#NAME?</v>
      </c>
      <c r="AZ640" s="5"/>
      <c r="BB640" s="5"/>
      <c r="BD640" s="5"/>
      <c r="BF640" s="5"/>
      <c r="BH640" s="5"/>
      <c r="BJ640" s="5"/>
      <c r="BL640" s="5"/>
      <c r="BN640" s="5"/>
      <c r="BP640" s="5"/>
      <c r="BR640" s="5"/>
    </row>
    <row r="641" spans="1:70" x14ac:dyDescent="0.25">
      <c r="A641" s="3">
        <v>44756</v>
      </c>
      <c r="B641" s="1">
        <f t="shared" si="77"/>
        <v>7</v>
      </c>
      <c r="C641" s="1">
        <f t="shared" si="78"/>
        <v>2022</v>
      </c>
      <c r="D641" s="1">
        <v>1.7</v>
      </c>
      <c r="E641" s="4">
        <f t="shared" si="79"/>
        <v>1.343</v>
      </c>
      <c r="F641" s="5">
        <f t="shared" si="80"/>
        <v>323</v>
      </c>
      <c r="L641" s="8">
        <v>0.79</v>
      </c>
      <c r="M641" s="8">
        <v>0.19</v>
      </c>
      <c r="S641" s="4" t="e">
        <f ca="1">_xll.RHistory("JCI-SBMG-DALNI","NDA_RAW.Nda_last","START:"&amp;$A641&amp;" END:"&amp;$A641&amp;" INTERVAL:1W",,,)</f>
        <v>#NAME?</v>
      </c>
      <c r="AZ641" s="5"/>
      <c r="BB641" s="5"/>
      <c r="BD641" s="5"/>
      <c r="BF641" s="5"/>
      <c r="BH641" s="5"/>
      <c r="BJ641" s="5"/>
      <c r="BL641" s="5"/>
      <c r="BN641" s="5"/>
      <c r="BP641" s="5"/>
      <c r="BR641" s="5"/>
    </row>
    <row r="642" spans="1:70" x14ac:dyDescent="0.25">
      <c r="A642" s="3">
        <v>44763</v>
      </c>
      <c r="B642" s="1">
        <f t="shared" si="77"/>
        <v>7</v>
      </c>
      <c r="C642" s="1">
        <f t="shared" si="78"/>
        <v>2022</v>
      </c>
      <c r="D642" s="1">
        <v>1.68</v>
      </c>
      <c r="E642" s="4">
        <f t="shared" si="79"/>
        <v>1.3271999999999999</v>
      </c>
      <c r="F642" s="5">
        <f t="shared" si="80"/>
        <v>319.2</v>
      </c>
      <c r="L642" s="8">
        <v>0.79</v>
      </c>
      <c r="M642" s="8">
        <v>0.19</v>
      </c>
      <c r="S642" s="4" t="e">
        <f ca="1">_xll.RHistory("JCI-SBMG-DALNI","NDA_RAW.Nda_last","START:"&amp;$A642&amp;" END:"&amp;$A642&amp;" INTERVAL:1W",,,)</f>
        <v>#NAME?</v>
      </c>
      <c r="AZ642" s="5"/>
      <c r="BB642" s="5"/>
      <c r="BD642" s="5"/>
      <c r="BF642" s="5"/>
      <c r="BH642" s="5"/>
      <c r="BJ642" s="5"/>
      <c r="BL642" s="5"/>
      <c r="BN642" s="5"/>
      <c r="BP642" s="5"/>
      <c r="BR642" s="5"/>
    </row>
    <row r="643" spans="1:70" x14ac:dyDescent="0.25">
      <c r="A643" s="3">
        <v>44770</v>
      </c>
      <c r="B643" s="1">
        <f t="shared" si="77"/>
        <v>7</v>
      </c>
      <c r="C643" s="1">
        <f t="shared" si="78"/>
        <v>2022</v>
      </c>
      <c r="D643" s="1">
        <v>1.74</v>
      </c>
      <c r="E643" s="4">
        <f t="shared" si="79"/>
        <v>1.3746</v>
      </c>
      <c r="F643" s="5">
        <f t="shared" si="80"/>
        <v>330.6</v>
      </c>
      <c r="L643" s="8">
        <v>0.79</v>
      </c>
      <c r="M643" s="8">
        <v>0.19</v>
      </c>
      <c r="S643" s="4" t="e">
        <f ca="1">_xll.RHistory("JCI-SBMG-DALNI","NDA_RAW.Nda_last","START:"&amp;$A643&amp;" END:"&amp;$A643&amp;" INTERVAL:1W",,,)</f>
        <v>#NAME?</v>
      </c>
      <c r="AZ643" s="5"/>
      <c r="BB643" s="5"/>
      <c r="BD643" s="5"/>
      <c r="BF643" s="5"/>
      <c r="BH643" s="5"/>
      <c r="BJ643" s="5"/>
      <c r="BL643" s="5"/>
      <c r="BN643" s="5"/>
      <c r="BP643" s="5"/>
      <c r="BR643" s="5"/>
    </row>
    <row r="644" spans="1:70" x14ac:dyDescent="0.25">
      <c r="A644" s="3">
        <v>44777</v>
      </c>
      <c r="B644" s="1">
        <f t="shared" si="77"/>
        <v>8</v>
      </c>
      <c r="C644" s="1">
        <f t="shared" si="78"/>
        <v>2022</v>
      </c>
      <c r="D644" s="1">
        <v>1.68</v>
      </c>
      <c r="E644" s="4">
        <f t="shared" si="79"/>
        <v>1.3271999999999999</v>
      </c>
      <c r="F644" s="5">
        <f t="shared" si="80"/>
        <v>319.2</v>
      </c>
      <c r="L644" s="8">
        <v>0.79</v>
      </c>
      <c r="M644" s="8">
        <v>0.19</v>
      </c>
      <c r="S644" s="4" t="e">
        <f ca="1">_xll.RHistory("JCI-SBMG-DALNI","NDA_RAW.Nda_last","START:"&amp;$A644&amp;" END:"&amp;$A644&amp;" INTERVAL:1W",,,)</f>
        <v>#NAME?</v>
      </c>
      <c r="AZ644" s="5"/>
      <c r="BB644" s="5"/>
      <c r="BD644" s="5"/>
      <c r="BF644" s="5"/>
      <c r="BH644" s="5"/>
      <c r="BJ644" s="5"/>
      <c r="BL644" s="5"/>
      <c r="BN644" s="5"/>
      <c r="BP644" s="5"/>
      <c r="BR644" s="5"/>
    </row>
    <row r="645" spans="1:70" x14ac:dyDescent="0.25">
      <c r="A645" s="3">
        <v>44784</v>
      </c>
      <c r="B645" s="1">
        <f t="shared" si="77"/>
        <v>8</v>
      </c>
      <c r="C645" s="1">
        <f t="shared" si="78"/>
        <v>2022</v>
      </c>
      <c r="D645" s="1">
        <v>1.66</v>
      </c>
      <c r="E645" s="4">
        <f t="shared" si="79"/>
        <v>1.3113999999999999</v>
      </c>
      <c r="F645" s="5">
        <f t="shared" si="80"/>
        <v>315.40000000000003</v>
      </c>
      <c r="L645" s="8">
        <v>0.79</v>
      </c>
      <c r="M645" s="8">
        <v>0.19</v>
      </c>
      <c r="S645" s="4" t="e">
        <f ca="1">_xll.RHistory("JCI-SBMG-DALNI","NDA_RAW.Nda_last","START:"&amp;$A645&amp;" END:"&amp;$A645&amp;" INTERVAL:1W",,,)</f>
        <v>#NAME?</v>
      </c>
      <c r="AZ645" s="5"/>
      <c r="BB645" s="5"/>
      <c r="BD645" s="5"/>
      <c r="BF645" s="5"/>
      <c r="BH645" s="5"/>
      <c r="BJ645" s="5"/>
      <c r="BL645" s="5"/>
      <c r="BN645" s="5"/>
      <c r="BP645" s="5"/>
      <c r="BR645" s="5"/>
    </row>
    <row r="646" spans="1:70" x14ac:dyDescent="0.25">
      <c r="A646" s="3">
        <v>44791</v>
      </c>
      <c r="B646" s="1">
        <f t="shared" si="77"/>
        <v>8</v>
      </c>
      <c r="C646" s="1">
        <f t="shared" si="78"/>
        <v>2022</v>
      </c>
      <c r="D646" s="1">
        <v>1.73</v>
      </c>
      <c r="E646" s="4">
        <f t="shared" si="79"/>
        <v>1.3667</v>
      </c>
      <c r="F646" s="5">
        <f t="shared" si="80"/>
        <v>328.7</v>
      </c>
      <c r="L646" s="8">
        <v>0.79</v>
      </c>
      <c r="M646" s="8">
        <v>0.19</v>
      </c>
      <c r="S646" s="4" t="e">
        <f ca="1">_xll.RHistory("JCI-SBMG-DALNI","NDA_RAW.Nda_last","START:"&amp;$A646&amp;" END:"&amp;$A646&amp;" INTERVAL:1W",,,)</f>
        <v>#NAME?</v>
      </c>
      <c r="AZ646" s="5"/>
      <c r="BB646" s="5"/>
      <c r="BD646" s="5"/>
      <c r="BF646" s="5"/>
      <c r="BH646" s="5"/>
      <c r="BJ646" s="5"/>
      <c r="BL646" s="5"/>
      <c r="BN646" s="5"/>
      <c r="BP646" s="5"/>
      <c r="BR646" s="5"/>
    </row>
    <row r="647" spans="1:70" x14ac:dyDescent="0.25">
      <c r="A647" s="3">
        <v>44798</v>
      </c>
      <c r="B647" s="1">
        <f t="shared" si="77"/>
        <v>8</v>
      </c>
      <c r="C647" s="1">
        <f t="shared" si="78"/>
        <v>2022</v>
      </c>
      <c r="D647" s="1">
        <v>1.98</v>
      </c>
      <c r="E647" s="4">
        <f t="shared" si="79"/>
        <v>1.5642</v>
      </c>
      <c r="F647" s="5">
        <f t="shared" si="80"/>
        <v>376.2</v>
      </c>
      <c r="L647" s="8">
        <v>0.79</v>
      </c>
      <c r="M647" s="8">
        <v>0.19</v>
      </c>
      <c r="S647" s="4" t="e">
        <f ca="1">_xll.RHistory("JCI-SBMG-DALNI","NDA_RAW.Nda_last","START:"&amp;$A647&amp;" END:"&amp;$A647&amp;" INTERVAL:1W",,,)</f>
        <v>#NAME?</v>
      </c>
      <c r="AZ647" s="5"/>
      <c r="BB647" s="5"/>
      <c r="BD647" s="5"/>
      <c r="BF647" s="5"/>
      <c r="BH647" s="5"/>
      <c r="BJ647" s="5"/>
      <c r="BL647" s="5"/>
      <c r="BN647" s="5"/>
      <c r="BP647" s="5"/>
      <c r="BR647" s="5"/>
    </row>
    <row r="648" spans="1:70" x14ac:dyDescent="0.25">
      <c r="A648" s="3">
        <v>44805</v>
      </c>
      <c r="B648" s="1">
        <f t="shared" si="77"/>
        <v>9</v>
      </c>
      <c r="C648" s="1">
        <f t="shared" si="78"/>
        <v>2022</v>
      </c>
      <c r="D648" s="1">
        <v>1.96</v>
      </c>
      <c r="E648" s="4">
        <f t="shared" si="79"/>
        <v>1.5484</v>
      </c>
      <c r="F648" s="5">
        <f t="shared" si="80"/>
        <v>372.40000000000003</v>
      </c>
      <c r="L648" s="8">
        <v>0.79</v>
      </c>
      <c r="M648" s="8">
        <v>0.19</v>
      </c>
      <c r="S648" s="4" t="e">
        <f ca="1">_xll.RHistory("JCI-SBMG-DALNI","NDA_RAW.Nda_last","START:"&amp;$A648&amp;" END:"&amp;$A648&amp;" INTERVAL:1W",,,)</f>
        <v>#NAME?</v>
      </c>
      <c r="AZ648" s="5"/>
      <c r="BB648" s="5"/>
      <c r="BD648" s="5"/>
      <c r="BF648" s="5"/>
      <c r="BH648" s="5"/>
      <c r="BJ648" s="5"/>
      <c r="BL648" s="5"/>
      <c r="BN648" s="5"/>
      <c r="BP648" s="5"/>
      <c r="BR648" s="5"/>
    </row>
    <row r="649" spans="1:70" x14ac:dyDescent="0.25">
      <c r="A649" s="3">
        <v>44812</v>
      </c>
      <c r="B649" s="1">
        <f t="shared" si="77"/>
        <v>9</v>
      </c>
      <c r="C649" s="1">
        <f t="shared" si="78"/>
        <v>2022</v>
      </c>
      <c r="D649" s="1">
        <v>1.96</v>
      </c>
      <c r="E649" s="4">
        <f t="shared" si="79"/>
        <v>1.5484</v>
      </c>
      <c r="F649" s="5">
        <f t="shared" si="80"/>
        <v>372.40000000000003</v>
      </c>
      <c r="L649" s="8">
        <v>0.79</v>
      </c>
      <c r="M649" s="8">
        <v>0.19</v>
      </c>
      <c r="S649" s="4" t="e">
        <f ca="1">_xll.RHistory("JCI-SBMG-DALNI","NDA_RAW.Nda_last","START:"&amp;$A649&amp;" END:"&amp;$A649&amp;" INTERVAL:1W",,,)</f>
        <v>#NAME?</v>
      </c>
      <c r="AZ649" s="5"/>
      <c r="BB649" s="5"/>
      <c r="BD649" s="5"/>
      <c r="BF649" s="5"/>
      <c r="BH649" s="5"/>
      <c r="BJ649" s="5"/>
      <c r="BL649" s="5"/>
      <c r="BN649" s="5"/>
      <c r="BP649" s="5"/>
      <c r="BR649" s="5"/>
    </row>
    <row r="650" spans="1:70" x14ac:dyDescent="0.25">
      <c r="A650" s="3">
        <v>44819</v>
      </c>
      <c r="B650" s="1">
        <f t="shared" si="77"/>
        <v>9</v>
      </c>
      <c r="C650" s="1">
        <f t="shared" si="78"/>
        <v>2022</v>
      </c>
      <c r="D650" s="1">
        <v>1.81</v>
      </c>
      <c r="E650" s="4">
        <f t="shared" si="79"/>
        <v>1.4299000000000002</v>
      </c>
      <c r="F650" s="5">
        <f t="shared" si="80"/>
        <v>343.90000000000003</v>
      </c>
      <c r="L650" s="8">
        <v>0.79</v>
      </c>
      <c r="M650" s="8">
        <v>0.19</v>
      </c>
      <c r="S650" s="4" t="e">
        <f ca="1">_xll.RHistory("JCI-SBMG-DALNI","NDA_RAW.Nda_last","START:"&amp;$A650&amp;" END:"&amp;$A650&amp;" INTERVAL:1W",,,)</f>
        <v>#NAME?</v>
      </c>
      <c r="AZ650" s="5"/>
      <c r="BB650" s="5"/>
      <c r="BD650" s="5"/>
      <c r="BF650" s="5"/>
      <c r="BH650" s="5"/>
      <c r="BJ650" s="5"/>
      <c r="BL650" s="5"/>
      <c r="BN650" s="5"/>
      <c r="BP650" s="5"/>
      <c r="BR650" s="5"/>
    </row>
    <row r="651" spans="1:70" x14ac:dyDescent="0.25">
      <c r="A651" s="3">
        <v>44826</v>
      </c>
      <c r="B651" s="1">
        <f t="shared" si="77"/>
        <v>9</v>
      </c>
      <c r="C651" s="1">
        <f t="shared" si="78"/>
        <v>2022</v>
      </c>
      <c r="D651" s="1">
        <v>2.0499999999999998</v>
      </c>
      <c r="E651" s="4">
        <f t="shared" si="79"/>
        <v>1.6194999999999999</v>
      </c>
      <c r="F651" s="5">
        <f t="shared" si="80"/>
        <v>389.49999999999994</v>
      </c>
      <c r="L651" s="8">
        <v>0.79</v>
      </c>
      <c r="M651" s="8">
        <v>0.19</v>
      </c>
      <c r="S651" s="4" t="e">
        <f ca="1">_xll.RHistory("JCI-SBMG-DALNI","NDA_RAW.Nda_last","START:"&amp;$A651&amp;" END:"&amp;$A651&amp;" INTERVAL:1W",,,)</f>
        <v>#NAME?</v>
      </c>
      <c r="AZ651" s="5"/>
      <c r="BB651" s="5"/>
      <c r="BD651" s="5"/>
      <c r="BF651" s="5"/>
      <c r="BH651" s="5"/>
      <c r="BJ651" s="5"/>
      <c r="BL651" s="5"/>
      <c r="BN651" s="5"/>
      <c r="BP651" s="5"/>
      <c r="BR651" s="5"/>
    </row>
    <row r="652" spans="1:70" x14ac:dyDescent="0.25">
      <c r="A652" s="3">
        <v>44833</v>
      </c>
      <c r="B652" s="1">
        <f t="shared" si="77"/>
        <v>9</v>
      </c>
      <c r="C652" s="1">
        <f t="shared" si="78"/>
        <v>2022</v>
      </c>
      <c r="D652" s="1">
        <v>1.52</v>
      </c>
      <c r="E652" s="4">
        <f t="shared" si="79"/>
        <v>1.2008000000000001</v>
      </c>
      <c r="F652" s="5">
        <f t="shared" si="80"/>
        <v>288.8</v>
      </c>
      <c r="L652" s="8">
        <v>0.79</v>
      </c>
      <c r="M652" s="8">
        <v>0.19</v>
      </c>
      <c r="S652" s="4" t="e">
        <f ca="1">_xll.RHistory("JCI-SBMG-DALNI","NDA_RAW.Nda_last","START:"&amp;$A652&amp;" END:"&amp;$A652&amp;" INTERVAL:1W",,,)</f>
        <v>#NAME?</v>
      </c>
      <c r="AZ652" s="5"/>
      <c r="BB652" s="5"/>
      <c r="BD652" s="5"/>
      <c r="BF652" s="5"/>
      <c r="BH652" s="5"/>
      <c r="BJ652" s="5"/>
      <c r="BL652" s="5"/>
      <c r="BN652" s="5"/>
      <c r="BP652" s="5"/>
      <c r="BR652" s="5"/>
    </row>
    <row r="653" spans="1:70" x14ac:dyDescent="0.25">
      <c r="A653" s="3">
        <v>44840</v>
      </c>
      <c r="B653" s="1">
        <f t="shared" si="77"/>
        <v>10</v>
      </c>
      <c r="C653" s="1">
        <f t="shared" si="78"/>
        <v>2022</v>
      </c>
      <c r="E653" s="4"/>
      <c r="F653" s="5"/>
      <c r="L653" s="8">
        <v>0.79</v>
      </c>
      <c r="M653" s="8">
        <v>0.19</v>
      </c>
      <c r="S653" s="4" t="e">
        <f ca="1">_xll.RHistory("JCI-SBMG-DALNI","NDA_RAW.Nda_last","START:"&amp;$A653&amp;" END:"&amp;$A653&amp;" INTERVAL:1W",,,)</f>
        <v>#NAME?</v>
      </c>
      <c r="AZ653" s="5"/>
      <c r="BB653" s="5"/>
      <c r="BD653" s="5"/>
      <c r="BF653" s="5"/>
      <c r="BH653" s="5"/>
      <c r="BJ653" s="5"/>
      <c r="BL653" s="5"/>
      <c r="BN653" s="5"/>
      <c r="BP653" s="5"/>
      <c r="BR653" s="5"/>
    </row>
    <row r="654" spans="1:70" x14ac:dyDescent="0.25">
      <c r="A654" s="3">
        <v>44847</v>
      </c>
      <c r="B654" s="1">
        <f t="shared" si="77"/>
        <v>10</v>
      </c>
      <c r="C654" s="1">
        <f t="shared" si="78"/>
        <v>2022</v>
      </c>
      <c r="D654" s="1">
        <v>1.65</v>
      </c>
      <c r="E654" s="4">
        <f t="shared" si="79"/>
        <v>1.3034999999999999</v>
      </c>
      <c r="F654" s="5">
        <f t="shared" si="80"/>
        <v>313.5</v>
      </c>
      <c r="L654" s="8">
        <v>0.79</v>
      </c>
      <c r="M654" s="8">
        <v>0.19</v>
      </c>
      <c r="S654" s="4" t="e">
        <f ca="1">_xll.RHistory("JCI-SBMG-DALNI","NDA_RAW.Nda_last","START:"&amp;$A654&amp;" END:"&amp;$A654&amp;" INTERVAL:1W",,,)</f>
        <v>#NAME?</v>
      </c>
      <c r="AZ654" s="5"/>
      <c r="BB654" s="5"/>
      <c r="BD654" s="5"/>
      <c r="BF654" s="5"/>
      <c r="BH654" s="5"/>
      <c r="BJ654" s="5"/>
      <c r="BL654" s="5"/>
      <c r="BN654" s="5"/>
      <c r="BP654" s="5"/>
      <c r="BR654" s="5"/>
    </row>
    <row r="655" spans="1:70" x14ac:dyDescent="0.25">
      <c r="A655" s="3">
        <v>44854</v>
      </c>
      <c r="B655" s="1">
        <f t="shared" si="77"/>
        <v>10</v>
      </c>
      <c r="C655" s="1">
        <f t="shared" si="78"/>
        <v>2022</v>
      </c>
      <c r="D655" s="1">
        <v>1.61</v>
      </c>
      <c r="E655" s="4">
        <f t="shared" si="79"/>
        <v>1.2719</v>
      </c>
      <c r="F655" s="5">
        <f t="shared" si="80"/>
        <v>305.89999999999998</v>
      </c>
      <c r="L655" s="8">
        <v>0.79</v>
      </c>
      <c r="M655" s="8">
        <v>0.19</v>
      </c>
      <c r="S655" s="4" t="e">
        <f ca="1">_xll.RHistory("JCI-SBMG-DALNI","NDA_RAW.Nda_last","START:"&amp;$A655&amp;" END:"&amp;$A655&amp;" INTERVAL:1W",,,)</f>
        <v>#NAME?</v>
      </c>
      <c r="AZ655" s="5"/>
      <c r="BB655" s="5"/>
      <c r="BD655" s="5"/>
      <c r="BF655" s="5"/>
      <c r="BH655" s="5"/>
      <c r="BJ655" s="5"/>
      <c r="BL655" s="5"/>
      <c r="BN655" s="5"/>
      <c r="BP655" s="5"/>
      <c r="BR655" s="5"/>
    </row>
    <row r="656" spans="1:70" x14ac:dyDescent="0.25">
      <c r="A656" s="3">
        <v>44861</v>
      </c>
      <c r="B656" s="1">
        <f t="shared" si="77"/>
        <v>10</v>
      </c>
      <c r="C656" s="1">
        <f t="shared" si="78"/>
        <v>2022</v>
      </c>
      <c r="D656" s="1">
        <v>1.68</v>
      </c>
      <c r="E656" s="4">
        <f t="shared" si="79"/>
        <v>1.3271999999999999</v>
      </c>
      <c r="F656" s="5">
        <f t="shared" si="80"/>
        <v>319.2</v>
      </c>
      <c r="L656" s="8">
        <v>0.79</v>
      </c>
      <c r="M656" s="8">
        <v>0.19</v>
      </c>
      <c r="S656" s="4" t="e">
        <f ca="1">_xll.RHistory("JCI-SBMG-DALNI","NDA_RAW.Nda_last","START:"&amp;$A656&amp;" END:"&amp;$A656&amp;" INTERVAL:1W",,,)</f>
        <v>#NAME?</v>
      </c>
      <c r="AZ656" s="5"/>
      <c r="BB656" s="5"/>
      <c r="BD656" s="5"/>
      <c r="BF656" s="5"/>
      <c r="BH656" s="5"/>
      <c r="BJ656" s="5"/>
      <c r="BL656" s="5"/>
      <c r="BN656" s="5"/>
      <c r="BP656" s="5"/>
      <c r="BR656" s="5"/>
    </row>
    <row r="657" spans="1:70" x14ac:dyDescent="0.25">
      <c r="A657" s="3">
        <v>44868</v>
      </c>
      <c r="B657" s="1">
        <f t="shared" si="77"/>
        <v>11</v>
      </c>
      <c r="C657" s="1">
        <f t="shared" si="78"/>
        <v>2022</v>
      </c>
      <c r="D657" s="1">
        <v>1.52</v>
      </c>
      <c r="E657" s="4">
        <f t="shared" si="79"/>
        <v>1.2008000000000001</v>
      </c>
      <c r="F657" s="5">
        <f t="shared" si="80"/>
        <v>288.8</v>
      </c>
      <c r="L657" s="8">
        <v>0.79</v>
      </c>
      <c r="M657" s="8">
        <v>0.19</v>
      </c>
      <c r="S657" s="4" t="e">
        <f ca="1">_xll.RHistory("JCI-SBMG-DALNI","NDA_RAW.Nda_last","START:"&amp;$A657&amp;" END:"&amp;$A657&amp;" INTERVAL:1W",,,)</f>
        <v>#NAME?</v>
      </c>
      <c r="AZ657" s="5"/>
      <c r="BB657" s="5"/>
      <c r="BD657" s="5"/>
      <c r="BF657" s="5"/>
      <c r="BH657" s="5"/>
      <c r="BJ657" s="5"/>
      <c r="BL657" s="5"/>
      <c r="BN657" s="5"/>
      <c r="BP657" s="5"/>
      <c r="BR657" s="5"/>
    </row>
    <row r="658" spans="1:70" x14ac:dyDescent="0.25">
      <c r="A658" s="3">
        <v>44875</v>
      </c>
      <c r="B658" s="1">
        <f t="shared" si="77"/>
        <v>11</v>
      </c>
      <c r="C658" s="1">
        <f t="shared" si="78"/>
        <v>2022</v>
      </c>
      <c r="D658" s="1">
        <v>1.53</v>
      </c>
      <c r="E658" s="4">
        <f t="shared" si="79"/>
        <v>1.2087000000000001</v>
      </c>
      <c r="F658" s="5">
        <f t="shared" si="80"/>
        <v>290.7</v>
      </c>
      <c r="L658" s="8">
        <v>0.79</v>
      </c>
      <c r="M658" s="8">
        <v>0.19</v>
      </c>
      <c r="S658" s="4" t="e">
        <f ca="1">_xll.RHistory("JCI-SBMG-DALNI","NDA_RAW.Nda_last","START:"&amp;$A658&amp;" END:"&amp;$A658&amp;" INTERVAL:1W",,,)</f>
        <v>#NAME?</v>
      </c>
      <c r="AZ658" s="5"/>
      <c r="BB658" s="5"/>
      <c r="BD658" s="5"/>
      <c r="BF658" s="5"/>
      <c r="BH658" s="5"/>
      <c r="BJ658" s="5"/>
      <c r="BL658" s="5"/>
      <c r="BN658" s="5"/>
      <c r="BP658" s="5"/>
      <c r="BR658" s="5"/>
    </row>
    <row r="659" spans="1:70" x14ac:dyDescent="0.25">
      <c r="A659" s="3">
        <v>44882</v>
      </c>
      <c r="B659" s="1">
        <f t="shared" si="77"/>
        <v>11</v>
      </c>
      <c r="C659" s="1">
        <f t="shared" si="78"/>
        <v>2022</v>
      </c>
      <c r="D659" s="1">
        <v>1.53</v>
      </c>
      <c r="E659" s="4">
        <f t="shared" si="79"/>
        <v>1.2087000000000001</v>
      </c>
      <c r="F659" s="5">
        <f t="shared" si="80"/>
        <v>290.7</v>
      </c>
      <c r="L659" s="8">
        <v>0.79</v>
      </c>
      <c r="M659" s="8">
        <v>0.19</v>
      </c>
      <c r="S659" s="4" t="e">
        <f ca="1">_xll.RHistory("JCI-SBMG-DALNI","NDA_RAW.Nda_last","START:"&amp;$A659&amp;" END:"&amp;$A659&amp;" INTERVAL:1W",,,)</f>
        <v>#NAME?</v>
      </c>
      <c r="AZ659" s="5"/>
      <c r="BB659" s="5"/>
      <c r="BD659" s="5"/>
      <c r="BF659" s="5"/>
      <c r="BH659" s="5"/>
      <c r="BJ659" s="5"/>
      <c r="BL659" s="5"/>
      <c r="BN659" s="5"/>
      <c r="BP659" s="5"/>
      <c r="BR659" s="5"/>
    </row>
    <row r="660" spans="1:70" x14ac:dyDescent="0.25">
      <c r="A660" s="3">
        <v>44889</v>
      </c>
      <c r="B660" s="1">
        <f t="shared" si="77"/>
        <v>11</v>
      </c>
      <c r="C660" s="1">
        <f t="shared" si="78"/>
        <v>2022</v>
      </c>
      <c r="D660" s="1">
        <v>1.98</v>
      </c>
      <c r="E660" s="4">
        <f t="shared" si="79"/>
        <v>1.5642</v>
      </c>
      <c r="F660" s="5">
        <f t="shared" si="80"/>
        <v>376.2</v>
      </c>
      <c r="L660" s="8">
        <v>0.79</v>
      </c>
      <c r="M660" s="8">
        <v>0.19</v>
      </c>
      <c r="AZ660" s="5"/>
      <c r="BB660" s="5"/>
      <c r="BD660" s="5"/>
      <c r="BF660" s="5"/>
      <c r="BH660" s="5"/>
      <c r="BJ660" s="5"/>
      <c r="BL660" s="5"/>
      <c r="BN660" s="5"/>
      <c r="BP660" s="5"/>
      <c r="BR660" s="5"/>
    </row>
    <row r="661" spans="1:70" x14ac:dyDescent="0.25">
      <c r="A661" s="3">
        <v>44896</v>
      </c>
      <c r="B661" s="1">
        <f t="shared" si="77"/>
        <v>12</v>
      </c>
      <c r="C661" s="1">
        <f t="shared" si="78"/>
        <v>2022</v>
      </c>
      <c r="D661" s="1">
        <v>2.0299999999999998</v>
      </c>
      <c r="E661" s="4">
        <f t="shared" si="79"/>
        <v>1.6036999999999999</v>
      </c>
      <c r="F661" s="5">
        <f t="shared" si="80"/>
        <v>385.7</v>
      </c>
      <c r="L661" s="8">
        <v>0.79</v>
      </c>
      <c r="M661" s="8">
        <v>0.19</v>
      </c>
      <c r="AZ661" s="5"/>
      <c r="BB661" s="5"/>
      <c r="BD661" s="5"/>
      <c r="BF661" s="5"/>
      <c r="BH661" s="5"/>
      <c r="BJ661" s="5"/>
      <c r="BL661" s="5"/>
      <c r="BN661" s="5"/>
      <c r="BP661" s="5"/>
      <c r="BR661" s="5"/>
    </row>
    <row r="662" spans="1:70" x14ac:dyDescent="0.25">
      <c r="A662" s="3">
        <v>44903</v>
      </c>
      <c r="B662" s="1">
        <f t="shared" si="77"/>
        <v>12</v>
      </c>
      <c r="C662" s="1">
        <f t="shared" si="78"/>
        <v>2022</v>
      </c>
      <c r="D662" s="1">
        <v>1.98</v>
      </c>
      <c r="E662" s="4">
        <f t="shared" si="79"/>
        <v>1.5642</v>
      </c>
      <c r="F662" s="5">
        <f t="shared" si="80"/>
        <v>376.2</v>
      </c>
      <c r="L662" s="8">
        <v>0.79</v>
      </c>
      <c r="M662" s="8">
        <v>0.19</v>
      </c>
      <c r="AZ662" s="5"/>
      <c r="BB662" s="5"/>
      <c r="BD662" s="5"/>
      <c r="BF662" s="5"/>
      <c r="BH662" s="5"/>
      <c r="BJ662" s="5"/>
      <c r="BL662" s="5"/>
      <c r="BN662" s="5"/>
      <c r="BP662" s="5"/>
      <c r="BR662" s="5"/>
    </row>
    <row r="663" spans="1:70" x14ac:dyDescent="0.25">
      <c r="A663" s="3">
        <v>44910</v>
      </c>
      <c r="B663" s="1">
        <f t="shared" si="77"/>
        <v>12</v>
      </c>
      <c r="C663" s="1">
        <f t="shared" si="78"/>
        <v>2022</v>
      </c>
      <c r="D663" s="1">
        <v>2.08</v>
      </c>
      <c r="E663" s="4">
        <f t="shared" si="79"/>
        <v>1.6432000000000002</v>
      </c>
      <c r="F663" s="5">
        <f t="shared" si="80"/>
        <v>395.2</v>
      </c>
      <c r="L663" s="8">
        <v>0.79</v>
      </c>
      <c r="M663" s="8">
        <v>0.19</v>
      </c>
      <c r="AZ663" s="5"/>
      <c r="BB663" s="5"/>
      <c r="BD663" s="5"/>
      <c r="BF663" s="5"/>
      <c r="BH663" s="5"/>
      <c r="BJ663" s="5"/>
      <c r="BL663" s="5"/>
      <c r="BN663" s="5"/>
      <c r="BP663" s="5"/>
      <c r="BR663" s="5"/>
    </row>
    <row r="664" spans="1:70" x14ac:dyDescent="0.25">
      <c r="A664" s="3">
        <v>44917</v>
      </c>
      <c r="B664" s="1">
        <f t="shared" si="77"/>
        <v>12</v>
      </c>
      <c r="C664" s="1">
        <f t="shared" si="78"/>
        <v>2022</v>
      </c>
      <c r="D664" s="1">
        <v>2.11</v>
      </c>
      <c r="E664" s="4">
        <f t="shared" si="79"/>
        <v>1.6669</v>
      </c>
      <c r="F664" s="5">
        <f t="shared" si="80"/>
        <v>400.9</v>
      </c>
      <c r="L664" s="8">
        <v>0.79</v>
      </c>
      <c r="M664" s="8">
        <v>0.19</v>
      </c>
      <c r="AZ664" s="5"/>
      <c r="BB664" s="5"/>
      <c r="BD664" s="5"/>
      <c r="BF664" s="5"/>
      <c r="BH664" s="5"/>
      <c r="BJ664" s="5"/>
      <c r="BL664" s="5"/>
      <c r="BN664" s="5"/>
      <c r="BP664" s="5"/>
      <c r="BR664" s="5"/>
    </row>
    <row r="665" spans="1:70" x14ac:dyDescent="0.25">
      <c r="A665" s="3">
        <v>44924</v>
      </c>
      <c r="B665" s="1">
        <f t="shared" si="77"/>
        <v>12</v>
      </c>
      <c r="C665" s="1">
        <f t="shared" si="78"/>
        <v>2022</v>
      </c>
      <c r="D665" s="1">
        <v>1.99</v>
      </c>
      <c r="E665" s="4">
        <f t="shared" si="79"/>
        <v>1.5721000000000001</v>
      </c>
      <c r="F665" s="5">
        <f t="shared" si="80"/>
        <v>378.09999999999997</v>
      </c>
      <c r="L665" s="8">
        <v>0.79</v>
      </c>
      <c r="M665" s="8">
        <v>0.19</v>
      </c>
      <c r="AZ665" s="5"/>
      <c r="BB665" s="5"/>
      <c r="BD665" s="5"/>
      <c r="BF665" s="5"/>
      <c r="BH665" s="5"/>
      <c r="BJ665" s="5"/>
      <c r="BL665" s="5"/>
      <c r="BN665" s="5"/>
      <c r="BP665" s="5"/>
      <c r="BR665" s="5"/>
    </row>
    <row r="666" spans="1:70" x14ac:dyDescent="0.25">
      <c r="A666" s="3">
        <v>44931</v>
      </c>
      <c r="B666" s="1">
        <f t="shared" si="77"/>
        <v>1</v>
      </c>
      <c r="C666" s="1">
        <f t="shared" si="78"/>
        <v>2023</v>
      </c>
      <c r="L666" s="8">
        <v>0.79</v>
      </c>
      <c r="M666" s="8">
        <v>0.19</v>
      </c>
      <c r="AZ666" s="5"/>
      <c r="BB666" s="5"/>
      <c r="BD666" s="5"/>
      <c r="BF666" s="5"/>
      <c r="BH666" s="5"/>
      <c r="BJ666" s="5"/>
      <c r="BL666" s="5"/>
      <c r="BN666" s="5"/>
      <c r="BP666" s="5"/>
      <c r="BR666" s="5"/>
    </row>
    <row r="667" spans="1:70" x14ac:dyDescent="0.25">
      <c r="A667" s="3">
        <v>44938</v>
      </c>
      <c r="B667" s="1">
        <f t="shared" si="77"/>
        <v>1</v>
      </c>
      <c r="C667" s="1">
        <f t="shared" si="78"/>
        <v>2023</v>
      </c>
      <c r="D667" s="1">
        <v>2.08</v>
      </c>
      <c r="E667" s="4">
        <f t="shared" ref="E667:E668" si="81">L667*D667</f>
        <v>1.6432000000000002</v>
      </c>
      <c r="F667" s="5">
        <f t="shared" ref="F667:F668" si="82">D667*M667*1000</f>
        <v>395.2</v>
      </c>
      <c r="L667" s="8">
        <v>0.79</v>
      </c>
      <c r="M667" s="8">
        <v>0.19</v>
      </c>
      <c r="AZ667" s="5"/>
      <c r="BB667" s="5"/>
      <c r="BD667" s="5"/>
      <c r="BF667" s="5"/>
      <c r="BH667" s="5"/>
      <c r="BJ667" s="5"/>
      <c r="BL667" s="5"/>
      <c r="BN667" s="5"/>
      <c r="BP667" s="5"/>
      <c r="BR667" s="5"/>
    </row>
    <row r="668" spans="1:70" x14ac:dyDescent="0.25">
      <c r="A668" s="3">
        <v>44945</v>
      </c>
      <c r="B668" s="1">
        <f t="shared" si="77"/>
        <v>1</v>
      </c>
      <c r="C668" s="1">
        <f t="shared" si="78"/>
        <v>2023</v>
      </c>
      <c r="D668" s="1">
        <v>0.03</v>
      </c>
      <c r="E668" s="4">
        <f t="shared" si="81"/>
        <v>2.3699999999999999E-2</v>
      </c>
      <c r="F668" s="5">
        <f t="shared" si="82"/>
        <v>5.7</v>
      </c>
      <c r="L668" s="8">
        <v>0.79</v>
      </c>
      <c r="M668" s="8">
        <v>0.19</v>
      </c>
      <c r="AZ668" s="5"/>
      <c r="BB668" s="5"/>
      <c r="BD668" s="5"/>
      <c r="BF668" s="5"/>
      <c r="BH668" s="5"/>
      <c r="BJ668" s="5"/>
      <c r="BL668" s="5"/>
      <c r="BN668" s="5"/>
      <c r="BP668" s="5"/>
      <c r="BR668" s="5"/>
    </row>
    <row r="669" spans="1:70" x14ac:dyDescent="0.25">
      <c r="A669" s="3">
        <v>44952</v>
      </c>
      <c r="B669" s="1">
        <f t="shared" si="77"/>
        <v>1</v>
      </c>
      <c r="C669" s="1">
        <f t="shared" si="78"/>
        <v>2023</v>
      </c>
      <c r="L669" s="8">
        <v>0.79</v>
      </c>
      <c r="M669" s="8">
        <v>0.19</v>
      </c>
      <c r="AZ669" s="5"/>
      <c r="BB669" s="5"/>
      <c r="BD669" s="5"/>
      <c r="BF669" s="5"/>
      <c r="BH669" s="5"/>
      <c r="BJ669" s="5"/>
      <c r="BL669" s="5"/>
      <c r="BN669" s="5"/>
      <c r="BP669" s="5"/>
      <c r="BR669" s="5"/>
    </row>
    <row r="670" spans="1:70" x14ac:dyDescent="0.25">
      <c r="A670" s="3">
        <v>44959</v>
      </c>
      <c r="B670" s="1">
        <f t="shared" si="77"/>
        <v>2</v>
      </c>
      <c r="C670" s="1">
        <f t="shared" si="78"/>
        <v>2023</v>
      </c>
      <c r="D670" s="1">
        <v>1.28</v>
      </c>
      <c r="E670" s="4">
        <f t="shared" ref="E670:E672" si="83">L670*D670</f>
        <v>1.0112000000000001</v>
      </c>
      <c r="F670" s="5">
        <f t="shared" ref="F670:F672" si="84">D670*M670*1000</f>
        <v>243.2</v>
      </c>
      <c r="L670" s="8">
        <v>0.79</v>
      </c>
      <c r="M670" s="8">
        <v>0.19</v>
      </c>
      <c r="AZ670" s="5"/>
      <c r="BB670" s="5"/>
      <c r="BD670" s="5"/>
      <c r="BF670" s="5"/>
      <c r="BH670" s="5"/>
      <c r="BJ670" s="5"/>
      <c r="BL670" s="5"/>
      <c r="BN670" s="5"/>
      <c r="BP670" s="5"/>
      <c r="BR670" s="5"/>
    </row>
    <row r="671" spans="1:70" x14ac:dyDescent="0.25">
      <c r="A671" s="3">
        <v>44966</v>
      </c>
      <c r="B671" s="1">
        <f t="shared" si="77"/>
        <v>2</v>
      </c>
      <c r="C671" s="1">
        <f t="shared" si="78"/>
        <v>2023</v>
      </c>
      <c r="D671" s="1">
        <v>2.06</v>
      </c>
      <c r="E671" s="4">
        <f t="shared" si="83"/>
        <v>1.6274000000000002</v>
      </c>
      <c r="F671" s="5">
        <f t="shared" si="84"/>
        <v>391.40000000000003</v>
      </c>
      <c r="L671" s="8">
        <v>0.79</v>
      </c>
      <c r="M671" s="8">
        <v>0.19</v>
      </c>
      <c r="AZ671" s="5"/>
      <c r="BB671" s="5"/>
      <c r="BD671" s="5"/>
      <c r="BF671" s="5"/>
      <c r="BH671" s="5"/>
      <c r="BJ671" s="5"/>
      <c r="BL671" s="5"/>
      <c r="BN671" s="5"/>
      <c r="BP671" s="5"/>
      <c r="BR671" s="5"/>
    </row>
    <row r="672" spans="1:70" x14ac:dyDescent="0.25">
      <c r="A672" s="3">
        <v>44973</v>
      </c>
      <c r="B672" s="1">
        <f t="shared" si="77"/>
        <v>2</v>
      </c>
      <c r="C672" s="1">
        <f t="shared" si="78"/>
        <v>2023</v>
      </c>
      <c r="D672" s="1">
        <v>1.71</v>
      </c>
      <c r="E672" s="4">
        <f t="shared" si="83"/>
        <v>1.3509</v>
      </c>
      <c r="F672" s="5">
        <f t="shared" si="84"/>
        <v>324.90000000000003</v>
      </c>
      <c r="L672" s="8">
        <v>0.79</v>
      </c>
      <c r="M672" s="8">
        <v>0.19</v>
      </c>
      <c r="AZ672" s="5"/>
      <c r="BB672" s="5"/>
      <c r="BD672" s="5"/>
      <c r="BF672" s="5"/>
      <c r="BH672" s="5"/>
      <c r="BJ672" s="5"/>
      <c r="BL672" s="5"/>
      <c r="BN672" s="5"/>
      <c r="BP672" s="5"/>
      <c r="BR672" s="5"/>
    </row>
    <row r="673" spans="1:70" x14ac:dyDescent="0.25">
      <c r="A673" s="3">
        <v>44980</v>
      </c>
      <c r="B673" s="1">
        <f t="shared" si="77"/>
        <v>2</v>
      </c>
      <c r="C673" s="1">
        <f t="shared" si="78"/>
        <v>2023</v>
      </c>
      <c r="D673" s="1">
        <v>1.65</v>
      </c>
      <c r="E673" s="4">
        <v>1.3034999999999999</v>
      </c>
      <c r="F673" s="5">
        <v>313.5</v>
      </c>
      <c r="L673" s="8">
        <v>0.79</v>
      </c>
      <c r="M673" s="8">
        <v>0.19</v>
      </c>
      <c r="AZ673" s="5"/>
      <c r="BB673" s="5"/>
      <c r="BD673" s="5"/>
      <c r="BF673" s="5"/>
      <c r="BH673" s="5"/>
      <c r="BJ673" s="5"/>
      <c r="BL673" s="5"/>
      <c r="BN673" s="5"/>
      <c r="BP673" s="5"/>
      <c r="BR673" s="5"/>
    </row>
    <row r="674" spans="1:70" x14ac:dyDescent="0.25">
      <c r="A674" s="3">
        <v>44987</v>
      </c>
      <c r="B674" s="1">
        <f t="shared" si="77"/>
        <v>3</v>
      </c>
      <c r="C674" s="1">
        <f t="shared" si="78"/>
        <v>2023</v>
      </c>
      <c r="D674" s="1">
        <v>1.47</v>
      </c>
      <c r="E674" s="1">
        <v>1.1613</v>
      </c>
      <c r="F674" s="1">
        <v>279.3</v>
      </c>
      <c r="AZ674" s="5"/>
      <c r="BB674" s="5"/>
      <c r="BD674" s="5"/>
      <c r="BF674" s="5"/>
      <c r="BH674" s="5"/>
      <c r="BJ674" s="5"/>
      <c r="BL674" s="5"/>
      <c r="BN674" s="5"/>
      <c r="BP674" s="5"/>
      <c r="BR674" s="5"/>
    </row>
    <row r="675" spans="1:70" x14ac:dyDescent="0.25">
      <c r="A675" s="3">
        <v>44994</v>
      </c>
      <c r="B675" s="1">
        <f t="shared" si="77"/>
        <v>3</v>
      </c>
      <c r="C675" s="1">
        <f t="shared" si="78"/>
        <v>2023</v>
      </c>
      <c r="D675" s="1">
        <v>1.45</v>
      </c>
      <c r="E675" s="1">
        <v>1.1455</v>
      </c>
      <c r="F675" s="1">
        <v>275.49999999999994</v>
      </c>
      <c r="AZ675" s="5"/>
      <c r="BB675" s="5"/>
      <c r="BD675" s="5"/>
      <c r="BF675" s="5"/>
      <c r="BH675" s="5"/>
      <c r="BJ675" s="5"/>
      <c r="BL675" s="5"/>
      <c r="BN675" s="5"/>
      <c r="BP675" s="5"/>
      <c r="BR675" s="5"/>
    </row>
    <row r="676" spans="1:70" x14ac:dyDescent="0.25">
      <c r="A676" s="3">
        <v>45001</v>
      </c>
      <c r="B676" s="1">
        <f t="shared" si="77"/>
        <v>3</v>
      </c>
      <c r="C676" s="1">
        <f t="shared" si="78"/>
        <v>2023</v>
      </c>
      <c r="D676" s="1">
        <v>1.53</v>
      </c>
      <c r="E676" s="1">
        <v>1.2087000000000001</v>
      </c>
      <c r="F676" s="1">
        <v>290.7</v>
      </c>
      <c r="AZ676" s="5"/>
      <c r="BB676" s="5"/>
      <c r="BD676" s="5"/>
      <c r="BF676" s="5"/>
      <c r="BH676" s="5"/>
      <c r="BJ676" s="5"/>
      <c r="BL676" s="5"/>
      <c r="BN676" s="5"/>
      <c r="BP676" s="5"/>
      <c r="BR676" s="5"/>
    </row>
    <row r="677" spans="1:70" x14ac:dyDescent="0.25">
      <c r="A677" s="3">
        <v>45008</v>
      </c>
      <c r="B677" s="1">
        <f t="shared" si="77"/>
        <v>3</v>
      </c>
      <c r="C677" s="1">
        <f t="shared" si="78"/>
        <v>2023</v>
      </c>
      <c r="D677" s="1">
        <v>1.48</v>
      </c>
      <c r="E677" s="1">
        <v>1.1692</v>
      </c>
      <c r="F677" s="1">
        <v>281.2</v>
      </c>
      <c r="AZ677" s="5"/>
      <c r="BB677" s="5"/>
      <c r="BD677" s="5"/>
      <c r="BF677" s="5"/>
      <c r="BH677" s="5"/>
      <c r="BJ677" s="5"/>
      <c r="BL677" s="5"/>
      <c r="BN677" s="5"/>
      <c r="BP677" s="5"/>
      <c r="BR677" s="5"/>
    </row>
    <row r="678" spans="1:70" x14ac:dyDescent="0.25">
      <c r="A678" s="3">
        <v>45015</v>
      </c>
      <c r="B678" s="1">
        <f t="shared" si="77"/>
        <v>3</v>
      </c>
      <c r="C678" s="1">
        <f t="shared" si="78"/>
        <v>2023</v>
      </c>
      <c r="D678" s="1">
        <v>1.38</v>
      </c>
      <c r="E678" s="1">
        <v>1.0902000000000001</v>
      </c>
      <c r="F678" s="1">
        <v>262.2</v>
      </c>
      <c r="AZ678" s="5"/>
      <c r="BB678" s="5"/>
      <c r="BD678" s="5"/>
      <c r="BF678" s="5"/>
      <c r="BH678" s="5"/>
      <c r="BJ678" s="5"/>
      <c r="BL678" s="5"/>
      <c r="BN678" s="5"/>
      <c r="BP678" s="5"/>
      <c r="BR678" s="5"/>
    </row>
    <row r="679" spans="1:70" x14ac:dyDescent="0.25">
      <c r="A679" s="3">
        <v>45022</v>
      </c>
      <c r="B679" s="1">
        <f t="shared" si="77"/>
        <v>4</v>
      </c>
      <c r="C679" s="1">
        <f t="shared" si="78"/>
        <v>2023</v>
      </c>
      <c r="D679" s="1">
        <v>1.59</v>
      </c>
      <c r="E679" s="1">
        <v>1.2561000000000002</v>
      </c>
      <c r="F679" s="1">
        <v>302.10000000000002</v>
      </c>
      <c r="AZ679" s="5"/>
      <c r="BB679" s="5"/>
      <c r="BD679" s="5"/>
      <c r="BF679" s="5"/>
      <c r="BH679" s="5"/>
      <c r="BJ679" s="5"/>
      <c r="BL679" s="5"/>
      <c r="BN679" s="5"/>
      <c r="BP679" s="5"/>
      <c r="BR679" s="5"/>
    </row>
    <row r="680" spans="1:70" x14ac:dyDescent="0.25">
      <c r="A680" s="3">
        <v>45029</v>
      </c>
      <c r="B680" s="1">
        <f t="shared" si="77"/>
        <v>4</v>
      </c>
      <c r="C680" s="1">
        <f t="shared" si="78"/>
        <v>2023</v>
      </c>
      <c r="D680" s="1">
        <v>1.64</v>
      </c>
      <c r="E680" s="1">
        <v>1.2956000000000001</v>
      </c>
      <c r="F680" s="1">
        <v>311.59999999999997</v>
      </c>
      <c r="AZ680" s="5"/>
      <c r="BB680" s="5"/>
      <c r="BD680" s="5"/>
      <c r="BF680" s="5"/>
      <c r="BH680" s="5"/>
      <c r="BJ680" s="5"/>
      <c r="BL680" s="5"/>
      <c r="BN680" s="5"/>
      <c r="BP680" s="5"/>
      <c r="BR680" s="5"/>
    </row>
    <row r="681" spans="1:70" x14ac:dyDescent="0.25">
      <c r="A681" s="3">
        <v>45036</v>
      </c>
      <c r="B681" s="1">
        <f t="shared" si="77"/>
        <v>4</v>
      </c>
      <c r="C681" s="1">
        <f t="shared" si="78"/>
        <v>2023</v>
      </c>
      <c r="D681" s="1">
        <v>1.59</v>
      </c>
      <c r="E681" s="1">
        <v>1.2561000000000002</v>
      </c>
      <c r="F681" s="1">
        <v>302.10000000000002</v>
      </c>
      <c r="AZ681" s="5"/>
      <c r="BB681" s="5"/>
      <c r="BD681" s="5"/>
      <c r="BF681" s="5"/>
      <c r="BH681" s="5"/>
      <c r="BJ681" s="5"/>
      <c r="BL681" s="5"/>
      <c r="BN681" s="5"/>
      <c r="BP681" s="5"/>
      <c r="BR681" s="5"/>
    </row>
    <row r="682" spans="1:70" x14ac:dyDescent="0.25">
      <c r="A682" s="3">
        <v>45043</v>
      </c>
      <c r="B682" s="1">
        <f t="shared" ref="B682:B730" si="85">MONTH(A682)</f>
        <v>4</v>
      </c>
      <c r="C682" s="1">
        <f t="shared" ref="C682:C727" si="86">YEAR(A682)</f>
        <v>2023</v>
      </c>
      <c r="D682" s="1">
        <v>1.64</v>
      </c>
      <c r="E682" s="1">
        <v>1.2956000000000001</v>
      </c>
      <c r="F682" s="1">
        <v>311.59999999999997</v>
      </c>
      <c r="AZ682" s="5"/>
      <c r="BB682" s="5"/>
      <c r="BD682" s="5"/>
      <c r="BF682" s="5"/>
      <c r="BH682" s="5"/>
      <c r="BJ682" s="5"/>
      <c r="BL682" s="5"/>
      <c r="BN682" s="5"/>
      <c r="BP682" s="5"/>
      <c r="BR682" s="5"/>
    </row>
    <row r="683" spans="1:70" x14ac:dyDescent="0.25">
      <c r="A683" s="3">
        <v>45050</v>
      </c>
      <c r="B683" s="1">
        <f t="shared" si="85"/>
        <v>5</v>
      </c>
      <c r="C683" s="1">
        <f t="shared" si="86"/>
        <v>2023</v>
      </c>
      <c r="D683" s="15">
        <v>0.8</v>
      </c>
      <c r="E683" s="1">
        <v>0.63200000000000012</v>
      </c>
      <c r="F683" s="1">
        <v>152.00000000000003</v>
      </c>
      <c r="AZ683" s="5"/>
      <c r="BB683" s="5"/>
      <c r="BD683" s="5"/>
      <c r="BF683" s="5"/>
      <c r="BH683" s="5"/>
      <c r="BJ683" s="5"/>
      <c r="BL683" s="5"/>
      <c r="BN683" s="5"/>
      <c r="BP683" s="5"/>
      <c r="BR683" s="5"/>
    </row>
    <row r="684" spans="1:70" x14ac:dyDescent="0.25">
      <c r="A684" s="3">
        <v>45057</v>
      </c>
      <c r="B684" s="1">
        <f t="shared" si="85"/>
        <v>5</v>
      </c>
      <c r="C684" s="1">
        <f t="shared" si="86"/>
        <v>2023</v>
      </c>
      <c r="D684" s="1">
        <v>1.98</v>
      </c>
      <c r="E684" s="1">
        <v>1.5642</v>
      </c>
      <c r="F684" s="1">
        <v>376.2</v>
      </c>
      <c r="AZ684" s="5"/>
      <c r="BB684" s="5"/>
      <c r="BD684" s="5"/>
      <c r="BF684" s="5"/>
      <c r="BH684" s="5"/>
      <c r="BJ684" s="5"/>
      <c r="BL684" s="5"/>
      <c r="BN684" s="5"/>
      <c r="BP684" s="5"/>
      <c r="BR684" s="5"/>
    </row>
    <row r="685" spans="1:70" x14ac:dyDescent="0.25">
      <c r="A685" s="3">
        <v>45064</v>
      </c>
      <c r="B685" s="1">
        <f t="shared" si="85"/>
        <v>5</v>
      </c>
      <c r="C685" s="1">
        <f t="shared" si="86"/>
        <v>2023</v>
      </c>
      <c r="D685" s="1">
        <v>1.73</v>
      </c>
      <c r="E685" s="1">
        <v>1.3667</v>
      </c>
      <c r="F685" s="1">
        <v>328.7</v>
      </c>
      <c r="AZ685" s="5"/>
      <c r="BB685" s="5"/>
      <c r="BD685" s="5"/>
      <c r="BF685" s="5"/>
      <c r="BH685" s="5"/>
      <c r="BJ685" s="5"/>
      <c r="BL685" s="5"/>
      <c r="BN685" s="5"/>
      <c r="BP685" s="5"/>
      <c r="BR685" s="5"/>
    </row>
    <row r="686" spans="1:70" x14ac:dyDescent="0.25">
      <c r="A686" s="3">
        <v>45071</v>
      </c>
      <c r="B686" s="1">
        <f t="shared" si="85"/>
        <v>5</v>
      </c>
      <c r="C686" s="1">
        <f t="shared" si="86"/>
        <v>2023</v>
      </c>
      <c r="D686" s="1">
        <v>1.89</v>
      </c>
      <c r="E686" s="1">
        <v>1.4931000000000001</v>
      </c>
      <c r="F686" s="1">
        <v>359.09999999999997</v>
      </c>
      <c r="AZ686" s="5"/>
      <c r="BB686" s="5"/>
      <c r="BD686" s="5"/>
      <c r="BF686" s="5"/>
      <c r="BH686" s="5"/>
      <c r="BJ686" s="5"/>
      <c r="BL686" s="5"/>
      <c r="BN686" s="5"/>
      <c r="BP686" s="5"/>
      <c r="BR686" s="5"/>
    </row>
    <row r="687" spans="1:70" x14ac:dyDescent="0.25">
      <c r="A687" s="3">
        <v>45078</v>
      </c>
      <c r="B687" s="1">
        <f t="shared" si="85"/>
        <v>6</v>
      </c>
      <c r="C687" s="1">
        <f t="shared" si="86"/>
        <v>2023</v>
      </c>
      <c r="D687" s="1">
        <v>2.04</v>
      </c>
      <c r="E687" s="1">
        <v>1.6116000000000001</v>
      </c>
      <c r="F687" s="1">
        <v>387.6</v>
      </c>
      <c r="AZ687" s="5"/>
      <c r="BB687" s="5"/>
      <c r="BD687" s="5"/>
      <c r="BF687" s="5"/>
      <c r="BH687" s="5"/>
      <c r="BJ687" s="5"/>
      <c r="BL687" s="5"/>
      <c r="BN687" s="5"/>
      <c r="BP687" s="5"/>
      <c r="BR687" s="5"/>
    </row>
    <row r="688" spans="1:70" x14ac:dyDescent="0.25">
      <c r="A688" s="3">
        <v>45085</v>
      </c>
      <c r="B688" s="1">
        <f t="shared" si="85"/>
        <v>6</v>
      </c>
      <c r="C688" s="1">
        <f t="shared" si="86"/>
        <v>2023</v>
      </c>
      <c r="D688" s="1">
        <v>2.16</v>
      </c>
      <c r="E688" s="1">
        <v>1.7064000000000001</v>
      </c>
      <c r="F688" s="1">
        <v>410.40000000000003</v>
      </c>
      <c r="AZ688" s="5"/>
      <c r="BB688" s="5"/>
      <c r="BD688" s="5"/>
      <c r="BF688" s="5"/>
      <c r="BH688" s="5"/>
      <c r="BJ688" s="5"/>
      <c r="BL688" s="5"/>
      <c r="BN688" s="5"/>
      <c r="BP688" s="5"/>
      <c r="BR688" s="5"/>
    </row>
    <row r="689" spans="1:70" x14ac:dyDescent="0.25">
      <c r="A689" s="3">
        <v>45092</v>
      </c>
      <c r="B689" s="1">
        <f t="shared" si="85"/>
        <v>6</v>
      </c>
      <c r="C689" s="1">
        <f t="shared" si="86"/>
        <v>2023</v>
      </c>
      <c r="D689" s="1">
        <v>2.11</v>
      </c>
      <c r="E689" s="1">
        <v>1.6669</v>
      </c>
      <c r="F689" s="1">
        <v>400.9</v>
      </c>
      <c r="AZ689" s="5"/>
      <c r="BB689" s="5"/>
      <c r="BD689" s="5"/>
      <c r="BF689" s="5"/>
      <c r="BH689" s="5"/>
      <c r="BJ689" s="5"/>
      <c r="BL689" s="5"/>
      <c r="BN689" s="5"/>
      <c r="BP689" s="5"/>
      <c r="BR689" s="5"/>
    </row>
    <row r="690" spans="1:70" x14ac:dyDescent="0.25">
      <c r="A690" s="3">
        <v>45099</v>
      </c>
      <c r="B690" s="1">
        <f t="shared" si="85"/>
        <v>6</v>
      </c>
      <c r="C690" s="1">
        <f t="shared" si="86"/>
        <v>2023</v>
      </c>
      <c r="D690" s="1">
        <v>2.2400000000000002</v>
      </c>
      <c r="E690" s="1">
        <v>1.7696000000000003</v>
      </c>
      <c r="F690" s="1">
        <v>425.6</v>
      </c>
      <c r="AZ690" s="5"/>
      <c r="BB690" s="5"/>
      <c r="BD690" s="5"/>
      <c r="BF690" s="5"/>
      <c r="BH690" s="5"/>
      <c r="BJ690" s="5"/>
      <c r="BL690" s="5"/>
      <c r="BN690" s="5"/>
      <c r="BP690" s="5"/>
      <c r="BR690" s="5"/>
    </row>
    <row r="691" spans="1:70" x14ac:dyDescent="0.25">
      <c r="A691" s="3">
        <v>45106</v>
      </c>
      <c r="B691" s="1">
        <f t="shared" si="85"/>
        <v>6</v>
      </c>
      <c r="C691" s="1">
        <f t="shared" si="86"/>
        <v>2023</v>
      </c>
      <c r="D691" s="1">
        <v>2.08</v>
      </c>
      <c r="E691" s="1">
        <v>1.6432000000000002</v>
      </c>
      <c r="F691" s="1">
        <v>395.2</v>
      </c>
      <c r="AZ691" s="5"/>
      <c r="BB691" s="5"/>
      <c r="BD691" s="5"/>
      <c r="BF691" s="5"/>
      <c r="BH691" s="5"/>
      <c r="BJ691" s="5"/>
      <c r="BL691" s="5"/>
      <c r="BN691" s="5"/>
      <c r="BP691" s="5"/>
      <c r="BR691" s="5"/>
    </row>
    <row r="692" spans="1:70" x14ac:dyDescent="0.25">
      <c r="A692" s="3">
        <v>45113</v>
      </c>
      <c r="B692" s="1">
        <f t="shared" si="85"/>
        <v>7</v>
      </c>
      <c r="C692" s="1">
        <f t="shared" si="86"/>
        <v>2023</v>
      </c>
      <c r="D692" s="1">
        <v>1.86</v>
      </c>
      <c r="E692" s="1">
        <v>1.4694</v>
      </c>
      <c r="F692" s="1">
        <v>353.40000000000003</v>
      </c>
      <c r="AZ692" s="5"/>
      <c r="BB692" s="5"/>
      <c r="BD692" s="5"/>
      <c r="BF692" s="5"/>
      <c r="BH692" s="5"/>
      <c r="BJ692" s="5"/>
      <c r="BL692" s="5"/>
      <c r="BN692" s="5"/>
      <c r="BP692" s="5"/>
      <c r="BR692" s="5"/>
    </row>
    <row r="693" spans="1:70" x14ac:dyDescent="0.25">
      <c r="A693" s="3">
        <v>45120</v>
      </c>
      <c r="B693" s="1">
        <f t="shared" si="85"/>
        <v>7</v>
      </c>
      <c r="C693" s="1">
        <f t="shared" si="86"/>
        <v>2023</v>
      </c>
      <c r="D693" s="1">
        <v>1.77</v>
      </c>
      <c r="E693" s="1">
        <v>1.3983000000000001</v>
      </c>
      <c r="F693" s="1">
        <v>336.3</v>
      </c>
      <c r="AZ693" s="5"/>
      <c r="BB693" s="5"/>
      <c r="BD693" s="5"/>
      <c r="BF693" s="5"/>
      <c r="BH693" s="5"/>
      <c r="BJ693" s="5"/>
      <c r="BL693" s="5"/>
      <c r="BN693" s="5"/>
      <c r="BP693" s="5"/>
      <c r="BR693" s="5"/>
    </row>
    <row r="694" spans="1:70" x14ac:dyDescent="0.25">
      <c r="A694" s="3">
        <v>45127</v>
      </c>
      <c r="B694" s="1">
        <f t="shared" si="85"/>
        <v>7</v>
      </c>
      <c r="C694" s="1">
        <f t="shared" si="86"/>
        <v>2023</v>
      </c>
      <c r="D694" s="1">
        <v>2.11</v>
      </c>
      <c r="E694" s="1">
        <v>1.6669</v>
      </c>
      <c r="F694" s="1">
        <v>400.9</v>
      </c>
      <c r="AZ694" s="5"/>
      <c r="BB694" s="5"/>
      <c r="BD694" s="5"/>
      <c r="BF694" s="5"/>
      <c r="BH694" s="5"/>
      <c r="BJ694" s="5"/>
      <c r="BL694" s="5"/>
      <c r="BN694" s="5"/>
      <c r="BP694" s="5"/>
      <c r="BR694" s="5"/>
    </row>
    <row r="695" spans="1:70" x14ac:dyDescent="0.25">
      <c r="A695" s="3">
        <v>45134</v>
      </c>
      <c r="B695" s="1">
        <f t="shared" si="85"/>
        <v>7</v>
      </c>
      <c r="C695" s="1">
        <f t="shared" si="86"/>
        <v>2023</v>
      </c>
      <c r="D695" s="1">
        <v>2.2200000000000002</v>
      </c>
      <c r="E695" s="1">
        <v>1.7538000000000002</v>
      </c>
      <c r="F695" s="1">
        <v>421.80000000000007</v>
      </c>
      <c r="AZ695" s="5"/>
      <c r="BB695" s="5"/>
      <c r="BD695" s="5"/>
      <c r="BF695" s="5"/>
      <c r="BH695" s="5"/>
      <c r="BJ695" s="5"/>
      <c r="BL695" s="5"/>
      <c r="BN695" s="5"/>
      <c r="BP695" s="5"/>
      <c r="BR695" s="5"/>
    </row>
    <row r="696" spans="1:70" x14ac:dyDescent="0.25">
      <c r="A696" s="3">
        <v>45141</v>
      </c>
      <c r="B696" s="1">
        <f t="shared" si="85"/>
        <v>8</v>
      </c>
      <c r="C696" s="1">
        <f t="shared" si="86"/>
        <v>2023</v>
      </c>
      <c r="D696" s="1">
        <v>2.16</v>
      </c>
      <c r="E696" s="1">
        <v>1.7064000000000001</v>
      </c>
      <c r="F696" s="1">
        <v>410.40000000000003</v>
      </c>
      <c r="AZ696" s="5"/>
      <c r="BB696" s="5"/>
      <c r="BD696" s="5"/>
      <c r="BF696" s="5"/>
      <c r="BH696" s="5"/>
      <c r="BJ696" s="5"/>
      <c r="BL696" s="5"/>
      <c r="BN696" s="5"/>
      <c r="BP696" s="5"/>
      <c r="BR696" s="5"/>
    </row>
    <row r="697" spans="1:70" x14ac:dyDescent="0.25">
      <c r="A697" s="3">
        <v>45148</v>
      </c>
      <c r="B697" s="1">
        <f t="shared" si="85"/>
        <v>8</v>
      </c>
      <c r="C697" s="1">
        <f t="shared" si="86"/>
        <v>2023</v>
      </c>
      <c r="D697" s="1">
        <v>2.02</v>
      </c>
      <c r="E697" s="1">
        <v>1.5958000000000001</v>
      </c>
      <c r="F697" s="1">
        <v>383.8</v>
      </c>
      <c r="AZ697" s="5"/>
      <c r="BB697" s="5"/>
      <c r="BD697" s="5"/>
      <c r="BF697" s="5"/>
      <c r="BH697" s="5"/>
      <c r="BJ697" s="5"/>
      <c r="BL697" s="5"/>
      <c r="BN697" s="5"/>
      <c r="BP697" s="5"/>
      <c r="BR697" s="5"/>
    </row>
    <row r="698" spans="1:70" x14ac:dyDescent="0.25">
      <c r="A698" s="3">
        <v>45155</v>
      </c>
      <c r="B698" s="1">
        <f t="shared" si="85"/>
        <v>8</v>
      </c>
      <c r="C698" s="1">
        <f t="shared" si="86"/>
        <v>2023</v>
      </c>
      <c r="D698" s="1">
        <v>2.1</v>
      </c>
      <c r="E698" s="1">
        <v>1.6590000000000003</v>
      </c>
      <c r="F698" s="1">
        <v>399</v>
      </c>
      <c r="AZ698" s="5"/>
      <c r="BB698" s="5"/>
      <c r="BD698" s="5"/>
      <c r="BF698" s="5"/>
      <c r="BH698" s="5"/>
      <c r="BJ698" s="5"/>
      <c r="BL698" s="5"/>
      <c r="BN698" s="5"/>
      <c r="BP698" s="5"/>
      <c r="BR698" s="5"/>
    </row>
    <row r="699" spans="1:70" x14ac:dyDescent="0.25">
      <c r="A699" s="3">
        <v>45162</v>
      </c>
      <c r="B699" s="1">
        <f t="shared" si="85"/>
        <v>8</v>
      </c>
      <c r="C699" s="1">
        <f t="shared" si="86"/>
        <v>2023</v>
      </c>
      <c r="D699" s="1">
        <v>2.15</v>
      </c>
      <c r="E699" s="1">
        <v>1.6984999999999999</v>
      </c>
      <c r="F699" s="1">
        <v>408.5</v>
      </c>
      <c r="AZ699" s="5"/>
      <c r="BB699" s="5"/>
      <c r="BD699" s="5"/>
      <c r="BF699" s="5"/>
      <c r="BH699" s="5"/>
      <c r="BJ699" s="5"/>
      <c r="BL699" s="5"/>
      <c r="BN699" s="5"/>
      <c r="BP699" s="5"/>
      <c r="BR699" s="5"/>
    </row>
    <row r="700" spans="1:70" x14ac:dyDescent="0.25">
      <c r="A700" s="3">
        <v>45169</v>
      </c>
      <c r="B700" s="1">
        <f t="shared" si="85"/>
        <v>8</v>
      </c>
      <c r="C700" s="1">
        <f t="shared" si="86"/>
        <v>2023</v>
      </c>
      <c r="D700" s="1">
        <v>2</v>
      </c>
      <c r="E700" s="1">
        <v>1.58</v>
      </c>
      <c r="F700" s="1">
        <v>380</v>
      </c>
      <c r="AZ700" s="5"/>
      <c r="BB700" s="5"/>
      <c r="BD700" s="5"/>
      <c r="BF700" s="5"/>
      <c r="BH700" s="5"/>
      <c r="BJ700" s="5"/>
      <c r="BL700" s="5"/>
      <c r="BN700" s="5"/>
      <c r="BP700" s="5"/>
      <c r="BR700" s="5"/>
    </row>
    <row r="701" spans="1:70" x14ac:dyDescent="0.25">
      <c r="A701" s="3">
        <v>45176</v>
      </c>
      <c r="B701" s="1">
        <f t="shared" si="85"/>
        <v>9</v>
      </c>
      <c r="C701" s="1">
        <f t="shared" si="86"/>
        <v>2023</v>
      </c>
      <c r="D701" s="1">
        <v>2.04</v>
      </c>
      <c r="E701" s="1">
        <v>1.6116000000000001</v>
      </c>
      <c r="F701" s="1">
        <v>387.6</v>
      </c>
      <c r="AZ701" s="5"/>
      <c r="BB701" s="5"/>
      <c r="BD701" s="5"/>
      <c r="BF701" s="5"/>
      <c r="BH701" s="5"/>
      <c r="BJ701" s="5"/>
      <c r="BL701" s="5"/>
      <c r="BN701" s="5"/>
      <c r="BP701" s="5"/>
      <c r="BR701" s="5"/>
    </row>
    <row r="702" spans="1:70" x14ac:dyDescent="0.25">
      <c r="A702" s="16">
        <v>45183</v>
      </c>
      <c r="B702" s="17">
        <f t="shared" si="85"/>
        <v>9</v>
      </c>
      <c r="C702" s="17">
        <f t="shared" si="86"/>
        <v>2023</v>
      </c>
      <c r="D702" s="17">
        <v>1.97</v>
      </c>
      <c r="E702" s="18">
        <v>1.5563</v>
      </c>
      <c r="F702" s="19">
        <v>374.3</v>
      </c>
      <c r="G702" s="17"/>
      <c r="H702" s="17"/>
      <c r="I702" s="17"/>
      <c r="J702" s="17"/>
      <c r="K702" s="17"/>
      <c r="L702" s="20">
        <v>0.79</v>
      </c>
      <c r="M702" s="20">
        <v>0.19</v>
      </c>
      <c r="N702" s="17"/>
      <c r="O702" s="17"/>
      <c r="P702" s="17"/>
      <c r="Q702" s="17"/>
      <c r="R702" s="17"/>
      <c r="S702" s="17"/>
      <c r="AZ702" s="5"/>
      <c r="BB702" s="5"/>
      <c r="BD702" s="5"/>
      <c r="BF702" s="5"/>
      <c r="BH702" s="5"/>
      <c r="BJ702" s="5"/>
      <c r="BL702" s="5"/>
      <c r="BN702" s="5"/>
      <c r="BP702" s="5"/>
      <c r="BR702" s="5"/>
    </row>
    <row r="703" spans="1:70" x14ac:dyDescent="0.25">
      <c r="A703" s="16">
        <v>45189</v>
      </c>
      <c r="B703" s="17">
        <f t="shared" si="85"/>
        <v>9</v>
      </c>
      <c r="C703" s="17">
        <f t="shared" si="86"/>
        <v>2023</v>
      </c>
      <c r="D703" s="17">
        <v>2.04</v>
      </c>
      <c r="E703" s="18">
        <v>1.6116000000000001</v>
      </c>
      <c r="F703" s="19">
        <v>387.6</v>
      </c>
      <c r="G703" s="17"/>
      <c r="H703" s="17"/>
      <c r="I703" s="17"/>
      <c r="J703" s="17"/>
      <c r="K703" s="17"/>
      <c r="L703" s="20">
        <v>0.79</v>
      </c>
      <c r="M703" s="20">
        <v>0.19</v>
      </c>
      <c r="N703" s="17"/>
      <c r="O703" s="17"/>
      <c r="P703" s="17"/>
      <c r="Q703" s="17"/>
      <c r="R703" s="17"/>
      <c r="S703" s="17"/>
      <c r="AZ703" s="5"/>
      <c r="BB703" s="5"/>
      <c r="BD703" s="5"/>
      <c r="BF703" s="5"/>
      <c r="BH703" s="5"/>
      <c r="BJ703" s="5"/>
      <c r="BL703" s="5"/>
      <c r="BN703" s="5"/>
      <c r="BP703" s="5"/>
      <c r="BR703" s="5"/>
    </row>
    <row r="704" spans="1:70" x14ac:dyDescent="0.25">
      <c r="A704" s="16">
        <v>45196</v>
      </c>
      <c r="B704" s="17">
        <f t="shared" si="85"/>
        <v>9</v>
      </c>
      <c r="C704" s="17">
        <f t="shared" si="86"/>
        <v>2023</v>
      </c>
      <c r="D704" s="17">
        <v>2.15</v>
      </c>
      <c r="E704" s="18">
        <v>1.6984999999999999</v>
      </c>
      <c r="F704" s="19">
        <v>408.5</v>
      </c>
      <c r="G704" s="17"/>
      <c r="H704" s="17"/>
      <c r="I704" s="17"/>
      <c r="J704" s="17"/>
      <c r="K704" s="17"/>
      <c r="L704" s="20">
        <v>0.79</v>
      </c>
      <c r="M704" s="20">
        <v>0.19</v>
      </c>
      <c r="N704" s="17"/>
      <c r="O704" s="17"/>
      <c r="P704" s="17"/>
      <c r="Q704" s="17"/>
      <c r="R704" s="17"/>
      <c r="S704" s="17"/>
      <c r="AZ704" s="5"/>
      <c r="BB704" s="5"/>
      <c r="BD704" s="5"/>
      <c r="BF704" s="5"/>
      <c r="BH704" s="5"/>
      <c r="BJ704" s="5"/>
      <c r="BL704" s="5"/>
      <c r="BN704" s="5"/>
      <c r="BP704" s="5"/>
      <c r="BR704" s="5"/>
    </row>
    <row r="705" spans="1:70" x14ac:dyDescent="0.25">
      <c r="A705" s="16">
        <v>45210</v>
      </c>
      <c r="B705" s="17">
        <f t="shared" si="85"/>
        <v>10</v>
      </c>
      <c r="C705" s="17">
        <f t="shared" si="86"/>
        <v>2023</v>
      </c>
      <c r="D705" s="17">
        <v>0.93</v>
      </c>
      <c r="E705" s="18">
        <v>0.73470000000000002</v>
      </c>
      <c r="F705" s="19">
        <v>176.70000000000002</v>
      </c>
      <c r="G705" s="17"/>
      <c r="H705" s="17"/>
      <c r="I705" s="17"/>
      <c r="J705" s="17"/>
      <c r="K705" s="17"/>
      <c r="L705" s="20">
        <v>0.79</v>
      </c>
      <c r="M705" s="20">
        <v>0.19</v>
      </c>
      <c r="N705" s="17"/>
      <c r="O705" s="17"/>
      <c r="P705" s="17"/>
      <c r="Q705" s="17"/>
      <c r="R705" s="17"/>
      <c r="S705" s="17"/>
      <c r="AZ705" s="5"/>
      <c r="BB705" s="5"/>
      <c r="BD705" s="5"/>
      <c r="BF705" s="5"/>
      <c r="BH705" s="5"/>
      <c r="BJ705" s="5"/>
      <c r="BL705" s="5"/>
      <c r="BN705" s="5"/>
      <c r="BP705" s="5"/>
      <c r="BR705" s="5"/>
    </row>
    <row r="706" spans="1:70" x14ac:dyDescent="0.25">
      <c r="A706" s="16">
        <v>45217</v>
      </c>
      <c r="B706" s="17">
        <f t="shared" si="85"/>
        <v>10</v>
      </c>
      <c r="C706" s="17">
        <f t="shared" si="86"/>
        <v>2023</v>
      </c>
      <c r="D706" s="17">
        <v>1.57</v>
      </c>
      <c r="E706" s="18">
        <v>1.2403000000000002</v>
      </c>
      <c r="F706" s="19">
        <v>298.3</v>
      </c>
      <c r="G706" s="17"/>
      <c r="H706" s="17"/>
      <c r="I706" s="17"/>
      <c r="J706" s="17"/>
      <c r="K706" s="17"/>
      <c r="L706" s="20">
        <v>0.79</v>
      </c>
      <c r="M706" s="20">
        <v>0.19</v>
      </c>
      <c r="N706" s="17"/>
      <c r="O706" s="17"/>
      <c r="P706" s="17"/>
      <c r="Q706" s="17"/>
      <c r="R706" s="17"/>
      <c r="S706" s="17"/>
      <c r="AZ706" s="5"/>
      <c r="BB706" s="5"/>
      <c r="BD706" s="5"/>
      <c r="BF706" s="5"/>
      <c r="BH706" s="5"/>
      <c r="BJ706" s="5"/>
      <c r="BL706" s="5"/>
      <c r="BN706" s="5"/>
      <c r="BP706" s="5"/>
      <c r="BR706" s="5"/>
    </row>
    <row r="707" spans="1:70" x14ac:dyDescent="0.25">
      <c r="A707" s="16">
        <v>45224</v>
      </c>
      <c r="B707" s="17">
        <f t="shared" si="85"/>
        <v>10</v>
      </c>
      <c r="C707" s="17">
        <f t="shared" si="86"/>
        <v>2023</v>
      </c>
      <c r="D707" s="17">
        <v>2.0299999999999998</v>
      </c>
      <c r="E707" s="18">
        <v>1.6036999999999999</v>
      </c>
      <c r="F707" s="19">
        <v>385.7</v>
      </c>
      <c r="G707" s="17"/>
      <c r="H707" s="17"/>
      <c r="I707" s="17"/>
      <c r="J707" s="17"/>
      <c r="K707" s="17"/>
      <c r="L707" s="20">
        <v>0.79</v>
      </c>
      <c r="M707" s="20">
        <v>0.19</v>
      </c>
      <c r="N707" s="17"/>
      <c r="O707" s="17"/>
      <c r="P707" s="17"/>
      <c r="Q707" s="17"/>
      <c r="R707" s="17"/>
      <c r="S707" s="17"/>
      <c r="AZ707" s="5"/>
      <c r="BB707" s="5"/>
      <c r="BD707" s="5"/>
      <c r="BF707" s="5"/>
      <c r="BH707" s="5"/>
      <c r="BJ707" s="5"/>
      <c r="BL707" s="5"/>
      <c r="BN707" s="5"/>
      <c r="BP707" s="5"/>
      <c r="BR707" s="5"/>
    </row>
    <row r="708" spans="1:70" x14ac:dyDescent="0.25">
      <c r="A708" s="16">
        <v>45231</v>
      </c>
      <c r="B708" s="17">
        <f t="shared" si="85"/>
        <v>11</v>
      </c>
      <c r="C708" s="17">
        <f t="shared" si="86"/>
        <v>2023</v>
      </c>
      <c r="D708" s="17">
        <v>1.77</v>
      </c>
      <c r="E708" s="18">
        <v>1.3983000000000001</v>
      </c>
      <c r="F708" s="19">
        <v>336.3</v>
      </c>
      <c r="G708" s="17"/>
      <c r="H708" s="17"/>
      <c r="I708" s="17"/>
      <c r="J708" s="17"/>
      <c r="K708" s="17"/>
      <c r="L708" s="20">
        <v>0.79</v>
      </c>
      <c r="M708" s="20">
        <v>0.19</v>
      </c>
      <c r="N708" s="17"/>
      <c r="O708" s="17"/>
      <c r="P708" s="17"/>
      <c r="Q708" s="17"/>
      <c r="R708" s="17"/>
      <c r="S708" s="17"/>
      <c r="AZ708" s="5"/>
      <c r="BB708" s="5"/>
      <c r="BD708" s="5"/>
      <c r="BF708" s="5"/>
      <c r="BH708" s="5"/>
      <c r="BJ708" s="5"/>
      <c r="BL708" s="5"/>
      <c r="BN708" s="5"/>
      <c r="BP708" s="5"/>
      <c r="BR708" s="5"/>
    </row>
    <row r="709" spans="1:70" x14ac:dyDescent="0.25">
      <c r="A709" s="16">
        <v>45238</v>
      </c>
      <c r="B709" s="17">
        <f t="shared" si="85"/>
        <v>11</v>
      </c>
      <c r="C709" s="17">
        <f t="shared" si="86"/>
        <v>2023</v>
      </c>
      <c r="D709" s="17">
        <v>1.7</v>
      </c>
      <c r="E709" s="18">
        <v>1.343</v>
      </c>
      <c r="F709" s="19">
        <v>323</v>
      </c>
      <c r="G709" s="17"/>
      <c r="H709" s="17"/>
      <c r="I709" s="17"/>
      <c r="J709" s="17"/>
      <c r="K709" s="17"/>
      <c r="L709" s="20">
        <v>0.79</v>
      </c>
      <c r="M709" s="20">
        <v>0.19</v>
      </c>
      <c r="N709" s="17"/>
      <c r="O709" s="17"/>
      <c r="P709" s="17"/>
      <c r="Q709" s="17"/>
      <c r="R709" s="17"/>
      <c r="S709" s="17"/>
      <c r="AZ709" s="5"/>
      <c r="BB709" s="5"/>
      <c r="BD709" s="5"/>
      <c r="BF709" s="5"/>
      <c r="BH709" s="5"/>
      <c r="BJ709" s="5"/>
      <c r="BL709" s="5"/>
      <c r="BN709" s="5"/>
      <c r="BP709" s="5"/>
      <c r="BR709" s="5"/>
    </row>
    <row r="710" spans="1:70" x14ac:dyDescent="0.25">
      <c r="A710" s="16">
        <v>45245</v>
      </c>
      <c r="B710" s="17">
        <f t="shared" si="85"/>
        <v>11</v>
      </c>
      <c r="C710" s="17">
        <f t="shared" si="86"/>
        <v>2023</v>
      </c>
      <c r="D710" s="17">
        <v>1.7</v>
      </c>
      <c r="E710" s="18">
        <v>1.343</v>
      </c>
      <c r="F710" s="19">
        <v>323</v>
      </c>
      <c r="G710" s="17"/>
      <c r="H710" s="17"/>
      <c r="I710" s="17"/>
      <c r="J710" s="17"/>
      <c r="K710" s="17"/>
      <c r="L710" s="20">
        <v>0.79</v>
      </c>
      <c r="M710" s="20">
        <v>0.19</v>
      </c>
      <c r="N710" s="17"/>
      <c r="O710" s="17"/>
      <c r="P710" s="17"/>
      <c r="Q710" s="17"/>
      <c r="R710" s="17"/>
      <c r="S710" s="17"/>
      <c r="AZ710" s="5"/>
      <c r="BB710" s="5"/>
      <c r="BD710" s="5"/>
      <c r="BF710" s="5"/>
      <c r="BH710" s="5"/>
      <c r="BJ710" s="5"/>
      <c r="BL710" s="5"/>
      <c r="BN710" s="5"/>
      <c r="BP710" s="5"/>
      <c r="BR710" s="5"/>
    </row>
    <row r="711" spans="1:70" x14ac:dyDescent="0.25">
      <c r="A711" s="16">
        <v>45252</v>
      </c>
      <c r="B711" s="17">
        <f t="shared" si="85"/>
        <v>11</v>
      </c>
      <c r="C711" s="17">
        <f t="shared" si="86"/>
        <v>2023</v>
      </c>
      <c r="D711" s="17">
        <v>1.85</v>
      </c>
      <c r="E711" s="18">
        <v>1.4615000000000002</v>
      </c>
      <c r="F711" s="19">
        <v>351.50000000000006</v>
      </c>
      <c r="G711" s="17"/>
      <c r="H711" s="17"/>
      <c r="I711" s="17"/>
      <c r="J711" s="17"/>
      <c r="K711" s="17"/>
      <c r="L711" s="20">
        <v>0.79</v>
      </c>
      <c r="M711" s="20">
        <v>0.19</v>
      </c>
      <c r="N711" s="17"/>
      <c r="O711" s="17"/>
      <c r="P711" s="17"/>
      <c r="Q711" s="17"/>
      <c r="R711" s="17"/>
      <c r="S711" s="17"/>
      <c r="AZ711" s="5"/>
      <c r="BB711" s="5"/>
      <c r="BD711" s="5"/>
      <c r="BF711" s="5"/>
      <c r="BH711" s="5"/>
      <c r="BJ711" s="5"/>
      <c r="BL711" s="5"/>
      <c r="BN711" s="5"/>
      <c r="BP711" s="5"/>
      <c r="BR711" s="5"/>
    </row>
    <row r="712" spans="1:70" x14ac:dyDescent="0.25">
      <c r="A712" s="16">
        <v>45259</v>
      </c>
      <c r="B712" s="17">
        <f t="shared" si="85"/>
        <v>11</v>
      </c>
      <c r="C712" s="17">
        <f t="shared" si="86"/>
        <v>2023</v>
      </c>
      <c r="D712" s="17">
        <v>2.02</v>
      </c>
      <c r="E712" s="18">
        <v>1.5958000000000001</v>
      </c>
      <c r="F712" s="19">
        <v>383.8</v>
      </c>
      <c r="G712" s="17"/>
      <c r="H712" s="17"/>
      <c r="I712" s="17"/>
      <c r="J712" s="17"/>
      <c r="K712" s="17"/>
      <c r="L712" s="20">
        <v>0.79</v>
      </c>
      <c r="M712" s="20">
        <v>0.19</v>
      </c>
      <c r="N712" s="17"/>
      <c r="O712" s="17"/>
      <c r="P712" s="17"/>
      <c r="Q712" s="17"/>
      <c r="R712" s="17"/>
      <c r="S712" s="17"/>
      <c r="AZ712" s="5"/>
      <c r="BB712" s="5"/>
      <c r="BD712" s="5"/>
      <c r="BF712" s="5"/>
      <c r="BH712" s="5"/>
      <c r="BJ712" s="5"/>
      <c r="BL712" s="5"/>
      <c r="BN712" s="5"/>
      <c r="BP712" s="5"/>
      <c r="BR712" s="5"/>
    </row>
    <row r="713" spans="1:70" x14ac:dyDescent="0.25">
      <c r="A713" s="16">
        <v>45266</v>
      </c>
      <c r="B713" s="17">
        <f t="shared" si="85"/>
        <v>12</v>
      </c>
      <c r="C713" s="17">
        <f t="shared" si="86"/>
        <v>2023</v>
      </c>
      <c r="D713" s="17">
        <v>2.02</v>
      </c>
      <c r="E713" s="18">
        <v>1.5958000000000001</v>
      </c>
      <c r="F713" s="19">
        <v>383.8</v>
      </c>
      <c r="G713" s="17"/>
      <c r="H713" s="17"/>
      <c r="I713" s="17"/>
      <c r="J713" s="17"/>
      <c r="K713" s="17"/>
      <c r="L713" s="20">
        <v>0.79</v>
      </c>
      <c r="M713" s="20">
        <v>0.19</v>
      </c>
      <c r="N713" s="17"/>
      <c r="O713" s="17"/>
      <c r="P713" s="17"/>
      <c r="Q713" s="17"/>
      <c r="R713" s="17"/>
      <c r="S713" s="17"/>
      <c r="AZ713" s="5"/>
      <c r="BB713" s="5"/>
      <c r="BD713" s="5"/>
      <c r="BF713" s="5"/>
      <c r="BH713" s="5"/>
      <c r="BJ713" s="5"/>
      <c r="BL713" s="5"/>
      <c r="BN713" s="5"/>
      <c r="BP713" s="5"/>
      <c r="BR713" s="5"/>
    </row>
    <row r="714" spans="1:70" x14ac:dyDescent="0.25">
      <c r="A714" s="16">
        <v>45273</v>
      </c>
      <c r="B714" s="17">
        <f t="shared" si="85"/>
        <v>12</v>
      </c>
      <c r="C714" s="17">
        <f t="shared" si="86"/>
        <v>2023</v>
      </c>
      <c r="D714" s="17">
        <v>1.87</v>
      </c>
      <c r="E714" s="18">
        <v>1.4773000000000001</v>
      </c>
      <c r="F714" s="19">
        <v>355.3</v>
      </c>
      <c r="G714" s="17"/>
      <c r="H714" s="17"/>
      <c r="I714" s="17"/>
      <c r="J714" s="17"/>
      <c r="K714" s="17"/>
      <c r="L714" s="20">
        <v>0.79</v>
      </c>
      <c r="M714" s="20">
        <v>0.19</v>
      </c>
      <c r="N714" s="17"/>
      <c r="O714" s="17"/>
      <c r="P714" s="17"/>
      <c r="Q714" s="17"/>
      <c r="R714" s="17"/>
      <c r="S714" s="17"/>
      <c r="AZ714" s="5"/>
      <c r="BB714" s="5"/>
      <c r="BD714" s="5"/>
      <c r="BF714" s="5"/>
      <c r="BH714" s="5"/>
      <c r="BJ714" s="5"/>
      <c r="BL714" s="5"/>
      <c r="BN714" s="5"/>
      <c r="BP714" s="5"/>
      <c r="BR714" s="5"/>
    </row>
    <row r="715" spans="1:70" x14ac:dyDescent="0.25">
      <c r="A715" s="16">
        <v>45280</v>
      </c>
      <c r="B715" s="17">
        <f t="shared" si="85"/>
        <v>12</v>
      </c>
      <c r="C715" s="17">
        <f t="shared" si="86"/>
        <v>2023</v>
      </c>
      <c r="D715" s="17">
        <v>1.88</v>
      </c>
      <c r="E715" s="18">
        <v>1.4852000000000001</v>
      </c>
      <c r="F715" s="19">
        <v>357.2</v>
      </c>
      <c r="G715" s="17"/>
      <c r="H715" s="17"/>
      <c r="I715" s="17"/>
      <c r="J715" s="17"/>
      <c r="K715" s="17"/>
      <c r="L715" s="20">
        <v>0.79</v>
      </c>
      <c r="M715" s="20">
        <v>0.19</v>
      </c>
      <c r="N715" s="17"/>
      <c r="O715" s="17"/>
      <c r="P715" s="17"/>
      <c r="Q715" s="17"/>
      <c r="R715" s="17"/>
      <c r="S715" s="17"/>
      <c r="AZ715" s="5"/>
      <c r="BB715" s="5"/>
      <c r="BD715" s="5"/>
      <c r="BF715" s="5"/>
      <c r="BH715" s="5"/>
      <c r="BJ715" s="5"/>
      <c r="BL715" s="5"/>
      <c r="BN715" s="5"/>
      <c r="BP715" s="5"/>
      <c r="BR715" s="5"/>
    </row>
    <row r="716" spans="1:70" x14ac:dyDescent="0.25">
      <c r="A716" s="16">
        <v>45289</v>
      </c>
      <c r="B716" s="17">
        <f t="shared" si="85"/>
        <v>12</v>
      </c>
      <c r="C716" s="17">
        <f t="shared" si="86"/>
        <v>2023</v>
      </c>
      <c r="D716" s="17">
        <v>1.73</v>
      </c>
      <c r="E716" s="18">
        <v>1.3667</v>
      </c>
      <c r="F716" s="19">
        <v>328.7</v>
      </c>
      <c r="G716" s="17"/>
      <c r="H716" s="17"/>
      <c r="I716" s="17"/>
      <c r="J716" s="17"/>
      <c r="K716" s="17"/>
      <c r="L716" s="20">
        <v>0.79</v>
      </c>
      <c r="M716" s="20">
        <v>0.19</v>
      </c>
      <c r="N716" s="17"/>
      <c r="O716" s="17"/>
      <c r="P716" s="17"/>
      <c r="Q716" s="17"/>
      <c r="R716" s="17"/>
      <c r="S716" s="17"/>
      <c r="AZ716" s="5"/>
      <c r="BB716" s="5"/>
      <c r="BD716" s="5"/>
      <c r="BF716" s="5"/>
      <c r="BH716" s="5"/>
      <c r="BJ716" s="5"/>
      <c r="BL716" s="5"/>
      <c r="BN716" s="5"/>
      <c r="BP716" s="5"/>
      <c r="BR716" s="5"/>
    </row>
    <row r="717" spans="1:70" x14ac:dyDescent="0.25">
      <c r="A717" s="16">
        <v>45294</v>
      </c>
      <c r="B717" s="17">
        <f t="shared" si="85"/>
        <v>1</v>
      </c>
      <c r="C717" s="17">
        <f t="shared" si="86"/>
        <v>2024</v>
      </c>
      <c r="D717" s="17">
        <v>1.8</v>
      </c>
      <c r="E717" s="18">
        <v>1.4220000000000002</v>
      </c>
      <c r="F717" s="19">
        <v>342</v>
      </c>
      <c r="G717" s="17"/>
      <c r="H717" s="17"/>
      <c r="I717" s="17"/>
      <c r="J717" s="17"/>
      <c r="K717" s="17"/>
      <c r="L717" s="20">
        <v>0.79</v>
      </c>
      <c r="M717" s="20">
        <v>0.19</v>
      </c>
      <c r="N717" s="17"/>
      <c r="O717" s="17"/>
      <c r="P717" s="17"/>
      <c r="Q717" s="17"/>
      <c r="R717" s="17"/>
      <c r="S717" s="17"/>
      <c r="AZ717" s="5"/>
      <c r="BB717" s="5"/>
      <c r="BD717" s="5"/>
      <c r="BF717" s="5"/>
      <c r="BH717" s="5"/>
      <c r="BJ717" s="5"/>
      <c r="BL717" s="5"/>
      <c r="BN717" s="5"/>
      <c r="BP717" s="5"/>
      <c r="BR717" s="5"/>
    </row>
    <row r="718" spans="1:70" x14ac:dyDescent="0.25">
      <c r="A718" s="16">
        <v>45301</v>
      </c>
      <c r="B718" s="17">
        <f t="shared" si="85"/>
        <v>1</v>
      </c>
      <c r="C718" s="17">
        <f t="shared" si="86"/>
        <v>2024</v>
      </c>
      <c r="D718" s="17">
        <v>1.63</v>
      </c>
      <c r="E718" s="18">
        <v>1.2877000000000001</v>
      </c>
      <c r="F718" s="19">
        <v>309.7</v>
      </c>
      <c r="G718" s="17"/>
      <c r="H718" s="17"/>
      <c r="I718" s="17"/>
      <c r="J718" s="17"/>
      <c r="K718" s="17"/>
      <c r="L718" s="20">
        <v>0.79</v>
      </c>
      <c r="M718" s="20">
        <v>0.19</v>
      </c>
      <c r="N718" s="17"/>
      <c r="O718" s="17"/>
      <c r="P718" s="17"/>
      <c r="Q718" s="17"/>
      <c r="R718" s="17"/>
      <c r="S718" s="17"/>
      <c r="AZ718" s="5"/>
      <c r="BB718" s="5"/>
      <c r="BD718" s="5"/>
      <c r="BF718" s="5"/>
      <c r="BH718" s="5"/>
      <c r="BJ718" s="5"/>
      <c r="BL718" s="5"/>
      <c r="BN718" s="5"/>
      <c r="BP718" s="5"/>
      <c r="BR718" s="5"/>
    </row>
    <row r="719" spans="1:70" x14ac:dyDescent="0.25">
      <c r="A719" s="16">
        <v>45308</v>
      </c>
      <c r="B719" s="17">
        <f t="shared" si="85"/>
        <v>1</v>
      </c>
      <c r="C719" s="17">
        <f t="shared" si="86"/>
        <v>2024</v>
      </c>
      <c r="D719" s="17">
        <v>1.73</v>
      </c>
      <c r="E719" s="18">
        <v>1.3667</v>
      </c>
      <c r="F719" s="19">
        <v>328.7</v>
      </c>
      <c r="G719" s="17"/>
      <c r="H719" s="17"/>
      <c r="I719" s="17"/>
      <c r="J719" s="17"/>
      <c r="K719" s="17"/>
      <c r="L719" s="20">
        <v>0.79</v>
      </c>
      <c r="M719" s="20">
        <v>0.19</v>
      </c>
      <c r="N719" s="17"/>
      <c r="O719" s="17"/>
      <c r="P719" s="17"/>
      <c r="Q719" s="17"/>
      <c r="R719" s="17"/>
      <c r="S719" s="17"/>
      <c r="AZ719" s="5"/>
      <c r="BB719" s="5"/>
      <c r="BD719" s="5"/>
      <c r="BF719" s="5"/>
      <c r="BH719" s="5"/>
      <c r="BJ719" s="5"/>
      <c r="BL719" s="5"/>
      <c r="BN719" s="5"/>
      <c r="BP719" s="5"/>
      <c r="BR719" s="5"/>
    </row>
    <row r="720" spans="1:70" x14ac:dyDescent="0.25">
      <c r="A720" s="16">
        <v>45315</v>
      </c>
      <c r="B720" s="17">
        <f t="shared" si="85"/>
        <v>1</v>
      </c>
      <c r="C720" s="17">
        <f t="shared" si="86"/>
        <v>2024</v>
      </c>
      <c r="D720" s="17">
        <v>1.82</v>
      </c>
      <c r="E720" s="18">
        <v>1.4378000000000002</v>
      </c>
      <c r="F720" s="19">
        <v>345.8</v>
      </c>
      <c r="G720" s="17"/>
      <c r="H720" s="17"/>
      <c r="I720" s="17"/>
      <c r="J720" s="17"/>
      <c r="K720" s="17"/>
      <c r="L720" s="20">
        <v>0.79</v>
      </c>
      <c r="M720" s="20">
        <v>0.19</v>
      </c>
      <c r="N720" s="17"/>
      <c r="O720" s="17"/>
      <c r="P720" s="17"/>
      <c r="Q720" s="17"/>
      <c r="R720" s="17"/>
      <c r="S720" s="17"/>
      <c r="AZ720" s="5"/>
      <c r="BB720" s="5"/>
      <c r="BD720" s="5"/>
      <c r="BF720" s="5"/>
      <c r="BH720" s="5"/>
      <c r="BJ720" s="5"/>
      <c r="BL720" s="5"/>
      <c r="BN720" s="5"/>
      <c r="BP720" s="5"/>
      <c r="BR720" s="5"/>
    </row>
    <row r="721" spans="1:70" x14ac:dyDescent="0.25">
      <c r="A721" s="16">
        <v>45322</v>
      </c>
      <c r="B721" s="17">
        <f t="shared" si="85"/>
        <v>1</v>
      </c>
      <c r="C721" s="17">
        <f t="shared" si="86"/>
        <v>2024</v>
      </c>
      <c r="D721" s="17">
        <v>1.99</v>
      </c>
      <c r="E721" s="18">
        <v>1.5721000000000001</v>
      </c>
      <c r="F721" s="19">
        <v>378.09999999999997</v>
      </c>
      <c r="G721" s="17"/>
      <c r="H721" s="17"/>
      <c r="I721" s="17"/>
      <c r="J721" s="17"/>
      <c r="K721" s="17"/>
      <c r="L721" s="20">
        <v>0.79</v>
      </c>
      <c r="M721" s="20">
        <v>0.19</v>
      </c>
      <c r="N721" s="17"/>
      <c r="O721" s="17"/>
      <c r="P721" s="17"/>
      <c r="Q721" s="17"/>
      <c r="R721" s="17"/>
      <c r="S721" s="17"/>
      <c r="AZ721" s="5"/>
      <c r="BB721" s="5"/>
      <c r="BD721" s="5"/>
      <c r="BF721" s="5"/>
      <c r="BH721" s="5"/>
      <c r="BJ721" s="5"/>
      <c r="BL721" s="5"/>
      <c r="BN721" s="5"/>
      <c r="BP721" s="5"/>
      <c r="BR721" s="5"/>
    </row>
    <row r="722" spans="1:70" x14ac:dyDescent="0.25">
      <c r="A722" s="16">
        <v>45329</v>
      </c>
      <c r="B722" s="17">
        <f t="shared" si="85"/>
        <v>2</v>
      </c>
      <c r="C722" s="17">
        <f t="shared" si="86"/>
        <v>2024</v>
      </c>
      <c r="D722" s="17">
        <v>1.91</v>
      </c>
      <c r="E722" s="18">
        <v>1.5088999999999999</v>
      </c>
      <c r="F722" s="19">
        <v>362.9</v>
      </c>
      <c r="G722" s="17"/>
      <c r="H722" s="17"/>
      <c r="I722" s="17"/>
      <c r="J722" s="17"/>
      <c r="K722" s="17"/>
      <c r="L722" s="20">
        <v>0.79</v>
      </c>
      <c r="M722" s="20">
        <v>0.19</v>
      </c>
      <c r="N722" s="17"/>
      <c r="O722" s="17"/>
      <c r="P722" s="17"/>
      <c r="Q722" s="17"/>
      <c r="R722" s="17"/>
      <c r="S722" s="17"/>
      <c r="AZ722" s="5"/>
      <c r="BB722" s="5"/>
      <c r="BD722" s="5"/>
      <c r="BF722" s="5"/>
      <c r="BH722" s="5"/>
      <c r="BJ722" s="5"/>
      <c r="BL722" s="5"/>
      <c r="BN722" s="5"/>
      <c r="BP722" s="5"/>
      <c r="BR722" s="5"/>
    </row>
    <row r="723" spans="1:70" x14ac:dyDescent="0.25">
      <c r="A723" s="16">
        <v>45334</v>
      </c>
      <c r="B723" s="17">
        <f t="shared" si="85"/>
        <v>2</v>
      </c>
      <c r="C723" s="17">
        <f t="shared" si="86"/>
        <v>2024</v>
      </c>
      <c r="D723" s="17">
        <v>0.79</v>
      </c>
      <c r="E723" s="18">
        <v>0.6241000000000001</v>
      </c>
      <c r="F723" s="19">
        <v>150.10000000000002</v>
      </c>
      <c r="G723" s="17"/>
      <c r="H723" s="17"/>
      <c r="I723" s="17"/>
      <c r="J723" s="17"/>
      <c r="K723" s="17"/>
      <c r="L723" s="20">
        <v>0.79</v>
      </c>
      <c r="M723" s="20">
        <v>0.19</v>
      </c>
      <c r="N723" s="17"/>
      <c r="O723" s="17"/>
      <c r="P723" s="17"/>
      <c r="Q723" s="17"/>
      <c r="R723" s="17"/>
      <c r="S723" s="17"/>
      <c r="AZ723" s="5"/>
      <c r="BB723" s="5"/>
      <c r="BD723" s="5"/>
      <c r="BF723" s="5"/>
      <c r="BH723" s="5"/>
      <c r="BJ723" s="5"/>
      <c r="BL723" s="5"/>
      <c r="BN723" s="5"/>
      <c r="BP723" s="5"/>
      <c r="BR723" s="5"/>
    </row>
    <row r="724" spans="1:70" x14ac:dyDescent="0.25">
      <c r="A724" s="16">
        <v>45350</v>
      </c>
      <c r="B724" s="17">
        <f t="shared" si="85"/>
        <v>2</v>
      </c>
      <c r="C724" s="17">
        <f t="shared" si="86"/>
        <v>2024</v>
      </c>
      <c r="D724" s="17">
        <v>1.1299999999999999</v>
      </c>
      <c r="E724" s="18">
        <v>0.89269999999999994</v>
      </c>
      <c r="F724" s="19">
        <v>214.69999999999996</v>
      </c>
      <c r="G724" s="17"/>
      <c r="H724" s="17"/>
      <c r="I724" s="17"/>
      <c r="J724" s="17"/>
      <c r="K724" s="17"/>
      <c r="L724" s="20">
        <v>0.79</v>
      </c>
      <c r="M724" s="20">
        <v>0.19</v>
      </c>
      <c r="N724" s="17"/>
      <c r="O724" s="17"/>
      <c r="P724" s="17"/>
      <c r="Q724" s="17"/>
      <c r="R724" s="17"/>
      <c r="S724" s="17"/>
      <c r="AZ724" s="5"/>
      <c r="BB724" s="5"/>
      <c r="BD724" s="5"/>
      <c r="BF724" s="5"/>
      <c r="BH724" s="5"/>
      <c r="BJ724" s="5"/>
      <c r="BL724" s="5"/>
      <c r="BN724" s="5"/>
      <c r="BP724" s="5"/>
      <c r="BR724" s="5"/>
    </row>
    <row r="725" spans="1:70" x14ac:dyDescent="0.25">
      <c r="A725" s="16">
        <v>45366</v>
      </c>
      <c r="B725" s="17">
        <f t="shared" si="85"/>
        <v>3</v>
      </c>
      <c r="C725" s="17">
        <f t="shared" si="86"/>
        <v>2024</v>
      </c>
      <c r="D725" s="17">
        <v>1.64</v>
      </c>
      <c r="E725" s="18">
        <v>1.2956000000000001</v>
      </c>
      <c r="F725" s="19">
        <v>311.59999999999997</v>
      </c>
      <c r="G725" s="17"/>
      <c r="H725" s="17"/>
      <c r="I725" s="17"/>
      <c r="J725" s="17"/>
      <c r="K725" s="17"/>
      <c r="L725" s="20">
        <v>0.79</v>
      </c>
      <c r="M725" s="20">
        <v>0.19</v>
      </c>
      <c r="N725" s="17"/>
      <c r="O725" s="17"/>
      <c r="P725" s="17"/>
      <c r="Q725" s="17"/>
      <c r="R725" s="17"/>
      <c r="S725" s="17"/>
      <c r="AZ725" s="5"/>
      <c r="BB725" s="5"/>
      <c r="BD725" s="5"/>
      <c r="BF725" s="5"/>
      <c r="BH725" s="5"/>
      <c r="BJ725" s="5"/>
      <c r="BL725" s="5"/>
      <c r="BN725" s="5"/>
      <c r="BP725" s="5"/>
      <c r="BR725" s="5"/>
    </row>
    <row r="726" spans="1:70" x14ac:dyDescent="0.25">
      <c r="A726" s="16">
        <v>45373</v>
      </c>
      <c r="B726" s="17">
        <f t="shared" si="85"/>
        <v>3</v>
      </c>
      <c r="C726" s="17">
        <f t="shared" si="86"/>
        <v>2024</v>
      </c>
      <c r="D726" s="17">
        <v>1.53</v>
      </c>
      <c r="E726" s="18">
        <v>1.2087000000000001</v>
      </c>
      <c r="F726" s="19">
        <v>290.7</v>
      </c>
      <c r="G726" s="17"/>
      <c r="H726" s="17"/>
      <c r="I726" s="17"/>
      <c r="J726" s="17"/>
      <c r="K726" s="17"/>
      <c r="L726" s="20">
        <v>0.79</v>
      </c>
      <c r="M726" s="20">
        <v>0.19</v>
      </c>
      <c r="N726" s="17"/>
      <c r="O726" s="17"/>
      <c r="P726" s="17"/>
      <c r="Q726" s="17"/>
      <c r="R726" s="17"/>
      <c r="S726" s="17"/>
      <c r="AZ726" s="5"/>
      <c r="BB726" s="5"/>
      <c r="BD726" s="5"/>
      <c r="BF726" s="5"/>
      <c r="BH726" s="5"/>
      <c r="BJ726" s="5"/>
      <c r="BL726" s="5"/>
      <c r="BN726" s="5"/>
      <c r="BP726" s="5"/>
      <c r="BR726" s="5"/>
    </row>
    <row r="727" spans="1:70" x14ac:dyDescent="0.25">
      <c r="A727" s="16">
        <v>45380</v>
      </c>
      <c r="B727" s="17">
        <f t="shared" si="85"/>
        <v>3</v>
      </c>
      <c r="C727" s="17">
        <f t="shared" si="86"/>
        <v>2024</v>
      </c>
      <c r="D727" s="17">
        <v>1.52</v>
      </c>
      <c r="E727" s="18">
        <v>1.2008000000000001</v>
      </c>
      <c r="F727" s="19">
        <v>288.8</v>
      </c>
      <c r="L727" s="20">
        <v>0.79</v>
      </c>
      <c r="M727" s="20">
        <v>0.19</v>
      </c>
      <c r="AZ727" s="5"/>
      <c r="BB727" s="5"/>
      <c r="BD727" s="5"/>
      <c r="BF727" s="5"/>
      <c r="BH727" s="5"/>
      <c r="BJ727" s="5"/>
      <c r="BL727" s="5"/>
      <c r="BN727" s="5"/>
      <c r="BP727" s="5"/>
      <c r="BR727" s="5"/>
    </row>
    <row r="728" spans="1:70" x14ac:dyDescent="0.25">
      <c r="A728" s="16">
        <v>45387</v>
      </c>
      <c r="B728" s="17">
        <f>MONTH(A728)</f>
        <v>4</v>
      </c>
      <c r="C728" s="17">
        <f>YEAR(A728)</f>
        <v>2024</v>
      </c>
      <c r="D728" s="17">
        <v>1.52</v>
      </c>
      <c r="E728" s="18">
        <v>1.2008000000000001</v>
      </c>
      <c r="F728" s="19">
        <v>288.8</v>
      </c>
      <c r="L728" s="20">
        <v>0.79</v>
      </c>
      <c r="M728" s="20">
        <v>0.19</v>
      </c>
      <c r="AZ728" s="5"/>
      <c r="BB728" s="5"/>
      <c r="BD728" s="5"/>
      <c r="BF728" s="5"/>
      <c r="BH728" s="5"/>
      <c r="BJ728" s="5"/>
      <c r="BL728" s="5"/>
      <c r="BN728" s="5"/>
      <c r="BP728" s="5"/>
      <c r="BR728" s="5"/>
    </row>
    <row r="729" spans="1:70" x14ac:dyDescent="0.25">
      <c r="A729" s="16">
        <v>45394</v>
      </c>
      <c r="B729" s="17">
        <f t="shared" si="85"/>
        <v>4</v>
      </c>
      <c r="C729" s="17">
        <f t="shared" ref="C729:C730" si="87">YEAR(A729)</f>
        <v>2024</v>
      </c>
      <c r="D729" s="17">
        <v>1.77</v>
      </c>
      <c r="E729" s="21">
        <v>1.3983000000000001</v>
      </c>
      <c r="F729" s="22">
        <v>336.3</v>
      </c>
      <c r="G729" s="23"/>
      <c r="H729" s="23">
        <v>3.91</v>
      </c>
      <c r="I729" s="23"/>
      <c r="J729" s="23">
        <f>J730*0.6857</f>
        <v>0.31542199999999998</v>
      </c>
      <c r="K729" s="23"/>
      <c r="L729" s="23"/>
      <c r="M729" s="23"/>
      <c r="AZ729" s="5"/>
      <c r="BB729" s="5"/>
      <c r="BD729" s="5"/>
      <c r="BF729" s="5"/>
      <c r="BH729" s="5"/>
      <c r="BJ729" s="5"/>
      <c r="BL729" s="5"/>
      <c r="BN729" s="5"/>
      <c r="BP729" s="5"/>
      <c r="BR729" s="5"/>
    </row>
    <row r="730" spans="1:70" x14ac:dyDescent="0.25">
      <c r="A730" s="16">
        <v>45401</v>
      </c>
      <c r="B730" s="17">
        <f t="shared" si="85"/>
        <v>4</v>
      </c>
      <c r="C730" s="17">
        <f t="shared" si="87"/>
        <v>2024</v>
      </c>
      <c r="D730" s="17">
        <v>1.95</v>
      </c>
      <c r="E730" s="21">
        <v>1.5405</v>
      </c>
      <c r="F730" s="22">
        <v>370.5</v>
      </c>
      <c r="G730" s="23"/>
      <c r="H730" s="23">
        <v>3.91</v>
      </c>
      <c r="I730" s="23"/>
      <c r="J730" s="23">
        <v>0.46</v>
      </c>
      <c r="K730" s="23"/>
      <c r="L730" s="23"/>
      <c r="M730" s="23"/>
      <c r="AZ730" s="5"/>
      <c r="BB730" s="5"/>
      <c r="BD730" s="5"/>
      <c r="BF730" s="5"/>
      <c r="BH730" s="5"/>
      <c r="BJ730" s="5"/>
      <c r="BL730" s="5"/>
      <c r="BN730" s="5"/>
      <c r="BP730" s="5"/>
      <c r="BR730" s="5"/>
    </row>
    <row r="731" spans="1:70" x14ac:dyDescent="0.25">
      <c r="A731" s="16">
        <v>45408</v>
      </c>
      <c r="B731" s="17">
        <v>4</v>
      </c>
      <c r="C731" s="17">
        <v>2024</v>
      </c>
      <c r="D731" s="17">
        <v>1.92</v>
      </c>
      <c r="E731" s="21">
        <v>1.5167999999999999</v>
      </c>
      <c r="F731" s="22">
        <v>364.8</v>
      </c>
      <c r="G731" s="23"/>
      <c r="H731" s="23"/>
      <c r="I731" s="23"/>
      <c r="J731" s="23"/>
      <c r="K731" s="23"/>
      <c r="L731" s="23">
        <v>0.79</v>
      </c>
      <c r="M731" s="23">
        <v>0.19</v>
      </c>
      <c r="AZ731" s="5"/>
      <c r="BB731" s="5"/>
      <c r="BD731" s="5"/>
      <c r="BF731" s="5"/>
      <c r="BH731" s="5"/>
      <c r="BJ731" s="5"/>
      <c r="BL731" s="5"/>
      <c r="BN731" s="5"/>
      <c r="BP731" s="5"/>
      <c r="BR731" s="5"/>
    </row>
    <row r="732" spans="1:70" x14ac:dyDescent="0.25">
      <c r="A732" s="16">
        <v>45415</v>
      </c>
      <c r="B732" s="17">
        <v>5</v>
      </c>
      <c r="C732" s="17">
        <v>2024</v>
      </c>
      <c r="D732" s="17">
        <v>1.72</v>
      </c>
      <c r="E732" s="21">
        <v>1.3588</v>
      </c>
      <c r="F732" s="22">
        <v>326.79999999999995</v>
      </c>
      <c r="G732" s="23"/>
      <c r="H732" s="23"/>
      <c r="I732" s="23"/>
      <c r="J732" s="23"/>
      <c r="K732" s="23"/>
      <c r="L732" s="23">
        <v>0.79</v>
      </c>
      <c r="M732" s="23">
        <v>0.19</v>
      </c>
      <c r="AZ732" s="5"/>
      <c r="BB732" s="5"/>
      <c r="BD732" s="5"/>
      <c r="BF732" s="5"/>
      <c r="BH732" s="5"/>
      <c r="BJ732" s="5"/>
      <c r="BL732" s="5"/>
      <c r="BN732" s="5"/>
      <c r="BP732" s="5"/>
      <c r="BR732" s="5"/>
    </row>
    <row r="733" spans="1:70" x14ac:dyDescent="0.25">
      <c r="A733" s="16">
        <v>45422</v>
      </c>
      <c r="B733" s="17">
        <v>5</v>
      </c>
      <c r="C733" s="17">
        <v>2024</v>
      </c>
      <c r="D733" s="23">
        <v>1.8</v>
      </c>
      <c r="E733" s="21">
        <v>1.4220000000000002</v>
      </c>
      <c r="F733" s="22">
        <v>342</v>
      </c>
      <c r="G733" s="23"/>
      <c r="H733" s="23"/>
      <c r="I733" s="23"/>
      <c r="J733" s="23"/>
      <c r="K733" s="23"/>
      <c r="L733" s="23">
        <v>0.79</v>
      </c>
      <c r="M733" s="23">
        <v>0.19</v>
      </c>
      <c r="AZ733" s="5"/>
      <c r="BB733" s="5"/>
      <c r="BD733" s="5"/>
      <c r="BF733" s="5"/>
      <c r="BH733" s="5"/>
      <c r="BJ733" s="5"/>
      <c r="BL733" s="5"/>
      <c r="BN733" s="5"/>
      <c r="BP733" s="5"/>
      <c r="BR733" s="5"/>
    </row>
    <row r="734" spans="1:70" x14ac:dyDescent="0.25">
      <c r="A734" s="16">
        <v>45429</v>
      </c>
      <c r="B734" s="17">
        <v>5</v>
      </c>
      <c r="C734" s="17">
        <v>2024</v>
      </c>
      <c r="D734" s="23">
        <v>1.89</v>
      </c>
      <c r="E734" s="21">
        <v>1.4931000000000001</v>
      </c>
      <c r="F734" s="22">
        <v>359.09999999999997</v>
      </c>
      <c r="G734" s="23"/>
      <c r="H734" s="23"/>
      <c r="I734" s="23"/>
      <c r="J734" s="23"/>
      <c r="K734" s="23"/>
      <c r="L734" s="23">
        <v>0.79</v>
      </c>
      <c r="M734" s="23">
        <v>0.19</v>
      </c>
      <c r="AZ734" s="5"/>
      <c r="BB734" s="5"/>
      <c r="BD734" s="5"/>
      <c r="BF734" s="5"/>
      <c r="BH734" s="5"/>
      <c r="BJ734" s="5"/>
      <c r="BL734" s="5"/>
      <c r="BN734" s="5"/>
      <c r="BP734" s="5"/>
      <c r="BR734" s="5"/>
    </row>
    <row r="735" spans="1:70" x14ac:dyDescent="0.25">
      <c r="A735" s="16">
        <v>45436</v>
      </c>
      <c r="B735" s="17">
        <v>5</v>
      </c>
      <c r="C735" s="17">
        <v>2024</v>
      </c>
      <c r="D735" s="23">
        <v>2.0099999999999998</v>
      </c>
      <c r="E735" s="21">
        <v>1.5878999999999999</v>
      </c>
      <c r="F735" s="22">
        <v>381.9</v>
      </c>
      <c r="G735" s="23"/>
      <c r="H735" s="23"/>
      <c r="I735" s="23"/>
      <c r="J735" s="23"/>
      <c r="K735" s="23"/>
      <c r="L735" s="23">
        <v>0.79</v>
      </c>
      <c r="M735" s="23">
        <v>0.19</v>
      </c>
      <c r="AZ735" s="5"/>
      <c r="BB735" s="5"/>
      <c r="BD735" s="5"/>
      <c r="BF735" s="5"/>
      <c r="BH735" s="5"/>
      <c r="BJ735" s="5"/>
      <c r="BL735" s="5"/>
      <c r="BN735" s="5"/>
      <c r="BP735" s="5"/>
      <c r="BR735" s="5"/>
    </row>
    <row r="736" spans="1:70" x14ac:dyDescent="0.25">
      <c r="A736" s="16">
        <v>45443</v>
      </c>
      <c r="B736" s="17">
        <v>5</v>
      </c>
      <c r="C736" s="17">
        <v>2024</v>
      </c>
      <c r="D736" s="23">
        <v>2.16</v>
      </c>
      <c r="E736" s="21">
        <v>1.7064000000000001</v>
      </c>
      <c r="F736" s="22">
        <v>410.40000000000003</v>
      </c>
      <c r="G736" s="23"/>
      <c r="H736" s="23"/>
      <c r="I736" s="23"/>
      <c r="J736" s="23"/>
      <c r="K736" s="23"/>
      <c r="L736" s="23">
        <v>0.79</v>
      </c>
      <c r="M736" s="23">
        <v>0.19</v>
      </c>
      <c r="AZ736" s="5"/>
      <c r="BB736" s="5"/>
      <c r="BD736" s="5"/>
      <c r="BF736" s="5"/>
      <c r="BH736" s="5"/>
      <c r="BJ736" s="5"/>
      <c r="BL736" s="5"/>
      <c r="BN736" s="5"/>
      <c r="BP736" s="5"/>
      <c r="BR736" s="5"/>
    </row>
    <row r="737" spans="1:70" x14ac:dyDescent="0.25">
      <c r="A737" s="16">
        <v>45450</v>
      </c>
      <c r="B737" s="17">
        <v>6</v>
      </c>
      <c r="C737" s="17">
        <v>2024</v>
      </c>
      <c r="D737" s="23">
        <v>1.97</v>
      </c>
      <c r="E737" s="21">
        <v>1.5563</v>
      </c>
      <c r="F737" s="22">
        <v>374.3</v>
      </c>
      <c r="G737" s="23"/>
      <c r="H737" s="23"/>
      <c r="I737" s="23"/>
      <c r="J737" s="23"/>
      <c r="K737" s="23"/>
      <c r="L737" s="23">
        <v>0.79</v>
      </c>
      <c r="M737" s="23">
        <v>0.19</v>
      </c>
      <c r="AZ737" s="5"/>
      <c r="BB737" s="5"/>
      <c r="BD737" s="5"/>
      <c r="BF737" s="5"/>
      <c r="BH737" s="5"/>
      <c r="BJ737" s="5"/>
      <c r="BL737" s="5"/>
      <c r="BN737" s="5"/>
      <c r="BP737" s="5"/>
      <c r="BR737" s="5"/>
    </row>
    <row r="738" spans="1:70" x14ac:dyDescent="0.25">
      <c r="A738" s="3">
        <v>45457</v>
      </c>
      <c r="B738" s="23">
        <v>6</v>
      </c>
      <c r="C738" s="23">
        <v>2024</v>
      </c>
      <c r="D738" s="23">
        <v>1.9</v>
      </c>
      <c r="E738" s="21">
        <v>1.5009999999999999</v>
      </c>
      <c r="F738" s="22">
        <v>361</v>
      </c>
      <c r="G738" s="23"/>
      <c r="H738" s="23"/>
      <c r="I738" s="23"/>
      <c r="J738" s="23"/>
      <c r="K738" s="23"/>
      <c r="L738" s="23">
        <v>0.79</v>
      </c>
      <c r="M738" s="23">
        <v>0.19</v>
      </c>
      <c r="AZ738" s="5"/>
      <c r="BB738" s="5"/>
      <c r="BD738" s="5"/>
      <c r="BF738" s="5"/>
      <c r="BH738" s="5"/>
      <c r="BJ738" s="5"/>
      <c r="BL738" s="5"/>
      <c r="BN738" s="5"/>
      <c r="BP738" s="5"/>
      <c r="BR738" s="5"/>
    </row>
    <row r="739" spans="1:70" x14ac:dyDescent="0.25">
      <c r="A739" s="3">
        <v>45464</v>
      </c>
      <c r="B739" s="23">
        <v>6</v>
      </c>
      <c r="C739" s="23">
        <v>2024</v>
      </c>
      <c r="D739" s="23">
        <v>1.94</v>
      </c>
      <c r="E739" s="21">
        <v>1.5326</v>
      </c>
      <c r="F739" s="22">
        <v>368.59999999999997</v>
      </c>
      <c r="G739" s="23"/>
      <c r="H739" s="23"/>
      <c r="I739" s="23"/>
      <c r="J739" s="23"/>
      <c r="K739" s="23"/>
      <c r="L739" s="23">
        <v>0.79</v>
      </c>
      <c r="M739" s="23">
        <v>0.19</v>
      </c>
      <c r="AZ739" s="5"/>
      <c r="BB739" s="5"/>
      <c r="BD739" s="5"/>
      <c r="BF739" s="5"/>
      <c r="BH739" s="5"/>
      <c r="BJ739" s="5"/>
      <c r="BL739" s="5"/>
      <c r="BN739" s="5"/>
      <c r="BP739" s="5"/>
      <c r="BR739" s="5"/>
    </row>
    <row r="740" spans="1:70" x14ac:dyDescent="0.25">
      <c r="A740" s="3">
        <v>45471</v>
      </c>
      <c r="B740" s="23">
        <v>6</v>
      </c>
      <c r="C740" s="23">
        <v>2024</v>
      </c>
      <c r="D740" s="23">
        <v>2.1800000000000002</v>
      </c>
      <c r="E740" s="23">
        <v>1.7222000000000002</v>
      </c>
      <c r="F740" s="23">
        <v>414.2</v>
      </c>
      <c r="G740" s="23"/>
      <c r="H740" s="23"/>
      <c r="I740" s="23"/>
      <c r="J740" s="23"/>
      <c r="K740" s="23"/>
      <c r="L740" s="23">
        <v>0.79</v>
      </c>
      <c r="M740" s="23">
        <v>0.19</v>
      </c>
      <c r="N740">
        <v>0.98</v>
      </c>
      <c r="P740" s="1">
        <v>113.36000000000001</v>
      </c>
      <c r="AZ740" s="5"/>
      <c r="BB740" s="5"/>
      <c r="BD740" s="5"/>
      <c r="BF740" s="5"/>
      <c r="BH740" s="5"/>
      <c r="BJ740" s="5"/>
      <c r="BL740" s="5"/>
      <c r="BN740" s="5"/>
      <c r="BP740" s="5"/>
      <c r="BR740" s="5"/>
    </row>
    <row r="741" spans="1:70" x14ac:dyDescent="0.25">
      <c r="A741" s="3">
        <v>45478</v>
      </c>
      <c r="B741" s="1">
        <v>7</v>
      </c>
      <c r="C741" s="1">
        <v>2024</v>
      </c>
      <c r="D741" s="1">
        <v>1.99</v>
      </c>
      <c r="E741" s="1">
        <v>1.5721000000000001</v>
      </c>
      <c r="F741" s="1">
        <v>378.09999999999997</v>
      </c>
      <c r="L741" s="1">
        <v>0.79</v>
      </c>
      <c r="M741">
        <v>0.19</v>
      </c>
      <c r="N741">
        <v>0.98</v>
      </c>
      <c r="P741" s="1">
        <v>103.48</v>
      </c>
      <c r="AZ741" s="5"/>
      <c r="BB741" s="5"/>
      <c r="BD741" s="5"/>
      <c r="BF741" s="5"/>
      <c r="BH741" s="5"/>
      <c r="BJ741" s="5"/>
      <c r="BL741" s="5"/>
      <c r="BN741" s="5"/>
      <c r="BP741" s="5"/>
      <c r="BR741" s="5"/>
    </row>
    <row r="742" spans="1:70" x14ac:dyDescent="0.25">
      <c r="A742" s="3">
        <v>45485</v>
      </c>
      <c r="B742" s="1">
        <v>7</v>
      </c>
      <c r="C742" s="1">
        <v>2024</v>
      </c>
      <c r="D742" s="1">
        <v>2.06</v>
      </c>
      <c r="E742" s="1">
        <v>1.6274000000000002</v>
      </c>
      <c r="F742" s="1">
        <v>391.40000000000003</v>
      </c>
      <c r="L742" s="1">
        <v>0.79</v>
      </c>
      <c r="M742">
        <v>0.19</v>
      </c>
      <c r="N742">
        <v>0.98</v>
      </c>
      <c r="P742" s="1">
        <v>107.12</v>
      </c>
      <c r="AZ742" s="5"/>
      <c r="BB742" s="5"/>
      <c r="BD742" s="5"/>
      <c r="BF742" s="5"/>
      <c r="BH742" s="5"/>
      <c r="BJ742" s="5"/>
      <c r="BL742" s="5"/>
      <c r="BN742" s="5"/>
      <c r="BP742" s="5"/>
      <c r="BR742" s="5"/>
    </row>
    <row r="743" spans="1:70" x14ac:dyDescent="0.25">
      <c r="A743" s="3">
        <v>45492</v>
      </c>
      <c r="B743" s="1">
        <v>7</v>
      </c>
      <c r="C743" s="1">
        <v>2024</v>
      </c>
      <c r="D743" s="1">
        <v>1.9</v>
      </c>
      <c r="E743" s="1">
        <v>1.5009999999999999</v>
      </c>
      <c r="F743" s="1">
        <v>361</v>
      </c>
      <c r="L743" s="1">
        <v>0.79</v>
      </c>
      <c r="M743">
        <v>0.19</v>
      </c>
      <c r="N743">
        <v>0.98</v>
      </c>
      <c r="P743" s="1">
        <v>98.8</v>
      </c>
      <c r="AZ743" s="5"/>
      <c r="BB743" s="5"/>
      <c r="BD743" s="5"/>
      <c r="BF743" s="5"/>
      <c r="BH743" s="5"/>
      <c r="BJ743" s="5"/>
      <c r="BL743" s="5"/>
      <c r="BN743" s="5"/>
      <c r="BP743" s="5"/>
      <c r="BR743" s="5"/>
    </row>
    <row r="744" spans="1:70" x14ac:dyDescent="0.25">
      <c r="A744" s="3">
        <v>45499</v>
      </c>
      <c r="B744" s="1">
        <v>7</v>
      </c>
      <c r="C744" s="1">
        <v>2024</v>
      </c>
      <c r="D744" s="1">
        <v>1.97</v>
      </c>
      <c r="E744" s="1">
        <v>1.5563</v>
      </c>
      <c r="F744" s="1">
        <v>374.3</v>
      </c>
      <c r="L744" s="1">
        <v>0.79</v>
      </c>
      <c r="M744">
        <v>0.19</v>
      </c>
      <c r="N744">
        <v>0.98</v>
      </c>
      <c r="P744" s="1">
        <v>102.44</v>
      </c>
      <c r="AZ744" s="5"/>
      <c r="BB744" s="5"/>
      <c r="BD744" s="5"/>
      <c r="BF744" s="5"/>
      <c r="BH744" s="5"/>
      <c r="BJ744" s="5"/>
      <c r="BL744" s="5"/>
      <c r="BN744" s="5"/>
      <c r="BP744" s="5"/>
      <c r="BR744" s="5"/>
    </row>
    <row r="745" spans="1:70" x14ac:dyDescent="0.25">
      <c r="A745" s="3">
        <v>45506</v>
      </c>
      <c r="B745" s="1">
        <v>8</v>
      </c>
      <c r="C745" s="1">
        <v>2024</v>
      </c>
      <c r="D745" s="1">
        <v>2.0699999999999998</v>
      </c>
      <c r="E745" s="1">
        <v>1.6353</v>
      </c>
      <c r="F745" s="1">
        <v>393.29999999999995</v>
      </c>
      <c r="L745" s="1">
        <v>0.79</v>
      </c>
      <c r="M745">
        <v>0.19</v>
      </c>
      <c r="N745">
        <v>0.98</v>
      </c>
      <c r="P745" s="1">
        <v>107.63999999999999</v>
      </c>
      <c r="AZ745" s="5"/>
      <c r="BB745" s="5"/>
      <c r="BD745" s="5"/>
      <c r="BF745" s="5"/>
      <c r="BH745" s="5"/>
      <c r="BJ745" s="5"/>
      <c r="BL745" s="5"/>
      <c r="BN745" s="5"/>
      <c r="BP745" s="5"/>
      <c r="BR745" s="5"/>
    </row>
    <row r="746" spans="1:70" x14ac:dyDescent="0.25">
      <c r="A746" s="3">
        <v>45513</v>
      </c>
      <c r="B746" s="1">
        <v>8</v>
      </c>
      <c r="C746" s="1">
        <v>2024</v>
      </c>
      <c r="D746" s="1">
        <v>2.08</v>
      </c>
      <c r="E746" s="1">
        <v>1.6432000000000002</v>
      </c>
      <c r="F746" s="1">
        <v>395.2</v>
      </c>
      <c r="L746" s="1">
        <v>0.79</v>
      </c>
      <c r="M746">
        <v>0.19</v>
      </c>
      <c r="N746">
        <v>0.98</v>
      </c>
      <c r="P746" s="1">
        <v>108.16</v>
      </c>
      <c r="AZ746" s="5"/>
      <c r="BB746" s="5"/>
      <c r="BD746" s="5"/>
      <c r="BF746" s="5"/>
      <c r="BH746" s="5"/>
      <c r="BJ746" s="5"/>
      <c r="BL746" s="5"/>
      <c r="BN746" s="5"/>
      <c r="BP746" s="5"/>
      <c r="BR746" s="5"/>
    </row>
    <row r="747" spans="1:70" x14ac:dyDescent="0.25">
      <c r="A747" s="3">
        <v>45520</v>
      </c>
      <c r="B747" s="1">
        <v>8</v>
      </c>
      <c r="C747" s="1">
        <v>2024</v>
      </c>
      <c r="D747" s="1">
        <v>2.02</v>
      </c>
      <c r="E747" s="1">
        <v>1.5958000000000001</v>
      </c>
      <c r="F747" s="1">
        <v>383.8</v>
      </c>
      <c r="L747" s="1">
        <v>0.79</v>
      </c>
      <c r="M747">
        <v>0.19</v>
      </c>
      <c r="N747">
        <v>0.98</v>
      </c>
      <c r="P747" s="1">
        <v>105.04</v>
      </c>
      <c r="AZ747" s="5"/>
      <c r="BB747" s="5"/>
      <c r="BD747" s="5"/>
      <c r="BF747" s="5"/>
      <c r="BH747" s="5"/>
      <c r="BJ747" s="5"/>
      <c r="BL747" s="5"/>
      <c r="BN747" s="5"/>
      <c r="BP747" s="5"/>
      <c r="BR747" s="5"/>
    </row>
    <row r="748" spans="1:70" x14ac:dyDescent="0.25">
      <c r="A748" s="3">
        <v>45527</v>
      </c>
      <c r="B748" s="1">
        <v>8</v>
      </c>
      <c r="C748" s="1">
        <v>2024</v>
      </c>
      <c r="D748" s="1">
        <v>2.0499999999999998</v>
      </c>
      <c r="E748" s="1">
        <v>1.6194999999999999</v>
      </c>
      <c r="F748" s="1">
        <v>389.49999999999994</v>
      </c>
      <c r="L748" s="1">
        <v>0.79</v>
      </c>
      <c r="M748">
        <v>0.19</v>
      </c>
      <c r="N748">
        <v>0.98</v>
      </c>
      <c r="P748" s="1">
        <v>106.6</v>
      </c>
      <c r="AZ748" s="5"/>
      <c r="BB748" s="5"/>
      <c r="BD748" s="5"/>
      <c r="BF748" s="5"/>
      <c r="BH748" s="5"/>
      <c r="BJ748" s="5"/>
      <c r="BL748" s="5"/>
      <c r="BN748" s="5"/>
      <c r="BP748" s="5"/>
      <c r="BR748" s="5"/>
    </row>
    <row r="749" spans="1:70" x14ac:dyDescent="0.25">
      <c r="A749" s="3">
        <v>45534</v>
      </c>
      <c r="B749" s="1">
        <v>8</v>
      </c>
      <c r="C749" s="1">
        <v>2024</v>
      </c>
      <c r="D749" s="1">
        <v>2.0499999999999998</v>
      </c>
      <c r="E749" s="1">
        <v>1.6194999999999999</v>
      </c>
      <c r="F749" s="1">
        <v>389.49999999999994</v>
      </c>
      <c r="L749" s="1">
        <v>0.79</v>
      </c>
      <c r="M749">
        <v>0.19</v>
      </c>
      <c r="N749">
        <v>0.98</v>
      </c>
      <c r="P749" s="1">
        <v>106.6</v>
      </c>
      <c r="AZ749" s="5"/>
      <c r="BB749" s="5"/>
      <c r="BD749" s="5"/>
      <c r="BF749" s="5"/>
      <c r="BH749" s="5"/>
      <c r="BJ749" s="5"/>
      <c r="BL749" s="5"/>
      <c r="BN749" s="5"/>
      <c r="BP749" s="5"/>
      <c r="BR749" s="5"/>
    </row>
    <row r="750" spans="1:70" s="25" customFormat="1" x14ac:dyDescent="0.25">
      <c r="A750" s="24">
        <v>45541</v>
      </c>
      <c r="B750" s="25">
        <v>9</v>
      </c>
      <c r="C750" s="25">
        <v>2024</v>
      </c>
      <c r="D750" s="25">
        <v>2.2000000000000002</v>
      </c>
      <c r="E750" s="25">
        <v>1.7380000000000002</v>
      </c>
      <c r="F750" s="25">
        <v>418.00000000000006</v>
      </c>
      <c r="L750" s="25">
        <v>0.79</v>
      </c>
      <c r="M750" s="26">
        <v>0.19</v>
      </c>
      <c r="N750" s="26">
        <v>0.98</v>
      </c>
      <c r="O750" s="26"/>
      <c r="P750" s="25">
        <v>114.4</v>
      </c>
      <c r="AZ750" s="27"/>
      <c r="BB750" s="27"/>
      <c r="BD750" s="27"/>
      <c r="BF750" s="27"/>
      <c r="BH750" s="27"/>
      <c r="BJ750" s="27"/>
      <c r="BL750" s="27"/>
      <c r="BN750" s="27"/>
      <c r="BP750" s="27"/>
      <c r="BR750" s="27"/>
    </row>
    <row r="751" spans="1:70" x14ac:dyDescent="0.25">
      <c r="A751" s="3">
        <v>45548</v>
      </c>
      <c r="B751" s="1">
        <v>9</v>
      </c>
      <c r="C751" s="1">
        <v>2024</v>
      </c>
      <c r="D751" s="1">
        <v>2.2400000000000002</v>
      </c>
      <c r="E751" s="1">
        <v>1.7696000000000003</v>
      </c>
      <c r="F751" s="1">
        <v>425.6</v>
      </c>
      <c r="L751" s="1">
        <v>0.79</v>
      </c>
      <c r="M751">
        <v>0.19</v>
      </c>
      <c r="N751">
        <v>0.98</v>
      </c>
      <c r="P751" s="1">
        <v>116.48000000000002</v>
      </c>
      <c r="AZ751" s="5"/>
      <c r="BB751" s="5"/>
      <c r="BD751" s="5"/>
      <c r="BF751" s="5"/>
      <c r="BH751" s="5"/>
      <c r="BJ751" s="5"/>
      <c r="BL751" s="5"/>
      <c r="BN751" s="5"/>
      <c r="BP751" s="5"/>
      <c r="BR751" s="5"/>
    </row>
    <row r="752" spans="1:70" x14ac:dyDescent="0.25">
      <c r="A752" s="3"/>
      <c r="AZ752" s="5"/>
      <c r="BB752" s="5"/>
      <c r="BD752" s="5"/>
      <c r="BF752" s="5"/>
      <c r="BH752" s="5"/>
      <c r="BJ752" s="5"/>
      <c r="BL752" s="5"/>
      <c r="BN752" s="5"/>
      <c r="BP752" s="5"/>
      <c r="BR752" s="5"/>
    </row>
    <row r="753" spans="1:70" x14ac:dyDescent="0.25">
      <c r="A753" s="3"/>
      <c r="AZ753" s="5"/>
      <c r="BB753" s="5"/>
      <c r="BD753" s="5"/>
      <c r="BF753" s="5"/>
      <c r="BH753" s="5"/>
      <c r="BJ753" s="5"/>
      <c r="BL753" s="5"/>
      <c r="BN753" s="5"/>
      <c r="BP753" s="5"/>
      <c r="BR753" s="5"/>
    </row>
    <row r="754" spans="1:70" x14ac:dyDescent="0.25">
      <c r="A754" s="3"/>
      <c r="AZ754" s="5"/>
      <c r="BB754" s="5"/>
      <c r="BD754" s="5"/>
      <c r="BF754" s="5"/>
      <c r="BH754" s="5"/>
      <c r="BJ754" s="5"/>
      <c r="BL754" s="5"/>
      <c r="BN754" s="5"/>
      <c r="BP754" s="5"/>
      <c r="BR754" s="5"/>
    </row>
    <row r="755" spans="1:70" x14ac:dyDescent="0.25">
      <c r="A755" s="3"/>
      <c r="AZ755" s="5"/>
      <c r="BB755" s="5"/>
      <c r="BD755" s="5"/>
      <c r="BF755" s="5"/>
      <c r="BH755" s="5"/>
      <c r="BJ755" s="5"/>
      <c r="BL755" s="5"/>
      <c r="BN755" s="5"/>
      <c r="BP755" s="5"/>
      <c r="BR755" s="5"/>
    </row>
    <row r="756" spans="1:70" x14ac:dyDescent="0.25">
      <c r="A756" s="3"/>
      <c r="AZ756" s="5"/>
      <c r="BB756" s="5"/>
      <c r="BD756" s="5"/>
      <c r="BF756" s="5"/>
      <c r="BH756" s="5"/>
      <c r="BJ756" s="5"/>
      <c r="BL756" s="5"/>
      <c r="BN756" s="5"/>
      <c r="BP756" s="5"/>
      <c r="BR756" s="5"/>
    </row>
    <row r="757" spans="1:70" x14ac:dyDescent="0.25">
      <c r="A757" s="3"/>
      <c r="AZ757" s="5"/>
      <c r="BB757" s="5"/>
      <c r="BD757" s="5"/>
      <c r="BF757" s="5"/>
      <c r="BH757" s="5"/>
      <c r="BJ757" s="5"/>
      <c r="BL757" s="5"/>
      <c r="BN757" s="5"/>
      <c r="BP757" s="5"/>
      <c r="BR757" s="5"/>
    </row>
    <row r="758" spans="1:70" x14ac:dyDescent="0.25">
      <c r="A758" s="3"/>
      <c r="AZ758" s="5"/>
      <c r="BB758" s="5"/>
      <c r="BD758" s="5"/>
      <c r="BF758" s="5"/>
      <c r="BH758" s="5"/>
      <c r="BJ758" s="5"/>
      <c r="BL758" s="5"/>
      <c r="BN758" s="5"/>
      <c r="BP758" s="5"/>
      <c r="BR758" s="5"/>
    </row>
    <row r="759" spans="1:70" x14ac:dyDescent="0.25">
      <c r="A759" s="3"/>
      <c r="AZ759" s="5"/>
      <c r="BB759" s="5"/>
      <c r="BD759" s="5"/>
      <c r="BF759" s="5"/>
      <c r="BH759" s="5"/>
      <c r="BJ759" s="5"/>
      <c r="BL759" s="5"/>
      <c r="BN759" s="5"/>
      <c r="BP759" s="5"/>
      <c r="BR759" s="5"/>
    </row>
    <row r="760" spans="1:70" x14ac:dyDescent="0.25">
      <c r="A760" s="3"/>
      <c r="AZ760" s="5"/>
      <c r="BB760" s="5"/>
      <c r="BD760" s="5"/>
      <c r="BF760" s="5"/>
      <c r="BH760" s="5"/>
      <c r="BJ760" s="5"/>
      <c r="BL760" s="5"/>
      <c r="BN760" s="5"/>
      <c r="BP760" s="5"/>
      <c r="BR760" s="5"/>
    </row>
    <row r="761" spans="1:70" x14ac:dyDescent="0.25">
      <c r="A761" s="3"/>
      <c r="AZ761" s="5"/>
      <c r="BB761" s="5"/>
      <c r="BD761" s="5"/>
      <c r="BF761" s="5"/>
      <c r="BH761" s="5"/>
      <c r="BJ761" s="5"/>
      <c r="BL761" s="5"/>
      <c r="BN761" s="5"/>
      <c r="BP761" s="5"/>
      <c r="BR761" s="5"/>
    </row>
    <row r="762" spans="1:70" x14ac:dyDescent="0.25">
      <c r="A762" s="3"/>
      <c r="AZ762" s="5"/>
      <c r="BB762" s="5"/>
      <c r="BD762" s="5"/>
      <c r="BF762" s="5"/>
      <c r="BH762" s="5"/>
      <c r="BJ762" s="5"/>
      <c r="BL762" s="5"/>
      <c r="BN762" s="5"/>
      <c r="BP762" s="5"/>
      <c r="BR762" s="5"/>
    </row>
    <row r="763" spans="1:70" x14ac:dyDescent="0.25">
      <c r="A763" s="3"/>
      <c r="AZ763" s="5"/>
      <c r="BB763" s="5"/>
      <c r="BD763" s="5"/>
      <c r="BF763" s="5"/>
      <c r="BH763" s="5"/>
      <c r="BJ763" s="5"/>
      <c r="BL763" s="5"/>
      <c r="BN763" s="5"/>
      <c r="BP763" s="5"/>
      <c r="BR763" s="5"/>
    </row>
    <row r="764" spans="1:70" x14ac:dyDescent="0.25">
      <c r="A764" s="3"/>
      <c r="AZ764" s="5"/>
      <c r="BB764" s="5"/>
      <c r="BD764" s="5"/>
      <c r="BF764" s="5"/>
      <c r="BH764" s="5"/>
      <c r="BJ764" s="5"/>
      <c r="BL764" s="5"/>
      <c r="BN764" s="5"/>
      <c r="BP764" s="5"/>
      <c r="BR764" s="5"/>
    </row>
    <row r="765" spans="1:70" x14ac:dyDescent="0.25">
      <c r="A765" s="3"/>
      <c r="AZ765" s="5"/>
      <c r="BB765" s="5"/>
      <c r="BD765" s="5"/>
      <c r="BF765" s="5"/>
      <c r="BH765" s="5"/>
      <c r="BJ765" s="5"/>
      <c r="BL765" s="5"/>
      <c r="BN765" s="5"/>
      <c r="BP765" s="5"/>
      <c r="BR765" s="5"/>
    </row>
    <row r="766" spans="1:70" x14ac:dyDescent="0.25">
      <c r="A766" s="3"/>
      <c r="AZ766" s="5"/>
      <c r="BB766" s="5"/>
      <c r="BD766" s="5"/>
      <c r="BF766" s="5"/>
      <c r="BH766" s="5"/>
      <c r="BJ766" s="5"/>
      <c r="BL766" s="5"/>
      <c r="BN766" s="5"/>
      <c r="BP766" s="5"/>
      <c r="BR766" s="5"/>
    </row>
    <row r="767" spans="1:70" x14ac:dyDescent="0.25">
      <c r="A767" s="3"/>
      <c r="AZ767" s="5"/>
      <c r="BB767" s="5"/>
      <c r="BD767" s="5"/>
      <c r="BF767" s="5"/>
      <c r="BH767" s="5"/>
      <c r="BJ767" s="5"/>
      <c r="BL767" s="5"/>
      <c r="BN767" s="5"/>
      <c r="BP767" s="5"/>
      <c r="BR767" s="5"/>
    </row>
    <row r="768" spans="1:70" x14ac:dyDescent="0.25">
      <c r="A768" s="3"/>
      <c r="AZ768" s="5"/>
      <c r="BB768" s="5"/>
      <c r="BD768" s="5"/>
      <c r="BF768" s="5"/>
      <c r="BH768" s="5"/>
      <c r="BJ768" s="5"/>
      <c r="BL768" s="5"/>
      <c r="BN768" s="5"/>
      <c r="BP768" s="5"/>
      <c r="BR768" s="5"/>
    </row>
    <row r="769" spans="1:70" x14ac:dyDescent="0.25">
      <c r="A769" s="3"/>
      <c r="AZ769" s="5"/>
      <c r="BB769" s="5"/>
      <c r="BD769" s="5"/>
      <c r="BF769" s="5"/>
      <c r="BH769" s="5"/>
      <c r="BJ769" s="5"/>
      <c r="BL769" s="5"/>
      <c r="BN769" s="5"/>
      <c r="BP769" s="5"/>
      <c r="BR769" s="5"/>
    </row>
    <row r="770" spans="1:70" x14ac:dyDescent="0.25">
      <c r="A770" s="3"/>
      <c r="AZ770" s="5"/>
      <c r="BB770" s="5"/>
      <c r="BD770" s="5"/>
      <c r="BF770" s="5"/>
      <c r="BH770" s="5"/>
      <c r="BJ770" s="5"/>
      <c r="BL770" s="5"/>
      <c r="BN770" s="5"/>
      <c r="BP770" s="5"/>
      <c r="BR770" s="5"/>
    </row>
    <row r="771" spans="1:70" x14ac:dyDescent="0.25">
      <c r="A771" s="3"/>
      <c r="AZ771" s="5"/>
      <c r="BB771" s="5"/>
      <c r="BD771" s="5"/>
      <c r="BF771" s="5"/>
      <c r="BH771" s="5"/>
      <c r="BJ771" s="5"/>
      <c r="BL771" s="5"/>
      <c r="BN771" s="5"/>
      <c r="BP771" s="5"/>
      <c r="BR771" s="5"/>
    </row>
    <row r="772" spans="1:70" x14ac:dyDescent="0.25">
      <c r="A772" s="3"/>
      <c r="AZ772" s="5"/>
      <c r="BB772" s="5"/>
      <c r="BD772" s="5"/>
      <c r="BF772" s="5"/>
      <c r="BH772" s="5"/>
      <c r="BJ772" s="5"/>
      <c r="BL772" s="5"/>
      <c r="BN772" s="5"/>
      <c r="BP772" s="5"/>
      <c r="BR772" s="5"/>
    </row>
    <row r="773" spans="1:70" x14ac:dyDescent="0.25">
      <c r="A773" s="3"/>
      <c r="AZ773" s="5"/>
      <c r="BB773" s="5"/>
      <c r="BD773" s="5"/>
      <c r="BF773" s="5"/>
      <c r="BH773" s="5"/>
      <c r="BJ773" s="5"/>
      <c r="BL773" s="5"/>
      <c r="BN773" s="5"/>
      <c r="BP773" s="5"/>
      <c r="BR773" s="5"/>
    </row>
    <row r="774" spans="1:70" x14ac:dyDescent="0.25">
      <c r="A774" s="3"/>
      <c r="AZ774" s="5"/>
      <c r="BB774" s="5"/>
      <c r="BD774" s="5"/>
      <c r="BF774" s="5"/>
      <c r="BH774" s="5"/>
      <c r="BJ774" s="5"/>
      <c r="BL774" s="5"/>
      <c r="BN774" s="5"/>
      <c r="BP774" s="5"/>
      <c r="BR774" s="5"/>
    </row>
    <row r="775" spans="1:70" x14ac:dyDescent="0.25">
      <c r="A775" s="3"/>
      <c r="AZ775" s="5"/>
      <c r="BB775" s="5"/>
      <c r="BD775" s="5"/>
      <c r="BF775" s="5"/>
      <c r="BH775" s="5"/>
      <c r="BJ775" s="5"/>
      <c r="BL775" s="5"/>
      <c r="BN775" s="5"/>
      <c r="BP775" s="5"/>
      <c r="BR775" s="5"/>
    </row>
    <row r="776" spans="1:70" x14ac:dyDescent="0.25">
      <c r="A776" s="3"/>
      <c r="AZ776" s="5"/>
      <c r="BB776" s="5"/>
      <c r="BD776" s="5"/>
      <c r="BF776" s="5"/>
      <c r="BH776" s="5"/>
      <c r="BJ776" s="5"/>
      <c r="BL776" s="5"/>
      <c r="BN776" s="5"/>
      <c r="BP776" s="5"/>
      <c r="BR776" s="5"/>
    </row>
    <row r="777" spans="1:70" x14ac:dyDescent="0.25">
      <c r="A777" s="3"/>
      <c r="AZ777" s="5"/>
      <c r="BB777" s="5"/>
      <c r="BD777" s="5"/>
      <c r="BF777" s="5"/>
      <c r="BH777" s="5"/>
      <c r="BJ777" s="5"/>
      <c r="BL777" s="5"/>
      <c r="BN777" s="5"/>
      <c r="BP777" s="5"/>
      <c r="BR777" s="5"/>
    </row>
    <row r="778" spans="1:70" x14ac:dyDescent="0.25">
      <c r="A778" s="3"/>
      <c r="AZ778" s="5"/>
      <c r="BB778" s="5"/>
      <c r="BD778" s="5"/>
      <c r="BF778" s="5"/>
      <c r="BH778" s="5"/>
      <c r="BJ778" s="5"/>
      <c r="BL778" s="5"/>
      <c r="BN778" s="5"/>
      <c r="BP778" s="5"/>
      <c r="BR778" s="5"/>
    </row>
    <row r="779" spans="1:70" x14ac:dyDescent="0.25">
      <c r="A779" s="3"/>
      <c r="AZ779" s="5"/>
      <c r="BB779" s="5"/>
      <c r="BD779" s="5"/>
      <c r="BF779" s="5"/>
      <c r="BH779" s="5"/>
      <c r="BJ779" s="5"/>
      <c r="BL779" s="5"/>
      <c r="BN779" s="5"/>
      <c r="BP779" s="5"/>
      <c r="BR779" s="5"/>
    </row>
    <row r="780" spans="1:70" x14ac:dyDescent="0.25">
      <c r="A780" s="3"/>
      <c r="AZ780" s="5"/>
      <c r="BB780" s="5"/>
      <c r="BD780" s="5"/>
      <c r="BF780" s="5"/>
      <c r="BH780" s="5"/>
      <c r="BJ780" s="5"/>
      <c r="BL780" s="5"/>
      <c r="BN780" s="5"/>
      <c r="BP780" s="5"/>
      <c r="BR780" s="5"/>
    </row>
    <row r="781" spans="1:70" x14ac:dyDescent="0.25">
      <c r="A781" s="3"/>
      <c r="AZ781" s="5"/>
      <c r="BB781" s="5"/>
      <c r="BD781" s="5"/>
      <c r="BF781" s="5"/>
      <c r="BH781" s="5"/>
      <c r="BJ781" s="5"/>
      <c r="BL781" s="5"/>
      <c r="BN781" s="5"/>
      <c r="BP781" s="5"/>
      <c r="BR781" s="5"/>
    </row>
    <row r="782" spans="1:70" x14ac:dyDescent="0.25">
      <c r="A782" s="3"/>
      <c r="AZ782" s="5"/>
      <c r="BB782" s="5"/>
      <c r="BD782" s="5"/>
      <c r="BF782" s="5"/>
      <c r="BH782" s="5"/>
      <c r="BJ782" s="5"/>
      <c r="BL782" s="5"/>
      <c r="BN782" s="5"/>
      <c r="BP782" s="5"/>
      <c r="BR782" s="5"/>
    </row>
    <row r="783" spans="1:70" x14ac:dyDescent="0.25">
      <c r="A783" s="3"/>
      <c r="AZ783" s="5"/>
      <c r="BB783" s="5"/>
      <c r="BD783" s="5"/>
      <c r="BF783" s="5"/>
      <c r="BH783" s="5"/>
      <c r="BJ783" s="5"/>
      <c r="BL783" s="5"/>
      <c r="BN783" s="5"/>
      <c r="BP783" s="5"/>
      <c r="BR783" s="5"/>
    </row>
    <row r="784" spans="1:70" x14ac:dyDescent="0.25">
      <c r="A784" s="3"/>
      <c r="AZ784" s="5"/>
      <c r="BB784" s="5"/>
      <c r="BD784" s="5"/>
      <c r="BF784" s="5"/>
      <c r="BH784" s="5"/>
      <c r="BJ784" s="5"/>
      <c r="BL784" s="5"/>
      <c r="BN784" s="5"/>
      <c r="BP784" s="5"/>
      <c r="BR784" s="5"/>
    </row>
    <row r="785" spans="1:70" x14ac:dyDescent="0.25">
      <c r="A785" s="3"/>
      <c r="AZ785" s="5"/>
      <c r="BB785" s="5"/>
      <c r="BD785" s="5"/>
      <c r="BF785" s="5"/>
      <c r="BH785" s="5"/>
      <c r="BJ785" s="5"/>
      <c r="BL785" s="5"/>
      <c r="BN785" s="5"/>
      <c r="BP785" s="5"/>
      <c r="BR785" s="5"/>
    </row>
    <row r="786" spans="1:70" x14ac:dyDescent="0.25">
      <c r="A786" s="3"/>
      <c r="AZ786" s="5"/>
      <c r="BB786" s="5"/>
      <c r="BD786" s="5"/>
      <c r="BF786" s="5"/>
      <c r="BH786" s="5"/>
      <c r="BJ786" s="5"/>
      <c r="BL786" s="5"/>
      <c r="BN786" s="5"/>
      <c r="BP786" s="5"/>
      <c r="BR786" s="5"/>
    </row>
    <row r="787" spans="1:70" x14ac:dyDescent="0.25">
      <c r="A787" s="3"/>
      <c r="AZ787" s="5"/>
      <c r="BB787" s="5"/>
      <c r="BD787" s="5"/>
      <c r="BF787" s="5"/>
      <c r="BH787" s="5"/>
      <c r="BJ787" s="5"/>
      <c r="BL787" s="5"/>
      <c r="BN787" s="5"/>
      <c r="BP787" s="5"/>
      <c r="BR787" s="5"/>
    </row>
    <row r="788" spans="1:70" x14ac:dyDescent="0.25">
      <c r="A788" s="3"/>
      <c r="AZ788" s="5"/>
      <c r="BB788" s="5"/>
      <c r="BD788" s="5"/>
      <c r="BF788" s="5"/>
      <c r="BH788" s="5"/>
      <c r="BJ788" s="5"/>
      <c r="BL788" s="5"/>
      <c r="BN788" s="5"/>
      <c r="BP788" s="5"/>
      <c r="BR788" s="5"/>
    </row>
    <row r="789" spans="1:70" x14ac:dyDescent="0.25">
      <c r="A789" s="3"/>
      <c r="AZ789" s="5"/>
      <c r="BB789" s="5"/>
      <c r="BD789" s="5"/>
      <c r="BF789" s="5"/>
      <c r="BH789" s="5"/>
      <c r="BJ789" s="5"/>
      <c r="BL789" s="5"/>
      <c r="BN789" s="5"/>
      <c r="BP789" s="5"/>
      <c r="BR789" s="5"/>
    </row>
    <row r="790" spans="1:70" x14ac:dyDescent="0.25">
      <c r="A790" s="3"/>
      <c r="AZ790" s="5"/>
      <c r="BB790" s="5"/>
      <c r="BD790" s="5"/>
      <c r="BF790" s="5"/>
      <c r="BH790" s="5"/>
      <c r="BJ790" s="5"/>
      <c r="BL790" s="5"/>
      <c r="BN790" s="5"/>
      <c r="BP790" s="5"/>
      <c r="BR790" s="5"/>
    </row>
    <row r="791" spans="1:70" x14ac:dyDescent="0.25">
      <c r="A791" s="3"/>
      <c r="AZ791" s="5"/>
      <c r="BB791" s="5"/>
      <c r="BD791" s="5"/>
      <c r="BF791" s="5"/>
      <c r="BH791" s="5"/>
      <c r="BJ791" s="5"/>
      <c r="BL791" s="5"/>
      <c r="BN791" s="5"/>
      <c r="BP791" s="5"/>
      <c r="BR791" s="5"/>
    </row>
    <row r="792" spans="1:70" x14ac:dyDescent="0.25">
      <c r="A792" s="3"/>
      <c r="AZ792" s="5"/>
      <c r="BB792" s="5"/>
      <c r="BD792" s="5"/>
      <c r="BF792" s="5"/>
      <c r="BH792" s="5"/>
      <c r="BJ792" s="5"/>
      <c r="BL792" s="5"/>
      <c r="BN792" s="5"/>
      <c r="BP792" s="5"/>
      <c r="BR792" s="5"/>
    </row>
    <row r="793" spans="1:70" x14ac:dyDescent="0.25">
      <c r="A793" s="3"/>
      <c r="AZ793" s="5"/>
      <c r="BB793" s="5"/>
      <c r="BD793" s="5"/>
      <c r="BF793" s="5"/>
      <c r="BH793" s="5"/>
      <c r="BJ793" s="5"/>
      <c r="BL793" s="5"/>
      <c r="BN793" s="5"/>
      <c r="BP793" s="5"/>
      <c r="BR793" s="5"/>
    </row>
    <row r="794" spans="1:70" x14ac:dyDescent="0.25">
      <c r="A794" s="3"/>
      <c r="AZ794" s="5"/>
      <c r="BB794" s="5"/>
      <c r="BD794" s="5"/>
      <c r="BF794" s="5"/>
      <c r="BH794" s="5"/>
      <c r="BJ794" s="5"/>
      <c r="BL794" s="5"/>
      <c r="BN794" s="5"/>
      <c r="BP794" s="5"/>
      <c r="BR794" s="5"/>
    </row>
    <row r="795" spans="1:70" x14ac:dyDescent="0.25">
      <c r="A795" s="3"/>
      <c r="AZ795" s="5"/>
      <c r="BB795" s="5"/>
      <c r="BD795" s="5"/>
      <c r="BF795" s="5"/>
      <c r="BH795" s="5"/>
      <c r="BJ795" s="5"/>
      <c r="BL795" s="5"/>
      <c r="BN795" s="5"/>
      <c r="BP795" s="5"/>
      <c r="BR795" s="5"/>
    </row>
    <row r="796" spans="1:70" x14ac:dyDescent="0.25">
      <c r="A796" s="3"/>
      <c r="AZ796" s="5"/>
      <c r="BB796" s="5"/>
      <c r="BD796" s="5"/>
      <c r="BF796" s="5"/>
      <c r="BH796" s="5"/>
      <c r="BJ796" s="5"/>
      <c r="BL796" s="5"/>
      <c r="BN796" s="5"/>
      <c r="BP796" s="5"/>
      <c r="BR796" s="5"/>
    </row>
    <row r="797" spans="1:70" x14ac:dyDescent="0.25">
      <c r="A797" s="3"/>
      <c r="AZ797" s="5"/>
      <c r="BB797" s="5"/>
      <c r="BD797" s="5"/>
      <c r="BF797" s="5"/>
      <c r="BH797" s="5"/>
      <c r="BJ797" s="5"/>
      <c r="BL797" s="5"/>
      <c r="BN797" s="5"/>
      <c r="BP797" s="5"/>
      <c r="BR797" s="5"/>
    </row>
    <row r="798" spans="1:70" x14ac:dyDescent="0.25">
      <c r="A798" s="3"/>
      <c r="AZ798" s="5"/>
      <c r="BB798" s="5"/>
      <c r="BD798" s="5"/>
      <c r="BF798" s="5"/>
      <c r="BH798" s="5"/>
      <c r="BJ798" s="5"/>
      <c r="BL798" s="5"/>
      <c r="BN798" s="5"/>
      <c r="BP798" s="5"/>
      <c r="BR798" s="5"/>
    </row>
    <row r="799" spans="1:70" x14ac:dyDescent="0.25">
      <c r="A799" s="3"/>
      <c r="AZ799" s="5"/>
      <c r="BB799" s="5"/>
      <c r="BD799" s="5"/>
      <c r="BF799" s="5"/>
      <c r="BH799" s="5"/>
      <c r="BJ799" s="5"/>
      <c r="BL799" s="5"/>
      <c r="BN799" s="5"/>
      <c r="BP799" s="5"/>
      <c r="BR799" s="5"/>
    </row>
    <row r="800" spans="1:70" x14ac:dyDescent="0.25">
      <c r="A800" s="3"/>
      <c r="AZ800" s="5"/>
      <c r="BB800" s="5"/>
      <c r="BD800" s="5"/>
      <c r="BF800" s="5"/>
      <c r="BH800" s="5"/>
      <c r="BJ800" s="5"/>
      <c r="BL800" s="5"/>
      <c r="BN800" s="5"/>
      <c r="BP800" s="5"/>
      <c r="BR800" s="5"/>
    </row>
    <row r="801" spans="1:70" x14ac:dyDescent="0.25">
      <c r="A801" s="3"/>
      <c r="AZ801" s="5"/>
      <c r="BB801" s="5"/>
      <c r="BD801" s="5"/>
      <c r="BF801" s="5"/>
      <c r="BH801" s="5"/>
      <c r="BJ801" s="5"/>
      <c r="BL801" s="5"/>
      <c r="BN801" s="5"/>
      <c r="BP801" s="5"/>
      <c r="BR801" s="5"/>
    </row>
    <row r="802" spans="1:70" x14ac:dyDescent="0.25">
      <c r="A802" s="3"/>
      <c r="AZ802" s="5"/>
      <c r="BB802" s="5"/>
      <c r="BD802" s="5"/>
      <c r="BF802" s="5"/>
      <c r="BH802" s="5"/>
      <c r="BJ802" s="5"/>
      <c r="BL802" s="5"/>
      <c r="BN802" s="5"/>
      <c r="BP802" s="5"/>
      <c r="BR802" s="5"/>
    </row>
    <row r="803" spans="1:70" x14ac:dyDescent="0.25">
      <c r="A803" s="3"/>
      <c r="AZ803" s="5"/>
      <c r="BB803" s="5"/>
      <c r="BD803" s="5"/>
      <c r="BF803" s="5"/>
      <c r="BH803" s="5"/>
      <c r="BJ803" s="5"/>
      <c r="BL803" s="5"/>
      <c r="BN803" s="5"/>
      <c r="BP803" s="5"/>
      <c r="BR803" s="5"/>
    </row>
    <row r="804" spans="1:70" x14ac:dyDescent="0.25">
      <c r="A804" s="3"/>
      <c r="AZ804" s="5"/>
      <c r="BB804" s="5"/>
      <c r="BD804" s="5"/>
      <c r="BF804" s="5"/>
      <c r="BH804" s="5"/>
      <c r="BJ804" s="5"/>
      <c r="BL804" s="5"/>
      <c r="BN804" s="5"/>
      <c r="BP804" s="5"/>
      <c r="BR804" s="5"/>
    </row>
    <row r="805" spans="1:70" x14ac:dyDescent="0.25">
      <c r="A805" s="3"/>
      <c r="AZ805" s="5"/>
      <c r="BB805" s="5"/>
      <c r="BD805" s="5"/>
      <c r="BF805" s="5"/>
      <c r="BH805" s="5"/>
      <c r="BJ805" s="5"/>
      <c r="BL805" s="5"/>
      <c r="BN805" s="5"/>
      <c r="BP805" s="5"/>
      <c r="BR805" s="5"/>
    </row>
    <row r="806" spans="1:70" x14ac:dyDescent="0.25">
      <c r="A806" s="3"/>
      <c r="AZ806" s="5"/>
      <c r="BB806" s="5"/>
      <c r="BD806" s="5"/>
      <c r="BF806" s="5"/>
      <c r="BH806" s="5"/>
      <c r="BJ806" s="5"/>
      <c r="BL806" s="5"/>
      <c r="BN806" s="5"/>
      <c r="BP806" s="5"/>
      <c r="BR806" s="5"/>
    </row>
    <row r="807" spans="1:70" x14ac:dyDescent="0.25">
      <c r="A807" s="3"/>
      <c r="AZ807" s="5"/>
      <c r="BB807" s="5"/>
      <c r="BD807" s="5"/>
      <c r="BF807" s="5"/>
      <c r="BH807" s="5"/>
      <c r="BJ807" s="5"/>
      <c r="BL807" s="5"/>
      <c r="BN807" s="5"/>
      <c r="BP807" s="5"/>
      <c r="BR807" s="5"/>
    </row>
    <row r="808" spans="1:70" x14ac:dyDescent="0.25">
      <c r="A808" s="3"/>
      <c r="AZ808" s="5"/>
      <c r="BB808" s="5"/>
      <c r="BD808" s="5"/>
      <c r="BF808" s="5"/>
      <c r="BH808" s="5"/>
      <c r="BJ808" s="5"/>
      <c r="BL808" s="5"/>
      <c r="BN808" s="5"/>
      <c r="BP808" s="5"/>
      <c r="BR808" s="5"/>
    </row>
    <row r="809" spans="1:70" x14ac:dyDescent="0.25">
      <c r="A809" s="3"/>
      <c r="AZ809" s="5"/>
      <c r="BB809" s="5"/>
      <c r="BD809" s="5"/>
      <c r="BF809" s="5"/>
      <c r="BH809" s="5"/>
      <c r="BJ809" s="5"/>
      <c r="BL809" s="5"/>
      <c r="BN809" s="5"/>
      <c r="BP809" s="5"/>
      <c r="BR809" s="5"/>
    </row>
    <row r="810" spans="1:70" x14ac:dyDescent="0.25">
      <c r="A810" s="3"/>
      <c r="AZ810" s="5"/>
      <c r="BB810" s="5"/>
      <c r="BD810" s="5"/>
      <c r="BF810" s="5"/>
      <c r="BH810" s="5"/>
      <c r="BJ810" s="5"/>
      <c r="BL810" s="5"/>
      <c r="BN810" s="5"/>
      <c r="BP810" s="5"/>
      <c r="BR810" s="5"/>
    </row>
    <row r="811" spans="1:70" x14ac:dyDescent="0.25">
      <c r="A811" s="3"/>
      <c r="AZ811" s="5"/>
      <c r="BB811" s="5"/>
      <c r="BD811" s="5"/>
      <c r="BF811" s="5"/>
      <c r="BH811" s="5"/>
      <c r="BJ811" s="5"/>
      <c r="BL811" s="5"/>
      <c r="BN811" s="5"/>
      <c r="BP811" s="5"/>
      <c r="BR811" s="5"/>
    </row>
    <row r="812" spans="1:70" x14ac:dyDescent="0.25">
      <c r="A812" s="3"/>
      <c r="AZ812" s="5"/>
      <c r="BB812" s="5"/>
      <c r="BD812" s="5"/>
      <c r="BF812" s="5"/>
      <c r="BH812" s="5"/>
      <c r="BJ812" s="5"/>
      <c r="BL812" s="5"/>
      <c r="BN812" s="5"/>
      <c r="BP812" s="5"/>
      <c r="BR812" s="5"/>
    </row>
    <row r="813" spans="1:70" x14ac:dyDescent="0.25">
      <c r="A813" s="3"/>
      <c r="AZ813" s="5"/>
      <c r="BB813" s="5"/>
      <c r="BD813" s="5"/>
      <c r="BF813" s="5"/>
      <c r="BH813" s="5"/>
      <c r="BJ813" s="5"/>
      <c r="BL813" s="5"/>
      <c r="BN813" s="5"/>
      <c r="BP813" s="5"/>
      <c r="BR813" s="5"/>
    </row>
    <row r="814" spans="1:70" x14ac:dyDescent="0.25">
      <c r="A814" s="3"/>
      <c r="AZ814" s="5"/>
      <c r="BB814" s="5"/>
      <c r="BD814" s="5"/>
      <c r="BF814" s="5"/>
      <c r="BH814" s="5"/>
      <c r="BJ814" s="5"/>
      <c r="BL814" s="5"/>
      <c r="BN814" s="5"/>
      <c r="BP814" s="5"/>
      <c r="BR814" s="5"/>
    </row>
    <row r="815" spans="1:70" x14ac:dyDescent="0.25">
      <c r="A815" s="3"/>
      <c r="AZ815" s="5"/>
      <c r="BB815" s="5"/>
      <c r="BD815" s="5"/>
      <c r="BF815" s="5"/>
      <c r="BH815" s="5"/>
      <c r="BJ815" s="5"/>
      <c r="BL815" s="5"/>
      <c r="BN815" s="5"/>
      <c r="BP815" s="5"/>
      <c r="BR815" s="5"/>
    </row>
    <row r="816" spans="1:70" x14ac:dyDescent="0.25">
      <c r="A816" s="3"/>
      <c r="AZ816" s="5"/>
      <c r="BB816" s="5"/>
      <c r="BD816" s="5"/>
      <c r="BF816" s="5"/>
      <c r="BH816" s="5"/>
      <c r="BJ816" s="5"/>
      <c r="BL816" s="5"/>
      <c r="BN816" s="5"/>
      <c r="BP816" s="5"/>
      <c r="BR816" s="5"/>
    </row>
    <row r="817" spans="1:70" x14ac:dyDescent="0.25">
      <c r="A817" s="3"/>
      <c r="AZ817" s="5"/>
      <c r="BB817" s="5"/>
      <c r="BD817" s="5"/>
      <c r="BF817" s="5"/>
      <c r="BH817" s="5"/>
      <c r="BJ817" s="5"/>
      <c r="BL817" s="5"/>
      <c r="BN817" s="5"/>
      <c r="BP817" s="5"/>
      <c r="BR817" s="5"/>
    </row>
    <row r="818" spans="1:70" x14ac:dyDescent="0.25">
      <c r="A818" s="3"/>
      <c r="AZ818" s="5"/>
      <c r="BB818" s="5"/>
      <c r="BD818" s="5"/>
      <c r="BF818" s="5"/>
      <c r="BH818" s="5"/>
      <c r="BJ818" s="5"/>
      <c r="BL818" s="5"/>
      <c r="BN818" s="5"/>
      <c r="BP818" s="5"/>
      <c r="BR818" s="5"/>
    </row>
    <row r="819" spans="1:70" x14ac:dyDescent="0.25">
      <c r="A819" s="3"/>
      <c r="AZ819" s="5"/>
      <c r="BB819" s="5"/>
      <c r="BD819" s="5"/>
      <c r="BF819" s="5"/>
      <c r="BH819" s="5"/>
      <c r="BJ819" s="5"/>
      <c r="BL819" s="5"/>
      <c r="BN819" s="5"/>
      <c r="BP819" s="5"/>
      <c r="BR819" s="5"/>
    </row>
    <row r="820" spans="1:70" x14ac:dyDescent="0.25">
      <c r="A820" s="3"/>
      <c r="AZ820" s="5"/>
      <c r="BB820" s="5"/>
      <c r="BD820" s="5"/>
      <c r="BF820" s="5"/>
      <c r="BH820" s="5"/>
      <c r="BJ820" s="5"/>
      <c r="BL820" s="5"/>
      <c r="BN820" s="5"/>
      <c r="BP820" s="5"/>
      <c r="BR820" s="5"/>
    </row>
    <row r="821" spans="1:70" x14ac:dyDescent="0.25">
      <c r="A821" s="3"/>
      <c r="AZ821" s="5"/>
      <c r="BB821" s="5"/>
      <c r="BD821" s="5"/>
      <c r="BF821" s="5"/>
      <c r="BH821" s="5"/>
      <c r="BJ821" s="5"/>
      <c r="BL821" s="5"/>
      <c r="BN821" s="5"/>
      <c r="BP821" s="5"/>
      <c r="BR821" s="5"/>
    </row>
    <row r="822" spans="1:70" x14ac:dyDescent="0.25">
      <c r="A822" s="3"/>
      <c r="AZ822" s="5"/>
      <c r="BB822" s="5"/>
      <c r="BD822" s="5"/>
      <c r="BF822" s="5"/>
      <c r="BH822" s="5"/>
      <c r="BJ822" s="5"/>
      <c r="BL822" s="5"/>
      <c r="BN822" s="5"/>
      <c r="BP822" s="5"/>
      <c r="BR822" s="5"/>
    </row>
    <row r="823" spans="1:70" x14ac:dyDescent="0.25">
      <c r="A823" s="3"/>
      <c r="AZ823" s="5"/>
      <c r="BB823" s="5"/>
      <c r="BD823" s="5"/>
      <c r="BF823" s="5"/>
      <c r="BH823" s="5"/>
      <c r="BJ823" s="5"/>
      <c r="BL823" s="5"/>
      <c r="BN823" s="5"/>
      <c r="BP823" s="5"/>
      <c r="BR823" s="5"/>
    </row>
    <row r="824" spans="1:70" x14ac:dyDescent="0.25">
      <c r="A824" s="3"/>
      <c r="AZ824" s="5"/>
      <c r="BB824" s="5"/>
      <c r="BD824" s="5"/>
      <c r="BF824" s="5"/>
      <c r="BH824" s="5"/>
      <c r="BJ824" s="5"/>
      <c r="BL824" s="5"/>
      <c r="BN824" s="5"/>
      <c r="BP824" s="5"/>
      <c r="BR824" s="5"/>
    </row>
    <row r="825" spans="1:70" x14ac:dyDescent="0.25">
      <c r="A825" s="3"/>
      <c r="AZ825" s="5"/>
      <c r="BB825" s="5"/>
      <c r="BD825" s="5"/>
      <c r="BF825" s="5"/>
      <c r="BH825" s="5"/>
      <c r="BJ825" s="5"/>
      <c r="BL825" s="5"/>
      <c r="BN825" s="5"/>
      <c r="BP825" s="5"/>
      <c r="BR825" s="5"/>
    </row>
    <row r="826" spans="1:70" x14ac:dyDescent="0.25">
      <c r="A826" s="3"/>
      <c r="AZ826" s="5"/>
      <c r="BB826" s="5"/>
      <c r="BD826" s="5"/>
      <c r="BF826" s="5"/>
      <c r="BH826" s="5"/>
      <c r="BJ826" s="5"/>
      <c r="BL826" s="5"/>
      <c r="BN826" s="5"/>
      <c r="BP826" s="5"/>
      <c r="BR826" s="5"/>
    </row>
    <row r="827" spans="1:70" x14ac:dyDescent="0.25">
      <c r="A827" s="3"/>
      <c r="AZ827" s="5"/>
      <c r="BB827" s="5"/>
      <c r="BD827" s="5"/>
      <c r="BF827" s="5"/>
      <c r="BH827" s="5"/>
      <c r="BJ827" s="5"/>
      <c r="BL827" s="5"/>
      <c r="BN827" s="5"/>
      <c r="BP827" s="5"/>
      <c r="BR827" s="5"/>
    </row>
    <row r="828" spans="1:70" x14ac:dyDescent="0.25">
      <c r="A828" s="3"/>
      <c r="AZ828" s="5"/>
      <c r="BB828" s="5"/>
      <c r="BD828" s="5"/>
      <c r="BF828" s="5"/>
      <c r="BH828" s="5"/>
      <c r="BJ828" s="5"/>
      <c r="BL828" s="5"/>
      <c r="BN828" s="5"/>
      <c r="BP828" s="5"/>
      <c r="BR828" s="5"/>
    </row>
    <row r="829" spans="1:70" x14ac:dyDescent="0.25">
      <c r="A829" s="3"/>
      <c r="AZ829" s="5"/>
      <c r="BB829" s="5"/>
      <c r="BD829" s="5"/>
      <c r="BF829" s="5"/>
      <c r="BH829" s="5"/>
      <c r="BJ829" s="5"/>
      <c r="BL829" s="5"/>
      <c r="BN829" s="5"/>
      <c r="BP829" s="5"/>
      <c r="BR829" s="5"/>
    </row>
    <row r="830" spans="1:70" x14ac:dyDescent="0.25">
      <c r="A830" s="3"/>
      <c r="AZ830" s="5"/>
      <c r="BB830" s="5"/>
      <c r="BD830" s="5"/>
      <c r="BF830" s="5"/>
      <c r="BH830" s="5"/>
      <c r="BJ830" s="5"/>
      <c r="BL830" s="5"/>
      <c r="BN830" s="5"/>
      <c r="BP830" s="5"/>
      <c r="BR830" s="5"/>
    </row>
    <row r="831" spans="1:70" x14ac:dyDescent="0.25">
      <c r="A831" s="3"/>
      <c r="AZ831" s="5"/>
      <c r="BB831" s="5"/>
      <c r="BD831" s="5"/>
      <c r="BF831" s="5"/>
      <c r="BH831" s="5"/>
      <c r="BJ831" s="5"/>
      <c r="BL831" s="5"/>
      <c r="BN831" s="5"/>
      <c r="BP831" s="5"/>
      <c r="BR831" s="5"/>
    </row>
    <row r="832" spans="1:70" x14ac:dyDescent="0.25">
      <c r="A832" s="3"/>
      <c r="AZ832" s="5"/>
      <c r="BB832" s="5"/>
      <c r="BD832" s="5"/>
      <c r="BF832" s="5"/>
      <c r="BH832" s="5"/>
      <c r="BJ832" s="5"/>
      <c r="BL832" s="5"/>
      <c r="BN832" s="5"/>
      <c r="BP832" s="5"/>
      <c r="BR832" s="5"/>
    </row>
    <row r="833" spans="1:70" x14ac:dyDescent="0.25">
      <c r="A833" s="3"/>
      <c r="AZ833" s="5"/>
      <c r="BB833" s="5"/>
      <c r="BD833" s="5"/>
      <c r="BF833" s="5"/>
      <c r="BH833" s="5"/>
      <c r="BJ833" s="5"/>
      <c r="BL833" s="5"/>
      <c r="BN833" s="5"/>
      <c r="BP833" s="5"/>
      <c r="BR833" s="5"/>
    </row>
    <row r="834" spans="1:70" x14ac:dyDescent="0.25">
      <c r="A834" s="3"/>
      <c r="AZ834" s="5"/>
      <c r="BB834" s="5"/>
      <c r="BD834" s="5"/>
      <c r="BF834" s="5"/>
      <c r="BH834" s="5"/>
      <c r="BJ834" s="5"/>
      <c r="BL834" s="5"/>
      <c r="BN834" s="5"/>
      <c r="BP834" s="5"/>
      <c r="BR834" s="5"/>
    </row>
    <row r="835" spans="1:70" x14ac:dyDescent="0.25">
      <c r="A835" s="3"/>
      <c r="AZ835" s="5"/>
      <c r="BB835" s="5"/>
      <c r="BD835" s="5"/>
      <c r="BF835" s="5"/>
      <c r="BH835" s="5"/>
      <c r="BJ835" s="5"/>
      <c r="BL835" s="5"/>
      <c r="BN835" s="5"/>
      <c r="BP835" s="5"/>
      <c r="BR835" s="5"/>
    </row>
    <row r="836" spans="1:70" x14ac:dyDescent="0.25">
      <c r="A836" s="3"/>
      <c r="AZ836" s="5"/>
      <c r="BB836" s="5"/>
      <c r="BD836" s="5"/>
      <c r="BF836" s="5"/>
      <c r="BH836" s="5"/>
      <c r="BJ836" s="5"/>
      <c r="BL836" s="5"/>
      <c r="BN836" s="5"/>
      <c r="BP836" s="5"/>
      <c r="BR836" s="5"/>
    </row>
    <row r="837" spans="1:70" x14ac:dyDescent="0.25">
      <c r="A837" s="3"/>
      <c r="AZ837" s="5"/>
      <c r="BB837" s="5"/>
      <c r="BD837" s="5"/>
      <c r="BF837" s="5"/>
      <c r="BH837" s="5"/>
      <c r="BJ837" s="5"/>
      <c r="BL837" s="5"/>
      <c r="BN837" s="5"/>
      <c r="BP837" s="5"/>
      <c r="BR837" s="5"/>
    </row>
    <row r="838" spans="1:70" x14ac:dyDescent="0.25">
      <c r="A838" s="3"/>
      <c r="AZ838" s="5"/>
      <c r="BB838" s="5"/>
      <c r="BD838" s="5"/>
      <c r="BF838" s="5"/>
      <c r="BH838" s="5"/>
      <c r="BJ838" s="5"/>
      <c r="BL838" s="5"/>
      <c r="BN838" s="5"/>
      <c r="BP838" s="5"/>
      <c r="BR838" s="5"/>
    </row>
    <row r="839" spans="1:70" x14ac:dyDescent="0.25">
      <c r="A839" s="3"/>
      <c r="AZ839" s="5"/>
      <c r="BB839" s="5"/>
      <c r="BD839" s="5"/>
      <c r="BF839" s="5"/>
      <c r="BH839" s="5"/>
      <c r="BJ839" s="5"/>
      <c r="BL839" s="5"/>
      <c r="BN839" s="5"/>
      <c r="BP839" s="5"/>
      <c r="BR839" s="5"/>
    </row>
    <row r="840" spans="1:70" x14ac:dyDescent="0.25">
      <c r="A840" s="3"/>
      <c r="AZ840" s="5"/>
      <c r="BB840" s="5"/>
      <c r="BD840" s="5"/>
      <c r="BF840" s="5"/>
      <c r="BH840" s="5"/>
      <c r="BJ840" s="5"/>
      <c r="BL840" s="5"/>
      <c r="BN840" s="5"/>
      <c r="BP840" s="5"/>
      <c r="BR840" s="5"/>
    </row>
    <row r="841" spans="1:70" x14ac:dyDescent="0.25">
      <c r="A841" s="3"/>
      <c r="AZ841" s="5"/>
      <c r="BB841" s="5"/>
      <c r="BD841" s="5"/>
      <c r="BF841" s="5"/>
      <c r="BH841" s="5"/>
      <c r="BJ841" s="5"/>
      <c r="BL841" s="5"/>
      <c r="BN841" s="5"/>
      <c r="BP841" s="5"/>
      <c r="BR841" s="5"/>
    </row>
    <row r="842" spans="1:70" x14ac:dyDescent="0.25">
      <c r="A842" s="3"/>
      <c r="AZ842" s="5"/>
      <c r="BB842" s="5"/>
      <c r="BD842" s="5"/>
      <c r="BF842" s="5"/>
      <c r="BH842" s="5"/>
      <c r="BJ842" s="5"/>
      <c r="BL842" s="5"/>
      <c r="BN842" s="5"/>
      <c r="BP842" s="5"/>
      <c r="BR842" s="5"/>
    </row>
    <row r="843" spans="1:70" x14ac:dyDescent="0.25">
      <c r="A843" s="3"/>
      <c r="AZ843" s="5"/>
      <c r="BB843" s="5"/>
      <c r="BD843" s="5"/>
      <c r="BF843" s="5"/>
      <c r="BH843" s="5"/>
      <c r="BJ843" s="5"/>
      <c r="BL843" s="5"/>
      <c r="BN843" s="5"/>
      <c r="BP843" s="5"/>
      <c r="BR843" s="5"/>
    </row>
    <row r="844" spans="1:70" x14ac:dyDescent="0.25">
      <c r="A844" s="3"/>
      <c r="AZ844" s="5"/>
      <c r="BB844" s="5"/>
      <c r="BD844" s="5"/>
      <c r="BF844" s="5"/>
      <c r="BH844" s="5"/>
      <c r="BJ844" s="5"/>
      <c r="BL844" s="5"/>
      <c r="BN844" s="5"/>
      <c r="BP844" s="5"/>
      <c r="BR844" s="5"/>
    </row>
    <row r="845" spans="1:70" x14ac:dyDescent="0.25">
      <c r="A845" s="3"/>
      <c r="AZ845" s="5"/>
      <c r="BB845" s="5"/>
      <c r="BD845" s="5"/>
      <c r="BF845" s="5"/>
      <c r="BH845" s="5"/>
      <c r="BJ845" s="5"/>
      <c r="BL845" s="5"/>
      <c r="BN845" s="5"/>
      <c r="BP845" s="5"/>
      <c r="BR845" s="5"/>
    </row>
    <row r="846" spans="1:70" x14ac:dyDescent="0.25">
      <c r="A846" s="3"/>
      <c r="AZ846" s="5"/>
      <c r="BB846" s="5"/>
      <c r="BD846" s="5"/>
      <c r="BF846" s="5"/>
      <c r="BH846" s="5"/>
      <c r="BJ846" s="5"/>
      <c r="BL846" s="5"/>
      <c r="BN846" s="5"/>
      <c r="BP846" s="5"/>
      <c r="BR846" s="5"/>
    </row>
    <row r="847" spans="1:70" x14ac:dyDescent="0.25">
      <c r="A847" s="3"/>
      <c r="AZ847" s="5"/>
      <c r="BB847" s="5"/>
      <c r="BD847" s="5"/>
      <c r="BF847" s="5"/>
      <c r="BH847" s="5"/>
      <c r="BJ847" s="5"/>
      <c r="BL847" s="5"/>
      <c r="BN847" s="5"/>
      <c r="BP847" s="5"/>
      <c r="BR847" s="5"/>
    </row>
    <row r="848" spans="1:70" x14ac:dyDescent="0.25">
      <c r="A848" s="3"/>
      <c r="AZ848" s="5"/>
      <c r="BB848" s="5"/>
      <c r="BD848" s="5"/>
      <c r="BF848" s="5"/>
      <c r="BH848" s="5"/>
      <c r="BJ848" s="5"/>
      <c r="BL848" s="5"/>
      <c r="BN848" s="5"/>
      <c r="BP848" s="5"/>
      <c r="BR848" s="5"/>
    </row>
    <row r="849" spans="1:70" x14ac:dyDescent="0.25">
      <c r="A849" s="3"/>
      <c r="AZ849" s="5"/>
      <c r="BB849" s="5"/>
      <c r="BD849" s="5"/>
      <c r="BF849" s="5"/>
      <c r="BH849" s="5"/>
      <c r="BJ849" s="5"/>
      <c r="BL849" s="5"/>
      <c r="BN849" s="5"/>
      <c r="BP849" s="5"/>
      <c r="BR849" s="5"/>
    </row>
    <row r="850" spans="1:70" x14ac:dyDescent="0.25">
      <c r="A850" s="3"/>
      <c r="AZ850" s="5"/>
      <c r="BB850" s="5"/>
      <c r="BD850" s="5"/>
      <c r="BF850" s="5"/>
      <c r="BH850" s="5"/>
      <c r="BJ850" s="5"/>
      <c r="BL850" s="5"/>
      <c r="BN850" s="5"/>
      <c r="BP850" s="5"/>
      <c r="BR850" s="5"/>
    </row>
    <row r="851" spans="1:70" x14ac:dyDescent="0.25">
      <c r="A851" s="3"/>
      <c r="AZ851" s="5"/>
      <c r="BB851" s="5"/>
      <c r="BD851" s="5"/>
      <c r="BF851" s="5"/>
      <c r="BH851" s="5"/>
      <c r="BJ851" s="5"/>
      <c r="BL851" s="5"/>
      <c r="BN851" s="5"/>
      <c r="BP851" s="5"/>
      <c r="BR851" s="5"/>
    </row>
    <row r="852" spans="1:70" x14ac:dyDescent="0.25">
      <c r="A852" s="3"/>
      <c r="AZ852" s="5"/>
      <c r="BB852" s="5"/>
      <c r="BD852" s="5"/>
      <c r="BF852" s="5"/>
      <c r="BH852" s="5"/>
      <c r="BJ852" s="5"/>
      <c r="BL852" s="5"/>
      <c r="BN852" s="5"/>
      <c r="BP852" s="5"/>
      <c r="BR852" s="5"/>
    </row>
    <row r="853" spans="1:70" x14ac:dyDescent="0.25">
      <c r="A853" s="3"/>
      <c r="AZ853" s="5"/>
      <c r="BB853" s="5"/>
      <c r="BD853" s="5"/>
      <c r="BF853" s="5"/>
      <c r="BH853" s="5"/>
      <c r="BJ853" s="5"/>
      <c r="BL853" s="5"/>
      <c r="BN853" s="5"/>
      <c r="BP853" s="5"/>
      <c r="BR853" s="5"/>
    </row>
    <row r="854" spans="1:70" x14ac:dyDescent="0.25">
      <c r="A854" s="3"/>
      <c r="AZ854" s="5"/>
      <c r="BB854" s="5"/>
      <c r="BD854" s="5"/>
      <c r="BF854" s="5"/>
      <c r="BH854" s="5"/>
      <c r="BJ854" s="5"/>
      <c r="BL854" s="5"/>
      <c r="BN854" s="5"/>
      <c r="BP854" s="5"/>
      <c r="BR854" s="5"/>
    </row>
    <row r="855" spans="1:70" x14ac:dyDescent="0.25">
      <c r="A855" s="3"/>
      <c r="AZ855" s="5"/>
      <c r="BB855" s="5"/>
      <c r="BD855" s="5"/>
      <c r="BF855" s="5"/>
      <c r="BH855" s="5"/>
      <c r="BJ855" s="5"/>
      <c r="BL855" s="5"/>
      <c r="BN855" s="5"/>
      <c r="BP855" s="5"/>
      <c r="BR855" s="5"/>
    </row>
    <row r="856" spans="1:70" x14ac:dyDescent="0.25">
      <c r="A856" s="3"/>
      <c r="AZ856" s="5"/>
      <c r="BB856" s="5"/>
      <c r="BD856" s="5"/>
      <c r="BF856" s="5"/>
      <c r="BH856" s="5"/>
      <c r="BJ856" s="5"/>
      <c r="BL856" s="5"/>
      <c r="BN856" s="5"/>
      <c r="BP856" s="5"/>
      <c r="BR856" s="5"/>
    </row>
    <row r="857" spans="1:70" x14ac:dyDescent="0.25">
      <c r="A857" s="3"/>
      <c r="AZ857" s="5"/>
      <c r="BB857" s="5"/>
      <c r="BD857" s="5"/>
      <c r="BF857" s="5"/>
      <c r="BH857" s="5"/>
      <c r="BJ857" s="5"/>
      <c r="BL857" s="5"/>
      <c r="BN857" s="5"/>
      <c r="BP857" s="5"/>
      <c r="BR857" s="5"/>
    </row>
    <row r="858" spans="1:70" x14ac:dyDescent="0.25">
      <c r="A858" s="3"/>
      <c r="AZ858" s="5"/>
      <c r="BB858" s="5"/>
      <c r="BD858" s="5"/>
      <c r="BF858" s="5"/>
      <c r="BH858" s="5"/>
      <c r="BJ858" s="5"/>
      <c r="BL858" s="5"/>
      <c r="BN858" s="5"/>
      <c r="BP858" s="5"/>
      <c r="BR858" s="5"/>
    </row>
    <row r="859" spans="1:70" x14ac:dyDescent="0.25">
      <c r="A859" s="3"/>
      <c r="AZ859" s="5"/>
      <c r="BB859" s="5"/>
      <c r="BD859" s="5"/>
      <c r="BF859" s="5"/>
      <c r="BH859" s="5"/>
      <c r="BJ859" s="5"/>
      <c r="BL859" s="5"/>
      <c r="BN859" s="5"/>
      <c r="BP859" s="5"/>
      <c r="BR859" s="5"/>
    </row>
    <row r="860" spans="1:70" x14ac:dyDescent="0.25">
      <c r="A860" s="3"/>
      <c r="AZ860" s="5"/>
      <c r="BB860" s="5"/>
      <c r="BD860" s="5"/>
      <c r="BF860" s="5"/>
      <c r="BH860" s="5"/>
      <c r="BJ860" s="5"/>
      <c r="BL860" s="5"/>
      <c r="BN860" s="5"/>
      <c r="BP860" s="5"/>
      <c r="BR860" s="5"/>
    </row>
    <row r="861" spans="1:70" x14ac:dyDescent="0.25">
      <c r="A861" s="3"/>
      <c r="AZ861" s="5"/>
      <c r="BB861" s="5"/>
      <c r="BD861" s="5"/>
      <c r="BF861" s="5"/>
      <c r="BH861" s="5"/>
      <c r="BJ861" s="5"/>
      <c r="BL861" s="5"/>
      <c r="BN861" s="5"/>
      <c r="BP861" s="5"/>
      <c r="BR861" s="5"/>
    </row>
    <row r="862" spans="1:70" x14ac:dyDescent="0.25">
      <c r="A862" s="3"/>
      <c r="AZ862" s="5"/>
      <c r="BB862" s="5"/>
      <c r="BD862" s="5"/>
      <c r="BF862" s="5"/>
      <c r="BH862" s="5"/>
      <c r="BJ862" s="5"/>
      <c r="BL862" s="5"/>
      <c r="BN862" s="5"/>
      <c r="BP862" s="5"/>
      <c r="BR862" s="5"/>
    </row>
    <row r="863" spans="1:70" x14ac:dyDescent="0.25">
      <c r="A863" s="3"/>
      <c r="AZ863" s="5"/>
      <c r="BB863" s="5"/>
      <c r="BD863" s="5"/>
      <c r="BF863" s="5"/>
      <c r="BH863" s="5"/>
      <c r="BJ863" s="5"/>
      <c r="BL863" s="5"/>
      <c r="BN863" s="5"/>
      <c r="BP863" s="5"/>
      <c r="BR863" s="5"/>
    </row>
    <row r="864" spans="1:70" x14ac:dyDescent="0.25">
      <c r="A864" s="3"/>
      <c r="AZ864" s="5"/>
      <c r="BB864" s="5"/>
      <c r="BD864" s="5"/>
      <c r="BF864" s="5"/>
      <c r="BH864" s="5"/>
      <c r="BJ864" s="5"/>
      <c r="BL864" s="5"/>
      <c r="BN864" s="5"/>
      <c r="BP864" s="5"/>
      <c r="BR864" s="5"/>
    </row>
    <row r="865" spans="1:70" x14ac:dyDescent="0.25">
      <c r="A865" s="3"/>
      <c r="AZ865" s="5"/>
      <c r="BB865" s="5"/>
      <c r="BD865" s="5"/>
      <c r="BF865" s="5"/>
      <c r="BH865" s="5"/>
      <c r="BJ865" s="5"/>
      <c r="BL865" s="5"/>
      <c r="BN865" s="5"/>
      <c r="BP865" s="5"/>
      <c r="BR865" s="5"/>
    </row>
    <row r="866" spans="1:70" x14ac:dyDescent="0.25">
      <c r="A866" s="3"/>
      <c r="AZ866" s="5"/>
      <c r="BB866" s="5"/>
      <c r="BD866" s="5"/>
      <c r="BF866" s="5"/>
      <c r="BH866" s="5"/>
      <c r="BJ866" s="5"/>
      <c r="BL866" s="5"/>
      <c r="BN866" s="5"/>
      <c r="BP866" s="5"/>
      <c r="BR866" s="5"/>
    </row>
    <row r="867" spans="1:70" x14ac:dyDescent="0.25">
      <c r="A867" s="3"/>
      <c r="AZ867" s="5"/>
      <c r="BB867" s="5"/>
      <c r="BD867" s="5"/>
      <c r="BF867" s="5"/>
      <c r="BH867" s="5"/>
      <c r="BJ867" s="5"/>
      <c r="BL867" s="5"/>
      <c r="BN867" s="5"/>
      <c r="BP867" s="5"/>
      <c r="BR867" s="5"/>
    </row>
    <row r="868" spans="1:70" x14ac:dyDescent="0.25">
      <c r="A868" s="3"/>
      <c r="AZ868" s="5"/>
      <c r="BB868" s="5"/>
      <c r="BD868" s="5"/>
      <c r="BF868" s="5"/>
      <c r="BH868" s="5"/>
      <c r="BJ868" s="5"/>
      <c r="BL868" s="5"/>
      <c r="BN868" s="5"/>
      <c r="BP868" s="5"/>
      <c r="BR868" s="5"/>
    </row>
    <row r="869" spans="1:70" x14ac:dyDescent="0.25">
      <c r="A869" s="3"/>
      <c r="AZ869" s="5"/>
      <c r="BB869" s="5"/>
      <c r="BD869" s="5"/>
      <c r="BF869" s="5"/>
      <c r="BH869" s="5"/>
      <c r="BJ869" s="5"/>
      <c r="BL869" s="5"/>
      <c r="BN869" s="5"/>
      <c r="BP869" s="5"/>
      <c r="BR869" s="5"/>
    </row>
    <row r="870" spans="1:70" x14ac:dyDescent="0.25">
      <c r="A870" s="3"/>
      <c r="AZ870" s="5"/>
      <c r="BB870" s="5"/>
      <c r="BD870" s="5"/>
      <c r="BF870" s="5"/>
      <c r="BH870" s="5"/>
      <c r="BJ870" s="5"/>
      <c r="BL870" s="5"/>
      <c r="BN870" s="5"/>
      <c r="BP870" s="5"/>
      <c r="BR870" s="5"/>
    </row>
    <row r="871" spans="1:70" x14ac:dyDescent="0.25">
      <c r="A871" s="3"/>
      <c r="AZ871" s="5"/>
      <c r="BB871" s="5"/>
      <c r="BD871" s="5"/>
      <c r="BF871" s="5"/>
      <c r="BH871" s="5"/>
      <c r="BJ871" s="5"/>
      <c r="BL871" s="5"/>
      <c r="BN871" s="5"/>
      <c r="BP871" s="5"/>
      <c r="BR871" s="5"/>
    </row>
    <row r="872" spans="1:70" x14ac:dyDescent="0.25">
      <c r="A872" s="3"/>
      <c r="AZ872" s="5"/>
      <c r="BB872" s="5"/>
      <c r="BD872" s="5"/>
      <c r="BF872" s="5"/>
      <c r="BH872" s="5"/>
      <c r="BJ872" s="5"/>
      <c r="BL872" s="5"/>
      <c r="BN872" s="5"/>
      <c r="BP872" s="5"/>
      <c r="BR872" s="5"/>
    </row>
    <row r="873" spans="1:70" x14ac:dyDescent="0.25">
      <c r="A873" s="3"/>
      <c r="AZ873" s="5"/>
      <c r="BB873" s="5"/>
      <c r="BD873" s="5"/>
      <c r="BF873" s="5"/>
      <c r="BH873" s="5"/>
      <c r="BJ873" s="5"/>
      <c r="BL873" s="5"/>
      <c r="BN873" s="5"/>
      <c r="BP873" s="5"/>
      <c r="BR873" s="5"/>
    </row>
    <row r="874" spans="1:70" x14ac:dyDescent="0.25">
      <c r="A874" s="3"/>
      <c r="AZ874" s="5"/>
      <c r="BB874" s="5"/>
      <c r="BD874" s="5"/>
      <c r="BF874" s="5"/>
      <c r="BH874" s="5"/>
      <c r="BJ874" s="5"/>
      <c r="BL874" s="5"/>
      <c r="BN874" s="5"/>
      <c r="BP874" s="5"/>
      <c r="BR874" s="5"/>
    </row>
    <row r="875" spans="1:70" x14ac:dyDescent="0.25">
      <c r="A875" s="3"/>
      <c r="AZ875" s="5"/>
      <c r="BB875" s="5"/>
      <c r="BD875" s="5"/>
      <c r="BF875" s="5"/>
      <c r="BH875" s="5"/>
      <c r="BJ875" s="5"/>
      <c r="BL875" s="5"/>
      <c r="BN875" s="5"/>
      <c r="BP875" s="5"/>
      <c r="BR875" s="5"/>
    </row>
    <row r="876" spans="1:70" x14ac:dyDescent="0.25">
      <c r="A876" s="3"/>
      <c r="AZ876" s="5"/>
      <c r="BB876" s="5"/>
      <c r="BD876" s="5"/>
      <c r="BF876" s="5"/>
      <c r="BH876" s="5"/>
      <c r="BJ876" s="5"/>
      <c r="BL876" s="5"/>
      <c r="BN876" s="5"/>
      <c r="BP876" s="5"/>
      <c r="BR876" s="5"/>
    </row>
    <row r="877" spans="1:70" x14ac:dyDescent="0.25">
      <c r="A877" s="3"/>
      <c r="AZ877" s="5"/>
      <c r="BB877" s="5"/>
      <c r="BD877" s="5"/>
      <c r="BF877" s="5"/>
      <c r="BH877" s="5"/>
      <c r="BJ877" s="5"/>
      <c r="BL877" s="5"/>
      <c r="BN877" s="5"/>
      <c r="BP877" s="5"/>
      <c r="BR877" s="5"/>
    </row>
    <row r="878" spans="1:70" x14ac:dyDescent="0.25">
      <c r="A878" s="3"/>
      <c r="AZ878" s="5"/>
      <c r="BB878" s="5"/>
      <c r="BD878" s="5"/>
      <c r="BF878" s="5"/>
      <c r="BH878" s="5"/>
      <c r="BJ878" s="5"/>
      <c r="BL878" s="5"/>
      <c r="BN878" s="5"/>
      <c r="BP878" s="5"/>
      <c r="BR878" s="5"/>
    </row>
    <row r="879" spans="1:70" x14ac:dyDescent="0.25">
      <c r="A879" s="3"/>
      <c r="AZ879" s="5"/>
      <c r="BB879" s="5"/>
      <c r="BD879" s="5"/>
      <c r="BF879" s="5"/>
      <c r="BH879" s="5"/>
      <c r="BJ879" s="5"/>
      <c r="BL879" s="5"/>
      <c r="BN879" s="5"/>
      <c r="BP879" s="5"/>
      <c r="BR879" s="5"/>
    </row>
    <row r="880" spans="1:70" x14ac:dyDescent="0.25">
      <c r="A880" s="3"/>
      <c r="AZ880" s="5"/>
      <c r="BB880" s="5"/>
      <c r="BD880" s="5"/>
      <c r="BF880" s="5"/>
      <c r="BH880" s="5"/>
      <c r="BJ880" s="5"/>
      <c r="BL880" s="5"/>
      <c r="BN880" s="5"/>
      <c r="BP880" s="5"/>
      <c r="BR880" s="5"/>
    </row>
    <row r="881" spans="1:70" x14ac:dyDescent="0.25">
      <c r="A881" s="3"/>
      <c r="AZ881" s="5"/>
      <c r="BB881" s="5"/>
      <c r="BD881" s="5"/>
      <c r="BF881" s="5"/>
      <c r="BH881" s="5"/>
      <c r="BJ881" s="5"/>
      <c r="BL881" s="5"/>
      <c r="BN881" s="5"/>
      <c r="BP881" s="5"/>
      <c r="BR881" s="5"/>
    </row>
    <row r="882" spans="1:70" x14ac:dyDescent="0.25">
      <c r="A882" s="3"/>
      <c r="AZ882" s="5"/>
      <c r="BB882" s="5"/>
      <c r="BD882" s="5"/>
      <c r="BF882" s="5"/>
      <c r="BH882" s="5"/>
      <c r="BJ882" s="5"/>
      <c r="BL882" s="5"/>
      <c r="BN882" s="5"/>
      <c r="BP882" s="5"/>
      <c r="BR882" s="5"/>
    </row>
    <row r="883" spans="1:70" x14ac:dyDescent="0.25">
      <c r="A883" s="3"/>
      <c r="AZ883" s="5"/>
      <c r="BB883" s="5"/>
      <c r="BD883" s="5"/>
      <c r="BF883" s="5"/>
      <c r="BH883" s="5"/>
      <c r="BJ883" s="5"/>
      <c r="BL883" s="5"/>
      <c r="BN883" s="5"/>
      <c r="BP883" s="5"/>
      <c r="BR883" s="5"/>
    </row>
    <row r="884" spans="1:70" x14ac:dyDescent="0.25">
      <c r="A884" s="3"/>
      <c r="AZ884" s="5"/>
      <c r="BB884" s="5"/>
      <c r="BD884" s="5"/>
      <c r="BF884" s="5"/>
      <c r="BH884" s="5"/>
      <c r="BJ884" s="5"/>
      <c r="BL884" s="5"/>
      <c r="BN884" s="5"/>
      <c r="BP884" s="5"/>
      <c r="BR884" s="5"/>
    </row>
    <row r="885" spans="1:70" x14ac:dyDescent="0.25">
      <c r="A885" s="3"/>
      <c r="AZ885" s="5"/>
      <c r="BB885" s="5"/>
      <c r="BD885" s="5"/>
      <c r="BF885" s="5"/>
      <c r="BH885" s="5"/>
      <c r="BJ885" s="5"/>
      <c r="BL885" s="5"/>
      <c r="BN885" s="5"/>
      <c r="BP885" s="5"/>
      <c r="BR885" s="5"/>
    </row>
    <row r="886" spans="1:70" x14ac:dyDescent="0.25">
      <c r="A886" s="3"/>
      <c r="AZ886" s="5"/>
      <c r="BB886" s="5"/>
      <c r="BD886" s="5"/>
      <c r="BF886" s="5"/>
      <c r="BH886" s="5"/>
      <c r="BJ886" s="5"/>
      <c r="BL886" s="5"/>
      <c r="BN886" s="5"/>
      <c r="BP886" s="5"/>
      <c r="BR886" s="5"/>
    </row>
    <row r="887" spans="1:70" x14ac:dyDescent="0.25">
      <c r="A887" s="3"/>
      <c r="AZ887" s="5"/>
      <c r="BB887" s="5"/>
      <c r="BD887" s="5"/>
      <c r="BF887" s="5"/>
      <c r="BH887" s="5"/>
      <c r="BJ887" s="5"/>
      <c r="BL887" s="5"/>
      <c r="BN887" s="5"/>
      <c r="BP887" s="5"/>
      <c r="BR887" s="5"/>
    </row>
    <row r="888" spans="1:70" x14ac:dyDescent="0.25">
      <c r="A888" s="3"/>
      <c r="AZ888" s="5"/>
      <c r="BB888" s="5"/>
      <c r="BD888" s="5"/>
      <c r="BF888" s="5"/>
      <c r="BH888" s="5"/>
      <c r="BJ888" s="5"/>
      <c r="BL888" s="5"/>
      <c r="BN888" s="5"/>
      <c r="BP888" s="5"/>
      <c r="BR888" s="5"/>
    </row>
    <row r="889" spans="1:70" x14ac:dyDescent="0.25">
      <c r="A889" s="3"/>
      <c r="AZ889" s="5"/>
      <c r="BB889" s="5"/>
      <c r="BD889" s="5"/>
      <c r="BF889" s="5"/>
      <c r="BH889" s="5"/>
      <c r="BJ889" s="5"/>
      <c r="BL889" s="5"/>
      <c r="BN889" s="5"/>
      <c r="BP889" s="5"/>
      <c r="BR889" s="5"/>
    </row>
    <row r="890" spans="1:70" x14ac:dyDescent="0.25">
      <c r="A890" s="3"/>
      <c r="AZ890" s="5"/>
      <c r="BB890" s="5"/>
      <c r="BD890" s="5"/>
      <c r="BF890" s="5"/>
      <c r="BH890" s="5"/>
      <c r="BJ890" s="5"/>
      <c r="BL890" s="5"/>
      <c r="BN890" s="5"/>
      <c r="BP890" s="5"/>
      <c r="BR890" s="5"/>
    </row>
    <row r="891" spans="1:70" x14ac:dyDescent="0.25">
      <c r="A891" s="3"/>
      <c r="AZ891" s="5"/>
      <c r="BB891" s="5"/>
      <c r="BD891" s="5"/>
      <c r="BF891" s="5"/>
      <c r="BH891" s="5"/>
      <c r="BJ891" s="5"/>
      <c r="BL891" s="5"/>
      <c r="BN891" s="5"/>
      <c r="BP891" s="5"/>
      <c r="BR891" s="5"/>
    </row>
    <row r="892" spans="1:70" x14ac:dyDescent="0.25">
      <c r="A892" s="3"/>
      <c r="AZ892" s="5"/>
      <c r="BB892" s="5"/>
      <c r="BD892" s="5"/>
      <c r="BF892" s="5"/>
      <c r="BH892" s="5"/>
      <c r="BJ892" s="5"/>
      <c r="BL892" s="5"/>
      <c r="BN892" s="5"/>
      <c r="BP892" s="5"/>
      <c r="BR892" s="5"/>
    </row>
    <row r="893" spans="1:70" x14ac:dyDescent="0.25">
      <c r="A893" s="3"/>
      <c r="AZ893" s="5"/>
      <c r="BB893" s="5"/>
      <c r="BD893" s="5"/>
      <c r="BF893" s="5"/>
      <c r="BH893" s="5"/>
      <c r="BJ893" s="5"/>
      <c r="BL893" s="5"/>
      <c r="BN893" s="5"/>
      <c r="BP893" s="5"/>
      <c r="BR893" s="5"/>
    </row>
    <row r="894" spans="1:70" x14ac:dyDescent="0.25">
      <c r="A894" s="3"/>
      <c r="AZ894" s="5"/>
      <c r="BB894" s="5"/>
      <c r="BD894" s="5"/>
      <c r="BF894" s="5"/>
      <c r="BH894" s="5"/>
      <c r="BJ894" s="5"/>
      <c r="BL894" s="5"/>
      <c r="BN894" s="5"/>
      <c r="BP894" s="5"/>
      <c r="BR894" s="5"/>
    </row>
    <row r="895" spans="1:70" x14ac:dyDescent="0.25">
      <c r="A895" s="3"/>
      <c r="AZ895" s="5"/>
      <c r="BB895" s="5"/>
      <c r="BD895" s="5"/>
      <c r="BF895" s="5"/>
      <c r="BH895" s="5"/>
      <c r="BJ895" s="5"/>
      <c r="BL895" s="5"/>
      <c r="BN895" s="5"/>
      <c r="BP895" s="5"/>
      <c r="BR895" s="5"/>
    </row>
    <row r="896" spans="1:70" x14ac:dyDescent="0.25">
      <c r="A896" s="3"/>
      <c r="AZ896" s="5"/>
      <c r="BB896" s="5"/>
      <c r="BD896" s="5"/>
      <c r="BF896" s="5"/>
      <c r="BH896" s="5"/>
      <c r="BJ896" s="5"/>
      <c r="BL896" s="5"/>
      <c r="BN896" s="5"/>
      <c r="BP896" s="5"/>
      <c r="BR896" s="5"/>
    </row>
    <row r="897" spans="1:70" x14ac:dyDescent="0.25">
      <c r="A897" s="3"/>
      <c r="AZ897" s="5"/>
      <c r="BB897" s="5"/>
      <c r="BD897" s="5"/>
      <c r="BF897" s="5"/>
      <c r="BH897" s="5"/>
      <c r="BJ897" s="5"/>
      <c r="BL897" s="5"/>
      <c r="BN897" s="5"/>
      <c r="BP897" s="5"/>
      <c r="BR897" s="5"/>
    </row>
    <row r="898" spans="1:70" x14ac:dyDescent="0.25">
      <c r="A898" s="3"/>
      <c r="AZ898" s="5"/>
      <c r="BB898" s="5"/>
      <c r="BD898" s="5"/>
      <c r="BF898" s="5"/>
      <c r="BH898" s="5"/>
      <c r="BJ898" s="5"/>
      <c r="BL898" s="5"/>
      <c r="BN898" s="5"/>
      <c r="BP898" s="5"/>
      <c r="BR898" s="5"/>
    </row>
    <row r="899" spans="1:70" x14ac:dyDescent="0.25">
      <c r="A899" s="3"/>
      <c r="AZ899" s="5"/>
      <c r="BB899" s="5"/>
      <c r="BD899" s="5"/>
      <c r="BF899" s="5"/>
      <c r="BH899" s="5"/>
      <c r="BJ899" s="5"/>
      <c r="BL899" s="5"/>
      <c r="BN899" s="5"/>
      <c r="BP899" s="5"/>
      <c r="BR899" s="5"/>
    </row>
    <row r="900" spans="1:70" x14ac:dyDescent="0.25">
      <c r="A900" s="3"/>
      <c r="AZ900" s="5"/>
      <c r="BB900" s="5"/>
      <c r="BD900" s="5"/>
      <c r="BF900" s="5"/>
      <c r="BH900" s="5"/>
      <c r="BJ900" s="5"/>
      <c r="BL900" s="5"/>
      <c r="BN900" s="5"/>
      <c r="BP900" s="5"/>
      <c r="BR900" s="5"/>
    </row>
    <row r="901" spans="1:70" x14ac:dyDescent="0.25">
      <c r="A901" s="3"/>
      <c r="AZ901" s="5"/>
      <c r="BB901" s="5"/>
      <c r="BD901" s="5"/>
      <c r="BF901" s="5"/>
      <c r="BH901" s="5"/>
      <c r="BJ901" s="5"/>
      <c r="BL901" s="5"/>
      <c r="BN901" s="5"/>
      <c r="BP901" s="5"/>
      <c r="BR901" s="5"/>
    </row>
    <row r="902" spans="1:70" x14ac:dyDescent="0.25">
      <c r="A902" s="3"/>
      <c r="AZ902" s="5"/>
      <c r="BB902" s="5"/>
      <c r="BD902" s="5"/>
      <c r="BF902" s="5"/>
      <c r="BH902" s="5"/>
      <c r="BJ902" s="5"/>
      <c r="BL902" s="5"/>
      <c r="BN902" s="5"/>
      <c r="BP902" s="5"/>
      <c r="BR902" s="5"/>
    </row>
    <row r="903" spans="1:70" x14ac:dyDescent="0.25">
      <c r="A903" s="3"/>
      <c r="AZ903" s="5"/>
      <c r="BB903" s="5"/>
      <c r="BD903" s="5"/>
      <c r="BF903" s="5"/>
      <c r="BH903" s="5"/>
      <c r="BJ903" s="5"/>
      <c r="BL903" s="5"/>
      <c r="BN903" s="5"/>
      <c r="BP903" s="5"/>
      <c r="BR903" s="5"/>
    </row>
    <row r="904" spans="1:70" x14ac:dyDescent="0.25">
      <c r="A904" s="3"/>
      <c r="AZ904" s="5"/>
      <c r="BB904" s="5"/>
      <c r="BD904" s="5"/>
      <c r="BF904" s="5"/>
      <c r="BH904" s="5"/>
      <c r="BJ904" s="5"/>
      <c r="BL904" s="5"/>
      <c r="BN904" s="5"/>
      <c r="BP904" s="5"/>
      <c r="BR904" s="5"/>
    </row>
    <row r="905" spans="1:70" x14ac:dyDescent="0.25">
      <c r="A905" s="3"/>
      <c r="AZ905" s="5"/>
      <c r="BB905" s="5"/>
      <c r="BD905" s="5"/>
      <c r="BF905" s="5"/>
      <c r="BH905" s="5"/>
      <c r="BJ905" s="5"/>
      <c r="BL905" s="5"/>
      <c r="BN905" s="5"/>
      <c r="BP905" s="5"/>
      <c r="BR905" s="5"/>
    </row>
    <row r="906" spans="1:70" x14ac:dyDescent="0.25">
      <c r="A906" s="3"/>
      <c r="AZ906" s="5"/>
      <c r="BB906" s="5"/>
      <c r="BD906" s="5"/>
      <c r="BF906" s="5"/>
      <c r="BH906" s="5"/>
      <c r="BJ906" s="5"/>
      <c r="BL906" s="5"/>
      <c r="BN906" s="5"/>
      <c r="BP906" s="5"/>
      <c r="BR906" s="5"/>
    </row>
    <row r="907" spans="1:70" x14ac:dyDescent="0.25">
      <c r="A907" s="3"/>
      <c r="AZ907" s="5"/>
      <c r="BB907" s="5"/>
      <c r="BD907" s="5"/>
      <c r="BF907" s="5"/>
      <c r="BH907" s="5"/>
      <c r="BJ907" s="5"/>
      <c r="BL907" s="5"/>
      <c r="BN907" s="5"/>
      <c r="BP907" s="5"/>
      <c r="BR907" s="5"/>
    </row>
    <row r="908" spans="1:70" x14ac:dyDescent="0.25">
      <c r="A908" s="3"/>
      <c r="AZ908" s="5"/>
      <c r="BB908" s="5"/>
      <c r="BD908" s="5"/>
      <c r="BF908" s="5"/>
      <c r="BH908" s="5"/>
      <c r="BJ908" s="5"/>
      <c r="BL908" s="5"/>
      <c r="BN908" s="5"/>
      <c r="BP908" s="5"/>
      <c r="BR908" s="5"/>
    </row>
    <row r="909" spans="1:70" x14ac:dyDescent="0.25">
      <c r="A909" s="3"/>
      <c r="AZ909" s="5"/>
      <c r="BB909" s="5"/>
      <c r="BD909" s="5"/>
      <c r="BF909" s="5"/>
      <c r="BH909" s="5"/>
      <c r="BJ909" s="5"/>
      <c r="BL909" s="5"/>
      <c r="BN909" s="5"/>
      <c r="BP909" s="5"/>
      <c r="BR909" s="5"/>
    </row>
    <row r="910" spans="1:70" x14ac:dyDescent="0.25">
      <c r="A910" s="3"/>
      <c r="AZ910" s="5"/>
      <c r="BB910" s="5"/>
      <c r="BD910" s="5"/>
      <c r="BF910" s="5"/>
      <c r="BH910" s="5"/>
      <c r="BJ910" s="5"/>
      <c r="BL910" s="5"/>
      <c r="BN910" s="5"/>
      <c r="BP910" s="5"/>
      <c r="BR910" s="5"/>
    </row>
    <row r="911" spans="1:70" x14ac:dyDescent="0.25">
      <c r="A911" s="3"/>
      <c r="AZ911" s="5"/>
      <c r="BB911" s="5"/>
      <c r="BD911" s="5"/>
      <c r="BF911" s="5"/>
      <c r="BH911" s="5"/>
      <c r="BJ911" s="5"/>
      <c r="BL911" s="5"/>
      <c r="BN911" s="5"/>
      <c r="BP911" s="5"/>
      <c r="BR911" s="5"/>
    </row>
    <row r="912" spans="1:70" x14ac:dyDescent="0.25">
      <c r="A912" s="3"/>
      <c r="AZ912" s="5"/>
      <c r="BB912" s="5"/>
      <c r="BD912" s="5"/>
      <c r="BF912" s="5"/>
      <c r="BH912" s="5"/>
      <c r="BJ912" s="5"/>
      <c r="BL912" s="5"/>
      <c r="BN912" s="5"/>
      <c r="BP912" s="5"/>
      <c r="BR912" s="5"/>
    </row>
    <row r="913" spans="1:70" x14ac:dyDescent="0.25">
      <c r="A913" s="3"/>
      <c r="AZ913" s="5"/>
      <c r="BB913" s="5"/>
      <c r="BD913" s="5"/>
      <c r="BF913" s="5"/>
      <c r="BH913" s="5"/>
      <c r="BJ913" s="5"/>
      <c r="BL913" s="5"/>
      <c r="BN913" s="5"/>
      <c r="BP913" s="5"/>
      <c r="BR913" s="5"/>
    </row>
    <row r="914" spans="1:70" x14ac:dyDescent="0.25">
      <c r="A914" s="3"/>
      <c r="AZ914" s="5"/>
      <c r="BB914" s="5"/>
      <c r="BD914" s="5"/>
      <c r="BF914" s="5"/>
      <c r="BH914" s="5"/>
      <c r="BJ914" s="5"/>
      <c r="BL914" s="5"/>
      <c r="BN914" s="5"/>
      <c r="BP914" s="5"/>
      <c r="BR914" s="5"/>
    </row>
    <row r="915" spans="1:70" x14ac:dyDescent="0.25">
      <c r="A915" s="3"/>
      <c r="AZ915" s="5"/>
      <c r="BB915" s="5"/>
      <c r="BD915" s="5"/>
      <c r="BF915" s="5"/>
      <c r="BH915" s="5"/>
      <c r="BJ915" s="5"/>
      <c r="BL915" s="5"/>
      <c r="BN915" s="5"/>
      <c r="BP915" s="5"/>
      <c r="BR915" s="5"/>
    </row>
    <row r="916" spans="1:70" x14ac:dyDescent="0.25">
      <c r="A916" s="3"/>
      <c r="AZ916" s="5"/>
      <c r="BB916" s="5"/>
      <c r="BD916" s="5"/>
      <c r="BF916" s="5"/>
      <c r="BH916" s="5"/>
      <c r="BJ916" s="5"/>
      <c r="BL916" s="5"/>
      <c r="BN916" s="5"/>
      <c r="BP916" s="5"/>
      <c r="BR916" s="5"/>
    </row>
    <row r="917" spans="1:70" x14ac:dyDescent="0.25">
      <c r="A917" s="3"/>
      <c r="AZ917" s="5"/>
      <c r="BB917" s="5"/>
      <c r="BD917" s="5"/>
      <c r="BF917" s="5"/>
      <c r="BH917" s="5"/>
      <c r="BJ917" s="5"/>
      <c r="BL917" s="5"/>
      <c r="BN917" s="5"/>
      <c r="BP917" s="5"/>
      <c r="BR917" s="5"/>
    </row>
    <row r="918" spans="1:70" x14ac:dyDescent="0.25">
      <c r="A918" s="3"/>
      <c r="AZ918" s="5"/>
      <c r="BB918" s="5"/>
      <c r="BD918" s="5"/>
      <c r="BF918" s="5"/>
      <c r="BH918" s="5"/>
      <c r="BJ918" s="5"/>
      <c r="BL918" s="5"/>
      <c r="BN918" s="5"/>
      <c r="BP918" s="5"/>
      <c r="BR918" s="5"/>
    </row>
    <row r="919" spans="1:70" x14ac:dyDescent="0.25">
      <c r="A919" s="3"/>
      <c r="AZ919" s="5"/>
      <c r="BB919" s="5"/>
      <c r="BD919" s="5"/>
      <c r="BF919" s="5"/>
      <c r="BH919" s="5"/>
      <c r="BJ919" s="5"/>
      <c r="BL919" s="5"/>
      <c r="BN919" s="5"/>
      <c r="BP919" s="5"/>
      <c r="BR919" s="5"/>
    </row>
    <row r="920" spans="1:70" x14ac:dyDescent="0.25">
      <c r="A920" s="3"/>
      <c r="AZ920" s="5"/>
      <c r="BB920" s="5"/>
      <c r="BD920" s="5"/>
      <c r="BF920" s="5"/>
      <c r="BH920" s="5"/>
      <c r="BJ920" s="5"/>
      <c r="BL920" s="5"/>
      <c r="BN920" s="5"/>
      <c r="BP920" s="5"/>
      <c r="BR920" s="5"/>
    </row>
    <row r="921" spans="1:70" x14ac:dyDescent="0.25">
      <c r="A921" s="3"/>
      <c r="AZ921" s="5"/>
      <c r="BB921" s="5"/>
      <c r="BD921" s="5"/>
      <c r="BF921" s="5"/>
      <c r="BH921" s="5"/>
      <c r="BJ921" s="5"/>
      <c r="BL921" s="5"/>
      <c r="BN921" s="5"/>
      <c r="BP921" s="5"/>
      <c r="BR921" s="5"/>
    </row>
    <row r="922" spans="1:70" x14ac:dyDescent="0.25">
      <c r="A922" s="3"/>
      <c r="AZ922" s="5"/>
      <c r="BB922" s="5"/>
      <c r="BD922" s="5"/>
      <c r="BF922" s="5"/>
      <c r="BH922" s="5"/>
      <c r="BJ922" s="5"/>
      <c r="BL922" s="5"/>
      <c r="BN922" s="5"/>
      <c r="BP922" s="5"/>
      <c r="BR922" s="5"/>
    </row>
    <row r="923" spans="1:70" x14ac:dyDescent="0.25">
      <c r="A923" s="3"/>
      <c r="AZ923" s="5"/>
      <c r="BB923" s="5"/>
      <c r="BD923" s="5"/>
      <c r="BF923" s="5"/>
      <c r="BH923" s="5"/>
      <c r="BJ923" s="5"/>
      <c r="BL923" s="5"/>
      <c r="BN923" s="5"/>
      <c r="BP923" s="5"/>
      <c r="BR923" s="5"/>
    </row>
    <row r="924" spans="1:70" x14ac:dyDescent="0.25">
      <c r="A924" s="3"/>
      <c r="AZ924" s="5"/>
      <c r="BB924" s="5"/>
      <c r="BD924" s="5"/>
      <c r="BF924" s="5"/>
      <c r="BH924" s="5"/>
      <c r="BJ924" s="5"/>
      <c r="BL924" s="5"/>
      <c r="BN924" s="5"/>
      <c r="BP924" s="5"/>
      <c r="BR924" s="5"/>
    </row>
    <row r="925" spans="1:70" x14ac:dyDescent="0.25">
      <c r="A925" s="3"/>
      <c r="AZ925" s="5"/>
      <c r="BB925" s="5"/>
      <c r="BD925" s="5"/>
      <c r="BF925" s="5"/>
      <c r="BH925" s="5"/>
      <c r="BJ925" s="5"/>
      <c r="BL925" s="5"/>
      <c r="BN925" s="5"/>
      <c r="BP925" s="5"/>
      <c r="BR925" s="5"/>
    </row>
    <row r="926" spans="1:70" x14ac:dyDescent="0.25">
      <c r="A926" s="3"/>
      <c r="AZ926" s="5"/>
      <c r="BB926" s="5"/>
      <c r="BD926" s="5"/>
      <c r="BF926" s="5"/>
      <c r="BH926" s="5"/>
      <c r="BJ926" s="5"/>
      <c r="BL926" s="5"/>
      <c r="BN926" s="5"/>
      <c r="BP926" s="5"/>
      <c r="BR926" s="5"/>
    </row>
    <row r="927" spans="1:70" x14ac:dyDescent="0.25">
      <c r="A927" s="3"/>
      <c r="AZ927" s="5"/>
      <c r="BB927" s="5"/>
      <c r="BD927" s="5"/>
      <c r="BF927" s="5"/>
      <c r="BH927" s="5"/>
      <c r="BJ927" s="5"/>
      <c r="BL927" s="5"/>
      <c r="BN927" s="5"/>
      <c r="BP927" s="5"/>
      <c r="BR927" s="5"/>
    </row>
    <row r="928" spans="1:70" x14ac:dyDescent="0.25">
      <c r="A928" s="3"/>
      <c r="AZ928" s="5"/>
      <c r="BB928" s="5"/>
      <c r="BD928" s="5"/>
      <c r="BF928" s="5"/>
      <c r="BH928" s="5"/>
      <c r="BJ928" s="5"/>
      <c r="BL928" s="5"/>
      <c r="BN928" s="5"/>
      <c r="BP928" s="5"/>
      <c r="BR928" s="5"/>
    </row>
    <row r="929" spans="1:70" x14ac:dyDescent="0.25">
      <c r="A929" s="3"/>
      <c r="AZ929" s="5"/>
      <c r="BB929" s="5"/>
      <c r="BD929" s="5"/>
      <c r="BF929" s="5"/>
      <c r="BH929" s="5"/>
      <c r="BJ929" s="5"/>
      <c r="BL929" s="5"/>
      <c r="BN929" s="5"/>
      <c r="BP929" s="5"/>
      <c r="BR929" s="5"/>
    </row>
    <row r="930" spans="1:70" x14ac:dyDescent="0.25">
      <c r="A930" s="3"/>
      <c r="AZ930" s="5"/>
      <c r="BB930" s="5"/>
      <c r="BD930" s="5"/>
      <c r="BF930" s="5"/>
      <c r="BH930" s="5"/>
      <c r="BJ930" s="5"/>
      <c r="BL930" s="5"/>
      <c r="BN930" s="5"/>
      <c r="BP930" s="5"/>
      <c r="BR930" s="5"/>
    </row>
    <row r="931" spans="1:70" x14ac:dyDescent="0.25">
      <c r="A931" s="3"/>
      <c r="AZ931" s="5"/>
      <c r="BB931" s="5"/>
      <c r="BD931" s="5"/>
      <c r="BF931" s="5"/>
      <c r="BH931" s="5"/>
      <c r="BJ931" s="5"/>
      <c r="BL931" s="5"/>
      <c r="BN931" s="5"/>
      <c r="BP931" s="5"/>
      <c r="BR931" s="5"/>
    </row>
    <row r="932" spans="1:70" x14ac:dyDescent="0.25">
      <c r="A932" s="3"/>
      <c r="AZ932" s="5"/>
      <c r="BB932" s="5"/>
      <c r="BD932" s="5"/>
      <c r="BF932" s="5"/>
      <c r="BH932" s="5"/>
      <c r="BJ932" s="5"/>
      <c r="BL932" s="5"/>
      <c r="BN932" s="5"/>
      <c r="BP932" s="5"/>
      <c r="BR932" s="5"/>
    </row>
    <row r="933" spans="1:70" x14ac:dyDescent="0.25">
      <c r="A933" s="3"/>
      <c r="AZ933" s="5"/>
      <c r="BB933" s="5"/>
      <c r="BD933" s="5"/>
      <c r="BF933" s="5"/>
      <c r="BH933" s="5"/>
      <c r="BJ933" s="5"/>
      <c r="BL933" s="5"/>
      <c r="BN933" s="5"/>
      <c r="BP933" s="5"/>
      <c r="BR933" s="5"/>
    </row>
    <row r="934" spans="1:70" x14ac:dyDescent="0.25">
      <c r="A934" s="3"/>
      <c r="AZ934" s="5"/>
      <c r="BB934" s="5"/>
      <c r="BD934" s="5"/>
      <c r="BF934" s="5"/>
      <c r="BH934" s="5"/>
      <c r="BJ934" s="5"/>
      <c r="BL934" s="5"/>
      <c r="BN934" s="5"/>
      <c r="BP934" s="5"/>
      <c r="BR934" s="5"/>
    </row>
    <row r="935" spans="1:70" x14ac:dyDescent="0.25">
      <c r="A935" s="3"/>
      <c r="AZ935" s="5"/>
      <c r="BB935" s="5"/>
      <c r="BD935" s="5"/>
      <c r="BF935" s="5"/>
      <c r="BH935" s="5"/>
      <c r="BJ935" s="5"/>
      <c r="BL935" s="5"/>
      <c r="BN935" s="5"/>
      <c r="BP935" s="5"/>
      <c r="BR935" s="5"/>
    </row>
    <row r="936" spans="1:70" x14ac:dyDescent="0.25">
      <c r="A936" s="3"/>
      <c r="AZ936" s="5"/>
      <c r="BB936" s="5"/>
      <c r="BD936" s="5"/>
      <c r="BF936" s="5"/>
      <c r="BH936" s="5"/>
      <c r="BJ936" s="5"/>
      <c r="BL936" s="5"/>
      <c r="BN936" s="5"/>
      <c r="BP936" s="5"/>
      <c r="BR936" s="5"/>
    </row>
    <row r="937" spans="1:70" x14ac:dyDescent="0.25">
      <c r="A937" s="3"/>
      <c r="AZ937" s="5"/>
      <c r="BB937" s="5"/>
      <c r="BD937" s="5"/>
      <c r="BF937" s="5"/>
      <c r="BH937" s="5"/>
      <c r="BJ937" s="5"/>
      <c r="BL937" s="5"/>
      <c r="BN937" s="5"/>
      <c r="BP937" s="5"/>
      <c r="BR937" s="5"/>
    </row>
    <row r="938" spans="1:70" x14ac:dyDescent="0.25">
      <c r="A938" s="3"/>
      <c r="AZ938" s="5"/>
      <c r="BB938" s="5"/>
      <c r="BD938" s="5"/>
      <c r="BF938" s="5"/>
      <c r="BH938" s="5"/>
      <c r="BJ938" s="5"/>
      <c r="BL938" s="5"/>
      <c r="BN938" s="5"/>
      <c r="BP938" s="5"/>
      <c r="BR938" s="5"/>
    </row>
    <row r="939" spans="1:70" x14ac:dyDescent="0.25">
      <c r="A939" s="3"/>
      <c r="AZ939" s="5"/>
      <c r="BB939" s="5"/>
      <c r="BD939" s="5"/>
      <c r="BF939" s="5"/>
      <c r="BH939" s="5"/>
      <c r="BJ939" s="5"/>
      <c r="BL939" s="5"/>
      <c r="BN939" s="5"/>
      <c r="BP939" s="5"/>
      <c r="BR939" s="5"/>
    </row>
    <row r="940" spans="1:70" x14ac:dyDescent="0.25">
      <c r="A940" s="3"/>
      <c r="AZ940" s="5"/>
      <c r="BB940" s="5"/>
      <c r="BD940" s="5"/>
      <c r="BF940" s="5"/>
      <c r="BH940" s="5"/>
      <c r="BJ940" s="5"/>
      <c r="BL940" s="5"/>
      <c r="BN940" s="5"/>
      <c r="BP940" s="5"/>
      <c r="BR940" s="5"/>
    </row>
    <row r="941" spans="1:70" x14ac:dyDescent="0.25">
      <c r="A941" s="3"/>
      <c r="AZ941" s="5"/>
      <c r="BB941" s="5"/>
      <c r="BD941" s="5"/>
      <c r="BF941" s="5"/>
      <c r="BH941" s="5"/>
      <c r="BJ941" s="5"/>
      <c r="BL941" s="5"/>
      <c r="BN941" s="5"/>
      <c r="BP941" s="5"/>
      <c r="BR941" s="5"/>
    </row>
    <row r="942" spans="1:70" x14ac:dyDescent="0.25">
      <c r="A942" s="3"/>
      <c r="AZ942" s="5"/>
      <c r="BB942" s="5"/>
      <c r="BD942" s="5"/>
      <c r="BF942" s="5"/>
      <c r="BH942" s="5"/>
      <c r="BJ942" s="5"/>
      <c r="BL942" s="5"/>
      <c r="BN942" s="5"/>
      <c r="BP942" s="5"/>
      <c r="BR942" s="5"/>
    </row>
    <row r="943" spans="1:70" x14ac:dyDescent="0.25">
      <c r="A943" s="3"/>
      <c r="AZ943" s="5"/>
      <c r="BB943" s="5"/>
      <c r="BD943" s="5"/>
      <c r="BF943" s="5"/>
      <c r="BH943" s="5"/>
      <c r="BJ943" s="5"/>
      <c r="BL943" s="5"/>
      <c r="BN943" s="5"/>
      <c r="BP943" s="5"/>
      <c r="BR943" s="5"/>
    </row>
    <row r="944" spans="1:70" x14ac:dyDescent="0.25">
      <c r="A944" s="3"/>
      <c r="AZ944" s="5"/>
      <c r="BB944" s="5"/>
      <c r="BD944" s="5"/>
      <c r="BF944" s="5"/>
      <c r="BH944" s="5"/>
      <c r="BJ944" s="5"/>
      <c r="BL944" s="5"/>
      <c r="BN944" s="5"/>
      <c r="BP944" s="5"/>
      <c r="BR944" s="5"/>
    </row>
    <row r="945" spans="1:70" x14ac:dyDescent="0.25">
      <c r="A945" s="3"/>
      <c r="AZ945" s="5"/>
      <c r="BB945" s="5"/>
      <c r="BD945" s="5"/>
      <c r="BF945" s="5"/>
      <c r="BH945" s="5"/>
      <c r="BJ945" s="5"/>
      <c r="BL945" s="5"/>
      <c r="BN945" s="5"/>
      <c r="BP945" s="5"/>
      <c r="BR945" s="5"/>
    </row>
    <row r="946" spans="1:70" x14ac:dyDescent="0.25">
      <c r="A946" s="3"/>
      <c r="AZ946" s="5"/>
      <c r="BB946" s="5"/>
      <c r="BD946" s="5"/>
      <c r="BF946" s="5"/>
      <c r="BH946" s="5"/>
      <c r="BJ946" s="5"/>
      <c r="BL946" s="5"/>
      <c r="BN946" s="5"/>
      <c r="BP946" s="5"/>
      <c r="BR946" s="5"/>
    </row>
    <row r="947" spans="1:70" x14ac:dyDescent="0.25">
      <c r="A947" s="3"/>
      <c r="AZ947" s="5"/>
      <c r="BB947" s="5"/>
      <c r="BD947" s="5"/>
      <c r="BF947" s="5"/>
      <c r="BH947" s="5"/>
      <c r="BJ947" s="5"/>
      <c r="BL947" s="5"/>
      <c r="BN947" s="5"/>
      <c r="BP947" s="5"/>
      <c r="BR947" s="5"/>
    </row>
    <row r="948" spans="1:70" x14ac:dyDescent="0.25">
      <c r="A948" s="3"/>
      <c r="AZ948" s="5"/>
      <c r="BB948" s="5"/>
      <c r="BD948" s="5"/>
      <c r="BF948" s="5"/>
      <c r="BH948" s="5"/>
      <c r="BJ948" s="5"/>
      <c r="BL948" s="5"/>
      <c r="BN948" s="5"/>
      <c r="BP948" s="5"/>
      <c r="BR948" s="5"/>
    </row>
    <row r="949" spans="1:70" x14ac:dyDescent="0.25">
      <c r="A949" s="3"/>
      <c r="AZ949" s="5"/>
      <c r="BB949" s="5"/>
      <c r="BD949" s="5"/>
      <c r="BF949" s="5"/>
      <c r="BH949" s="5"/>
      <c r="BJ949" s="5"/>
      <c r="BL949" s="5"/>
      <c r="BN949" s="5"/>
      <c r="BP949" s="5"/>
      <c r="BR949" s="5"/>
    </row>
    <row r="950" spans="1:70" x14ac:dyDescent="0.25">
      <c r="A950" s="3"/>
      <c r="AZ950" s="5"/>
      <c r="BB950" s="5"/>
      <c r="BD950" s="5"/>
      <c r="BF950" s="5"/>
      <c r="BH950" s="5"/>
      <c r="BJ950" s="5"/>
      <c r="BL950" s="5"/>
      <c r="BN950" s="5"/>
      <c r="BP950" s="5"/>
      <c r="BR950" s="5"/>
    </row>
    <row r="951" spans="1:70" x14ac:dyDescent="0.25">
      <c r="A951" s="3"/>
      <c r="AZ951" s="5"/>
      <c r="BB951" s="5"/>
      <c r="BD951" s="5"/>
      <c r="BF951" s="5"/>
      <c r="BH951" s="5"/>
      <c r="BJ951" s="5"/>
      <c r="BL951" s="5"/>
      <c r="BN951" s="5"/>
      <c r="BP951" s="5"/>
      <c r="BR951" s="5"/>
    </row>
    <row r="952" spans="1:70" x14ac:dyDescent="0.25">
      <c r="A952" s="3"/>
      <c r="AZ952" s="5"/>
      <c r="BB952" s="5"/>
      <c r="BD952" s="5"/>
      <c r="BF952" s="5"/>
      <c r="BH952" s="5"/>
      <c r="BJ952" s="5"/>
      <c r="BL952" s="5"/>
      <c r="BN952" s="5"/>
      <c r="BP952" s="5"/>
      <c r="BR952" s="5"/>
    </row>
    <row r="953" spans="1:70" x14ac:dyDescent="0.25">
      <c r="A953" s="3"/>
      <c r="AZ953" s="5"/>
      <c r="BB953" s="5"/>
      <c r="BD953" s="5"/>
      <c r="BF953" s="5"/>
      <c r="BH953" s="5"/>
      <c r="BJ953" s="5"/>
      <c r="BL953" s="5"/>
      <c r="BN953" s="5"/>
      <c r="BP953" s="5"/>
      <c r="BR953" s="5"/>
    </row>
    <row r="954" spans="1:70" x14ac:dyDescent="0.25">
      <c r="A954" s="3"/>
      <c r="AZ954" s="5"/>
      <c r="BB954" s="5"/>
      <c r="BD954" s="5"/>
      <c r="BF954" s="5"/>
      <c r="BH954" s="5"/>
      <c r="BJ954" s="5"/>
      <c r="BL954" s="5"/>
      <c r="BN954" s="5"/>
      <c r="BP954" s="5"/>
      <c r="BR954" s="5"/>
    </row>
    <row r="955" spans="1:70" x14ac:dyDescent="0.25">
      <c r="A955" s="3"/>
      <c r="AZ955" s="5"/>
      <c r="BB955" s="5"/>
      <c r="BD955" s="5"/>
      <c r="BF955" s="5"/>
      <c r="BH955" s="5"/>
      <c r="BJ955" s="5"/>
      <c r="BL955" s="5"/>
      <c r="BN955" s="5"/>
      <c r="BP955" s="5"/>
      <c r="BR955" s="5"/>
    </row>
    <row r="956" spans="1:70" x14ac:dyDescent="0.25">
      <c r="A956" s="3"/>
      <c r="AZ956" s="5"/>
      <c r="BB956" s="5"/>
      <c r="BD956" s="5"/>
      <c r="BF956" s="5"/>
      <c r="BH956" s="5"/>
      <c r="BJ956" s="5"/>
      <c r="BL956" s="5"/>
      <c r="BN956" s="5"/>
      <c r="BP956" s="5"/>
      <c r="BR956" s="5"/>
    </row>
    <row r="957" spans="1:70" x14ac:dyDescent="0.25">
      <c r="A957" s="3"/>
      <c r="AZ957" s="5"/>
      <c r="BB957" s="5"/>
      <c r="BD957" s="5"/>
      <c r="BF957" s="5"/>
      <c r="BH957" s="5"/>
      <c r="BJ957" s="5"/>
      <c r="BL957" s="5"/>
      <c r="BN957" s="5"/>
      <c r="BP957" s="5"/>
      <c r="BR957" s="5"/>
    </row>
    <row r="958" spans="1:70" x14ac:dyDescent="0.25">
      <c r="A958" s="3"/>
      <c r="AZ958" s="5"/>
      <c r="BB958" s="5"/>
      <c r="BD958" s="5"/>
      <c r="BF958" s="5"/>
      <c r="BH958" s="5"/>
      <c r="BJ958" s="5"/>
      <c r="BL958" s="5"/>
      <c r="BN958" s="5"/>
      <c r="BP958" s="5"/>
      <c r="BR958" s="5"/>
    </row>
    <row r="959" spans="1:70" x14ac:dyDescent="0.25">
      <c r="A959" s="3"/>
      <c r="AZ959" s="5"/>
      <c r="BB959" s="5"/>
      <c r="BD959" s="5"/>
      <c r="BF959" s="5"/>
      <c r="BH959" s="5"/>
      <c r="BJ959" s="5"/>
      <c r="BL959" s="5"/>
      <c r="BN959" s="5"/>
      <c r="BP959" s="5"/>
      <c r="BR959" s="5"/>
    </row>
    <row r="960" spans="1:70" x14ac:dyDescent="0.25">
      <c r="A960" s="3"/>
      <c r="AZ960" s="5"/>
      <c r="BB960" s="5"/>
      <c r="BD960" s="5"/>
      <c r="BF960" s="5"/>
      <c r="BH960" s="5"/>
      <c r="BJ960" s="5"/>
      <c r="BL960" s="5"/>
      <c r="BN960" s="5"/>
      <c r="BP960" s="5"/>
      <c r="BR960" s="5"/>
    </row>
    <row r="961" spans="1:70" x14ac:dyDescent="0.25">
      <c r="A961" s="3"/>
      <c r="AZ961" s="5"/>
      <c r="BB961" s="5"/>
      <c r="BD961" s="5"/>
      <c r="BF961" s="5"/>
      <c r="BH961" s="5"/>
      <c r="BJ961" s="5"/>
      <c r="BL961" s="5"/>
      <c r="BN961" s="5"/>
      <c r="BP961" s="5"/>
      <c r="BR961" s="5"/>
    </row>
    <row r="962" spans="1:70" x14ac:dyDescent="0.25">
      <c r="A962" s="3"/>
      <c r="AZ962" s="5"/>
      <c r="BB962" s="5"/>
      <c r="BD962" s="5"/>
      <c r="BF962" s="5"/>
      <c r="BH962" s="5"/>
      <c r="BJ962" s="5"/>
      <c r="BL962" s="5"/>
      <c r="BN962" s="5"/>
      <c r="BP962" s="5"/>
      <c r="BR962" s="5"/>
    </row>
    <row r="963" spans="1:70" x14ac:dyDescent="0.25">
      <c r="A963" s="3"/>
      <c r="AZ963" s="5"/>
      <c r="BB963" s="5"/>
      <c r="BD963" s="5"/>
      <c r="BF963" s="5"/>
      <c r="BH963" s="5"/>
      <c r="BJ963" s="5"/>
      <c r="BL963" s="5"/>
      <c r="BN963" s="5"/>
      <c r="BP963" s="5"/>
      <c r="BR963" s="5"/>
    </row>
    <row r="964" spans="1:70" x14ac:dyDescent="0.25">
      <c r="A964" s="3"/>
      <c r="AZ964" s="5"/>
      <c r="BB964" s="5"/>
      <c r="BD964" s="5"/>
      <c r="BF964" s="5"/>
      <c r="BH964" s="5"/>
      <c r="BJ964" s="5"/>
      <c r="BL964" s="5"/>
      <c r="BN964" s="5"/>
      <c r="BP964" s="5"/>
      <c r="BR964" s="5"/>
    </row>
    <row r="965" spans="1:70" x14ac:dyDescent="0.25">
      <c r="A965" s="3"/>
      <c r="AZ965" s="5"/>
      <c r="BB965" s="5"/>
      <c r="BD965" s="5"/>
      <c r="BF965" s="5"/>
      <c r="BH965" s="5"/>
      <c r="BJ965" s="5"/>
      <c r="BL965" s="5"/>
      <c r="BN965" s="5"/>
      <c r="BP965" s="5"/>
      <c r="BR965" s="5"/>
    </row>
    <row r="966" spans="1:70" x14ac:dyDescent="0.25">
      <c r="A966" s="3"/>
      <c r="AZ966" s="5"/>
      <c r="BB966" s="5"/>
      <c r="BD966" s="5"/>
      <c r="BF966" s="5"/>
      <c r="BH966" s="5"/>
      <c r="BJ966" s="5"/>
      <c r="BL966" s="5"/>
      <c r="BN966" s="5"/>
      <c r="BP966" s="5"/>
      <c r="BR966" s="5"/>
    </row>
    <row r="967" spans="1:70" x14ac:dyDescent="0.25">
      <c r="A967" s="3"/>
      <c r="AZ967" s="5"/>
      <c r="BB967" s="5"/>
      <c r="BD967" s="5"/>
      <c r="BF967" s="5"/>
      <c r="BH967" s="5"/>
      <c r="BJ967" s="5"/>
      <c r="BL967" s="5"/>
      <c r="BN967" s="5"/>
      <c r="BP967" s="5"/>
      <c r="BR967" s="5"/>
    </row>
    <row r="968" spans="1:70" x14ac:dyDescent="0.25">
      <c r="A968" s="3"/>
      <c r="AZ968" s="5"/>
      <c r="BB968" s="5"/>
      <c r="BD968" s="5"/>
      <c r="BF968" s="5"/>
      <c r="BH968" s="5"/>
      <c r="BJ968" s="5"/>
      <c r="BL968" s="5"/>
      <c r="BN968" s="5"/>
      <c r="BP968" s="5"/>
      <c r="BR968" s="5"/>
    </row>
    <row r="969" spans="1:70" x14ac:dyDescent="0.25">
      <c r="A969" s="3"/>
      <c r="AZ969" s="5"/>
      <c r="BB969" s="5"/>
      <c r="BD969" s="5"/>
      <c r="BF969" s="5"/>
      <c r="BH969" s="5"/>
      <c r="BJ969" s="5"/>
      <c r="BL969" s="5"/>
      <c r="BN969" s="5"/>
      <c r="BP969" s="5"/>
      <c r="BR969" s="5"/>
    </row>
    <row r="970" spans="1:70" x14ac:dyDescent="0.25">
      <c r="A970" s="3"/>
      <c r="AZ970" s="5"/>
      <c r="BB970" s="5"/>
      <c r="BD970" s="5"/>
      <c r="BF970" s="5"/>
      <c r="BH970" s="5"/>
      <c r="BJ970" s="5"/>
      <c r="BL970" s="5"/>
      <c r="BN970" s="5"/>
      <c r="BP970" s="5"/>
      <c r="BR970" s="5"/>
    </row>
    <row r="971" spans="1:70" x14ac:dyDescent="0.25">
      <c r="A971" s="3"/>
      <c r="AZ971" s="5"/>
      <c r="BB971" s="5"/>
      <c r="BD971" s="5"/>
      <c r="BF971" s="5"/>
      <c r="BH971" s="5"/>
      <c r="BJ971" s="5"/>
      <c r="BL971" s="5"/>
      <c r="BN971" s="5"/>
      <c r="BP971" s="5"/>
      <c r="BR971" s="5"/>
    </row>
    <row r="972" spans="1:70" x14ac:dyDescent="0.25">
      <c r="A972" s="3"/>
      <c r="AZ972" s="5"/>
      <c r="BB972" s="5"/>
      <c r="BD972" s="5"/>
      <c r="BF972" s="5"/>
      <c r="BH972" s="5"/>
      <c r="BJ972" s="5"/>
      <c r="BL972" s="5"/>
      <c r="BN972" s="5"/>
      <c r="BP972" s="5"/>
      <c r="BR972" s="5"/>
    </row>
    <row r="973" spans="1:70" x14ac:dyDescent="0.25">
      <c r="A973" s="3"/>
      <c r="AZ973" s="5"/>
      <c r="BB973" s="5"/>
      <c r="BD973" s="5"/>
      <c r="BF973" s="5"/>
      <c r="BH973" s="5"/>
      <c r="BJ973" s="5"/>
      <c r="BL973" s="5"/>
      <c r="BN973" s="5"/>
      <c r="BP973" s="5"/>
      <c r="BR973" s="5"/>
    </row>
    <row r="974" spans="1:70" x14ac:dyDescent="0.25">
      <c r="A974" s="3"/>
      <c r="AZ974" s="5"/>
      <c r="BB974" s="5"/>
      <c r="BD974" s="5"/>
      <c r="BF974" s="5"/>
      <c r="BH974" s="5"/>
      <c r="BJ974" s="5"/>
      <c r="BL974" s="5"/>
      <c r="BN974" s="5"/>
      <c r="BP974" s="5"/>
      <c r="BR974" s="5"/>
    </row>
    <row r="975" spans="1:70" x14ac:dyDescent="0.25">
      <c r="A975" s="3"/>
      <c r="AZ975" s="5"/>
      <c r="BB975" s="5"/>
      <c r="BD975" s="5"/>
      <c r="BF975" s="5"/>
      <c r="BH975" s="5"/>
      <c r="BJ975" s="5"/>
      <c r="BL975" s="5"/>
      <c r="BN975" s="5"/>
      <c r="BP975" s="5"/>
      <c r="BR975" s="5"/>
    </row>
    <row r="976" spans="1:70" x14ac:dyDescent="0.25">
      <c r="A976" s="3"/>
      <c r="AZ976" s="5"/>
      <c r="BB976" s="5"/>
      <c r="BD976" s="5"/>
      <c r="BF976" s="5"/>
      <c r="BH976" s="5"/>
      <c r="BJ976" s="5"/>
      <c r="BL976" s="5"/>
      <c r="BN976" s="5"/>
      <c r="BP976" s="5"/>
      <c r="BR976" s="5"/>
    </row>
    <row r="977" spans="1:70" x14ac:dyDescent="0.25">
      <c r="A977" s="3"/>
      <c r="AZ977" s="5"/>
      <c r="BB977" s="5"/>
      <c r="BD977" s="5"/>
      <c r="BF977" s="5"/>
      <c r="BH977" s="5"/>
      <c r="BJ977" s="5"/>
      <c r="BL977" s="5"/>
      <c r="BN977" s="5"/>
      <c r="BP977" s="5"/>
      <c r="BR977" s="5"/>
    </row>
    <row r="978" spans="1:70" x14ac:dyDescent="0.25">
      <c r="A978" s="3"/>
      <c r="AZ978" s="5"/>
      <c r="BB978" s="5"/>
      <c r="BD978" s="5"/>
      <c r="BF978" s="5"/>
      <c r="BH978" s="5"/>
      <c r="BJ978" s="5"/>
      <c r="BL978" s="5"/>
      <c r="BN978" s="5"/>
      <c r="BP978" s="5"/>
      <c r="BR978" s="5"/>
    </row>
    <row r="979" spans="1:70" x14ac:dyDescent="0.25">
      <c r="A979" s="3"/>
      <c r="AZ979" s="5"/>
      <c r="BB979" s="5"/>
      <c r="BD979" s="5"/>
      <c r="BF979" s="5"/>
      <c r="BH979" s="5"/>
      <c r="BJ979" s="5"/>
      <c r="BL979" s="5"/>
      <c r="BN979" s="5"/>
      <c r="BP979" s="5"/>
      <c r="BR979" s="5"/>
    </row>
    <row r="980" spans="1:70" x14ac:dyDescent="0.25">
      <c r="A980" s="3"/>
      <c r="AZ980" s="5"/>
      <c r="BB980" s="5"/>
      <c r="BD980" s="5"/>
      <c r="BF980" s="5"/>
      <c r="BH980" s="5"/>
      <c r="BJ980" s="5"/>
      <c r="BL980" s="5"/>
      <c r="BN980" s="5"/>
      <c r="BP980" s="5"/>
      <c r="BR980" s="5"/>
    </row>
    <row r="981" spans="1:70" x14ac:dyDescent="0.25">
      <c r="A981" s="3"/>
      <c r="AZ981" s="5"/>
      <c r="BB981" s="5"/>
      <c r="BD981" s="5"/>
      <c r="BF981" s="5"/>
      <c r="BH981" s="5"/>
      <c r="BJ981" s="5"/>
      <c r="BL981" s="5"/>
      <c r="BN981" s="5"/>
      <c r="BP981" s="5"/>
      <c r="BR981" s="5"/>
    </row>
    <row r="982" spans="1:70" x14ac:dyDescent="0.25">
      <c r="A982" s="3"/>
      <c r="AZ982" s="5"/>
      <c r="BB982" s="5"/>
      <c r="BD982" s="5"/>
      <c r="BF982" s="5"/>
      <c r="BH982" s="5"/>
      <c r="BJ982" s="5"/>
      <c r="BL982" s="5"/>
      <c r="BN982" s="5"/>
      <c r="BP982" s="5"/>
      <c r="BR982" s="5"/>
    </row>
    <row r="983" spans="1:70" x14ac:dyDescent="0.25">
      <c r="A983" s="3"/>
      <c r="AZ983" s="5"/>
      <c r="BB983" s="5"/>
      <c r="BD983" s="5"/>
      <c r="BF983" s="5"/>
      <c r="BH983" s="5"/>
      <c r="BJ983" s="5"/>
      <c r="BL983" s="5"/>
      <c r="BN983" s="5"/>
      <c r="BP983" s="5"/>
      <c r="BR983" s="5"/>
    </row>
    <row r="984" spans="1:70" x14ac:dyDescent="0.25">
      <c r="A984" s="3"/>
      <c r="AZ984" s="5"/>
      <c r="BB984" s="5"/>
      <c r="BD984" s="5"/>
      <c r="BF984" s="5"/>
      <c r="BH984" s="5"/>
      <c r="BJ984" s="5"/>
      <c r="BL984" s="5"/>
      <c r="BN984" s="5"/>
      <c r="BP984" s="5"/>
      <c r="BR984" s="5"/>
    </row>
    <row r="985" spans="1:70" x14ac:dyDescent="0.25">
      <c r="A985" s="3"/>
      <c r="AZ985" s="5"/>
      <c r="BB985" s="5"/>
      <c r="BD985" s="5"/>
      <c r="BF985" s="5"/>
      <c r="BH985" s="5"/>
      <c r="BJ985" s="5"/>
      <c r="BL985" s="5"/>
      <c r="BN985" s="5"/>
      <c r="BP985" s="5"/>
      <c r="BR985" s="5"/>
    </row>
    <row r="986" spans="1:70" x14ac:dyDescent="0.25">
      <c r="A986" s="3"/>
      <c r="AZ986" s="5"/>
      <c r="BB986" s="5"/>
      <c r="BD986" s="5"/>
      <c r="BF986" s="5"/>
      <c r="BH986" s="5"/>
      <c r="BJ986" s="5"/>
      <c r="BL986" s="5"/>
      <c r="BN986" s="5"/>
      <c r="BP986" s="5"/>
      <c r="BR986" s="5"/>
    </row>
    <row r="987" spans="1:70" x14ac:dyDescent="0.25">
      <c r="A987" s="3"/>
      <c r="AZ987" s="5"/>
      <c r="BB987" s="5"/>
      <c r="BD987" s="5"/>
      <c r="BF987" s="5"/>
      <c r="BH987" s="5"/>
      <c r="BJ987" s="5"/>
      <c r="BL987" s="5"/>
      <c r="BN987" s="5"/>
      <c r="BP987" s="5"/>
      <c r="BR987" s="5"/>
    </row>
    <row r="988" spans="1:70" x14ac:dyDescent="0.25">
      <c r="A988" s="3"/>
      <c r="AZ988" s="5"/>
      <c r="BB988" s="5"/>
      <c r="BD988" s="5"/>
      <c r="BF988" s="5"/>
      <c r="BH988" s="5"/>
      <c r="BJ988" s="5"/>
      <c r="BL988" s="5"/>
      <c r="BN988" s="5"/>
      <c r="BP988" s="5"/>
      <c r="BR988" s="5"/>
    </row>
    <row r="989" spans="1:70" x14ac:dyDescent="0.25">
      <c r="A989" s="3"/>
      <c r="AZ989" s="5"/>
      <c r="BB989" s="5"/>
      <c r="BD989" s="5"/>
      <c r="BF989" s="5"/>
      <c r="BH989" s="5"/>
      <c r="BJ989" s="5"/>
      <c r="BL989" s="5"/>
      <c r="BN989" s="5"/>
      <c r="BP989" s="5"/>
      <c r="BR989" s="5"/>
    </row>
    <row r="990" spans="1:70" x14ac:dyDescent="0.25">
      <c r="A990" s="3"/>
      <c r="AZ990" s="5"/>
      <c r="BB990" s="5"/>
      <c r="BD990" s="5"/>
      <c r="BF990" s="5"/>
      <c r="BH990" s="5"/>
      <c r="BJ990" s="5"/>
      <c r="BL990" s="5"/>
      <c r="BN990" s="5"/>
      <c r="BP990" s="5"/>
      <c r="BR990" s="5"/>
    </row>
    <row r="991" spans="1:70" x14ac:dyDescent="0.25">
      <c r="A991" s="3"/>
      <c r="AZ991" s="5"/>
      <c r="BB991" s="5"/>
      <c r="BD991" s="5"/>
      <c r="BF991" s="5"/>
      <c r="BH991" s="5"/>
      <c r="BJ991" s="5"/>
      <c r="BL991" s="5"/>
      <c r="BN991" s="5"/>
      <c r="BP991" s="5"/>
      <c r="BR991" s="5"/>
    </row>
    <row r="992" spans="1:70" x14ac:dyDescent="0.25">
      <c r="A992" s="3"/>
      <c r="AZ992" s="5"/>
      <c r="BB992" s="5"/>
      <c r="BD992" s="5"/>
      <c r="BF992" s="5"/>
      <c r="BH992" s="5"/>
      <c r="BJ992" s="5"/>
      <c r="BL992" s="5"/>
      <c r="BN992" s="5"/>
      <c r="BP992" s="5"/>
      <c r="BR992" s="5"/>
    </row>
    <row r="993" spans="1:70" x14ac:dyDescent="0.25">
      <c r="A993" s="3"/>
      <c r="AZ993" s="5"/>
      <c r="BB993" s="5"/>
      <c r="BD993" s="5"/>
      <c r="BF993" s="5"/>
      <c r="BH993" s="5"/>
      <c r="BJ993" s="5"/>
      <c r="BL993" s="5"/>
      <c r="BN993" s="5"/>
      <c r="BP993" s="5"/>
      <c r="BR993" s="5"/>
    </row>
    <row r="994" spans="1:70" x14ac:dyDescent="0.25">
      <c r="A994" s="3"/>
      <c r="AZ994" s="5"/>
      <c r="BB994" s="5"/>
      <c r="BD994" s="5"/>
      <c r="BF994" s="5"/>
      <c r="BH994" s="5"/>
      <c r="BJ994" s="5"/>
      <c r="BL994" s="5"/>
      <c r="BN994" s="5"/>
      <c r="BP994" s="5"/>
      <c r="BR994" s="5"/>
    </row>
    <row r="995" spans="1:70" x14ac:dyDescent="0.25">
      <c r="A995" s="3"/>
      <c r="AZ995" s="5"/>
      <c r="BB995" s="5"/>
      <c r="BD995" s="5"/>
      <c r="BF995" s="5"/>
      <c r="BH995" s="5"/>
      <c r="BJ995" s="5"/>
      <c r="BL995" s="5"/>
      <c r="BN995" s="5"/>
      <c r="BP995" s="5"/>
      <c r="BR995" s="5"/>
    </row>
    <row r="996" spans="1:70" x14ac:dyDescent="0.25">
      <c r="A996" s="3"/>
      <c r="AZ996" s="5"/>
      <c r="BB996" s="5"/>
      <c r="BD996" s="5"/>
      <c r="BF996" s="5"/>
      <c r="BH996" s="5"/>
      <c r="BJ996" s="5"/>
      <c r="BL996" s="5"/>
      <c r="BN996" s="5"/>
      <c r="BP996" s="5"/>
      <c r="BR996" s="5"/>
    </row>
    <row r="997" spans="1:70" x14ac:dyDescent="0.25">
      <c r="A997" s="3"/>
      <c r="AZ997" s="5"/>
      <c r="BB997" s="5"/>
      <c r="BD997" s="5"/>
      <c r="BF997" s="5"/>
      <c r="BH997" s="5"/>
      <c r="BJ997" s="5"/>
      <c r="BL997" s="5"/>
      <c r="BN997" s="5"/>
      <c r="BP997" s="5"/>
      <c r="BR997" s="5"/>
    </row>
    <row r="998" spans="1:70" x14ac:dyDescent="0.25">
      <c r="A998" s="3"/>
      <c r="AZ998" s="5"/>
      <c r="BB998" s="5"/>
      <c r="BD998" s="5"/>
      <c r="BF998" s="5"/>
      <c r="BH998" s="5"/>
      <c r="BJ998" s="5"/>
      <c r="BL998" s="5"/>
      <c r="BN998" s="5"/>
      <c r="BP998" s="5"/>
      <c r="BR998" s="5"/>
    </row>
    <row r="999" spans="1:70" x14ac:dyDescent="0.25">
      <c r="A999" s="3"/>
      <c r="AZ999" s="5"/>
      <c r="BB999" s="5"/>
      <c r="BD999" s="5"/>
      <c r="BF999" s="5"/>
      <c r="BH999" s="5"/>
      <c r="BJ999" s="5"/>
      <c r="BL999" s="5"/>
      <c r="BN999" s="5"/>
      <c r="BP999" s="5"/>
      <c r="BR999" s="5"/>
    </row>
    <row r="1000" spans="1:70" x14ac:dyDescent="0.25">
      <c r="A1000" s="3"/>
      <c r="AZ1000" s="5"/>
      <c r="BB1000" s="5"/>
      <c r="BD1000" s="5"/>
      <c r="BF1000" s="5"/>
      <c r="BH1000" s="5"/>
      <c r="BJ1000" s="5"/>
      <c r="BL1000" s="5"/>
      <c r="BN1000" s="5"/>
      <c r="BP1000" s="5"/>
      <c r="BR1000" s="5"/>
    </row>
    <row r="1001" spans="1:70" x14ac:dyDescent="0.25">
      <c r="A1001" s="3"/>
      <c r="AZ1001" s="5"/>
      <c r="BB1001" s="5"/>
      <c r="BD1001" s="5"/>
      <c r="BF1001" s="5"/>
      <c r="BH1001" s="5"/>
      <c r="BJ1001" s="5"/>
      <c r="BL1001" s="5"/>
      <c r="BN1001" s="5"/>
      <c r="BP1001" s="5"/>
      <c r="BR1001" s="5"/>
    </row>
    <row r="1002" spans="1:70" x14ac:dyDescent="0.25">
      <c r="A1002" s="3"/>
      <c r="AZ1002" s="5"/>
      <c r="BB1002" s="5"/>
      <c r="BD1002" s="5"/>
      <c r="BF1002" s="5"/>
      <c r="BH1002" s="5"/>
      <c r="BJ1002" s="5"/>
      <c r="BL1002" s="5"/>
      <c r="BN1002" s="5"/>
      <c r="BP1002" s="5"/>
      <c r="BR1002" s="5"/>
    </row>
    <row r="1003" spans="1:70" x14ac:dyDescent="0.25">
      <c r="A1003" s="3"/>
      <c r="AZ1003" s="5"/>
      <c r="BB1003" s="5"/>
      <c r="BD1003" s="5"/>
      <c r="BF1003" s="5"/>
      <c r="BH1003" s="5"/>
      <c r="BJ1003" s="5"/>
      <c r="BL1003" s="5"/>
      <c r="BN1003" s="5"/>
      <c r="BP1003" s="5"/>
      <c r="BR1003" s="5"/>
    </row>
    <row r="1004" spans="1:70" x14ac:dyDescent="0.25">
      <c r="A1004" s="3"/>
      <c r="AZ1004" s="5"/>
      <c r="BB1004" s="5"/>
      <c r="BD1004" s="5"/>
      <c r="BF1004" s="5"/>
      <c r="BH1004" s="5"/>
      <c r="BJ1004" s="5"/>
      <c r="BL1004" s="5"/>
      <c r="BN1004" s="5"/>
      <c r="BP1004" s="5"/>
      <c r="BR1004" s="5"/>
    </row>
    <row r="1005" spans="1:70" x14ac:dyDescent="0.25">
      <c r="A1005" s="3"/>
      <c r="AZ1005" s="5"/>
      <c r="BB1005" s="5"/>
      <c r="BD1005" s="5"/>
      <c r="BF1005" s="5"/>
      <c r="BH1005" s="5"/>
      <c r="BJ1005" s="5"/>
      <c r="BL1005" s="5"/>
      <c r="BN1005" s="5"/>
      <c r="BP1005" s="5"/>
      <c r="BR1005" s="5"/>
    </row>
    <row r="1006" spans="1:70" x14ac:dyDescent="0.25">
      <c r="A1006" s="3"/>
      <c r="AZ1006" s="5"/>
      <c r="BB1006" s="5"/>
      <c r="BD1006" s="5"/>
      <c r="BF1006" s="5"/>
      <c r="BH1006" s="5"/>
      <c r="BJ1006" s="5"/>
      <c r="BL1006" s="5"/>
      <c r="BN1006" s="5"/>
      <c r="BP1006" s="5"/>
      <c r="BR1006" s="5"/>
    </row>
    <row r="1007" spans="1:70" x14ac:dyDescent="0.25">
      <c r="A1007" s="3"/>
      <c r="AZ1007" s="5"/>
      <c r="BB1007" s="5"/>
      <c r="BD1007" s="5"/>
      <c r="BF1007" s="5"/>
      <c r="BH1007" s="5"/>
      <c r="BJ1007" s="5"/>
      <c r="BL1007" s="5"/>
      <c r="BN1007" s="5"/>
      <c r="BP1007" s="5"/>
      <c r="BR1007" s="5"/>
    </row>
    <row r="1008" spans="1:70" x14ac:dyDescent="0.25">
      <c r="A1008" s="3"/>
      <c r="AZ1008" s="5"/>
      <c r="BB1008" s="5"/>
      <c r="BD1008" s="5"/>
      <c r="BF1008" s="5"/>
      <c r="BH1008" s="5"/>
      <c r="BJ1008" s="5"/>
      <c r="BL1008" s="5"/>
      <c r="BN1008" s="5"/>
      <c r="BP1008" s="5"/>
      <c r="BR1008" s="5"/>
    </row>
    <row r="1009" spans="1:70" x14ac:dyDescent="0.25">
      <c r="A1009" s="3"/>
      <c r="AZ1009" s="5"/>
      <c r="BB1009" s="5"/>
      <c r="BD1009" s="5"/>
      <c r="BF1009" s="5"/>
      <c r="BH1009" s="5"/>
      <c r="BJ1009" s="5"/>
      <c r="BL1009" s="5"/>
      <c r="BN1009" s="5"/>
      <c r="BP1009" s="5"/>
      <c r="BR1009" s="5"/>
    </row>
    <row r="1010" spans="1:70" x14ac:dyDescent="0.25">
      <c r="A1010" s="3"/>
      <c r="AZ1010" s="5"/>
      <c r="BB1010" s="5"/>
      <c r="BD1010" s="5"/>
      <c r="BF1010" s="5"/>
      <c r="BH1010" s="5"/>
      <c r="BJ1010" s="5"/>
      <c r="BL1010" s="5"/>
      <c r="BN1010" s="5"/>
      <c r="BP1010" s="5"/>
      <c r="BR1010" s="5"/>
    </row>
    <row r="1011" spans="1:70" x14ac:dyDescent="0.25">
      <c r="A1011" s="3"/>
      <c r="AZ1011" s="5"/>
      <c r="BB1011" s="5"/>
      <c r="BD1011" s="5"/>
      <c r="BF1011" s="5"/>
      <c r="BH1011" s="5"/>
      <c r="BJ1011" s="5"/>
      <c r="BL1011" s="5"/>
      <c r="BN1011" s="5"/>
      <c r="BP1011" s="5"/>
      <c r="BR1011" s="5"/>
    </row>
    <row r="1012" spans="1:70" x14ac:dyDescent="0.25">
      <c r="A1012" s="3"/>
      <c r="AZ1012" s="5"/>
      <c r="BB1012" s="5"/>
      <c r="BD1012" s="5"/>
      <c r="BF1012" s="5"/>
      <c r="BH1012" s="5"/>
      <c r="BJ1012" s="5"/>
      <c r="BL1012" s="5"/>
      <c r="BN1012" s="5"/>
      <c r="BP1012" s="5"/>
      <c r="BR1012" s="5"/>
    </row>
    <row r="1013" spans="1:70" x14ac:dyDescent="0.25">
      <c r="A1013" s="3"/>
      <c r="AZ1013" s="5"/>
      <c r="BB1013" s="5"/>
      <c r="BD1013" s="5"/>
      <c r="BF1013" s="5"/>
      <c r="BH1013" s="5"/>
      <c r="BJ1013" s="5"/>
      <c r="BL1013" s="5"/>
      <c r="BN1013" s="5"/>
      <c r="BP1013" s="5"/>
      <c r="BR1013" s="5"/>
    </row>
    <row r="1014" spans="1:70" x14ac:dyDescent="0.25">
      <c r="A1014" s="3"/>
      <c r="AZ1014" s="5"/>
      <c r="BB1014" s="5"/>
      <c r="BD1014" s="5"/>
      <c r="BF1014" s="5"/>
      <c r="BH1014" s="5"/>
      <c r="BJ1014" s="5"/>
      <c r="BL1014" s="5"/>
      <c r="BN1014" s="5"/>
      <c r="BP1014" s="5"/>
      <c r="BR1014" s="5"/>
    </row>
    <row r="1015" spans="1:70" x14ac:dyDescent="0.25">
      <c r="A1015" s="3"/>
      <c r="AZ1015" s="5"/>
      <c r="BB1015" s="5"/>
      <c r="BD1015" s="5"/>
      <c r="BF1015" s="5"/>
      <c r="BH1015" s="5"/>
      <c r="BJ1015" s="5"/>
      <c r="BL1015" s="5"/>
      <c r="BN1015" s="5"/>
      <c r="BP1015" s="5"/>
      <c r="BR1015" s="5"/>
    </row>
    <row r="1016" spans="1:70" x14ac:dyDescent="0.25">
      <c r="A1016" s="3"/>
      <c r="AZ1016" s="5"/>
      <c r="BB1016" s="5"/>
      <c r="BD1016" s="5"/>
      <c r="BF1016" s="5"/>
      <c r="BH1016" s="5"/>
      <c r="BJ1016" s="5"/>
      <c r="BL1016" s="5"/>
      <c r="BN1016" s="5"/>
      <c r="BP1016" s="5"/>
      <c r="BR1016" s="5"/>
    </row>
    <row r="1017" spans="1:70" x14ac:dyDescent="0.25">
      <c r="A1017" s="3"/>
      <c r="AZ1017" s="5"/>
      <c r="BB1017" s="5"/>
      <c r="BD1017" s="5"/>
      <c r="BF1017" s="5"/>
      <c r="BH1017" s="5"/>
      <c r="BJ1017" s="5"/>
      <c r="BL1017" s="5"/>
      <c r="BN1017" s="5"/>
      <c r="BP1017" s="5"/>
      <c r="BR1017" s="5"/>
    </row>
    <row r="1018" spans="1:70" x14ac:dyDescent="0.25">
      <c r="A1018" s="3"/>
      <c r="AZ1018" s="5"/>
      <c r="BB1018" s="5"/>
      <c r="BD1018" s="5"/>
      <c r="BF1018" s="5"/>
      <c r="BH1018" s="5"/>
      <c r="BJ1018" s="5"/>
      <c r="BL1018" s="5"/>
      <c r="BN1018" s="5"/>
      <c r="BP1018" s="5"/>
      <c r="BR1018" s="5"/>
    </row>
    <row r="1019" spans="1:70" x14ac:dyDescent="0.25">
      <c r="A1019" s="3"/>
      <c r="AZ1019" s="5"/>
      <c r="BB1019" s="5"/>
      <c r="BD1019" s="5"/>
      <c r="BF1019" s="5"/>
      <c r="BH1019" s="5"/>
      <c r="BJ1019" s="5"/>
      <c r="BL1019" s="5"/>
      <c r="BN1019" s="5"/>
      <c r="BP1019" s="5"/>
      <c r="BR1019" s="5"/>
    </row>
    <row r="1020" spans="1:70" x14ac:dyDescent="0.25">
      <c r="A1020" s="3"/>
      <c r="AZ1020" s="5"/>
      <c r="BB1020" s="5"/>
      <c r="BD1020" s="5"/>
      <c r="BF1020" s="5"/>
      <c r="BH1020" s="5"/>
      <c r="BJ1020" s="5"/>
      <c r="BL1020" s="5"/>
      <c r="BN1020" s="5"/>
      <c r="BP1020" s="5"/>
      <c r="BR1020" s="5"/>
    </row>
    <row r="1021" spans="1:70" x14ac:dyDescent="0.25">
      <c r="A1021" s="3"/>
      <c r="AZ1021" s="5"/>
      <c r="BB1021" s="5"/>
      <c r="BD1021" s="5"/>
      <c r="BF1021" s="5"/>
      <c r="BH1021" s="5"/>
      <c r="BJ1021" s="5"/>
      <c r="BL1021" s="5"/>
      <c r="BN1021" s="5"/>
      <c r="BP1021" s="5"/>
      <c r="BR1021" s="5"/>
    </row>
    <row r="1022" spans="1:70" x14ac:dyDescent="0.25">
      <c r="A1022" s="3"/>
      <c r="AZ1022" s="5"/>
      <c r="BB1022" s="5"/>
      <c r="BD1022" s="5"/>
      <c r="BF1022" s="5"/>
      <c r="BH1022" s="5"/>
      <c r="BJ1022" s="5"/>
      <c r="BL1022" s="5"/>
      <c r="BN1022" s="5"/>
      <c r="BP1022" s="5"/>
      <c r="BR1022" s="5"/>
    </row>
    <row r="1023" spans="1:70" x14ac:dyDescent="0.25">
      <c r="A1023" s="3"/>
      <c r="AZ1023" s="5"/>
      <c r="BB1023" s="5"/>
      <c r="BD1023" s="5"/>
      <c r="BF1023" s="5"/>
      <c r="BH1023" s="5"/>
      <c r="BJ1023" s="5"/>
      <c r="BL1023" s="5"/>
      <c r="BN1023" s="5"/>
      <c r="BP1023" s="5"/>
      <c r="BR1023" s="5"/>
    </row>
    <row r="1024" spans="1:70" x14ac:dyDescent="0.25">
      <c r="A1024" s="3"/>
      <c r="AZ1024" s="5"/>
      <c r="BB1024" s="5"/>
      <c r="BD1024" s="5"/>
      <c r="BF1024" s="5"/>
      <c r="BH1024" s="5"/>
      <c r="BJ1024" s="5"/>
      <c r="BL1024" s="5"/>
      <c r="BN1024" s="5"/>
      <c r="BP1024" s="5"/>
      <c r="BR1024" s="5"/>
    </row>
    <row r="1025" spans="1:70" x14ac:dyDescent="0.25">
      <c r="A1025" s="3"/>
      <c r="AZ1025" s="5"/>
      <c r="BB1025" s="5"/>
      <c r="BD1025" s="5"/>
      <c r="BF1025" s="5"/>
      <c r="BH1025" s="5"/>
      <c r="BJ1025" s="5"/>
      <c r="BL1025" s="5"/>
      <c r="BN1025" s="5"/>
      <c r="BP1025" s="5"/>
      <c r="BR1025" s="5"/>
    </row>
    <row r="1026" spans="1:70" x14ac:dyDescent="0.25">
      <c r="A1026" s="3"/>
      <c r="AZ1026" s="5"/>
      <c r="BB1026" s="5"/>
      <c r="BD1026" s="5"/>
      <c r="BF1026" s="5"/>
      <c r="BH1026" s="5"/>
      <c r="BJ1026" s="5"/>
      <c r="BL1026" s="5"/>
      <c r="BN1026" s="5"/>
      <c r="BP1026" s="5"/>
      <c r="BR1026" s="5"/>
    </row>
    <row r="1027" spans="1:70" x14ac:dyDescent="0.25">
      <c r="A1027" s="3"/>
      <c r="AZ1027" s="5"/>
      <c r="BB1027" s="5"/>
      <c r="BD1027" s="5"/>
      <c r="BF1027" s="5"/>
      <c r="BH1027" s="5"/>
      <c r="BJ1027" s="5"/>
      <c r="BL1027" s="5"/>
      <c r="BN1027" s="5"/>
      <c r="BP1027" s="5"/>
      <c r="BR1027" s="5"/>
    </row>
    <row r="1028" spans="1:70" x14ac:dyDescent="0.25">
      <c r="A1028" s="3"/>
      <c r="AZ1028" s="5"/>
      <c r="BB1028" s="5"/>
      <c r="BD1028" s="5"/>
      <c r="BF1028" s="5"/>
      <c r="BH1028" s="5"/>
      <c r="BJ1028" s="5"/>
      <c r="BL1028" s="5"/>
      <c r="BN1028" s="5"/>
      <c r="BP1028" s="5"/>
      <c r="BR1028" s="5"/>
    </row>
    <row r="1029" spans="1:70" x14ac:dyDescent="0.25">
      <c r="A1029" s="3"/>
      <c r="AZ1029" s="5"/>
      <c r="BB1029" s="5"/>
      <c r="BD1029" s="5"/>
      <c r="BF1029" s="5"/>
      <c r="BH1029" s="5"/>
      <c r="BJ1029" s="5"/>
      <c r="BL1029" s="5"/>
      <c r="BN1029" s="5"/>
      <c r="BP1029" s="5"/>
      <c r="BR1029" s="5"/>
    </row>
    <row r="1030" spans="1:70" x14ac:dyDescent="0.25">
      <c r="A1030" s="3"/>
      <c r="AZ1030" s="5"/>
      <c r="BB1030" s="5"/>
      <c r="BD1030" s="5"/>
      <c r="BF1030" s="5"/>
      <c r="BH1030" s="5"/>
      <c r="BJ1030" s="5"/>
      <c r="BL1030" s="5"/>
      <c r="BN1030" s="5"/>
      <c r="BP1030" s="5"/>
      <c r="BR1030" s="5"/>
    </row>
    <row r="1031" spans="1:70" x14ac:dyDescent="0.25">
      <c r="A1031" s="3"/>
      <c r="AZ1031" s="5"/>
      <c r="BB1031" s="5"/>
      <c r="BD1031" s="5"/>
      <c r="BF1031" s="5"/>
      <c r="BH1031" s="5"/>
      <c r="BJ1031" s="5"/>
      <c r="BL1031" s="5"/>
      <c r="BN1031" s="5"/>
      <c r="BP1031" s="5"/>
      <c r="BR1031" s="5"/>
    </row>
    <row r="1032" spans="1:70" x14ac:dyDescent="0.25">
      <c r="A1032" s="3"/>
      <c r="AZ1032" s="5"/>
      <c r="BB1032" s="5"/>
      <c r="BD1032" s="5"/>
      <c r="BF1032" s="5"/>
      <c r="BH1032" s="5"/>
      <c r="BJ1032" s="5"/>
      <c r="BL1032" s="5"/>
      <c r="BN1032" s="5"/>
      <c r="BP1032" s="5"/>
      <c r="BR1032" s="5"/>
    </row>
    <row r="1033" spans="1:70" x14ac:dyDescent="0.25">
      <c r="A1033" s="3"/>
      <c r="AZ1033" s="5"/>
      <c r="BB1033" s="5"/>
      <c r="BD1033" s="5"/>
      <c r="BF1033" s="5"/>
      <c r="BH1033" s="5"/>
      <c r="BJ1033" s="5"/>
      <c r="BL1033" s="5"/>
      <c r="BN1033" s="5"/>
      <c r="BP1033" s="5"/>
      <c r="BR1033" s="5"/>
    </row>
    <row r="1034" spans="1:70" x14ac:dyDescent="0.25">
      <c r="A1034" s="3"/>
      <c r="AZ1034" s="5"/>
      <c r="BB1034" s="5"/>
      <c r="BD1034" s="5"/>
      <c r="BF1034" s="5"/>
      <c r="BH1034" s="5"/>
      <c r="BJ1034" s="5"/>
      <c r="BL1034" s="5"/>
      <c r="BN1034" s="5"/>
      <c r="BP1034" s="5"/>
      <c r="BR1034" s="5"/>
    </row>
    <row r="1035" spans="1:70" x14ac:dyDescent="0.25">
      <c r="A1035" s="3"/>
      <c r="AZ1035" s="5"/>
      <c r="BB1035" s="5"/>
      <c r="BD1035" s="5"/>
      <c r="BF1035" s="5"/>
      <c r="BH1035" s="5"/>
      <c r="BJ1035" s="5"/>
      <c r="BL1035" s="5"/>
      <c r="BN1035" s="5"/>
      <c r="BP1035" s="5"/>
      <c r="BR1035" s="5"/>
    </row>
    <row r="1036" spans="1:70" x14ac:dyDescent="0.25">
      <c r="A1036" s="3"/>
      <c r="AZ1036" s="5"/>
      <c r="BB1036" s="5"/>
      <c r="BD1036" s="5"/>
      <c r="BF1036" s="5"/>
      <c r="BH1036" s="5"/>
      <c r="BJ1036" s="5"/>
      <c r="BL1036" s="5"/>
      <c r="BN1036" s="5"/>
      <c r="BP1036" s="5"/>
      <c r="BR1036" s="5"/>
    </row>
    <row r="1037" spans="1:70" x14ac:dyDescent="0.25">
      <c r="A1037" s="3"/>
      <c r="AZ1037" s="5"/>
      <c r="BB1037" s="5"/>
      <c r="BD1037" s="5"/>
      <c r="BF1037" s="5"/>
      <c r="BH1037" s="5"/>
      <c r="BJ1037" s="5"/>
      <c r="BL1037" s="5"/>
      <c r="BN1037" s="5"/>
      <c r="BP1037" s="5"/>
      <c r="BR1037" s="5"/>
    </row>
    <row r="1038" spans="1:70" x14ac:dyDescent="0.25">
      <c r="A1038" s="3"/>
      <c r="AZ1038" s="5"/>
      <c r="BB1038" s="5"/>
      <c r="BD1038" s="5"/>
      <c r="BF1038" s="5"/>
      <c r="BH1038" s="5"/>
      <c r="BJ1038" s="5"/>
      <c r="BL1038" s="5"/>
      <c r="BN1038" s="5"/>
      <c r="BP1038" s="5"/>
      <c r="BR1038" s="5"/>
    </row>
    <row r="1039" spans="1:70" x14ac:dyDescent="0.25">
      <c r="A1039" s="3"/>
      <c r="AZ1039" s="5"/>
      <c r="BB1039" s="5"/>
      <c r="BD1039" s="5"/>
      <c r="BF1039" s="5"/>
      <c r="BH1039" s="5"/>
      <c r="BJ1039" s="5"/>
      <c r="BL1039" s="5"/>
      <c r="BN1039" s="5"/>
      <c r="BP1039" s="5"/>
      <c r="BR1039" s="5"/>
    </row>
    <row r="1040" spans="1:70" x14ac:dyDescent="0.25">
      <c r="A1040" s="3"/>
      <c r="AZ1040" s="5"/>
      <c r="BB1040" s="5"/>
      <c r="BD1040" s="5"/>
      <c r="BF1040" s="5"/>
      <c r="BH1040" s="5"/>
      <c r="BJ1040" s="5"/>
      <c r="BL1040" s="5"/>
      <c r="BN1040" s="5"/>
      <c r="BP1040" s="5"/>
      <c r="BR1040" s="5"/>
    </row>
    <row r="1041" spans="1:70" x14ac:dyDescent="0.25">
      <c r="A1041" s="3"/>
      <c r="AZ1041" s="5"/>
      <c r="BB1041" s="5"/>
      <c r="BD1041" s="5"/>
      <c r="BF1041" s="5"/>
      <c r="BH1041" s="5"/>
      <c r="BJ1041" s="5"/>
      <c r="BL1041" s="5"/>
      <c r="BN1041" s="5"/>
      <c r="BP1041" s="5"/>
      <c r="BR1041" s="5"/>
    </row>
    <row r="1042" spans="1:70" x14ac:dyDescent="0.25">
      <c r="A1042" s="3"/>
      <c r="AZ1042" s="5"/>
      <c r="BB1042" s="5"/>
      <c r="BD1042" s="5"/>
      <c r="BF1042" s="5"/>
      <c r="BH1042" s="5"/>
      <c r="BJ1042" s="5"/>
      <c r="BL1042" s="5"/>
      <c r="BN1042" s="5"/>
      <c r="BP1042" s="5"/>
      <c r="BR1042" s="5"/>
    </row>
    <row r="1043" spans="1:70" x14ac:dyDescent="0.25">
      <c r="A1043" s="3"/>
      <c r="AZ1043" s="5"/>
      <c r="BB1043" s="5"/>
      <c r="BD1043" s="5"/>
      <c r="BF1043" s="5"/>
      <c r="BH1043" s="5"/>
      <c r="BJ1043" s="5"/>
      <c r="BL1043" s="5"/>
      <c r="BN1043" s="5"/>
      <c r="BP1043" s="5"/>
      <c r="BR1043" s="5"/>
    </row>
    <row r="1044" spans="1:70" x14ac:dyDescent="0.25">
      <c r="A1044" s="3"/>
      <c r="AZ1044" s="5"/>
      <c r="BB1044" s="5"/>
      <c r="BD1044" s="5"/>
      <c r="BF1044" s="5"/>
      <c r="BH1044" s="5"/>
      <c r="BJ1044" s="5"/>
      <c r="BL1044" s="5"/>
      <c r="BN1044" s="5"/>
      <c r="BP1044" s="5"/>
      <c r="BR1044" s="5"/>
    </row>
    <row r="1045" spans="1:70" x14ac:dyDescent="0.25">
      <c r="A1045" s="3"/>
      <c r="AZ1045" s="5"/>
      <c r="BB1045" s="5"/>
      <c r="BD1045" s="5"/>
      <c r="BF1045" s="5"/>
      <c r="BH1045" s="5"/>
      <c r="BJ1045" s="5"/>
      <c r="BL1045" s="5"/>
      <c r="BN1045" s="5"/>
      <c r="BP1045" s="5"/>
      <c r="BR1045" s="5"/>
    </row>
    <row r="1046" spans="1:70" x14ac:dyDescent="0.25">
      <c r="A1046" s="3"/>
      <c r="AZ1046" s="5"/>
      <c r="BB1046" s="5"/>
      <c r="BD1046" s="5"/>
      <c r="BF1046" s="5"/>
      <c r="BH1046" s="5"/>
      <c r="BJ1046" s="5"/>
      <c r="BL1046" s="5"/>
      <c r="BN1046" s="5"/>
      <c r="BP1046" s="5"/>
      <c r="BR1046" s="5"/>
    </row>
    <row r="1047" spans="1:70" x14ac:dyDescent="0.25">
      <c r="A1047" s="3"/>
      <c r="AZ1047" s="5"/>
      <c r="BB1047" s="5"/>
      <c r="BD1047" s="5"/>
      <c r="BF1047" s="5"/>
      <c r="BH1047" s="5"/>
      <c r="BJ1047" s="5"/>
      <c r="BL1047" s="5"/>
      <c r="BN1047" s="5"/>
      <c r="BP1047" s="5"/>
      <c r="BR1047" s="5"/>
    </row>
    <row r="1048" spans="1:70" x14ac:dyDescent="0.25">
      <c r="A1048" s="3"/>
      <c r="AZ1048" s="5"/>
      <c r="BB1048" s="5"/>
      <c r="BD1048" s="5"/>
      <c r="BF1048" s="5"/>
      <c r="BH1048" s="5"/>
      <c r="BJ1048" s="5"/>
      <c r="BL1048" s="5"/>
      <c r="BN1048" s="5"/>
      <c r="BP1048" s="5"/>
      <c r="BR1048" s="5"/>
    </row>
    <row r="1049" spans="1:70" x14ac:dyDescent="0.25">
      <c r="A1049" s="3"/>
      <c r="AZ1049" s="5"/>
      <c r="BB1049" s="5"/>
      <c r="BD1049" s="5"/>
      <c r="BF1049" s="5"/>
      <c r="BH1049" s="5"/>
      <c r="BJ1049" s="5"/>
      <c r="BL1049" s="5"/>
      <c r="BN1049" s="5"/>
      <c r="BP1049" s="5"/>
      <c r="BR1049" s="5"/>
    </row>
    <row r="1050" spans="1:70" x14ac:dyDescent="0.25">
      <c r="A1050" s="3"/>
      <c r="AZ1050" s="5"/>
      <c r="BB1050" s="5"/>
      <c r="BD1050" s="5"/>
      <c r="BF1050" s="5"/>
      <c r="BH1050" s="5"/>
      <c r="BJ1050" s="5"/>
      <c r="BL1050" s="5"/>
      <c r="BN1050" s="5"/>
      <c r="BP1050" s="5"/>
      <c r="BR1050" s="5"/>
    </row>
    <row r="1051" spans="1:70" x14ac:dyDescent="0.25">
      <c r="A1051" s="3"/>
      <c r="AZ1051" s="5"/>
      <c r="BB1051" s="5"/>
      <c r="BD1051" s="5"/>
      <c r="BF1051" s="5"/>
      <c r="BH1051" s="5"/>
      <c r="BJ1051" s="5"/>
      <c r="BL1051" s="5"/>
      <c r="BN1051" s="5"/>
      <c r="BP1051" s="5"/>
      <c r="BR1051" s="5"/>
    </row>
    <row r="1052" spans="1:70" x14ac:dyDescent="0.25">
      <c r="A1052" s="3"/>
      <c r="AZ1052" s="5"/>
      <c r="BB1052" s="5"/>
      <c r="BD1052" s="5"/>
      <c r="BF1052" s="5"/>
      <c r="BH1052" s="5"/>
      <c r="BJ1052" s="5"/>
      <c r="BL1052" s="5"/>
      <c r="BN1052" s="5"/>
      <c r="BP1052" s="5"/>
      <c r="BR1052" s="5"/>
    </row>
    <row r="1053" spans="1:70" x14ac:dyDescent="0.25">
      <c r="A1053" s="3"/>
      <c r="AZ1053" s="5"/>
      <c r="BB1053" s="5"/>
      <c r="BD1053" s="5"/>
      <c r="BF1053" s="5"/>
      <c r="BH1053" s="5"/>
      <c r="BJ1053" s="5"/>
      <c r="BL1053" s="5"/>
      <c r="BN1053" s="5"/>
      <c r="BP1053" s="5"/>
      <c r="BR1053" s="5"/>
    </row>
    <row r="1054" spans="1:70" x14ac:dyDescent="0.25">
      <c r="A1054" s="3"/>
      <c r="AZ1054" s="5"/>
      <c r="BB1054" s="5"/>
      <c r="BD1054" s="5"/>
      <c r="BF1054" s="5"/>
      <c r="BH1054" s="5"/>
      <c r="BJ1054" s="5"/>
      <c r="BL1054" s="5"/>
      <c r="BN1054" s="5"/>
      <c r="BP1054" s="5"/>
      <c r="BR1054" s="5"/>
    </row>
    <row r="1055" spans="1:70" x14ac:dyDescent="0.25">
      <c r="A1055" s="3"/>
      <c r="AZ1055" s="5"/>
      <c r="BB1055" s="5"/>
      <c r="BD1055" s="5"/>
      <c r="BF1055" s="5"/>
      <c r="BH1055" s="5"/>
      <c r="BJ1055" s="5"/>
      <c r="BL1055" s="5"/>
      <c r="BN1055" s="5"/>
      <c r="BP1055" s="5"/>
      <c r="BR1055" s="5"/>
    </row>
    <row r="1056" spans="1:70" x14ac:dyDescent="0.25">
      <c r="A1056" s="3"/>
      <c r="AZ1056" s="5"/>
      <c r="BB1056" s="5"/>
      <c r="BD1056" s="5"/>
      <c r="BF1056" s="5"/>
      <c r="BH1056" s="5"/>
      <c r="BJ1056" s="5"/>
      <c r="BL1056" s="5"/>
      <c r="BN1056" s="5"/>
      <c r="BP1056" s="5"/>
      <c r="BR1056" s="5"/>
    </row>
    <row r="1057" spans="1:70" x14ac:dyDescent="0.25">
      <c r="A1057" s="3"/>
      <c r="AZ1057" s="5"/>
      <c r="BB1057" s="5"/>
      <c r="BD1057" s="5"/>
      <c r="BF1057" s="5"/>
      <c r="BH1057" s="5"/>
      <c r="BJ1057" s="5"/>
      <c r="BL1057" s="5"/>
      <c r="BN1057" s="5"/>
      <c r="BP1057" s="5"/>
      <c r="BR1057" s="5"/>
    </row>
    <row r="1058" spans="1:70" x14ac:dyDescent="0.25">
      <c r="A1058" s="3"/>
      <c r="AZ1058" s="5"/>
      <c r="BB1058" s="5"/>
      <c r="BD1058" s="5"/>
      <c r="BF1058" s="5"/>
      <c r="BH1058" s="5"/>
      <c r="BJ1058" s="5"/>
      <c r="BL1058" s="5"/>
      <c r="BN1058" s="5"/>
      <c r="BP1058" s="5"/>
      <c r="BR1058" s="5"/>
    </row>
    <row r="1059" spans="1:70" x14ac:dyDescent="0.25">
      <c r="A1059" s="3"/>
      <c r="AZ1059" s="5"/>
      <c r="BB1059" s="5"/>
      <c r="BD1059" s="5"/>
      <c r="BF1059" s="5"/>
      <c r="BH1059" s="5"/>
      <c r="BJ1059" s="5"/>
      <c r="BL1059" s="5"/>
      <c r="BN1059" s="5"/>
      <c r="BP1059" s="5"/>
      <c r="BR1059" s="5"/>
    </row>
    <row r="1060" spans="1:70" x14ac:dyDescent="0.25">
      <c r="A1060" s="3"/>
      <c r="AZ1060" s="5"/>
      <c r="BB1060" s="5"/>
      <c r="BD1060" s="5"/>
      <c r="BF1060" s="5"/>
      <c r="BH1060" s="5"/>
      <c r="BJ1060" s="5"/>
      <c r="BL1060" s="5"/>
      <c r="BN1060" s="5"/>
      <c r="BP1060" s="5"/>
      <c r="BR1060" s="5"/>
    </row>
    <row r="1061" spans="1:70" x14ac:dyDescent="0.25">
      <c r="A1061" s="3"/>
      <c r="AZ1061" s="5"/>
      <c r="BB1061" s="5"/>
      <c r="BD1061" s="5"/>
      <c r="BF1061" s="5"/>
      <c r="BH1061" s="5"/>
      <c r="BJ1061" s="5"/>
      <c r="BL1061" s="5"/>
      <c r="BN1061" s="5"/>
      <c r="BP1061" s="5"/>
      <c r="BR1061" s="5"/>
    </row>
    <row r="1062" spans="1:70" x14ac:dyDescent="0.25">
      <c r="A1062" s="3"/>
      <c r="AZ1062" s="5"/>
      <c r="BB1062" s="5"/>
      <c r="BD1062" s="5"/>
      <c r="BF1062" s="5"/>
      <c r="BH1062" s="5"/>
      <c r="BJ1062" s="5"/>
      <c r="BL1062" s="5"/>
      <c r="BN1062" s="5"/>
      <c r="BP1062" s="5"/>
      <c r="BR1062" s="5"/>
    </row>
    <row r="1063" spans="1:70" x14ac:dyDescent="0.25">
      <c r="A1063" s="3"/>
      <c r="AZ1063" s="5"/>
      <c r="BB1063" s="5"/>
      <c r="BD1063" s="5"/>
      <c r="BF1063" s="5"/>
      <c r="BH1063" s="5"/>
      <c r="BJ1063" s="5"/>
      <c r="BL1063" s="5"/>
      <c r="BN1063" s="5"/>
      <c r="BP1063" s="5"/>
      <c r="BR1063" s="5"/>
    </row>
    <row r="1064" spans="1:70" x14ac:dyDescent="0.25">
      <c r="A1064" s="3"/>
      <c r="AZ1064" s="5"/>
      <c r="BB1064" s="5"/>
      <c r="BD1064" s="5"/>
      <c r="BF1064" s="5"/>
      <c r="BH1064" s="5"/>
      <c r="BJ1064" s="5"/>
      <c r="BL1064" s="5"/>
      <c r="BN1064" s="5"/>
      <c r="BP1064" s="5"/>
      <c r="BR1064" s="5"/>
    </row>
    <row r="1065" spans="1:70" x14ac:dyDescent="0.25">
      <c r="A1065" s="3"/>
      <c r="AZ1065" s="5"/>
      <c r="BB1065" s="5"/>
      <c r="BD1065" s="5"/>
      <c r="BF1065" s="5"/>
      <c r="BH1065" s="5"/>
      <c r="BJ1065" s="5"/>
      <c r="BL1065" s="5"/>
      <c r="BN1065" s="5"/>
      <c r="BP1065" s="5"/>
      <c r="BR1065" s="5"/>
    </row>
    <row r="1066" spans="1:70" x14ac:dyDescent="0.25">
      <c r="A1066" s="3"/>
      <c r="AZ1066" s="5"/>
      <c r="BB1066" s="5"/>
      <c r="BD1066" s="5"/>
      <c r="BF1066" s="5"/>
      <c r="BH1066" s="5"/>
      <c r="BJ1066" s="5"/>
      <c r="BL1066" s="5"/>
      <c r="BN1066" s="5"/>
      <c r="BP1066" s="5"/>
      <c r="BR1066" s="5"/>
    </row>
    <row r="1067" spans="1:70" x14ac:dyDescent="0.25">
      <c r="A1067" s="3"/>
      <c r="AZ1067" s="5"/>
      <c r="BB1067" s="5"/>
      <c r="BD1067" s="5"/>
      <c r="BF1067" s="5"/>
      <c r="BH1067" s="5"/>
      <c r="BJ1067" s="5"/>
      <c r="BL1067" s="5"/>
      <c r="BN1067" s="5"/>
      <c r="BP1067" s="5"/>
      <c r="BR1067" s="5"/>
    </row>
    <row r="1068" spans="1:70" x14ac:dyDescent="0.25">
      <c r="A1068" s="3"/>
      <c r="AZ1068" s="5"/>
      <c r="BB1068" s="5"/>
      <c r="BD1068" s="5"/>
      <c r="BF1068" s="5"/>
      <c r="BH1068" s="5"/>
      <c r="BJ1068" s="5"/>
      <c r="BL1068" s="5"/>
      <c r="BN1068" s="5"/>
      <c r="BP1068" s="5"/>
      <c r="BR1068" s="5"/>
    </row>
    <row r="1069" spans="1:70" x14ac:dyDescent="0.25">
      <c r="A1069" s="3"/>
      <c r="AZ1069" s="5"/>
      <c r="BB1069" s="5"/>
      <c r="BD1069" s="5"/>
      <c r="BF1069" s="5"/>
      <c r="BH1069" s="5"/>
      <c r="BJ1069" s="5"/>
      <c r="BL1069" s="5"/>
      <c r="BN1069" s="5"/>
      <c r="BP1069" s="5"/>
      <c r="BR1069" s="5"/>
    </row>
    <row r="1070" spans="1:70" x14ac:dyDescent="0.25">
      <c r="A1070" s="3"/>
      <c r="AZ1070" s="5"/>
      <c r="BB1070" s="5"/>
      <c r="BD1070" s="5"/>
      <c r="BF1070" s="5"/>
      <c r="BH1070" s="5"/>
      <c r="BJ1070" s="5"/>
      <c r="BL1070" s="5"/>
      <c r="BN1070" s="5"/>
      <c r="BP1070" s="5"/>
      <c r="BR1070" s="5"/>
    </row>
    <row r="1071" spans="1:70" x14ac:dyDescent="0.25">
      <c r="A1071" s="3"/>
      <c r="AZ1071" s="5"/>
      <c r="BB1071" s="5"/>
      <c r="BD1071" s="5"/>
      <c r="BF1071" s="5"/>
      <c r="BH1071" s="5"/>
      <c r="BJ1071" s="5"/>
      <c r="BL1071" s="5"/>
      <c r="BN1071" s="5"/>
      <c r="BP1071" s="5"/>
      <c r="BR1071" s="5"/>
    </row>
    <row r="1072" spans="1:70" x14ac:dyDescent="0.25">
      <c r="A1072" s="3"/>
      <c r="AZ1072" s="5"/>
      <c r="BB1072" s="5"/>
      <c r="BD1072" s="5"/>
      <c r="BF1072" s="5"/>
      <c r="BH1072" s="5"/>
      <c r="BJ1072" s="5"/>
      <c r="BL1072" s="5"/>
      <c r="BN1072" s="5"/>
      <c r="BP1072" s="5"/>
      <c r="BR1072" s="5"/>
    </row>
    <row r="1073" spans="1:70" x14ac:dyDescent="0.25">
      <c r="A1073" s="3"/>
      <c r="AZ1073" s="5"/>
      <c r="BB1073" s="5"/>
      <c r="BD1073" s="5"/>
      <c r="BF1073" s="5"/>
      <c r="BH1073" s="5"/>
      <c r="BJ1073" s="5"/>
      <c r="BL1073" s="5"/>
      <c r="BN1073" s="5"/>
      <c r="BP1073" s="5"/>
      <c r="BR1073" s="5"/>
    </row>
    <row r="1074" spans="1:70" x14ac:dyDescent="0.25">
      <c r="A1074" s="3"/>
      <c r="AZ1074" s="5"/>
      <c r="BB1074" s="5"/>
      <c r="BD1074" s="5"/>
      <c r="BF1074" s="5"/>
      <c r="BH1074" s="5"/>
      <c r="BJ1074" s="5"/>
      <c r="BL1074" s="5"/>
      <c r="BN1074" s="5"/>
      <c r="BP1074" s="5"/>
      <c r="BR1074" s="5"/>
    </row>
    <row r="1075" spans="1:70" x14ac:dyDescent="0.25">
      <c r="A1075" s="3"/>
      <c r="AZ1075" s="5"/>
      <c r="BB1075" s="5"/>
      <c r="BD1075" s="5"/>
      <c r="BF1075" s="5"/>
      <c r="BH1075" s="5"/>
      <c r="BJ1075" s="5"/>
      <c r="BL1075" s="5"/>
      <c r="BN1075" s="5"/>
      <c r="BP1075" s="5"/>
      <c r="BR1075" s="5"/>
    </row>
    <row r="1076" spans="1:70" x14ac:dyDescent="0.25">
      <c r="A1076" s="3"/>
      <c r="AZ1076" s="5"/>
      <c r="BB1076" s="5"/>
      <c r="BD1076" s="5"/>
      <c r="BF1076" s="5"/>
      <c r="BH1076" s="5"/>
      <c r="BJ1076" s="5"/>
      <c r="BL1076" s="5"/>
      <c r="BN1076" s="5"/>
      <c r="BP1076" s="5"/>
      <c r="BR1076" s="5"/>
    </row>
    <row r="1077" spans="1:70" x14ac:dyDescent="0.25">
      <c r="A1077" s="3"/>
      <c r="AZ1077" s="5"/>
      <c r="BB1077" s="5"/>
      <c r="BD1077" s="5"/>
      <c r="BF1077" s="5"/>
      <c r="BH1077" s="5"/>
      <c r="BJ1077" s="5"/>
      <c r="BL1077" s="5"/>
      <c r="BN1077" s="5"/>
      <c r="BP1077" s="5"/>
      <c r="BR1077" s="5"/>
    </row>
    <row r="1078" spans="1:70" x14ac:dyDescent="0.25">
      <c r="A1078" s="3"/>
      <c r="AZ1078" s="5"/>
      <c r="BB1078" s="5"/>
      <c r="BD1078" s="5"/>
      <c r="BF1078" s="5"/>
      <c r="BH1078" s="5"/>
      <c r="BJ1078" s="5"/>
      <c r="BL1078" s="5"/>
      <c r="BN1078" s="5"/>
      <c r="BP1078" s="5"/>
      <c r="BR1078" s="5"/>
    </row>
    <row r="1079" spans="1:70" x14ac:dyDescent="0.25">
      <c r="A1079" s="3"/>
      <c r="AZ1079" s="5"/>
      <c r="BB1079" s="5"/>
      <c r="BD1079" s="5"/>
      <c r="BF1079" s="5"/>
      <c r="BH1079" s="5"/>
      <c r="BJ1079" s="5"/>
      <c r="BL1079" s="5"/>
      <c r="BN1079" s="5"/>
      <c r="BP1079" s="5"/>
      <c r="BR1079" s="5"/>
    </row>
    <row r="1080" spans="1:70" x14ac:dyDescent="0.25">
      <c r="A1080" s="3"/>
      <c r="AZ1080" s="5"/>
      <c r="BB1080" s="5"/>
      <c r="BD1080" s="5"/>
      <c r="BF1080" s="5"/>
      <c r="BH1080" s="5"/>
      <c r="BJ1080" s="5"/>
      <c r="BL1080" s="5"/>
      <c r="BN1080" s="5"/>
      <c r="BP1080" s="5"/>
      <c r="BR1080" s="5"/>
    </row>
    <row r="1081" spans="1:70" x14ac:dyDescent="0.25">
      <c r="A1081" s="3"/>
      <c r="AZ1081" s="5"/>
      <c r="BB1081" s="5"/>
      <c r="BD1081" s="5"/>
      <c r="BF1081" s="5"/>
      <c r="BH1081" s="5"/>
      <c r="BJ1081" s="5"/>
      <c r="BL1081" s="5"/>
      <c r="BN1081" s="5"/>
      <c r="BP1081" s="5"/>
      <c r="BR1081" s="5"/>
    </row>
    <row r="1082" spans="1:70" x14ac:dyDescent="0.25">
      <c r="A1082" s="3"/>
      <c r="AZ1082" s="5"/>
      <c r="BB1082" s="5"/>
      <c r="BD1082" s="5"/>
      <c r="BF1082" s="5"/>
      <c r="BH1082" s="5"/>
      <c r="BJ1082" s="5"/>
      <c r="BL1082" s="5"/>
      <c r="BN1082" s="5"/>
      <c r="BP1082" s="5"/>
      <c r="BR1082" s="5"/>
    </row>
    <row r="1083" spans="1:70" x14ac:dyDescent="0.25">
      <c r="A1083" s="3"/>
      <c r="AZ1083" s="5"/>
      <c r="BB1083" s="5"/>
      <c r="BD1083" s="5"/>
      <c r="BF1083" s="5"/>
      <c r="BH1083" s="5"/>
      <c r="BJ1083" s="5"/>
      <c r="BL1083" s="5"/>
      <c r="BN1083" s="5"/>
      <c r="BP1083" s="5"/>
      <c r="BR1083" s="5"/>
    </row>
    <row r="1084" spans="1:70" x14ac:dyDescent="0.25">
      <c r="A1084" s="3"/>
      <c r="AZ1084" s="5"/>
      <c r="BB1084" s="5"/>
      <c r="BD1084" s="5"/>
      <c r="BF1084" s="5"/>
      <c r="BH1084" s="5"/>
      <c r="BJ1084" s="5"/>
      <c r="BL1084" s="5"/>
      <c r="BN1084" s="5"/>
      <c r="BP1084" s="5"/>
      <c r="BR1084" s="5"/>
    </row>
    <row r="1085" spans="1:70" x14ac:dyDescent="0.25">
      <c r="A1085" s="3"/>
      <c r="AZ1085" s="5"/>
      <c r="BB1085" s="5"/>
      <c r="BD1085" s="5"/>
      <c r="BF1085" s="5"/>
      <c r="BH1085" s="5"/>
      <c r="BJ1085" s="5"/>
      <c r="BL1085" s="5"/>
      <c r="BN1085" s="5"/>
      <c r="BP1085" s="5"/>
      <c r="BR1085" s="5"/>
    </row>
    <row r="1086" spans="1:70" x14ac:dyDescent="0.25">
      <c r="A1086" s="3"/>
      <c r="AZ1086" s="5"/>
      <c r="BB1086" s="5"/>
      <c r="BD1086" s="5"/>
      <c r="BF1086" s="5"/>
      <c r="BH1086" s="5"/>
      <c r="BJ1086" s="5"/>
      <c r="BL1086" s="5"/>
      <c r="BN1086" s="5"/>
      <c r="BP1086" s="5"/>
      <c r="BR1086" s="5"/>
    </row>
    <row r="1087" spans="1:70" x14ac:dyDescent="0.25">
      <c r="A1087" s="3"/>
      <c r="AZ1087" s="5"/>
      <c r="BB1087" s="5"/>
      <c r="BD1087" s="5"/>
      <c r="BF1087" s="5"/>
      <c r="BH1087" s="5"/>
      <c r="BJ1087" s="5"/>
      <c r="BL1087" s="5"/>
      <c r="BN1087" s="5"/>
      <c r="BP1087" s="5"/>
      <c r="BR1087" s="5"/>
    </row>
    <row r="1088" spans="1:70" x14ac:dyDescent="0.25">
      <c r="A1088" s="3"/>
      <c r="AZ1088" s="5"/>
      <c r="BB1088" s="5"/>
      <c r="BD1088" s="5"/>
      <c r="BF1088" s="5"/>
      <c r="BH1088" s="5"/>
      <c r="BJ1088" s="5"/>
      <c r="BL1088" s="5"/>
      <c r="BN1088" s="5"/>
      <c r="BP1088" s="5"/>
      <c r="BR1088" s="5"/>
    </row>
    <row r="1089" spans="1:70" x14ac:dyDescent="0.25">
      <c r="A1089" s="3"/>
      <c r="AZ1089" s="5"/>
      <c r="BB1089" s="5"/>
      <c r="BD1089" s="5"/>
      <c r="BF1089" s="5"/>
      <c r="BH1089" s="5"/>
      <c r="BJ1089" s="5"/>
      <c r="BL1089" s="5"/>
      <c r="BN1089" s="5"/>
      <c r="BP1089" s="5"/>
      <c r="BR1089" s="5"/>
    </row>
    <row r="1090" spans="1:70" x14ac:dyDescent="0.25">
      <c r="A1090" s="3"/>
      <c r="AZ1090" s="5"/>
      <c r="BB1090" s="5"/>
      <c r="BD1090" s="5"/>
      <c r="BF1090" s="5"/>
      <c r="BH1090" s="5"/>
      <c r="BJ1090" s="5"/>
      <c r="BL1090" s="5"/>
      <c r="BN1090" s="5"/>
      <c r="BP1090" s="5"/>
      <c r="BR1090" s="5"/>
    </row>
    <row r="1091" spans="1:70" x14ac:dyDescent="0.25">
      <c r="A1091" s="3"/>
      <c r="AZ1091" s="5"/>
      <c r="BB1091" s="5"/>
      <c r="BD1091" s="5"/>
      <c r="BF1091" s="5"/>
      <c r="BH1091" s="5"/>
      <c r="BJ1091" s="5"/>
      <c r="BL1091" s="5"/>
      <c r="BN1091" s="5"/>
      <c r="BP1091" s="5"/>
      <c r="BR1091" s="5"/>
    </row>
    <row r="1092" spans="1:70" x14ac:dyDescent="0.25">
      <c r="A1092" s="3"/>
      <c r="AZ1092" s="5"/>
      <c r="BB1092" s="5"/>
      <c r="BD1092" s="5"/>
      <c r="BF1092" s="5"/>
      <c r="BH1092" s="5"/>
      <c r="BJ1092" s="5"/>
      <c r="BL1092" s="5"/>
      <c r="BN1092" s="5"/>
      <c r="BP1092" s="5"/>
      <c r="BR1092" s="5"/>
    </row>
    <row r="1093" spans="1:70" x14ac:dyDescent="0.25">
      <c r="A1093" s="3"/>
      <c r="AZ1093" s="5"/>
      <c r="BB1093" s="5"/>
      <c r="BD1093" s="5"/>
      <c r="BF1093" s="5"/>
      <c r="BH1093" s="5"/>
      <c r="BJ1093" s="5"/>
      <c r="BL1093" s="5"/>
      <c r="BN1093" s="5"/>
      <c r="BP1093" s="5"/>
      <c r="BR1093" s="5"/>
    </row>
    <row r="1094" spans="1:70" x14ac:dyDescent="0.25">
      <c r="A1094" s="3"/>
      <c r="AZ1094" s="5"/>
      <c r="BB1094" s="5"/>
      <c r="BD1094" s="5"/>
      <c r="BF1094" s="5"/>
      <c r="BH1094" s="5"/>
      <c r="BJ1094" s="5"/>
      <c r="BL1094" s="5"/>
      <c r="BN1094" s="5"/>
      <c r="BP1094" s="5"/>
      <c r="BR1094" s="5"/>
    </row>
    <row r="1095" spans="1:70" x14ac:dyDescent="0.25">
      <c r="A1095" s="3"/>
      <c r="AZ1095" s="5"/>
      <c r="BB1095" s="5"/>
      <c r="BD1095" s="5"/>
      <c r="BF1095" s="5"/>
      <c r="BH1095" s="5"/>
      <c r="BJ1095" s="5"/>
      <c r="BL1095" s="5"/>
      <c r="BN1095" s="5"/>
      <c r="BP1095" s="5"/>
      <c r="BR1095" s="5"/>
    </row>
    <row r="1096" spans="1:70" x14ac:dyDescent="0.25">
      <c r="A1096" s="3"/>
      <c r="AZ1096" s="5"/>
      <c r="BB1096" s="5"/>
      <c r="BD1096" s="5"/>
      <c r="BF1096" s="5"/>
      <c r="BH1096" s="5"/>
      <c r="BJ1096" s="5"/>
      <c r="BL1096" s="5"/>
      <c r="BN1096" s="5"/>
      <c r="BP1096" s="5"/>
      <c r="BR1096" s="5"/>
    </row>
    <row r="1097" spans="1:70" x14ac:dyDescent="0.25">
      <c r="A1097" s="3"/>
      <c r="AZ1097" s="5"/>
      <c r="BB1097" s="5"/>
      <c r="BD1097" s="5"/>
      <c r="BF1097" s="5"/>
      <c r="BH1097" s="5"/>
      <c r="BJ1097" s="5"/>
      <c r="BL1097" s="5"/>
      <c r="BN1097" s="5"/>
      <c r="BP1097" s="5"/>
      <c r="BR1097" s="5"/>
    </row>
    <row r="1098" spans="1:70" x14ac:dyDescent="0.25">
      <c r="A1098" s="3"/>
      <c r="AZ1098" s="5"/>
      <c r="BB1098" s="5"/>
      <c r="BD1098" s="5"/>
      <c r="BF1098" s="5"/>
      <c r="BH1098" s="5"/>
      <c r="BJ1098" s="5"/>
      <c r="BL1098" s="5"/>
      <c r="BN1098" s="5"/>
      <c r="BP1098" s="5"/>
      <c r="BR1098" s="5"/>
    </row>
    <row r="1099" spans="1:70" x14ac:dyDescent="0.25">
      <c r="A1099" s="3"/>
      <c r="AZ1099" s="5"/>
      <c r="BB1099" s="5"/>
      <c r="BD1099" s="5"/>
      <c r="BF1099" s="5"/>
      <c r="BH1099" s="5"/>
      <c r="BJ1099" s="5"/>
      <c r="BL1099" s="5"/>
      <c r="BN1099" s="5"/>
      <c r="BP1099" s="5"/>
      <c r="BR1099" s="5"/>
    </row>
    <row r="1100" spans="1:70" x14ac:dyDescent="0.25">
      <c r="A1100" s="3"/>
      <c r="AZ1100" s="5"/>
      <c r="BB1100" s="5"/>
      <c r="BD1100" s="5"/>
      <c r="BF1100" s="5"/>
      <c r="BH1100" s="5"/>
      <c r="BJ1100" s="5"/>
      <c r="BL1100" s="5"/>
      <c r="BN1100" s="5"/>
      <c r="BP1100" s="5"/>
      <c r="BR1100" s="5"/>
    </row>
    <row r="1101" spans="1:70" x14ac:dyDescent="0.25">
      <c r="A1101" s="3"/>
      <c r="AZ1101" s="5"/>
      <c r="BB1101" s="5"/>
      <c r="BD1101" s="5"/>
      <c r="BF1101" s="5"/>
      <c r="BH1101" s="5"/>
      <c r="BJ1101" s="5"/>
      <c r="BL1101" s="5"/>
      <c r="BN1101" s="5"/>
      <c r="BP1101" s="5"/>
      <c r="BR1101" s="5"/>
    </row>
    <row r="1102" spans="1:70" x14ac:dyDescent="0.25">
      <c r="A1102" s="3"/>
      <c r="AZ1102" s="5"/>
      <c r="BB1102" s="5"/>
      <c r="BD1102" s="5"/>
      <c r="BF1102" s="5"/>
      <c r="BH1102" s="5"/>
      <c r="BJ1102" s="5"/>
      <c r="BL1102" s="5"/>
      <c r="BN1102" s="5"/>
      <c r="BP1102" s="5"/>
      <c r="BR1102" s="5"/>
    </row>
    <row r="1103" spans="1:70" x14ac:dyDescent="0.25">
      <c r="A1103" s="3"/>
      <c r="AZ1103" s="5"/>
      <c r="BB1103" s="5"/>
      <c r="BD1103" s="5"/>
      <c r="BF1103" s="5"/>
      <c r="BH1103" s="5"/>
      <c r="BJ1103" s="5"/>
      <c r="BL1103" s="5"/>
      <c r="BN1103" s="5"/>
      <c r="BP1103" s="5"/>
      <c r="BR1103" s="5"/>
    </row>
    <row r="1104" spans="1:70" x14ac:dyDescent="0.25">
      <c r="A1104" s="3"/>
      <c r="AZ1104" s="5"/>
      <c r="BB1104" s="5"/>
      <c r="BD1104" s="5"/>
      <c r="BF1104" s="5"/>
      <c r="BH1104" s="5"/>
      <c r="BJ1104" s="5"/>
      <c r="BL1104" s="5"/>
      <c r="BN1104" s="5"/>
      <c r="BP1104" s="5"/>
      <c r="BR1104" s="5"/>
    </row>
    <row r="1105" spans="1:70" x14ac:dyDescent="0.25">
      <c r="A1105" s="3"/>
      <c r="AZ1105" s="5"/>
      <c r="BB1105" s="5"/>
      <c r="BD1105" s="5"/>
      <c r="BF1105" s="5"/>
      <c r="BH1105" s="5"/>
      <c r="BJ1105" s="5"/>
      <c r="BL1105" s="5"/>
      <c r="BN1105" s="5"/>
      <c r="BP1105" s="5"/>
      <c r="BR1105" s="5"/>
    </row>
    <row r="1106" spans="1:70" x14ac:dyDescent="0.25">
      <c r="A1106" s="3"/>
      <c r="AZ1106" s="5"/>
      <c r="BB1106" s="5"/>
      <c r="BD1106" s="5"/>
      <c r="BF1106" s="5"/>
      <c r="BH1106" s="5"/>
      <c r="BJ1106" s="5"/>
      <c r="BL1106" s="5"/>
      <c r="BN1106" s="5"/>
      <c r="BP1106" s="5"/>
      <c r="BR1106" s="5"/>
    </row>
    <row r="1107" spans="1:70" x14ac:dyDescent="0.25">
      <c r="A1107" s="3"/>
      <c r="AZ1107" s="5"/>
      <c r="BB1107" s="5"/>
      <c r="BD1107" s="5"/>
      <c r="BF1107" s="5"/>
      <c r="BH1107" s="5"/>
      <c r="BJ1107" s="5"/>
      <c r="BL1107" s="5"/>
      <c r="BN1107" s="5"/>
      <c r="BP1107" s="5"/>
      <c r="BR1107" s="5"/>
    </row>
    <row r="1108" spans="1:70" x14ac:dyDescent="0.25">
      <c r="A1108" s="3"/>
      <c r="AZ1108" s="5"/>
      <c r="BB1108" s="5"/>
      <c r="BD1108" s="5"/>
      <c r="BF1108" s="5"/>
      <c r="BH1108" s="5"/>
      <c r="BJ1108" s="5"/>
      <c r="BL1108" s="5"/>
      <c r="BN1108" s="5"/>
      <c r="BP1108" s="5"/>
      <c r="BR1108" s="5"/>
    </row>
    <row r="1109" spans="1:70" x14ac:dyDescent="0.25">
      <c r="A1109" s="3"/>
      <c r="AZ1109" s="5"/>
      <c r="BB1109" s="5"/>
      <c r="BD1109" s="5"/>
      <c r="BF1109" s="5"/>
      <c r="BH1109" s="5"/>
      <c r="BJ1109" s="5"/>
      <c r="BL1109" s="5"/>
      <c r="BN1109" s="5"/>
      <c r="BP1109" s="5"/>
      <c r="BR1109" s="5"/>
    </row>
    <row r="1110" spans="1:70" x14ac:dyDescent="0.25">
      <c r="A1110" s="3"/>
      <c r="AZ1110" s="5"/>
      <c r="BB1110" s="5"/>
      <c r="BD1110" s="5"/>
      <c r="BF1110" s="5"/>
      <c r="BH1110" s="5"/>
      <c r="BJ1110" s="5"/>
      <c r="BL1110" s="5"/>
      <c r="BN1110" s="5"/>
      <c r="BP1110" s="5"/>
      <c r="BR1110" s="5"/>
    </row>
    <row r="1111" spans="1:70" x14ac:dyDescent="0.25">
      <c r="A1111" s="3"/>
      <c r="AZ1111" s="5"/>
      <c r="BB1111" s="5"/>
      <c r="BD1111" s="5"/>
      <c r="BF1111" s="5"/>
      <c r="BH1111" s="5"/>
      <c r="BJ1111" s="5"/>
      <c r="BL1111" s="5"/>
      <c r="BN1111" s="5"/>
      <c r="BP1111" s="5"/>
      <c r="BR1111" s="5"/>
    </row>
    <row r="1112" spans="1:70" x14ac:dyDescent="0.25">
      <c r="A1112" s="3"/>
      <c r="AZ1112" s="5"/>
      <c r="BB1112" s="5"/>
      <c r="BD1112" s="5"/>
      <c r="BF1112" s="5"/>
      <c r="BH1112" s="5"/>
      <c r="BJ1112" s="5"/>
      <c r="BL1112" s="5"/>
      <c r="BN1112" s="5"/>
      <c r="BP1112" s="5"/>
      <c r="BR1112" s="5"/>
    </row>
    <row r="1113" spans="1:70" x14ac:dyDescent="0.25">
      <c r="A1113" s="3"/>
      <c r="AZ1113" s="5"/>
      <c r="BB1113" s="5"/>
      <c r="BD1113" s="5"/>
      <c r="BF1113" s="5"/>
      <c r="BH1113" s="5"/>
      <c r="BJ1113" s="5"/>
      <c r="BL1113" s="5"/>
      <c r="BN1113" s="5"/>
      <c r="BP1113" s="5"/>
      <c r="BR1113" s="5"/>
    </row>
    <row r="1114" spans="1:70" x14ac:dyDescent="0.25">
      <c r="A1114" s="3"/>
      <c r="AZ1114" s="5"/>
      <c r="BB1114" s="5"/>
      <c r="BD1114" s="5"/>
      <c r="BF1114" s="5"/>
      <c r="BH1114" s="5"/>
      <c r="BJ1114" s="5"/>
      <c r="BL1114" s="5"/>
      <c r="BN1114" s="5"/>
      <c r="BP1114" s="5"/>
      <c r="BR1114" s="5"/>
    </row>
    <row r="1115" spans="1:70" x14ac:dyDescent="0.25">
      <c r="A1115" s="3"/>
      <c r="AZ1115" s="5"/>
      <c r="BB1115" s="5"/>
      <c r="BD1115" s="5"/>
      <c r="BF1115" s="5"/>
      <c r="BH1115" s="5"/>
      <c r="BJ1115" s="5"/>
      <c r="BL1115" s="5"/>
      <c r="BN1115" s="5"/>
      <c r="BP1115" s="5"/>
      <c r="BR1115" s="5"/>
    </row>
    <row r="1116" spans="1:70" x14ac:dyDescent="0.25">
      <c r="A1116" s="3"/>
      <c r="AZ1116" s="5"/>
      <c r="BB1116" s="5"/>
      <c r="BD1116" s="5"/>
      <c r="BF1116" s="5"/>
      <c r="BH1116" s="5"/>
      <c r="BJ1116" s="5"/>
      <c r="BL1116" s="5"/>
      <c r="BN1116" s="5"/>
      <c r="BP1116" s="5"/>
      <c r="BR1116" s="5"/>
    </row>
    <row r="1117" spans="1:70" x14ac:dyDescent="0.25">
      <c r="A1117" s="3"/>
      <c r="AZ1117" s="5"/>
      <c r="BB1117" s="5"/>
      <c r="BD1117" s="5"/>
      <c r="BF1117" s="5"/>
      <c r="BH1117" s="5"/>
      <c r="BJ1117" s="5"/>
      <c r="BL1117" s="5"/>
      <c r="BN1117" s="5"/>
      <c r="BP1117" s="5"/>
      <c r="BR1117" s="5"/>
    </row>
    <row r="1118" spans="1:70" x14ac:dyDescent="0.25">
      <c r="A1118" s="3"/>
      <c r="AZ1118" s="5"/>
      <c r="BB1118" s="5"/>
      <c r="BD1118" s="5"/>
      <c r="BF1118" s="5"/>
      <c r="BH1118" s="5"/>
      <c r="BJ1118" s="5"/>
      <c r="BL1118" s="5"/>
      <c r="BN1118" s="5"/>
      <c r="BP1118" s="5"/>
      <c r="BR1118" s="5"/>
    </row>
    <row r="1119" spans="1:70" x14ac:dyDescent="0.25">
      <c r="A1119" s="3"/>
      <c r="AZ1119" s="5"/>
      <c r="BB1119" s="5"/>
      <c r="BD1119" s="5"/>
      <c r="BF1119" s="5"/>
      <c r="BH1119" s="5"/>
      <c r="BJ1119" s="5"/>
      <c r="BL1119" s="5"/>
      <c r="BN1119" s="5"/>
      <c r="BP1119" s="5"/>
      <c r="BR1119" s="5"/>
    </row>
    <row r="1120" spans="1:70" x14ac:dyDescent="0.25">
      <c r="A1120" s="3"/>
      <c r="AZ1120" s="5"/>
      <c r="BB1120" s="5"/>
      <c r="BD1120" s="5"/>
      <c r="BF1120" s="5"/>
      <c r="BH1120" s="5"/>
      <c r="BJ1120" s="5"/>
      <c r="BL1120" s="5"/>
      <c r="BN1120" s="5"/>
      <c r="BP1120" s="5"/>
      <c r="BR1120" s="5"/>
    </row>
    <row r="1121" spans="1:70" x14ac:dyDescent="0.25">
      <c r="A1121" s="3"/>
      <c r="AZ1121" s="5"/>
      <c r="BB1121" s="5"/>
      <c r="BD1121" s="5"/>
      <c r="BF1121" s="5"/>
      <c r="BH1121" s="5"/>
      <c r="BJ1121" s="5"/>
      <c r="BL1121" s="5"/>
      <c r="BN1121" s="5"/>
      <c r="BP1121" s="5"/>
      <c r="BR1121" s="5"/>
    </row>
    <row r="1122" spans="1:70" x14ac:dyDescent="0.25">
      <c r="A1122" s="3"/>
      <c r="AZ1122" s="5"/>
      <c r="BB1122" s="5"/>
      <c r="BD1122" s="5"/>
      <c r="BF1122" s="5"/>
      <c r="BH1122" s="5"/>
      <c r="BJ1122" s="5"/>
      <c r="BL1122" s="5"/>
      <c r="BN1122" s="5"/>
      <c r="BP1122" s="5"/>
      <c r="BR1122" s="5"/>
    </row>
    <row r="1123" spans="1:70" x14ac:dyDescent="0.25">
      <c r="A1123" s="3"/>
      <c r="AZ1123" s="5"/>
      <c r="BB1123" s="5"/>
      <c r="BD1123" s="5"/>
      <c r="BF1123" s="5"/>
      <c r="BH1123" s="5"/>
      <c r="BJ1123" s="5"/>
      <c r="BL1123" s="5"/>
      <c r="BN1123" s="5"/>
      <c r="BP1123" s="5"/>
      <c r="BR1123" s="5"/>
    </row>
    <row r="1124" spans="1:70" x14ac:dyDescent="0.25">
      <c r="A1124" s="3"/>
      <c r="AZ1124" s="5"/>
      <c r="BB1124" s="5"/>
      <c r="BD1124" s="5"/>
      <c r="BF1124" s="5"/>
      <c r="BH1124" s="5"/>
      <c r="BJ1124" s="5"/>
      <c r="BL1124" s="5"/>
      <c r="BN1124" s="5"/>
      <c r="BP1124" s="5"/>
      <c r="BR1124" s="5"/>
    </row>
    <row r="1125" spans="1:70" x14ac:dyDescent="0.25">
      <c r="A1125" s="3"/>
      <c r="AZ1125" s="5"/>
      <c r="BB1125" s="5"/>
      <c r="BD1125" s="5"/>
      <c r="BF1125" s="5"/>
      <c r="BH1125" s="5"/>
      <c r="BJ1125" s="5"/>
      <c r="BL1125" s="5"/>
      <c r="BN1125" s="5"/>
      <c r="BP1125" s="5"/>
      <c r="BR1125" s="5"/>
    </row>
    <row r="1126" spans="1:70" x14ac:dyDescent="0.25">
      <c r="A1126" s="3"/>
      <c r="AZ1126" s="5"/>
      <c r="BB1126" s="5"/>
      <c r="BD1126" s="5"/>
      <c r="BF1126" s="5"/>
      <c r="BH1126" s="5"/>
      <c r="BJ1126" s="5"/>
      <c r="BL1126" s="5"/>
      <c r="BN1126" s="5"/>
      <c r="BP1126" s="5"/>
      <c r="BR1126" s="5"/>
    </row>
    <row r="1127" spans="1:70" x14ac:dyDescent="0.25">
      <c r="A1127" s="3"/>
      <c r="AZ1127" s="5"/>
      <c r="BB1127" s="5"/>
      <c r="BD1127" s="5"/>
      <c r="BF1127" s="5"/>
      <c r="BH1127" s="5"/>
      <c r="BJ1127" s="5"/>
      <c r="BL1127" s="5"/>
      <c r="BN1127" s="5"/>
      <c r="BP1127" s="5"/>
      <c r="BR1127" s="5"/>
    </row>
    <row r="1128" spans="1:70" x14ac:dyDescent="0.25">
      <c r="A1128" s="3"/>
      <c r="AZ1128" s="5"/>
      <c r="BB1128" s="5"/>
      <c r="BD1128" s="5"/>
      <c r="BF1128" s="5"/>
      <c r="BH1128" s="5"/>
      <c r="BJ1128" s="5"/>
      <c r="BL1128" s="5"/>
      <c r="BN1128" s="5"/>
      <c r="BP1128" s="5"/>
      <c r="BR1128" s="5"/>
    </row>
    <row r="1129" spans="1:70" x14ac:dyDescent="0.25">
      <c r="A1129" s="3"/>
      <c r="AZ1129" s="5"/>
      <c r="BB1129" s="5"/>
      <c r="BD1129" s="5"/>
      <c r="BF1129" s="5"/>
      <c r="BH1129" s="5"/>
      <c r="BJ1129" s="5"/>
      <c r="BL1129" s="5"/>
      <c r="BN1129" s="5"/>
      <c r="BP1129" s="5"/>
      <c r="BR1129" s="5"/>
    </row>
    <row r="1130" spans="1:70" x14ac:dyDescent="0.25">
      <c r="A1130" s="3"/>
      <c r="AZ1130" s="5"/>
      <c r="BB1130" s="5"/>
      <c r="BD1130" s="5"/>
      <c r="BF1130" s="5"/>
      <c r="BH1130" s="5"/>
      <c r="BJ1130" s="5"/>
      <c r="BL1130" s="5"/>
      <c r="BN1130" s="5"/>
      <c r="BP1130" s="5"/>
      <c r="BR1130" s="5"/>
    </row>
    <row r="1131" spans="1:70" x14ac:dyDescent="0.25">
      <c r="A1131" s="3"/>
      <c r="AZ1131" s="5"/>
      <c r="BB1131" s="5"/>
      <c r="BD1131" s="5"/>
      <c r="BF1131" s="5"/>
      <c r="BH1131" s="5"/>
      <c r="BJ1131" s="5"/>
      <c r="BL1131" s="5"/>
      <c r="BN1131" s="5"/>
      <c r="BP1131" s="5"/>
      <c r="BR1131" s="5"/>
    </row>
    <row r="1132" spans="1:70" x14ac:dyDescent="0.25">
      <c r="A1132" s="3"/>
      <c r="AZ1132" s="5"/>
      <c r="BB1132" s="5"/>
      <c r="BD1132" s="5"/>
      <c r="BF1132" s="5"/>
      <c r="BH1132" s="5"/>
      <c r="BJ1132" s="5"/>
      <c r="BL1132" s="5"/>
      <c r="BN1132" s="5"/>
      <c r="BP1132" s="5"/>
      <c r="BR1132" s="5"/>
    </row>
    <row r="1133" spans="1:70" x14ac:dyDescent="0.25">
      <c r="A1133" s="3"/>
      <c r="AZ1133" s="5"/>
      <c r="BB1133" s="5"/>
      <c r="BD1133" s="5"/>
      <c r="BF1133" s="5"/>
      <c r="BH1133" s="5"/>
      <c r="BJ1133" s="5"/>
      <c r="BL1133" s="5"/>
      <c r="BN1133" s="5"/>
      <c r="BP1133" s="5"/>
      <c r="BR1133" s="5"/>
    </row>
    <row r="1134" spans="1:70" x14ac:dyDescent="0.25">
      <c r="A1134" s="3"/>
      <c r="AZ1134" s="5"/>
      <c r="BB1134" s="5"/>
      <c r="BD1134" s="5"/>
      <c r="BF1134" s="5"/>
      <c r="BH1134" s="5"/>
      <c r="BJ1134" s="5"/>
      <c r="BL1134" s="5"/>
      <c r="BN1134" s="5"/>
      <c r="BP1134" s="5"/>
      <c r="BR1134" s="5"/>
    </row>
    <row r="1135" spans="1:70" x14ac:dyDescent="0.25">
      <c r="A1135" s="3"/>
      <c r="AZ1135" s="5"/>
      <c r="BB1135" s="5"/>
      <c r="BD1135" s="5"/>
      <c r="BF1135" s="5"/>
      <c r="BH1135" s="5"/>
      <c r="BJ1135" s="5"/>
      <c r="BL1135" s="5"/>
      <c r="BN1135" s="5"/>
      <c r="BP1135" s="5"/>
      <c r="BR1135" s="5"/>
    </row>
    <row r="1136" spans="1:70" x14ac:dyDescent="0.25">
      <c r="A1136" s="3"/>
      <c r="AZ1136" s="5"/>
      <c r="BB1136" s="5"/>
      <c r="BD1136" s="5"/>
      <c r="BF1136" s="5"/>
      <c r="BH1136" s="5"/>
      <c r="BJ1136" s="5"/>
      <c r="BL1136" s="5"/>
      <c r="BN1136" s="5"/>
      <c r="BP1136" s="5"/>
      <c r="BR1136" s="5"/>
    </row>
    <row r="1137" spans="1:70" x14ac:dyDescent="0.25">
      <c r="A1137" s="3"/>
      <c r="AZ1137" s="5"/>
      <c r="BB1137" s="5"/>
      <c r="BD1137" s="5"/>
      <c r="BF1137" s="5"/>
      <c r="BH1137" s="5"/>
      <c r="BJ1137" s="5"/>
      <c r="BL1137" s="5"/>
      <c r="BN1137" s="5"/>
      <c r="BP1137" s="5"/>
      <c r="BR1137" s="5"/>
    </row>
    <row r="1138" spans="1:70" x14ac:dyDescent="0.25">
      <c r="A1138" s="3"/>
      <c r="AZ1138" s="5"/>
      <c r="BB1138" s="5"/>
      <c r="BD1138" s="5"/>
      <c r="BF1138" s="5"/>
      <c r="BH1138" s="5"/>
      <c r="BJ1138" s="5"/>
      <c r="BL1138" s="5"/>
      <c r="BN1138" s="5"/>
      <c r="BP1138" s="5"/>
      <c r="BR1138" s="5"/>
    </row>
    <row r="1139" spans="1:70" x14ac:dyDescent="0.25">
      <c r="A1139" s="3"/>
      <c r="AZ1139" s="5"/>
      <c r="BB1139" s="5"/>
      <c r="BD1139" s="5"/>
      <c r="BF1139" s="5"/>
      <c r="BH1139" s="5"/>
      <c r="BJ1139" s="5"/>
      <c r="BL1139" s="5"/>
      <c r="BN1139" s="5"/>
      <c r="BP1139" s="5"/>
      <c r="BR1139" s="5"/>
    </row>
    <row r="1140" spans="1:70" x14ac:dyDescent="0.25">
      <c r="A1140" s="3"/>
      <c r="AZ1140" s="5"/>
      <c r="BB1140" s="5"/>
      <c r="BD1140" s="5"/>
      <c r="BF1140" s="5"/>
      <c r="BH1140" s="5"/>
      <c r="BJ1140" s="5"/>
      <c r="BL1140" s="5"/>
      <c r="BN1140" s="5"/>
      <c r="BP1140" s="5"/>
      <c r="BR1140" s="5"/>
    </row>
    <row r="1141" spans="1:70" x14ac:dyDescent="0.25">
      <c r="A1141" s="3"/>
      <c r="AZ1141" s="5"/>
      <c r="BB1141" s="5"/>
      <c r="BD1141" s="5"/>
      <c r="BF1141" s="5"/>
      <c r="BH1141" s="5"/>
      <c r="BJ1141" s="5"/>
      <c r="BL1141" s="5"/>
      <c r="BN1141" s="5"/>
      <c r="BP1141" s="5"/>
      <c r="BR1141" s="5"/>
    </row>
    <row r="1142" spans="1:70" x14ac:dyDescent="0.25">
      <c r="A1142" s="3"/>
      <c r="AZ1142" s="5"/>
      <c r="BB1142" s="5"/>
      <c r="BD1142" s="5"/>
      <c r="BF1142" s="5"/>
      <c r="BH1142" s="5"/>
      <c r="BJ1142" s="5"/>
      <c r="BL1142" s="5"/>
      <c r="BN1142" s="5"/>
      <c r="BP1142" s="5"/>
      <c r="BR1142" s="5"/>
    </row>
    <row r="1143" spans="1:70" x14ac:dyDescent="0.25">
      <c r="A1143" s="3"/>
      <c r="AZ1143" s="5"/>
      <c r="BB1143" s="5"/>
      <c r="BD1143" s="5"/>
      <c r="BF1143" s="5"/>
      <c r="BH1143" s="5"/>
      <c r="BJ1143" s="5"/>
      <c r="BL1143" s="5"/>
      <c r="BN1143" s="5"/>
      <c r="BP1143" s="5"/>
      <c r="BR1143" s="5"/>
    </row>
    <row r="1144" spans="1:70" x14ac:dyDescent="0.25">
      <c r="A1144" s="3"/>
      <c r="AZ1144" s="5"/>
      <c r="BB1144" s="5"/>
      <c r="BD1144" s="5"/>
      <c r="BF1144" s="5"/>
      <c r="BH1144" s="5"/>
      <c r="BJ1144" s="5"/>
      <c r="BL1144" s="5"/>
      <c r="BN1144" s="5"/>
      <c r="BP1144" s="5"/>
      <c r="BR1144" s="5"/>
    </row>
    <row r="1145" spans="1:70" x14ac:dyDescent="0.25">
      <c r="A1145" s="3"/>
      <c r="AZ1145" s="5"/>
      <c r="BB1145" s="5"/>
      <c r="BD1145" s="5"/>
      <c r="BF1145" s="5"/>
      <c r="BH1145" s="5"/>
      <c r="BJ1145" s="5"/>
      <c r="BL1145" s="5"/>
      <c r="BN1145" s="5"/>
      <c r="BP1145" s="5"/>
      <c r="BR1145" s="5"/>
    </row>
    <row r="1146" spans="1:70" x14ac:dyDescent="0.25">
      <c r="A1146" s="3"/>
      <c r="AZ1146" s="5"/>
      <c r="BB1146" s="5"/>
      <c r="BD1146" s="5"/>
      <c r="BF1146" s="5"/>
      <c r="BH1146" s="5"/>
      <c r="BJ1146" s="5"/>
      <c r="BL1146" s="5"/>
      <c r="BN1146" s="5"/>
      <c r="BP1146" s="5"/>
      <c r="BR1146" s="5"/>
    </row>
    <row r="1147" spans="1:70" x14ac:dyDescent="0.25">
      <c r="A1147" s="3"/>
      <c r="AZ1147" s="5"/>
      <c r="BB1147" s="5"/>
      <c r="BD1147" s="5"/>
      <c r="BF1147" s="5"/>
      <c r="BH1147" s="5"/>
      <c r="BJ1147" s="5"/>
      <c r="BL1147" s="5"/>
      <c r="BN1147" s="5"/>
      <c r="BP1147" s="5"/>
      <c r="BR1147" s="5"/>
    </row>
    <row r="1148" spans="1:70" x14ac:dyDescent="0.25">
      <c r="A1148" s="3"/>
      <c r="AZ1148" s="5"/>
      <c r="BB1148" s="5"/>
      <c r="BD1148" s="5"/>
      <c r="BF1148" s="5"/>
      <c r="BH1148" s="5"/>
      <c r="BJ1148" s="5"/>
      <c r="BL1148" s="5"/>
      <c r="BN1148" s="5"/>
      <c r="BP1148" s="5"/>
      <c r="BR1148" s="5"/>
    </row>
    <row r="1149" spans="1:70" x14ac:dyDescent="0.25">
      <c r="A1149" s="3"/>
      <c r="AZ1149" s="5"/>
      <c r="BB1149" s="5"/>
      <c r="BD1149" s="5"/>
      <c r="BF1149" s="5"/>
      <c r="BH1149" s="5"/>
      <c r="BJ1149" s="5"/>
      <c r="BL1149" s="5"/>
      <c r="BN1149" s="5"/>
      <c r="BP1149" s="5"/>
      <c r="BR1149" s="5"/>
    </row>
    <row r="1150" spans="1:70" x14ac:dyDescent="0.25">
      <c r="A1150" s="3"/>
      <c r="AZ1150" s="5"/>
      <c r="BB1150" s="5"/>
      <c r="BD1150" s="5"/>
      <c r="BF1150" s="5"/>
      <c r="BH1150" s="5"/>
      <c r="BJ1150" s="5"/>
      <c r="BL1150" s="5"/>
      <c r="BN1150" s="5"/>
      <c r="BP1150" s="5"/>
      <c r="BR1150" s="5"/>
    </row>
    <row r="1151" spans="1:70" x14ac:dyDescent="0.25">
      <c r="A1151" s="3"/>
      <c r="AZ1151" s="5"/>
      <c r="BB1151" s="5"/>
      <c r="BD1151" s="5"/>
      <c r="BF1151" s="5"/>
      <c r="BH1151" s="5"/>
      <c r="BJ1151" s="5"/>
      <c r="BL1151" s="5"/>
      <c r="BN1151" s="5"/>
      <c r="BP1151" s="5"/>
      <c r="BR1151" s="5"/>
    </row>
    <row r="1152" spans="1:70" x14ac:dyDescent="0.25">
      <c r="A1152" s="3"/>
      <c r="AZ1152" s="5"/>
      <c r="BB1152" s="5"/>
      <c r="BD1152" s="5"/>
      <c r="BF1152" s="5"/>
      <c r="BH1152" s="5"/>
      <c r="BJ1152" s="5"/>
      <c r="BL1152" s="5"/>
      <c r="BN1152" s="5"/>
      <c r="BP1152" s="5"/>
      <c r="BR1152" s="5"/>
    </row>
    <row r="1153" spans="1:70" x14ac:dyDescent="0.25">
      <c r="A1153" s="3"/>
      <c r="AZ1153" s="5"/>
      <c r="BB1153" s="5"/>
      <c r="BD1153" s="5"/>
      <c r="BF1153" s="5"/>
      <c r="BH1153" s="5"/>
      <c r="BJ1153" s="5"/>
      <c r="BL1153" s="5"/>
      <c r="BN1153" s="5"/>
      <c r="BP1153" s="5"/>
      <c r="BR1153" s="5"/>
    </row>
    <row r="1154" spans="1:70" x14ac:dyDescent="0.25">
      <c r="A1154" s="3"/>
      <c r="AZ1154" s="5"/>
      <c r="BB1154" s="5"/>
      <c r="BD1154" s="5"/>
      <c r="BF1154" s="5"/>
      <c r="BH1154" s="5"/>
      <c r="BJ1154" s="5"/>
      <c r="BL1154" s="5"/>
      <c r="BN1154" s="5"/>
      <c r="BP1154" s="5"/>
      <c r="BR1154" s="5"/>
    </row>
    <row r="1155" spans="1:70" x14ac:dyDescent="0.25">
      <c r="A1155" s="3"/>
      <c r="AZ1155" s="5"/>
      <c r="BB1155" s="5"/>
      <c r="BD1155" s="5"/>
      <c r="BF1155" s="5"/>
      <c r="BH1155" s="5"/>
      <c r="BJ1155" s="5"/>
      <c r="BL1155" s="5"/>
      <c r="BN1155" s="5"/>
      <c r="BP1155" s="5"/>
      <c r="BR1155" s="5"/>
    </row>
    <row r="1156" spans="1:70" x14ac:dyDescent="0.25">
      <c r="A1156" s="3"/>
      <c r="AZ1156" s="5"/>
      <c r="BB1156" s="5"/>
      <c r="BD1156" s="5"/>
      <c r="BF1156" s="5"/>
      <c r="BH1156" s="5"/>
      <c r="BJ1156" s="5"/>
      <c r="BL1156" s="5"/>
      <c r="BN1156" s="5"/>
      <c r="BP1156" s="5"/>
      <c r="BR1156" s="5"/>
    </row>
    <row r="1157" spans="1:70" x14ac:dyDescent="0.25">
      <c r="A1157" s="3"/>
      <c r="AZ1157" s="5"/>
      <c r="BB1157" s="5"/>
      <c r="BD1157" s="5"/>
      <c r="BF1157" s="5"/>
      <c r="BH1157" s="5"/>
      <c r="BJ1157" s="5"/>
      <c r="BL1157" s="5"/>
      <c r="BN1157" s="5"/>
      <c r="BP1157" s="5"/>
      <c r="BR1157" s="5"/>
    </row>
    <row r="1158" spans="1:70" x14ac:dyDescent="0.25">
      <c r="A1158" s="3"/>
      <c r="AZ1158" s="5"/>
      <c r="BB1158" s="5"/>
      <c r="BD1158" s="5"/>
      <c r="BF1158" s="5"/>
      <c r="BH1158" s="5"/>
      <c r="BJ1158" s="5"/>
      <c r="BL1158" s="5"/>
      <c r="BN1158" s="5"/>
      <c r="BP1158" s="5"/>
      <c r="BR1158" s="5"/>
    </row>
    <row r="1159" spans="1:70" x14ac:dyDescent="0.25">
      <c r="A1159" s="3"/>
      <c r="AZ1159" s="5"/>
      <c r="BB1159" s="5"/>
      <c r="BD1159" s="5"/>
      <c r="BF1159" s="5"/>
      <c r="BH1159" s="5"/>
      <c r="BJ1159" s="5"/>
      <c r="BL1159" s="5"/>
      <c r="BN1159" s="5"/>
      <c r="BP1159" s="5"/>
      <c r="BR1159" s="5"/>
    </row>
    <row r="1160" spans="1:70" x14ac:dyDescent="0.25">
      <c r="A1160" s="3"/>
      <c r="AZ1160" s="5"/>
      <c r="BB1160" s="5"/>
      <c r="BD1160" s="5"/>
      <c r="BF1160" s="5"/>
      <c r="BH1160" s="5"/>
      <c r="BJ1160" s="5"/>
      <c r="BL1160" s="5"/>
      <c r="BN1160" s="5"/>
      <c r="BP1160" s="5"/>
      <c r="BR1160" s="5"/>
    </row>
    <row r="1161" spans="1:70" x14ac:dyDescent="0.25">
      <c r="A1161" s="3"/>
      <c r="AZ1161" s="5"/>
      <c r="BB1161" s="5"/>
      <c r="BD1161" s="5"/>
      <c r="BF1161" s="5"/>
      <c r="BH1161" s="5"/>
      <c r="BJ1161" s="5"/>
      <c r="BL1161" s="5"/>
      <c r="BN1161" s="5"/>
      <c r="BP1161" s="5"/>
      <c r="BR1161" s="5"/>
    </row>
    <row r="1162" spans="1:70" x14ac:dyDescent="0.25">
      <c r="A1162" s="3"/>
      <c r="AZ1162" s="5"/>
      <c r="BB1162" s="5"/>
      <c r="BD1162" s="5"/>
      <c r="BF1162" s="5"/>
      <c r="BH1162" s="5"/>
      <c r="BJ1162" s="5"/>
      <c r="BL1162" s="5"/>
      <c r="BN1162" s="5"/>
      <c r="BP1162" s="5"/>
      <c r="BR1162" s="5"/>
    </row>
    <row r="1163" spans="1:70" x14ac:dyDescent="0.25">
      <c r="A1163" s="3"/>
      <c r="AZ1163" s="5"/>
      <c r="BB1163" s="5"/>
      <c r="BD1163" s="5"/>
      <c r="BF1163" s="5"/>
      <c r="BH1163" s="5"/>
      <c r="BJ1163" s="5"/>
      <c r="BL1163" s="5"/>
      <c r="BN1163" s="5"/>
      <c r="BP1163" s="5"/>
      <c r="BR1163" s="5"/>
    </row>
    <row r="1164" spans="1:70" x14ac:dyDescent="0.25">
      <c r="A1164" s="3"/>
      <c r="AZ1164" s="5"/>
      <c r="BB1164" s="5"/>
      <c r="BD1164" s="5"/>
      <c r="BF1164" s="5"/>
      <c r="BH1164" s="5"/>
      <c r="BJ1164" s="5"/>
      <c r="BL1164" s="5"/>
      <c r="BN1164" s="5"/>
      <c r="BP1164" s="5"/>
      <c r="BR1164" s="5"/>
    </row>
    <row r="1165" spans="1:70" x14ac:dyDescent="0.25">
      <c r="A1165" s="3"/>
      <c r="AZ1165" s="5"/>
      <c r="BB1165" s="5"/>
      <c r="BD1165" s="5"/>
      <c r="BF1165" s="5"/>
      <c r="BH1165" s="5"/>
      <c r="BJ1165" s="5"/>
      <c r="BL1165" s="5"/>
      <c r="BN1165" s="5"/>
      <c r="BP1165" s="5"/>
      <c r="BR1165" s="5"/>
    </row>
    <row r="1166" spans="1:70" x14ac:dyDescent="0.25">
      <c r="A1166" s="3"/>
      <c r="AZ1166" s="5"/>
      <c r="BB1166" s="5"/>
      <c r="BD1166" s="5"/>
      <c r="BF1166" s="5"/>
      <c r="BH1166" s="5"/>
      <c r="BJ1166" s="5"/>
      <c r="BL1166" s="5"/>
      <c r="BN1166" s="5"/>
      <c r="BP1166" s="5"/>
      <c r="BR1166" s="5"/>
    </row>
    <row r="1167" spans="1:70" x14ac:dyDescent="0.25">
      <c r="A1167" s="3"/>
      <c r="AZ1167" s="5"/>
      <c r="BB1167" s="5"/>
      <c r="BD1167" s="5"/>
      <c r="BF1167" s="5"/>
      <c r="BH1167" s="5"/>
      <c r="BJ1167" s="5"/>
      <c r="BL1167" s="5"/>
      <c r="BN1167" s="5"/>
      <c r="BP1167" s="5"/>
      <c r="BR1167" s="5"/>
    </row>
    <row r="1168" spans="1:70" x14ac:dyDescent="0.25">
      <c r="A1168" s="3"/>
      <c r="AZ1168" s="5"/>
      <c r="BB1168" s="5"/>
      <c r="BD1168" s="5"/>
      <c r="BF1168" s="5"/>
      <c r="BH1168" s="5"/>
      <c r="BJ1168" s="5"/>
      <c r="BL1168" s="5"/>
      <c r="BN1168" s="5"/>
      <c r="BP1168" s="5"/>
      <c r="BR1168" s="5"/>
    </row>
    <row r="1169" spans="1:70" x14ac:dyDescent="0.25">
      <c r="A1169" s="3"/>
      <c r="AZ1169" s="5"/>
      <c r="BB1169" s="5"/>
      <c r="BD1169" s="5"/>
      <c r="BF1169" s="5"/>
      <c r="BH1169" s="5"/>
      <c r="BJ1169" s="5"/>
      <c r="BL1169" s="5"/>
      <c r="BN1169" s="5"/>
      <c r="BP1169" s="5"/>
      <c r="BR1169" s="5"/>
    </row>
    <row r="1170" spans="1:70" x14ac:dyDescent="0.25">
      <c r="A1170" s="3"/>
      <c r="AZ1170" s="5"/>
      <c r="BB1170" s="5"/>
      <c r="BD1170" s="5"/>
      <c r="BF1170" s="5"/>
      <c r="BH1170" s="5"/>
      <c r="BJ1170" s="5"/>
      <c r="BL1170" s="5"/>
      <c r="BN1170" s="5"/>
      <c r="BP1170" s="5"/>
      <c r="BR1170" s="5"/>
    </row>
    <row r="1171" spans="1:70" x14ac:dyDescent="0.25">
      <c r="A1171" s="3"/>
      <c r="AZ1171" s="5"/>
      <c r="BB1171" s="5"/>
      <c r="BD1171" s="5"/>
      <c r="BF1171" s="5"/>
      <c r="BH1171" s="5"/>
      <c r="BJ1171" s="5"/>
      <c r="BL1171" s="5"/>
      <c r="BN1171" s="5"/>
      <c r="BP1171" s="5"/>
      <c r="BR1171" s="5"/>
    </row>
    <row r="1172" spans="1:70" x14ac:dyDescent="0.25">
      <c r="A1172" s="3"/>
      <c r="AZ1172" s="5"/>
      <c r="BB1172" s="5"/>
      <c r="BD1172" s="5"/>
      <c r="BF1172" s="5"/>
      <c r="BH1172" s="5"/>
      <c r="BJ1172" s="5"/>
      <c r="BL1172" s="5"/>
      <c r="BN1172" s="5"/>
      <c r="BP1172" s="5"/>
      <c r="BR1172" s="5"/>
    </row>
    <row r="1173" spans="1:70" x14ac:dyDescent="0.25">
      <c r="A1173" s="3"/>
      <c r="AZ1173" s="5"/>
      <c r="BB1173" s="5"/>
      <c r="BD1173" s="5"/>
      <c r="BF1173" s="5"/>
      <c r="BH1173" s="5"/>
      <c r="BJ1173" s="5"/>
      <c r="BL1173" s="5"/>
      <c r="BN1173" s="5"/>
      <c r="BP1173" s="5"/>
      <c r="BR1173" s="5"/>
    </row>
    <row r="1174" spans="1:70" x14ac:dyDescent="0.25">
      <c r="A1174" s="3"/>
      <c r="AZ1174" s="5"/>
      <c r="BB1174" s="5"/>
      <c r="BD1174" s="5"/>
      <c r="BF1174" s="5"/>
      <c r="BH1174" s="5"/>
      <c r="BJ1174" s="5"/>
      <c r="BL1174" s="5"/>
      <c r="BN1174" s="5"/>
      <c r="BP1174" s="5"/>
      <c r="BR1174" s="5"/>
    </row>
    <row r="1175" spans="1:70" x14ac:dyDescent="0.25">
      <c r="A1175" s="3"/>
      <c r="AZ1175" s="5"/>
      <c r="BB1175" s="5"/>
      <c r="BD1175" s="5"/>
      <c r="BF1175" s="5"/>
      <c r="BH1175" s="5"/>
      <c r="BJ1175" s="5"/>
      <c r="BL1175" s="5"/>
      <c r="BN1175" s="5"/>
      <c r="BP1175" s="5"/>
      <c r="BR1175" s="5"/>
    </row>
    <row r="1176" spans="1:70" x14ac:dyDescent="0.25">
      <c r="A1176" s="3"/>
      <c r="AZ1176" s="5"/>
      <c r="BB1176" s="5"/>
      <c r="BD1176" s="5"/>
      <c r="BF1176" s="5"/>
      <c r="BH1176" s="5"/>
      <c r="BJ1176" s="5"/>
      <c r="BL1176" s="5"/>
      <c r="BN1176" s="5"/>
      <c r="BP1176" s="5"/>
      <c r="BR1176" s="5"/>
    </row>
    <row r="1177" spans="1:70" x14ac:dyDescent="0.25">
      <c r="A1177" s="3"/>
      <c r="AZ1177" s="5"/>
      <c r="BB1177" s="5"/>
      <c r="BD1177" s="5"/>
      <c r="BF1177" s="5"/>
      <c r="BH1177" s="5"/>
      <c r="BJ1177" s="5"/>
      <c r="BL1177" s="5"/>
      <c r="BN1177" s="5"/>
      <c r="BP1177" s="5"/>
      <c r="BR1177" s="5"/>
    </row>
    <row r="1178" spans="1:70" x14ac:dyDescent="0.25">
      <c r="A1178" s="3"/>
      <c r="AZ1178" s="5"/>
      <c r="BB1178" s="5"/>
      <c r="BD1178" s="5"/>
      <c r="BF1178" s="5"/>
      <c r="BH1178" s="5"/>
      <c r="BJ1178" s="5"/>
      <c r="BL1178" s="5"/>
      <c r="BN1178" s="5"/>
      <c r="BP1178" s="5"/>
      <c r="BR1178" s="5"/>
    </row>
    <row r="1179" spans="1:70" x14ac:dyDescent="0.25">
      <c r="A1179" s="3"/>
      <c r="AZ1179" s="5"/>
      <c r="BB1179" s="5"/>
      <c r="BD1179" s="5"/>
      <c r="BF1179" s="5"/>
      <c r="BH1179" s="5"/>
      <c r="BJ1179" s="5"/>
      <c r="BL1179" s="5"/>
      <c r="BN1179" s="5"/>
      <c r="BP1179" s="5"/>
      <c r="BR1179" s="5"/>
    </row>
    <row r="1180" spans="1:70" x14ac:dyDescent="0.25">
      <c r="A1180" s="3"/>
      <c r="AZ1180" s="5"/>
      <c r="BB1180" s="5"/>
      <c r="BD1180" s="5"/>
      <c r="BF1180" s="5"/>
      <c r="BH1180" s="5"/>
      <c r="BJ1180" s="5"/>
      <c r="BL1180" s="5"/>
      <c r="BN1180" s="5"/>
      <c r="BP1180" s="5"/>
      <c r="BR1180" s="5"/>
    </row>
    <row r="1181" spans="1:70" x14ac:dyDescent="0.25">
      <c r="A1181" s="3"/>
      <c r="AZ1181" s="5"/>
      <c r="BB1181" s="5"/>
      <c r="BD1181" s="5"/>
      <c r="BF1181" s="5"/>
      <c r="BH1181" s="5"/>
      <c r="BJ1181" s="5"/>
      <c r="BL1181" s="5"/>
      <c r="BN1181" s="5"/>
      <c r="BP1181" s="5"/>
      <c r="BR1181" s="5"/>
    </row>
    <row r="1182" spans="1:70" x14ac:dyDescent="0.25">
      <c r="A1182" s="3"/>
      <c r="AZ1182" s="5"/>
      <c r="BB1182" s="5"/>
      <c r="BD1182" s="5"/>
      <c r="BF1182" s="5"/>
      <c r="BH1182" s="5"/>
      <c r="BJ1182" s="5"/>
      <c r="BL1182" s="5"/>
      <c r="BN1182" s="5"/>
      <c r="BP1182" s="5"/>
      <c r="BR1182" s="5"/>
    </row>
    <row r="1183" spans="1:70" x14ac:dyDescent="0.25">
      <c r="A1183" s="3"/>
      <c r="AZ1183" s="5"/>
      <c r="BB1183" s="5"/>
      <c r="BD1183" s="5"/>
      <c r="BF1183" s="5"/>
      <c r="BH1183" s="5"/>
      <c r="BJ1183" s="5"/>
      <c r="BL1183" s="5"/>
      <c r="BN1183" s="5"/>
      <c r="BP1183" s="5"/>
      <c r="BR1183" s="5"/>
    </row>
    <row r="1184" spans="1:70" x14ac:dyDescent="0.25">
      <c r="A1184" s="3"/>
      <c r="AZ1184" s="5"/>
      <c r="BB1184" s="5"/>
      <c r="BD1184" s="5"/>
      <c r="BF1184" s="5"/>
      <c r="BH1184" s="5"/>
      <c r="BJ1184" s="5"/>
      <c r="BL1184" s="5"/>
      <c r="BN1184" s="5"/>
      <c r="BP1184" s="5"/>
      <c r="BR1184" s="5"/>
    </row>
    <row r="1185" spans="1:70" x14ac:dyDescent="0.25">
      <c r="A1185" s="3"/>
      <c r="AZ1185" s="5"/>
      <c r="BB1185" s="5"/>
      <c r="BD1185" s="5"/>
      <c r="BF1185" s="5"/>
      <c r="BH1185" s="5"/>
      <c r="BJ1185" s="5"/>
      <c r="BL1185" s="5"/>
      <c r="BN1185" s="5"/>
      <c r="BP1185" s="5"/>
      <c r="BR1185" s="5"/>
    </row>
    <row r="1186" spans="1:70" x14ac:dyDescent="0.25">
      <c r="A1186" s="3"/>
      <c r="AZ1186" s="5"/>
      <c r="BB1186" s="5"/>
      <c r="BD1186" s="5"/>
      <c r="BF1186" s="5"/>
      <c r="BH1186" s="5"/>
      <c r="BJ1186" s="5"/>
      <c r="BL1186" s="5"/>
      <c r="BN1186" s="5"/>
      <c r="BP1186" s="5"/>
      <c r="BR1186" s="5"/>
    </row>
    <row r="1187" spans="1:70" x14ac:dyDescent="0.25">
      <c r="A1187" s="3"/>
      <c r="AZ1187" s="5"/>
      <c r="BB1187" s="5"/>
      <c r="BD1187" s="5"/>
      <c r="BF1187" s="5"/>
      <c r="BH1187" s="5"/>
      <c r="BJ1187" s="5"/>
      <c r="BL1187" s="5"/>
      <c r="BN1187" s="5"/>
      <c r="BP1187" s="5"/>
      <c r="BR1187" s="5"/>
    </row>
    <row r="1188" spans="1:70" x14ac:dyDescent="0.25">
      <c r="A1188" s="3"/>
      <c r="AZ1188" s="5"/>
      <c r="BB1188" s="5"/>
      <c r="BD1188" s="5"/>
      <c r="BF1188" s="5"/>
      <c r="BH1188" s="5"/>
      <c r="BJ1188" s="5"/>
      <c r="BL1188" s="5"/>
      <c r="BN1188" s="5"/>
      <c r="BP1188" s="5"/>
      <c r="BR1188" s="5"/>
    </row>
    <row r="1189" spans="1:70" x14ac:dyDescent="0.25">
      <c r="A1189" s="3"/>
      <c r="AZ1189" s="5"/>
      <c r="BB1189" s="5"/>
      <c r="BD1189" s="5"/>
      <c r="BF1189" s="5"/>
      <c r="BH1189" s="5"/>
      <c r="BJ1189" s="5"/>
      <c r="BL1189" s="5"/>
      <c r="BN1189" s="5"/>
      <c r="BP1189" s="5"/>
      <c r="BR1189" s="5"/>
    </row>
    <row r="1190" spans="1:70" x14ac:dyDescent="0.25">
      <c r="A1190" s="3"/>
      <c r="AZ1190" s="5"/>
      <c r="BB1190" s="5"/>
      <c r="BD1190" s="5"/>
      <c r="BF1190" s="5"/>
      <c r="BH1190" s="5"/>
      <c r="BJ1190" s="5"/>
      <c r="BL1190" s="5"/>
      <c r="BN1190" s="5"/>
      <c r="BP1190" s="5"/>
      <c r="BR1190" s="5"/>
    </row>
    <row r="1191" spans="1:70" x14ac:dyDescent="0.25">
      <c r="A1191" s="3"/>
      <c r="AZ1191" s="5"/>
      <c r="BB1191" s="5"/>
      <c r="BD1191" s="5"/>
      <c r="BF1191" s="5"/>
      <c r="BH1191" s="5"/>
      <c r="BJ1191" s="5"/>
      <c r="BL1191" s="5"/>
      <c r="BN1191" s="5"/>
      <c r="BP1191" s="5"/>
      <c r="BR1191" s="5"/>
    </row>
    <row r="1192" spans="1:70" x14ac:dyDescent="0.25">
      <c r="A1192" s="3"/>
      <c r="AZ1192" s="5"/>
      <c r="BB1192" s="5"/>
      <c r="BD1192" s="5"/>
      <c r="BF1192" s="5"/>
      <c r="BH1192" s="5"/>
      <c r="BJ1192" s="5"/>
      <c r="BL1192" s="5"/>
      <c r="BN1192" s="5"/>
      <c r="BP1192" s="5"/>
      <c r="BR1192" s="5"/>
    </row>
    <row r="1193" spans="1:70" x14ac:dyDescent="0.25">
      <c r="A1193" s="3"/>
      <c r="AZ1193" s="5"/>
      <c r="BB1193" s="5"/>
      <c r="BD1193" s="5"/>
      <c r="BF1193" s="5"/>
      <c r="BH1193" s="5"/>
      <c r="BJ1193" s="5"/>
      <c r="BL1193" s="5"/>
      <c r="BN1193" s="5"/>
      <c r="BP1193" s="5"/>
      <c r="BR1193" s="5"/>
    </row>
    <row r="1194" spans="1:70" x14ac:dyDescent="0.25">
      <c r="A1194" s="3"/>
      <c r="AZ1194" s="5"/>
      <c r="BB1194" s="5"/>
      <c r="BD1194" s="5"/>
      <c r="BF1194" s="5"/>
      <c r="BH1194" s="5"/>
      <c r="BJ1194" s="5"/>
      <c r="BL1194" s="5"/>
      <c r="BN1194" s="5"/>
      <c r="BP1194" s="5"/>
      <c r="BR1194" s="5"/>
    </row>
    <row r="1195" spans="1:70" x14ac:dyDescent="0.25">
      <c r="A1195" s="3"/>
      <c r="AZ1195" s="5"/>
      <c r="BB1195" s="5"/>
      <c r="BD1195" s="5"/>
      <c r="BF1195" s="5"/>
      <c r="BH1195" s="5"/>
      <c r="BJ1195" s="5"/>
      <c r="BL1195" s="5"/>
      <c r="BN1195" s="5"/>
      <c r="BP1195" s="5"/>
      <c r="BR1195" s="5"/>
    </row>
    <row r="1196" spans="1:70" x14ac:dyDescent="0.25">
      <c r="A1196" s="3"/>
      <c r="AZ1196" s="5"/>
      <c r="BB1196" s="5"/>
      <c r="BD1196" s="5"/>
      <c r="BF1196" s="5"/>
      <c r="BH1196" s="5"/>
      <c r="BJ1196" s="5"/>
      <c r="BL1196" s="5"/>
      <c r="BN1196" s="5"/>
      <c r="BP1196" s="5"/>
      <c r="BR1196" s="5"/>
    </row>
    <row r="1197" spans="1:70" x14ac:dyDescent="0.25">
      <c r="A1197" s="3"/>
      <c r="AZ1197" s="5"/>
      <c r="BB1197" s="5"/>
      <c r="BD1197" s="5"/>
      <c r="BF1197" s="5"/>
      <c r="BH1197" s="5"/>
      <c r="BJ1197" s="5"/>
      <c r="BL1197" s="5"/>
      <c r="BN1197" s="5"/>
      <c r="BP1197" s="5"/>
      <c r="BR1197" s="5"/>
    </row>
    <row r="1198" spans="1:70" x14ac:dyDescent="0.25">
      <c r="A1198" s="3"/>
      <c r="AZ1198" s="5"/>
      <c r="BB1198" s="5"/>
      <c r="BD1198" s="5"/>
      <c r="BF1198" s="5"/>
      <c r="BH1198" s="5"/>
      <c r="BJ1198" s="5"/>
      <c r="BL1198" s="5"/>
      <c r="BN1198" s="5"/>
      <c r="BP1198" s="5"/>
      <c r="BR1198" s="5"/>
    </row>
    <row r="1199" spans="1:70" x14ac:dyDescent="0.25">
      <c r="A1199" s="3"/>
      <c r="AZ1199" s="5"/>
      <c r="BB1199" s="5"/>
      <c r="BD1199" s="5"/>
      <c r="BF1199" s="5"/>
      <c r="BH1199" s="5"/>
      <c r="BJ1199" s="5"/>
      <c r="BL1199" s="5"/>
      <c r="BN1199" s="5"/>
      <c r="BP1199" s="5"/>
      <c r="BR1199" s="5"/>
    </row>
    <row r="1200" spans="1:70" x14ac:dyDescent="0.25">
      <c r="A1200" s="3"/>
      <c r="AZ1200" s="5"/>
      <c r="BB1200" s="5"/>
      <c r="BD1200" s="5"/>
      <c r="BF1200" s="5"/>
      <c r="BH1200" s="5"/>
      <c r="BJ1200" s="5"/>
      <c r="BL1200" s="5"/>
      <c r="BN1200" s="5"/>
      <c r="BP1200" s="5"/>
      <c r="BR1200" s="5"/>
    </row>
    <row r="1201" spans="1:70" x14ac:dyDescent="0.25">
      <c r="A1201" s="3"/>
      <c r="AZ1201" s="5"/>
      <c r="BB1201" s="5"/>
      <c r="BD1201" s="5"/>
      <c r="BF1201" s="5"/>
      <c r="BH1201" s="5"/>
      <c r="BJ1201" s="5"/>
      <c r="BL1201" s="5"/>
      <c r="BN1201" s="5"/>
      <c r="BP1201" s="5"/>
      <c r="BR1201" s="5"/>
    </row>
    <row r="1202" spans="1:70" x14ac:dyDescent="0.25">
      <c r="A1202" s="3"/>
      <c r="AZ1202" s="5"/>
      <c r="BB1202" s="5"/>
      <c r="BD1202" s="5"/>
      <c r="BF1202" s="5"/>
      <c r="BH1202" s="5"/>
      <c r="BJ1202" s="5"/>
      <c r="BL1202" s="5"/>
      <c r="BN1202" s="5"/>
      <c r="BP1202" s="5"/>
      <c r="BR1202" s="5"/>
    </row>
    <row r="1203" spans="1:70" x14ac:dyDescent="0.25">
      <c r="A1203" s="3"/>
      <c r="AZ1203" s="5"/>
      <c r="BB1203" s="5"/>
      <c r="BD1203" s="5"/>
      <c r="BF1203" s="5"/>
      <c r="BH1203" s="5"/>
      <c r="BJ1203" s="5"/>
      <c r="BL1203" s="5"/>
      <c r="BN1203" s="5"/>
      <c r="BP1203" s="5"/>
      <c r="BR1203" s="5"/>
    </row>
    <row r="1204" spans="1:70" x14ac:dyDescent="0.25">
      <c r="A1204" s="3"/>
      <c r="AZ1204" s="5"/>
      <c r="BB1204" s="5"/>
      <c r="BD1204" s="5"/>
      <c r="BF1204" s="5"/>
      <c r="BH1204" s="5"/>
      <c r="BJ1204" s="5"/>
      <c r="BL1204" s="5"/>
      <c r="BN1204" s="5"/>
      <c r="BP1204" s="5"/>
      <c r="BR1204" s="5"/>
    </row>
    <row r="1205" spans="1:70" x14ac:dyDescent="0.25">
      <c r="A1205" s="3"/>
      <c r="AZ1205" s="5"/>
      <c r="BB1205" s="5"/>
      <c r="BD1205" s="5"/>
      <c r="BF1205" s="5"/>
      <c r="BH1205" s="5"/>
      <c r="BJ1205" s="5"/>
      <c r="BL1205" s="5"/>
      <c r="BN1205" s="5"/>
      <c r="BP1205" s="5"/>
      <c r="BR1205" s="5"/>
    </row>
    <row r="1206" spans="1:70" x14ac:dyDescent="0.25">
      <c r="A1206" s="3"/>
      <c r="AZ1206" s="5"/>
      <c r="BB1206" s="5"/>
      <c r="BD1206" s="5"/>
      <c r="BF1206" s="5"/>
      <c r="BH1206" s="5"/>
      <c r="BJ1206" s="5"/>
      <c r="BL1206" s="5"/>
      <c r="BN1206" s="5"/>
      <c r="BP1206" s="5"/>
      <c r="BR1206" s="5"/>
    </row>
    <row r="1207" spans="1:70" x14ac:dyDescent="0.25">
      <c r="A1207" s="3"/>
      <c r="AZ1207" s="5"/>
      <c r="BB1207" s="5"/>
      <c r="BD1207" s="5"/>
      <c r="BF1207" s="5"/>
      <c r="BH1207" s="5"/>
      <c r="BJ1207" s="5"/>
      <c r="BL1207" s="5"/>
      <c r="BN1207" s="5"/>
      <c r="BP1207" s="5"/>
      <c r="BR1207" s="5"/>
    </row>
    <row r="1208" spans="1:70" x14ac:dyDescent="0.25">
      <c r="A1208" s="3"/>
      <c r="AZ1208" s="5"/>
      <c r="BB1208" s="5"/>
      <c r="BD1208" s="5"/>
      <c r="BF1208" s="5"/>
      <c r="BH1208" s="5"/>
      <c r="BJ1208" s="5"/>
      <c r="BL1208" s="5"/>
      <c r="BN1208" s="5"/>
      <c r="BP1208" s="5"/>
      <c r="BR1208" s="5"/>
    </row>
    <row r="1209" spans="1:70" x14ac:dyDescent="0.25">
      <c r="A1209" s="3"/>
      <c r="AZ1209" s="5"/>
      <c r="BB1209" s="5"/>
      <c r="BD1209" s="5"/>
      <c r="BF1209" s="5"/>
      <c r="BH1209" s="5"/>
      <c r="BJ1209" s="5"/>
      <c r="BL1209" s="5"/>
      <c r="BN1209" s="5"/>
      <c r="BP1209" s="5"/>
      <c r="BR1209" s="5"/>
    </row>
    <row r="1210" spans="1:70" x14ac:dyDescent="0.25">
      <c r="A1210" s="3"/>
      <c r="AZ1210" s="5"/>
      <c r="BB1210" s="5"/>
      <c r="BD1210" s="5"/>
      <c r="BF1210" s="5"/>
      <c r="BH1210" s="5"/>
      <c r="BJ1210" s="5"/>
      <c r="BL1210" s="5"/>
      <c r="BN1210" s="5"/>
      <c r="BP1210" s="5"/>
      <c r="BR1210" s="5"/>
    </row>
    <row r="1211" spans="1:70" x14ac:dyDescent="0.25">
      <c r="A1211" s="3"/>
      <c r="AZ1211" s="5"/>
      <c r="BB1211" s="5"/>
      <c r="BD1211" s="5"/>
      <c r="BF1211" s="5"/>
      <c r="BH1211" s="5"/>
      <c r="BJ1211" s="5"/>
      <c r="BL1211" s="5"/>
      <c r="BN1211" s="5"/>
      <c r="BP1211" s="5"/>
      <c r="BR1211" s="5"/>
    </row>
    <row r="1212" spans="1:70" x14ac:dyDescent="0.25">
      <c r="A1212" s="3"/>
      <c r="AZ1212" s="5"/>
      <c r="BB1212" s="5"/>
      <c r="BD1212" s="5"/>
      <c r="BF1212" s="5"/>
      <c r="BH1212" s="5"/>
      <c r="BJ1212" s="5"/>
      <c r="BL1212" s="5"/>
      <c r="BN1212" s="5"/>
      <c r="BP1212" s="5"/>
      <c r="BR1212" s="5"/>
    </row>
    <row r="1213" spans="1:70" x14ac:dyDescent="0.25">
      <c r="A1213" s="3"/>
      <c r="AZ1213" s="5"/>
      <c r="BB1213" s="5"/>
      <c r="BD1213" s="5"/>
      <c r="BF1213" s="5"/>
      <c r="BH1213" s="5"/>
      <c r="BJ1213" s="5"/>
      <c r="BL1213" s="5"/>
      <c r="BN1213" s="5"/>
      <c r="BP1213" s="5"/>
      <c r="BR1213" s="5"/>
    </row>
    <row r="1214" spans="1:70" x14ac:dyDescent="0.25">
      <c r="A1214" s="3"/>
      <c r="AZ1214" s="5"/>
      <c r="BB1214" s="5"/>
      <c r="BD1214" s="5"/>
      <c r="BF1214" s="5"/>
      <c r="BH1214" s="5"/>
      <c r="BJ1214" s="5"/>
      <c r="BL1214" s="5"/>
      <c r="BN1214" s="5"/>
      <c r="BP1214" s="5"/>
      <c r="BR1214" s="5"/>
    </row>
    <row r="1215" spans="1:70" x14ac:dyDescent="0.25">
      <c r="A1215" s="3"/>
      <c r="AZ1215" s="5"/>
      <c r="BB1215" s="5"/>
      <c r="BD1215" s="5"/>
      <c r="BF1215" s="5"/>
      <c r="BH1215" s="5"/>
      <c r="BJ1215" s="5"/>
      <c r="BL1215" s="5"/>
      <c r="BN1215" s="5"/>
      <c r="BP1215" s="5"/>
      <c r="BR1215" s="5"/>
    </row>
    <row r="1216" spans="1:70" x14ac:dyDescent="0.25">
      <c r="A1216" s="3"/>
      <c r="AZ1216" s="5"/>
      <c r="BB1216" s="5"/>
      <c r="BD1216" s="5"/>
      <c r="BF1216" s="5"/>
      <c r="BH1216" s="5"/>
      <c r="BJ1216" s="5"/>
      <c r="BL1216" s="5"/>
      <c r="BN1216" s="5"/>
      <c r="BP1216" s="5"/>
      <c r="BR1216" s="5"/>
    </row>
    <row r="1217" spans="1:70" x14ac:dyDescent="0.25">
      <c r="A1217" s="3"/>
      <c r="AZ1217" s="5"/>
      <c r="BB1217" s="5"/>
      <c r="BD1217" s="5"/>
      <c r="BF1217" s="5"/>
      <c r="BH1217" s="5"/>
      <c r="BJ1217" s="5"/>
      <c r="BL1217" s="5"/>
      <c r="BN1217" s="5"/>
      <c r="BP1217" s="5"/>
      <c r="BR1217" s="5"/>
    </row>
    <row r="1218" spans="1:70" x14ac:dyDescent="0.25">
      <c r="A1218" s="3"/>
      <c r="AZ1218" s="5"/>
      <c r="BB1218" s="5"/>
      <c r="BD1218" s="5"/>
      <c r="BF1218" s="5"/>
      <c r="BH1218" s="5"/>
      <c r="BJ1218" s="5"/>
      <c r="BL1218" s="5"/>
      <c r="BN1218" s="5"/>
      <c r="BP1218" s="5"/>
      <c r="BR1218" s="5"/>
    </row>
    <row r="1219" spans="1:70" x14ac:dyDescent="0.25">
      <c r="A1219" s="3"/>
      <c r="AZ1219" s="5"/>
      <c r="BB1219" s="5"/>
      <c r="BD1219" s="5"/>
      <c r="BF1219" s="5"/>
      <c r="BH1219" s="5"/>
      <c r="BJ1219" s="5"/>
      <c r="BL1219" s="5"/>
      <c r="BN1219" s="5"/>
      <c r="BP1219" s="5"/>
      <c r="BR1219" s="5"/>
    </row>
    <row r="1220" spans="1:70" x14ac:dyDescent="0.25">
      <c r="A1220" s="3"/>
      <c r="AZ1220" s="5"/>
      <c r="BB1220" s="5"/>
      <c r="BD1220" s="5"/>
      <c r="BF1220" s="5"/>
      <c r="BH1220" s="5"/>
      <c r="BJ1220" s="5"/>
      <c r="BL1220" s="5"/>
      <c r="BN1220" s="5"/>
      <c r="BP1220" s="5"/>
      <c r="BR1220" s="5"/>
    </row>
    <row r="1221" spans="1:70" x14ac:dyDescent="0.25">
      <c r="A1221" s="3"/>
      <c r="AZ1221" s="5"/>
      <c r="BB1221" s="5"/>
      <c r="BD1221" s="5"/>
      <c r="BF1221" s="5"/>
      <c r="BH1221" s="5"/>
      <c r="BJ1221" s="5"/>
      <c r="BL1221" s="5"/>
      <c r="BN1221" s="5"/>
      <c r="BP1221" s="5"/>
      <c r="BR1221" s="5"/>
    </row>
    <row r="1222" spans="1:70" x14ac:dyDescent="0.25">
      <c r="A1222" s="3"/>
      <c r="AZ1222" s="5"/>
      <c r="BB1222" s="5"/>
      <c r="BD1222" s="5"/>
      <c r="BF1222" s="5"/>
      <c r="BH1222" s="5"/>
      <c r="BJ1222" s="5"/>
      <c r="BL1222" s="5"/>
      <c r="BN1222" s="5"/>
      <c r="BP1222" s="5"/>
      <c r="BR1222" s="5"/>
    </row>
    <row r="1223" spans="1:70" x14ac:dyDescent="0.25">
      <c r="A1223" s="3"/>
      <c r="AZ1223" s="5"/>
      <c r="BB1223" s="5"/>
      <c r="BD1223" s="5"/>
      <c r="BF1223" s="5"/>
      <c r="BH1223" s="5"/>
      <c r="BJ1223" s="5"/>
      <c r="BL1223" s="5"/>
      <c r="BN1223" s="5"/>
      <c r="BP1223" s="5"/>
      <c r="BR1223" s="5"/>
    </row>
    <row r="1224" spans="1:70" x14ac:dyDescent="0.25">
      <c r="A1224" s="3"/>
      <c r="AZ1224" s="5"/>
      <c r="BB1224" s="5"/>
      <c r="BD1224" s="5"/>
      <c r="BF1224" s="5"/>
      <c r="BH1224" s="5"/>
      <c r="BJ1224" s="5"/>
      <c r="BL1224" s="5"/>
      <c r="BN1224" s="5"/>
      <c r="BP1224" s="5"/>
      <c r="BR1224" s="5"/>
    </row>
    <row r="1225" spans="1:70" x14ac:dyDescent="0.25">
      <c r="A1225" s="3"/>
      <c r="AZ1225" s="5"/>
      <c r="BB1225" s="5"/>
      <c r="BD1225" s="5"/>
      <c r="BF1225" s="5"/>
      <c r="BH1225" s="5"/>
      <c r="BJ1225" s="5"/>
      <c r="BL1225" s="5"/>
      <c r="BN1225" s="5"/>
      <c r="BP1225" s="5"/>
      <c r="BR1225" s="5"/>
    </row>
    <row r="1226" spans="1:70" x14ac:dyDescent="0.25">
      <c r="A1226" s="3"/>
      <c r="AZ1226" s="5"/>
      <c r="BB1226" s="5"/>
      <c r="BD1226" s="5"/>
      <c r="BF1226" s="5"/>
      <c r="BH1226" s="5"/>
      <c r="BJ1226" s="5"/>
      <c r="BL1226" s="5"/>
      <c r="BN1226" s="5"/>
      <c r="BP1226" s="5"/>
      <c r="BR1226" s="5"/>
    </row>
    <row r="1227" spans="1:70" x14ac:dyDescent="0.25">
      <c r="A1227" s="3"/>
      <c r="AZ1227" s="5"/>
      <c r="BB1227" s="5"/>
      <c r="BD1227" s="5"/>
      <c r="BF1227" s="5"/>
      <c r="BH1227" s="5"/>
      <c r="BJ1227" s="5"/>
      <c r="BL1227" s="5"/>
      <c r="BN1227" s="5"/>
      <c r="BP1227" s="5"/>
      <c r="BR1227" s="5"/>
    </row>
    <row r="1228" spans="1:70" x14ac:dyDescent="0.25">
      <c r="A1228" s="3"/>
      <c r="AZ1228" s="5"/>
      <c r="BB1228" s="5"/>
      <c r="BD1228" s="5"/>
      <c r="BF1228" s="5"/>
      <c r="BH1228" s="5"/>
      <c r="BJ1228" s="5"/>
      <c r="BL1228" s="5"/>
      <c r="BN1228" s="5"/>
      <c r="BP1228" s="5"/>
      <c r="BR1228" s="5"/>
    </row>
    <row r="1229" spans="1:70" x14ac:dyDescent="0.25">
      <c r="A1229" s="3"/>
      <c r="AZ1229" s="5"/>
      <c r="BB1229" s="5"/>
      <c r="BD1229" s="5"/>
      <c r="BF1229" s="5"/>
      <c r="BH1229" s="5"/>
      <c r="BJ1229" s="5"/>
      <c r="BL1229" s="5"/>
      <c r="BN1229" s="5"/>
      <c r="BP1229" s="5"/>
      <c r="BR1229" s="5"/>
    </row>
    <row r="1230" spans="1:70" x14ac:dyDescent="0.25">
      <c r="A1230" s="3"/>
      <c r="AZ1230" s="5"/>
      <c r="BB1230" s="5"/>
      <c r="BD1230" s="5"/>
      <c r="BF1230" s="5"/>
      <c r="BH1230" s="5"/>
      <c r="BJ1230" s="5"/>
      <c r="BL1230" s="5"/>
      <c r="BN1230" s="5"/>
      <c r="BP1230" s="5"/>
      <c r="BR1230" s="5"/>
    </row>
    <row r="1231" spans="1:70" x14ac:dyDescent="0.25">
      <c r="A1231" s="3"/>
      <c r="AZ1231" s="5"/>
      <c r="BB1231" s="5"/>
      <c r="BD1231" s="5"/>
      <c r="BF1231" s="5"/>
      <c r="BH1231" s="5"/>
      <c r="BJ1231" s="5"/>
      <c r="BL1231" s="5"/>
      <c r="BN1231" s="5"/>
      <c r="BP1231" s="5"/>
      <c r="BR1231" s="5"/>
    </row>
    <row r="1232" spans="1:70" x14ac:dyDescent="0.25">
      <c r="A1232" s="3"/>
      <c r="AZ1232" s="5"/>
      <c r="BB1232" s="5"/>
      <c r="BD1232" s="5"/>
      <c r="BF1232" s="5"/>
      <c r="BH1232" s="5"/>
      <c r="BJ1232" s="5"/>
      <c r="BL1232" s="5"/>
      <c r="BN1232" s="5"/>
      <c r="BP1232" s="5"/>
      <c r="BR1232" s="5"/>
    </row>
    <row r="1233" spans="1:70" x14ac:dyDescent="0.25">
      <c r="A1233" s="3"/>
      <c r="AZ1233" s="5"/>
      <c r="BB1233" s="5"/>
      <c r="BD1233" s="5"/>
      <c r="BF1233" s="5"/>
      <c r="BH1233" s="5"/>
      <c r="BJ1233" s="5"/>
      <c r="BL1233" s="5"/>
      <c r="BN1233" s="5"/>
      <c r="BP1233" s="5"/>
      <c r="BR1233" s="5"/>
    </row>
    <row r="1234" spans="1:70" x14ac:dyDescent="0.25">
      <c r="A1234" s="3"/>
      <c r="AZ1234" s="5"/>
      <c r="BB1234" s="5"/>
      <c r="BD1234" s="5"/>
      <c r="BF1234" s="5"/>
      <c r="BH1234" s="5"/>
      <c r="BJ1234" s="5"/>
      <c r="BL1234" s="5"/>
      <c r="BN1234" s="5"/>
      <c r="BP1234" s="5"/>
      <c r="BR1234" s="5"/>
    </row>
    <row r="1235" spans="1:70" x14ac:dyDescent="0.25">
      <c r="A1235" s="3"/>
      <c r="AZ1235" s="5"/>
      <c r="BB1235" s="5"/>
      <c r="BD1235" s="5"/>
      <c r="BF1235" s="5"/>
      <c r="BH1235" s="5"/>
      <c r="BJ1235" s="5"/>
      <c r="BL1235" s="5"/>
      <c r="BN1235" s="5"/>
      <c r="BP1235" s="5"/>
      <c r="BR1235" s="5"/>
    </row>
    <row r="1236" spans="1:70" x14ac:dyDescent="0.25">
      <c r="A1236" s="3"/>
      <c r="AZ1236" s="5"/>
      <c r="BB1236" s="5"/>
      <c r="BD1236" s="5"/>
      <c r="BF1236" s="5"/>
      <c r="BH1236" s="5"/>
      <c r="BJ1236" s="5"/>
      <c r="BL1236" s="5"/>
      <c r="BN1236" s="5"/>
      <c r="BP1236" s="5"/>
      <c r="BR1236" s="5"/>
    </row>
    <row r="1237" spans="1:70" x14ac:dyDescent="0.25">
      <c r="A1237" s="3"/>
      <c r="AZ1237" s="5"/>
      <c r="BB1237" s="5"/>
      <c r="BD1237" s="5"/>
      <c r="BF1237" s="5"/>
      <c r="BH1237" s="5"/>
      <c r="BJ1237" s="5"/>
      <c r="BL1237" s="5"/>
      <c r="BN1237" s="5"/>
      <c r="BP1237" s="5"/>
      <c r="BR1237" s="5"/>
    </row>
    <row r="1238" spans="1:70" x14ac:dyDescent="0.25">
      <c r="A1238" s="3"/>
      <c r="AZ1238" s="5"/>
      <c r="BB1238" s="5"/>
      <c r="BD1238" s="5"/>
      <c r="BF1238" s="5"/>
      <c r="BH1238" s="5"/>
      <c r="BJ1238" s="5"/>
      <c r="BL1238" s="5"/>
      <c r="BN1238" s="5"/>
      <c r="BP1238" s="5"/>
      <c r="BR1238" s="5"/>
    </row>
    <row r="1239" spans="1:70" x14ac:dyDescent="0.25">
      <c r="A1239" s="3"/>
      <c r="AZ1239" s="5"/>
      <c r="BB1239" s="5"/>
      <c r="BD1239" s="5"/>
      <c r="BF1239" s="5"/>
      <c r="BH1239" s="5"/>
      <c r="BJ1239" s="5"/>
      <c r="BL1239" s="5"/>
      <c r="BN1239" s="5"/>
      <c r="BP1239" s="5"/>
      <c r="BR1239" s="5"/>
    </row>
    <row r="1240" spans="1:70" x14ac:dyDescent="0.25">
      <c r="A1240" s="3"/>
      <c r="AZ1240" s="5"/>
      <c r="BB1240" s="5"/>
      <c r="BD1240" s="5"/>
      <c r="BF1240" s="5"/>
      <c r="BH1240" s="5"/>
      <c r="BJ1240" s="5"/>
      <c r="BL1240" s="5"/>
      <c r="BN1240" s="5"/>
      <c r="BP1240" s="5"/>
      <c r="BR1240" s="5"/>
    </row>
    <row r="1241" spans="1:70" x14ac:dyDescent="0.25">
      <c r="A1241" s="3"/>
      <c r="AZ1241" s="5"/>
      <c r="BB1241" s="5"/>
      <c r="BD1241" s="5"/>
      <c r="BF1241" s="5"/>
      <c r="BH1241" s="5"/>
      <c r="BJ1241" s="5"/>
      <c r="BL1241" s="5"/>
      <c r="BN1241" s="5"/>
      <c r="BP1241" s="5"/>
      <c r="BR1241" s="5"/>
    </row>
    <row r="1242" spans="1:70" x14ac:dyDescent="0.25">
      <c r="A1242" s="3"/>
      <c r="AZ1242" s="5"/>
      <c r="BB1242" s="5"/>
      <c r="BD1242" s="5"/>
      <c r="BF1242" s="5"/>
      <c r="BH1242" s="5"/>
      <c r="BJ1242" s="5"/>
      <c r="BL1242" s="5"/>
      <c r="BN1242" s="5"/>
      <c r="BP1242" s="5"/>
      <c r="BR1242" s="5"/>
    </row>
    <row r="1243" spans="1:70" x14ac:dyDescent="0.25">
      <c r="A1243" s="3"/>
      <c r="AZ1243" s="5"/>
      <c r="BB1243" s="5"/>
      <c r="BD1243" s="5"/>
      <c r="BF1243" s="5"/>
      <c r="BH1243" s="5"/>
      <c r="BJ1243" s="5"/>
      <c r="BL1243" s="5"/>
      <c r="BN1243" s="5"/>
      <c r="BP1243" s="5"/>
      <c r="BR1243" s="5"/>
    </row>
    <row r="1244" spans="1:70" x14ac:dyDescent="0.25">
      <c r="A1244" s="3"/>
      <c r="AZ1244" s="5"/>
      <c r="BB1244" s="5"/>
      <c r="BD1244" s="5"/>
      <c r="BF1244" s="5"/>
      <c r="BH1244" s="5"/>
      <c r="BJ1244" s="5"/>
      <c r="BL1244" s="5"/>
      <c r="BN1244" s="5"/>
      <c r="BP1244" s="5"/>
      <c r="BR1244" s="5"/>
    </row>
    <row r="1245" spans="1:70" x14ac:dyDescent="0.25">
      <c r="A1245" s="3"/>
      <c r="AZ1245" s="5"/>
      <c r="BB1245" s="5"/>
      <c r="BD1245" s="5"/>
      <c r="BF1245" s="5"/>
      <c r="BH1245" s="5"/>
      <c r="BJ1245" s="5"/>
      <c r="BL1245" s="5"/>
      <c r="BN1245" s="5"/>
      <c r="BP1245" s="5"/>
      <c r="BR1245" s="5"/>
    </row>
    <row r="1246" spans="1:70" x14ac:dyDescent="0.25">
      <c r="A1246" s="3"/>
      <c r="AZ1246" s="5"/>
      <c r="BB1246" s="5"/>
      <c r="BD1246" s="5"/>
      <c r="BF1246" s="5"/>
      <c r="BH1246" s="5"/>
      <c r="BJ1246" s="5"/>
      <c r="BL1246" s="5"/>
      <c r="BN1246" s="5"/>
      <c r="BP1246" s="5"/>
      <c r="BR1246" s="5"/>
    </row>
    <row r="1247" spans="1:70" x14ac:dyDescent="0.25">
      <c r="A1247" s="3"/>
      <c r="AZ1247" s="5"/>
      <c r="BB1247" s="5"/>
      <c r="BD1247" s="5"/>
      <c r="BF1247" s="5"/>
      <c r="BH1247" s="5"/>
      <c r="BJ1247" s="5"/>
      <c r="BL1247" s="5"/>
      <c r="BN1247" s="5"/>
      <c r="BP1247" s="5"/>
      <c r="BR1247" s="5"/>
    </row>
    <row r="1248" spans="1:70" x14ac:dyDescent="0.25">
      <c r="A1248" s="3"/>
      <c r="AZ1248" s="5"/>
      <c r="BB1248" s="5"/>
      <c r="BD1248" s="5"/>
      <c r="BF1248" s="5"/>
      <c r="BH1248" s="5"/>
      <c r="BJ1248" s="5"/>
      <c r="BL1248" s="5"/>
      <c r="BN1248" s="5"/>
      <c r="BP1248" s="5"/>
      <c r="BR1248" s="5"/>
    </row>
    <row r="1249" spans="1:70" x14ac:dyDescent="0.25">
      <c r="A1249" s="3"/>
      <c r="AZ1249" s="5"/>
      <c r="BB1249" s="5"/>
      <c r="BD1249" s="5"/>
      <c r="BF1249" s="5"/>
      <c r="BH1249" s="5"/>
      <c r="BJ1249" s="5"/>
      <c r="BL1249" s="5"/>
      <c r="BN1249" s="5"/>
      <c r="BP1249" s="5"/>
      <c r="BR1249" s="5"/>
    </row>
    <row r="1250" spans="1:70" x14ac:dyDescent="0.25">
      <c r="A1250" s="3"/>
      <c r="AZ1250" s="5"/>
      <c r="BB1250" s="5"/>
      <c r="BD1250" s="5"/>
      <c r="BF1250" s="5"/>
      <c r="BH1250" s="5"/>
      <c r="BJ1250" s="5"/>
      <c r="BL1250" s="5"/>
      <c r="BN1250" s="5"/>
      <c r="BP1250" s="5"/>
      <c r="BR1250" s="5"/>
    </row>
    <row r="1251" spans="1:70" x14ac:dyDescent="0.25">
      <c r="A1251" s="3"/>
      <c r="AZ1251" s="5"/>
      <c r="BB1251" s="5"/>
      <c r="BD1251" s="5"/>
      <c r="BF1251" s="5"/>
      <c r="BH1251" s="5"/>
      <c r="BJ1251" s="5"/>
      <c r="BL1251" s="5"/>
      <c r="BN1251" s="5"/>
      <c r="BP1251" s="5"/>
      <c r="BR1251" s="5"/>
    </row>
    <row r="1252" spans="1:70" x14ac:dyDescent="0.25">
      <c r="A1252" s="3"/>
      <c r="AZ1252" s="5"/>
      <c r="BB1252" s="5"/>
      <c r="BD1252" s="5"/>
      <c r="BF1252" s="5"/>
      <c r="BH1252" s="5"/>
      <c r="BJ1252" s="5"/>
      <c r="BL1252" s="5"/>
      <c r="BN1252" s="5"/>
      <c r="BP1252" s="5"/>
      <c r="BR1252" s="5"/>
    </row>
    <row r="1253" spans="1:70" x14ac:dyDescent="0.25">
      <c r="A1253" s="3"/>
      <c r="AZ1253" s="5"/>
      <c r="BB1253" s="5"/>
      <c r="BD1253" s="5"/>
      <c r="BF1253" s="5"/>
      <c r="BH1253" s="5"/>
      <c r="BJ1253" s="5"/>
      <c r="BL1253" s="5"/>
      <c r="BN1253" s="5"/>
      <c r="BP1253" s="5"/>
      <c r="BR1253" s="5"/>
    </row>
    <row r="1254" spans="1:70" x14ac:dyDescent="0.25">
      <c r="A1254" s="3"/>
      <c r="AZ1254" s="5"/>
      <c r="BB1254" s="5"/>
      <c r="BD1254" s="5"/>
      <c r="BF1254" s="5"/>
      <c r="BH1254" s="5"/>
      <c r="BJ1254" s="5"/>
      <c r="BL1254" s="5"/>
      <c r="BN1254" s="5"/>
      <c r="BP1254" s="5"/>
      <c r="BR1254" s="5"/>
    </row>
    <row r="1255" spans="1:70" x14ac:dyDescent="0.25">
      <c r="A1255" s="3"/>
      <c r="AZ1255" s="5"/>
      <c r="BB1255" s="5"/>
      <c r="BD1255" s="5"/>
      <c r="BF1255" s="5"/>
      <c r="BH1255" s="5"/>
      <c r="BJ1255" s="5"/>
      <c r="BL1255" s="5"/>
      <c r="BN1255" s="5"/>
      <c r="BP1255" s="5"/>
      <c r="BR125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ECCE-EED6-4E18-93FD-A3B0B79CDDCA}">
  <dimension ref="A1:I175"/>
  <sheetViews>
    <sheetView workbookViewId="0">
      <pane xSplit="1" ySplit="1" topLeftCell="B167" activePane="bottomRight" state="frozen"/>
      <selection activeCell="I738" sqref="I738"/>
      <selection pane="topRight" activeCell="I738" sqref="I738"/>
      <selection pane="bottomLeft" activeCell="I738" sqref="I738"/>
      <selection pane="bottomRight" activeCell="I738" sqref="I738"/>
    </sheetView>
  </sheetViews>
  <sheetFormatPr defaultRowHeight="15" x14ac:dyDescent="0.25"/>
  <cols>
    <col min="1" max="1" width="10.140625" bestFit="1" customWidth="1"/>
    <col min="4" max="5" width="11.42578125" customWidth="1"/>
    <col min="6" max="6" width="9.7109375" bestFit="1" customWidth="1"/>
    <col min="7" max="7" width="11.42578125" customWidth="1"/>
  </cols>
  <sheetData>
    <row r="1" spans="1:7" ht="71.25" x14ac:dyDescent="0.25">
      <c r="A1" s="1"/>
      <c r="B1" s="1"/>
      <c r="C1" s="1"/>
      <c r="D1" s="2" t="s">
        <v>13</v>
      </c>
      <c r="E1" s="2" t="s">
        <v>14</v>
      </c>
      <c r="F1" s="2" t="s">
        <v>15</v>
      </c>
      <c r="G1" s="2" t="s">
        <v>9</v>
      </c>
    </row>
    <row r="2" spans="1:7" x14ac:dyDescent="0.25">
      <c r="A2" s="28">
        <v>40269</v>
      </c>
      <c r="B2" s="1">
        <f t="shared" ref="B2:B65" si="0">MONTH(A2)</f>
        <v>4</v>
      </c>
      <c r="C2" s="1">
        <f t="shared" ref="C2:C65" si="1">YEAR(A2)</f>
        <v>2010</v>
      </c>
      <c r="D2" s="29"/>
      <c r="E2" s="29"/>
      <c r="F2" s="29">
        <f>SUMIFS(Weekly!$D$2:$D$538,Weekly!$B$2:$B$538,B2,Weekly!$C$2:$C$538,C2)*1000</f>
        <v>2754.1000000000004</v>
      </c>
      <c r="G2" s="29">
        <f t="shared" ref="G2:G65" si="2">F2*12/1000</f>
        <v>33.049200000000006</v>
      </c>
    </row>
    <row r="3" spans="1:7" x14ac:dyDescent="0.25">
      <c r="A3" s="28">
        <v>40299</v>
      </c>
      <c r="B3" s="1">
        <f t="shared" si="0"/>
        <v>5</v>
      </c>
      <c r="C3" s="1">
        <f t="shared" si="1"/>
        <v>2010</v>
      </c>
      <c r="D3" s="29"/>
      <c r="E3" s="29"/>
      <c r="F3" s="29">
        <f>SUMIFS(Weekly!$D$2:$D$538,Weekly!$B$2:$B$538,B3,Weekly!$C$2:$C$538,C3)*1000</f>
        <v>4915.05</v>
      </c>
      <c r="G3" s="29">
        <f t="shared" si="2"/>
        <v>58.980600000000003</v>
      </c>
    </row>
    <row r="4" spans="1:7" x14ac:dyDescent="0.25">
      <c r="A4" s="28">
        <v>40330</v>
      </c>
      <c r="B4" s="1">
        <f t="shared" si="0"/>
        <v>6</v>
      </c>
      <c r="C4" s="1">
        <f t="shared" si="1"/>
        <v>2010</v>
      </c>
      <c r="D4" s="29"/>
      <c r="E4" s="29"/>
      <c r="F4" s="29">
        <f>SUMIFS(Weekly!$D$2:$D$538,Weekly!$B$2:$B$538,B4,Weekly!$C$2:$C$538,C4)*1000</f>
        <v>4201.1500000000005</v>
      </c>
      <c r="G4" s="29">
        <f t="shared" si="2"/>
        <v>50.413800000000002</v>
      </c>
    </row>
    <row r="5" spans="1:7" x14ac:dyDescent="0.25">
      <c r="A5" s="28">
        <v>40360</v>
      </c>
      <c r="B5" s="1">
        <f t="shared" si="0"/>
        <v>7</v>
      </c>
      <c r="C5" s="1">
        <f t="shared" si="1"/>
        <v>2010</v>
      </c>
      <c r="D5" s="29"/>
      <c r="E5" s="29"/>
      <c r="F5" s="29">
        <f>SUMIFS(Weekly!$D$2:$D$538,Weekly!$B$2:$B$538,B5,Weekly!$C$2:$C$538,C5)*1000</f>
        <v>4308.5</v>
      </c>
      <c r="G5" s="29">
        <f t="shared" si="2"/>
        <v>51.701999999999998</v>
      </c>
    </row>
    <row r="6" spans="1:7" x14ac:dyDescent="0.25">
      <c r="A6" s="28">
        <v>40391</v>
      </c>
      <c r="B6" s="1">
        <f t="shared" si="0"/>
        <v>8</v>
      </c>
      <c r="C6" s="1">
        <f t="shared" si="1"/>
        <v>2010</v>
      </c>
      <c r="D6" s="29"/>
      <c r="E6" s="29"/>
      <c r="F6" s="29">
        <f>SUMIFS(Weekly!$D$2:$D$538,Weekly!$B$2:$B$538,B6,Weekly!$C$2:$C$538,C6)*1000</f>
        <v>5401.1999999999989</v>
      </c>
      <c r="G6" s="29">
        <f t="shared" si="2"/>
        <v>64.814399999999992</v>
      </c>
    </row>
    <row r="7" spans="1:7" x14ac:dyDescent="0.25">
      <c r="A7" s="28">
        <v>40422</v>
      </c>
      <c r="B7" s="1">
        <f t="shared" si="0"/>
        <v>9</v>
      </c>
      <c r="C7" s="1">
        <f t="shared" si="1"/>
        <v>2010</v>
      </c>
      <c r="D7" s="29"/>
      <c r="E7" s="29"/>
      <c r="F7" s="29">
        <f>SUMIFS(Weekly!$D$2:$D$538,Weekly!$B$2:$B$538,B7,Weekly!$C$2:$C$538,C7)*1000</f>
        <v>4358.0000000000009</v>
      </c>
      <c r="G7" s="29">
        <f t="shared" si="2"/>
        <v>52.296000000000014</v>
      </c>
    </row>
    <row r="8" spans="1:7" x14ac:dyDescent="0.25">
      <c r="A8" s="28">
        <v>40452</v>
      </c>
      <c r="B8" s="1">
        <f t="shared" si="0"/>
        <v>10</v>
      </c>
      <c r="C8" s="1">
        <f t="shared" si="1"/>
        <v>2010</v>
      </c>
      <c r="D8" s="29"/>
      <c r="E8" s="29"/>
      <c r="F8" s="29">
        <f>SUMIFS(Weekly!$D$2:$D$538,Weekly!$B$2:$B$538,B8,Weekly!$C$2:$C$538,C8)*1000</f>
        <v>4520.4500000000007</v>
      </c>
      <c r="G8" s="29">
        <f t="shared" si="2"/>
        <v>54.245400000000011</v>
      </c>
    </row>
    <row r="9" spans="1:7" x14ac:dyDescent="0.25">
      <c r="A9" s="28">
        <v>40483</v>
      </c>
      <c r="B9" s="1">
        <f t="shared" si="0"/>
        <v>11</v>
      </c>
      <c r="C9" s="1">
        <f t="shared" si="1"/>
        <v>2010</v>
      </c>
      <c r="D9" s="29"/>
      <c r="E9" s="29"/>
      <c r="F9" s="29">
        <f>SUMIFS(Weekly!$D$2:$D$538,Weekly!$B$2:$B$538,B9,Weekly!$C$2:$C$538,C9)*1000</f>
        <v>5764.5</v>
      </c>
      <c r="G9" s="29">
        <f t="shared" si="2"/>
        <v>69.174000000000007</v>
      </c>
    </row>
    <row r="10" spans="1:7" x14ac:dyDescent="0.25">
      <c r="A10" s="28">
        <v>40513</v>
      </c>
      <c r="B10" s="1">
        <f t="shared" si="0"/>
        <v>12</v>
      </c>
      <c r="C10" s="1">
        <f t="shared" si="1"/>
        <v>2010</v>
      </c>
      <c r="D10" s="29"/>
      <c r="E10" s="29"/>
      <c r="F10" s="29">
        <f>SUMIFS(Weekly!$D$2:$D$538,Weekly!$B$2:$B$538,B10,Weekly!$C$2:$C$538,C10)*1000</f>
        <v>3897</v>
      </c>
      <c r="G10" s="29">
        <f t="shared" si="2"/>
        <v>46.764000000000003</v>
      </c>
    </row>
    <row r="11" spans="1:7" x14ac:dyDescent="0.25">
      <c r="A11" s="28">
        <v>40544</v>
      </c>
      <c r="B11" s="1">
        <f t="shared" si="0"/>
        <v>1</v>
      </c>
      <c r="C11" s="1">
        <f t="shared" si="1"/>
        <v>2011</v>
      </c>
      <c r="D11" s="29"/>
      <c r="E11" s="29"/>
      <c r="F11" s="29">
        <f>SUMIFS(Weekly!$D$2:$D$538,Weekly!$B$2:$B$538,B11,Weekly!$C$2:$C$538,C11)*1000</f>
        <v>4205.5750000000007</v>
      </c>
      <c r="G11" s="29">
        <f t="shared" si="2"/>
        <v>50.46690000000001</v>
      </c>
    </row>
    <row r="12" spans="1:7" x14ac:dyDescent="0.25">
      <c r="A12" s="28">
        <v>40575</v>
      </c>
      <c r="B12" s="1">
        <f t="shared" si="0"/>
        <v>2</v>
      </c>
      <c r="C12" s="1">
        <f t="shared" si="1"/>
        <v>2011</v>
      </c>
      <c r="D12" s="29"/>
      <c r="E12" s="29"/>
      <c r="F12" s="29">
        <f>SUMIFS(Weekly!$D$2:$D$538,Weekly!$B$2:$B$538,B12,Weekly!$C$2:$C$538,C12)*1000</f>
        <v>3003.82</v>
      </c>
      <c r="G12" s="29">
        <f t="shared" si="2"/>
        <v>36.045840000000005</v>
      </c>
    </row>
    <row r="13" spans="1:7" x14ac:dyDescent="0.25">
      <c r="A13" s="28">
        <v>40603</v>
      </c>
      <c r="B13" s="1">
        <f t="shared" si="0"/>
        <v>3</v>
      </c>
      <c r="C13" s="1">
        <f t="shared" si="1"/>
        <v>2011</v>
      </c>
      <c r="D13" s="29"/>
      <c r="E13" s="29"/>
      <c r="F13" s="29">
        <f>SUMIFS(Weekly!$D$2:$D$538,Weekly!$B$2:$B$538,B13,Weekly!$C$2:$C$538,C13)*1000</f>
        <v>3564.85</v>
      </c>
      <c r="G13" s="29">
        <f t="shared" si="2"/>
        <v>42.778199999999998</v>
      </c>
    </row>
    <row r="14" spans="1:7" x14ac:dyDescent="0.25">
      <c r="A14" s="28">
        <v>40634</v>
      </c>
      <c r="B14" s="1">
        <f t="shared" si="0"/>
        <v>4</v>
      </c>
      <c r="C14" s="1">
        <f t="shared" si="1"/>
        <v>2011</v>
      </c>
      <c r="D14" s="29"/>
      <c r="E14" s="29"/>
      <c r="F14" s="29">
        <f>SUMIFS(Weekly!$D$2:$D$538,Weekly!$B$2:$B$538,B14,Weekly!$C$2:$C$538,C14)*1000</f>
        <v>3697.8500000000004</v>
      </c>
      <c r="G14" s="29">
        <f t="shared" si="2"/>
        <v>44.374200000000002</v>
      </c>
    </row>
    <row r="15" spans="1:7" x14ac:dyDescent="0.25">
      <c r="A15" s="28">
        <v>40664</v>
      </c>
      <c r="B15" s="1">
        <f t="shared" si="0"/>
        <v>5</v>
      </c>
      <c r="C15" s="1">
        <f t="shared" si="1"/>
        <v>2011</v>
      </c>
      <c r="D15" s="29"/>
      <c r="E15" s="29"/>
      <c r="F15" s="29">
        <f>SUMIFS(Weekly!$D$2:$D$538,Weekly!$B$2:$B$538,B15,Weekly!$C$2:$C$538,C15)*1000</f>
        <v>5057.4500000000007</v>
      </c>
      <c r="G15" s="29">
        <f t="shared" si="2"/>
        <v>60.689400000000006</v>
      </c>
    </row>
    <row r="16" spans="1:7" x14ac:dyDescent="0.25">
      <c r="A16" s="28">
        <v>40695</v>
      </c>
      <c r="B16" s="1">
        <f t="shared" si="0"/>
        <v>6</v>
      </c>
      <c r="C16" s="1">
        <f t="shared" si="1"/>
        <v>2011</v>
      </c>
      <c r="D16" s="29"/>
      <c r="E16" s="29"/>
      <c r="F16" s="29">
        <f>SUMIFS(Weekly!$D$2:$D$538,Weekly!$B$2:$B$538,B16,Weekly!$C$2:$C$538,C16)*1000</f>
        <v>4190.7999999999993</v>
      </c>
      <c r="G16" s="29">
        <f t="shared" si="2"/>
        <v>50.289599999999993</v>
      </c>
    </row>
    <row r="17" spans="1:7" x14ac:dyDescent="0.25">
      <c r="A17" s="28">
        <v>40725</v>
      </c>
      <c r="B17" s="1">
        <f t="shared" si="0"/>
        <v>7</v>
      </c>
      <c r="C17" s="1">
        <f t="shared" si="1"/>
        <v>2011</v>
      </c>
      <c r="D17" s="29"/>
      <c r="E17" s="29"/>
      <c r="F17" s="29">
        <f>SUMIFS(Weekly!$D$2:$D$538,Weekly!$B$2:$B$538,B17,Weekly!$C$2:$C$538,C17)*1000</f>
        <v>4561.6500000000005</v>
      </c>
      <c r="G17" s="29">
        <f t="shared" si="2"/>
        <v>54.739800000000002</v>
      </c>
    </row>
    <row r="18" spans="1:7" x14ac:dyDescent="0.25">
      <c r="A18" s="28">
        <v>40756</v>
      </c>
      <c r="B18" s="1">
        <f t="shared" si="0"/>
        <v>8</v>
      </c>
      <c r="C18" s="1">
        <f t="shared" si="1"/>
        <v>2011</v>
      </c>
      <c r="D18" s="29"/>
      <c r="E18" s="29"/>
      <c r="F18" s="29">
        <f>SUMIFS(Weekly!$D$2:$D$538,Weekly!$B$2:$B$538,B18,Weekly!$C$2:$C$538,C18)*1000</f>
        <v>5572.1</v>
      </c>
      <c r="G18" s="29">
        <f t="shared" si="2"/>
        <v>66.865200000000016</v>
      </c>
    </row>
    <row r="19" spans="1:7" x14ac:dyDescent="0.25">
      <c r="A19" s="28">
        <v>40787</v>
      </c>
      <c r="B19" s="1">
        <f t="shared" si="0"/>
        <v>9</v>
      </c>
      <c r="C19" s="1">
        <f t="shared" si="1"/>
        <v>2011</v>
      </c>
      <c r="D19" s="29"/>
      <c r="E19" s="29"/>
      <c r="F19" s="29">
        <f>SUMIFS(Weekly!$D$2:$D$538,Weekly!$B$2:$B$538,B19,Weekly!$C$2:$C$538,C19)*1000</f>
        <v>4632.8</v>
      </c>
      <c r="G19" s="29">
        <f t="shared" si="2"/>
        <v>55.593600000000009</v>
      </c>
    </row>
    <row r="20" spans="1:7" x14ac:dyDescent="0.25">
      <c r="A20" s="28">
        <v>40817</v>
      </c>
      <c r="B20" s="1">
        <f t="shared" si="0"/>
        <v>10</v>
      </c>
      <c r="C20" s="1">
        <f t="shared" si="1"/>
        <v>2011</v>
      </c>
      <c r="D20" s="29"/>
      <c r="E20" s="29"/>
      <c r="F20" s="29">
        <f>SUMIFS(Weekly!$D$2:$D$538,Weekly!$B$2:$B$538,B20,Weekly!$C$2:$C$538,C20)*1000</f>
        <v>5776.85</v>
      </c>
      <c r="G20" s="29">
        <f t="shared" si="2"/>
        <v>69.322200000000009</v>
      </c>
    </row>
    <row r="21" spans="1:7" x14ac:dyDescent="0.25">
      <c r="A21" s="28">
        <v>40848</v>
      </c>
      <c r="B21" s="1">
        <f t="shared" si="0"/>
        <v>11</v>
      </c>
      <c r="C21" s="1">
        <f t="shared" si="1"/>
        <v>2011</v>
      </c>
      <c r="D21" s="29"/>
      <c r="E21" s="29"/>
      <c r="F21" s="29">
        <f>SUMIFS(Weekly!$D$2:$D$538,Weekly!$B$2:$B$538,B21,Weekly!$C$2:$C$538,C21)*1000</f>
        <v>5089.2</v>
      </c>
      <c r="G21" s="29">
        <f t="shared" si="2"/>
        <v>61.070399999999992</v>
      </c>
    </row>
    <row r="22" spans="1:7" x14ac:dyDescent="0.25">
      <c r="A22" s="28">
        <v>40878</v>
      </c>
      <c r="B22" s="1">
        <f t="shared" si="0"/>
        <v>12</v>
      </c>
      <c r="C22" s="1">
        <f t="shared" si="1"/>
        <v>2011</v>
      </c>
      <c r="D22" s="29"/>
      <c r="E22" s="29"/>
      <c r="F22" s="29">
        <f>SUMIFS(Weekly!$D$2:$D$538,Weekly!$B$2:$B$538,B22,Weekly!$C$2:$C$538,C22)*1000</f>
        <v>5189.3999999999987</v>
      </c>
      <c r="G22" s="29">
        <f t="shared" si="2"/>
        <v>62.272799999999989</v>
      </c>
    </row>
    <row r="23" spans="1:7" x14ac:dyDescent="0.25">
      <c r="A23" s="28">
        <v>40909</v>
      </c>
      <c r="B23" s="1">
        <f t="shared" si="0"/>
        <v>1</v>
      </c>
      <c r="C23" s="1">
        <f t="shared" si="1"/>
        <v>2012</v>
      </c>
      <c r="D23" s="29"/>
      <c r="E23" s="29"/>
      <c r="F23" s="29">
        <f>SUMIFS(Weekly!$D$2:$D$538,Weekly!$B$2:$B$538,B23,Weekly!$C$2:$C$538,C23)*1000</f>
        <v>4410.5</v>
      </c>
      <c r="G23" s="29">
        <f t="shared" si="2"/>
        <v>52.926000000000002</v>
      </c>
    </row>
    <row r="24" spans="1:7" x14ac:dyDescent="0.25">
      <c r="A24" s="28">
        <v>40940</v>
      </c>
      <c r="B24" s="1">
        <f t="shared" si="0"/>
        <v>2</v>
      </c>
      <c r="C24" s="1">
        <f t="shared" si="1"/>
        <v>2012</v>
      </c>
      <c r="D24" s="29"/>
      <c r="E24" s="29"/>
      <c r="F24" s="29">
        <f>SUMIFS(Weekly!$D$2:$D$538,Weekly!$B$2:$B$538,B24,Weekly!$C$2:$C$538,C24)*1000</f>
        <v>4783.0499999999993</v>
      </c>
      <c r="G24" s="29">
        <f t="shared" si="2"/>
        <v>57.396599999999992</v>
      </c>
    </row>
    <row r="25" spans="1:7" x14ac:dyDescent="0.25">
      <c r="A25" s="28">
        <v>40969</v>
      </c>
      <c r="B25" s="1">
        <f t="shared" si="0"/>
        <v>3</v>
      </c>
      <c r="C25" s="1">
        <f t="shared" si="1"/>
        <v>2012</v>
      </c>
      <c r="D25" s="29"/>
      <c r="E25" s="29"/>
      <c r="F25" s="29">
        <f>SUMIFS(Weekly!$D$2:$D$538,Weekly!$B$2:$B$538,B25,Weekly!$C$2:$C$538,C25)*1000</f>
        <v>4273.0499999999993</v>
      </c>
      <c r="G25" s="29">
        <f t="shared" si="2"/>
        <v>51.276599999999988</v>
      </c>
    </row>
    <row r="26" spans="1:7" x14ac:dyDescent="0.25">
      <c r="A26" s="28">
        <v>41000</v>
      </c>
      <c r="B26" s="1">
        <f t="shared" si="0"/>
        <v>4</v>
      </c>
      <c r="C26" s="1">
        <f t="shared" si="1"/>
        <v>2012</v>
      </c>
      <c r="D26" s="29"/>
      <c r="E26" s="29"/>
      <c r="F26" s="29">
        <f>SUMIFS(Weekly!$D$2:$D$538,Weekly!$B$2:$B$538,B26,Weekly!$C$2:$C$538,C26)*1000</f>
        <v>5166.8500000000004</v>
      </c>
      <c r="G26" s="29">
        <f t="shared" si="2"/>
        <v>62.002200000000002</v>
      </c>
    </row>
    <row r="27" spans="1:7" x14ac:dyDescent="0.25">
      <c r="A27" s="28">
        <v>41030</v>
      </c>
      <c r="B27" s="1">
        <f t="shared" si="0"/>
        <v>5</v>
      </c>
      <c r="C27" s="1">
        <f t="shared" si="1"/>
        <v>2012</v>
      </c>
      <c r="D27" s="29"/>
      <c r="E27" s="29"/>
      <c r="F27" s="29">
        <f>SUMIFS(Weekly!$D$2:$D$538,Weekly!$B$2:$B$538,B27,Weekly!$C$2:$C$538,C27)*1000</f>
        <v>4521.1500000000005</v>
      </c>
      <c r="G27" s="29">
        <f t="shared" si="2"/>
        <v>54.253800000000005</v>
      </c>
    </row>
    <row r="28" spans="1:7" x14ac:dyDescent="0.25">
      <c r="A28" s="28">
        <v>41061</v>
      </c>
      <c r="B28" s="1">
        <f t="shared" si="0"/>
        <v>6</v>
      </c>
      <c r="C28" s="1">
        <f t="shared" si="1"/>
        <v>2012</v>
      </c>
      <c r="D28" s="29"/>
      <c r="E28" s="29"/>
      <c r="F28" s="29">
        <f>SUMIFS(Weekly!$D$2:$D$538,Weekly!$B$2:$B$538,B28,Weekly!$C$2:$C$538,C28)*1000</f>
        <v>4778.4000000000005</v>
      </c>
      <c r="G28" s="29">
        <f t="shared" si="2"/>
        <v>57.340800000000002</v>
      </c>
    </row>
    <row r="29" spans="1:7" x14ac:dyDescent="0.25">
      <c r="A29" s="28">
        <v>41091</v>
      </c>
      <c r="B29" s="1">
        <f t="shared" si="0"/>
        <v>7</v>
      </c>
      <c r="C29" s="1">
        <f t="shared" si="1"/>
        <v>2012</v>
      </c>
      <c r="D29" s="29"/>
      <c r="E29" s="29"/>
      <c r="F29" s="29">
        <f>SUMIFS(Weekly!$D$2:$D$538,Weekly!$B$2:$B$538,B29,Weekly!$C$2:$C$538,C29)*1000</f>
        <v>6092.6500000000005</v>
      </c>
      <c r="G29" s="29">
        <f t="shared" si="2"/>
        <v>73.111800000000002</v>
      </c>
    </row>
    <row r="30" spans="1:7" x14ac:dyDescent="0.25">
      <c r="A30" s="28">
        <v>41122</v>
      </c>
      <c r="B30" s="1">
        <f t="shared" si="0"/>
        <v>8</v>
      </c>
      <c r="C30" s="1">
        <f t="shared" si="1"/>
        <v>2012</v>
      </c>
      <c r="D30" s="29"/>
      <c r="E30" s="29"/>
      <c r="F30" s="29">
        <f>SUMIFS(Weekly!$D$2:$D$538,Weekly!$B$2:$B$538,B30,Weekly!$C$2:$C$538,C30)*1000</f>
        <v>4906.3999999999996</v>
      </c>
      <c r="G30" s="29">
        <f t="shared" si="2"/>
        <v>58.876799999999996</v>
      </c>
    </row>
    <row r="31" spans="1:7" x14ac:dyDescent="0.25">
      <c r="A31" s="28">
        <v>41153</v>
      </c>
      <c r="B31" s="1">
        <f t="shared" si="0"/>
        <v>9</v>
      </c>
      <c r="C31" s="1">
        <f t="shared" si="1"/>
        <v>2012</v>
      </c>
      <c r="D31" s="29"/>
      <c r="E31" s="29"/>
      <c r="F31" s="29">
        <f>SUMIFS(Weekly!$D$2:$D$538,Weekly!$B$2:$B$538,B31,Weekly!$C$2:$C$538,C31)*1000</f>
        <v>5602.07</v>
      </c>
      <c r="G31" s="29">
        <f t="shared" si="2"/>
        <v>67.22484</v>
      </c>
    </row>
    <row r="32" spans="1:7" x14ac:dyDescent="0.25">
      <c r="A32" s="28">
        <v>41183</v>
      </c>
      <c r="B32" s="1">
        <f t="shared" si="0"/>
        <v>10</v>
      </c>
      <c r="C32" s="1">
        <f t="shared" si="1"/>
        <v>2012</v>
      </c>
      <c r="D32" s="29"/>
      <c r="E32" s="29"/>
      <c r="F32" s="29">
        <f>SUMIFS(Weekly!$D$2:$D$538,Weekly!$B$2:$B$538,B32,Weekly!$C$2:$C$538,C32)*1000</f>
        <v>5463.55</v>
      </c>
      <c r="G32" s="29">
        <f t="shared" si="2"/>
        <v>65.562600000000003</v>
      </c>
    </row>
    <row r="33" spans="1:7" x14ac:dyDescent="0.25">
      <c r="A33" s="28">
        <v>41214</v>
      </c>
      <c r="B33" s="1">
        <f t="shared" si="0"/>
        <v>11</v>
      </c>
      <c r="C33" s="1">
        <f t="shared" si="1"/>
        <v>2012</v>
      </c>
      <c r="D33" s="29"/>
      <c r="E33" s="29"/>
      <c r="F33" s="29">
        <f>SUMIFS(Weekly!$D$2:$D$538,Weekly!$B$2:$B$538,B33,Weekly!$C$2:$C$538,C33)*1000</f>
        <v>4683.6000000000004</v>
      </c>
      <c r="G33" s="29">
        <f t="shared" si="2"/>
        <v>56.203200000000002</v>
      </c>
    </row>
    <row r="34" spans="1:7" x14ac:dyDescent="0.25">
      <c r="A34" s="28">
        <v>41244</v>
      </c>
      <c r="B34" s="1">
        <f t="shared" si="0"/>
        <v>12</v>
      </c>
      <c r="C34" s="1">
        <f t="shared" si="1"/>
        <v>2012</v>
      </c>
      <c r="D34" s="29"/>
      <c r="E34" s="29"/>
      <c r="F34" s="29">
        <f>SUMIFS(Weekly!$D$2:$D$538,Weekly!$B$2:$B$538,B34,Weekly!$C$2:$C$538,C34)*1000</f>
        <v>6240.5999999999995</v>
      </c>
      <c r="G34" s="29">
        <f t="shared" si="2"/>
        <v>74.887199999999993</v>
      </c>
    </row>
    <row r="35" spans="1:7" x14ac:dyDescent="0.25">
      <c r="A35" s="28">
        <v>41275</v>
      </c>
      <c r="B35" s="1">
        <f t="shared" si="0"/>
        <v>1</v>
      </c>
      <c r="C35" s="1">
        <f t="shared" si="1"/>
        <v>2013</v>
      </c>
      <c r="D35" s="29"/>
      <c r="E35" s="29"/>
      <c r="F35" s="29">
        <f>SUMIFS(Weekly!$D$2:$D$538,Weekly!$B$2:$B$538,B35,Weekly!$C$2:$C$538,C35)*1000</f>
        <v>5360.25</v>
      </c>
      <c r="G35" s="29">
        <f t="shared" si="2"/>
        <v>64.322999999999993</v>
      </c>
    </row>
    <row r="36" spans="1:7" x14ac:dyDescent="0.25">
      <c r="A36" s="28">
        <v>41306</v>
      </c>
      <c r="B36" s="1">
        <f t="shared" si="0"/>
        <v>2</v>
      </c>
      <c r="C36" s="1">
        <f t="shared" si="1"/>
        <v>2013</v>
      </c>
      <c r="D36" s="29"/>
      <c r="E36" s="29"/>
      <c r="F36" s="29">
        <f>SUMIFS(Weekly!$D$2:$D$538,Weekly!$B$2:$B$538,B36,Weekly!$C$2:$C$538,C36)*1000</f>
        <v>3036.2</v>
      </c>
      <c r="G36" s="29">
        <f t="shared" si="2"/>
        <v>36.434399999999997</v>
      </c>
    </row>
    <row r="37" spans="1:7" x14ac:dyDescent="0.25">
      <c r="A37" s="28">
        <v>41334</v>
      </c>
      <c r="B37" s="1">
        <f t="shared" si="0"/>
        <v>3</v>
      </c>
      <c r="C37" s="1">
        <f t="shared" si="1"/>
        <v>2013</v>
      </c>
      <c r="D37" s="29"/>
      <c r="E37" s="29"/>
      <c r="F37" s="29">
        <f>SUMIFS(Weekly!$D$2:$D$538,Weekly!$B$2:$B$538,B37,Weekly!$C$2:$C$538,C37)*1000</f>
        <v>4490.1000000000004</v>
      </c>
      <c r="G37" s="29">
        <f t="shared" si="2"/>
        <v>53.881200000000007</v>
      </c>
    </row>
    <row r="38" spans="1:7" x14ac:dyDescent="0.25">
      <c r="A38" s="28">
        <v>41365</v>
      </c>
      <c r="B38" s="1">
        <f t="shared" si="0"/>
        <v>4</v>
      </c>
      <c r="C38" s="1">
        <f t="shared" si="1"/>
        <v>2013</v>
      </c>
      <c r="D38" s="29"/>
      <c r="E38" s="29"/>
      <c r="F38" s="29">
        <f>SUMIFS(Weekly!$D$2:$D$538,Weekly!$B$2:$B$538,B38,Weekly!$C$2:$C$538,C38)*1000</f>
        <v>5403.9000000000005</v>
      </c>
      <c r="G38" s="29">
        <f t="shared" si="2"/>
        <v>64.846800000000002</v>
      </c>
    </row>
    <row r="39" spans="1:7" x14ac:dyDescent="0.25">
      <c r="A39" s="28">
        <v>41395</v>
      </c>
      <c r="B39" s="1">
        <f t="shared" si="0"/>
        <v>5</v>
      </c>
      <c r="C39" s="1">
        <f t="shared" si="1"/>
        <v>2013</v>
      </c>
      <c r="D39" s="29"/>
      <c r="E39" s="29"/>
      <c r="F39" s="29">
        <f>SUMIFS(Weekly!$D$2:$D$538,Weekly!$B$2:$B$538,B39,Weekly!$C$2:$C$538,C39)*1000</f>
        <v>4504.3000000000011</v>
      </c>
      <c r="G39" s="29">
        <f t="shared" si="2"/>
        <v>54.051600000000015</v>
      </c>
    </row>
    <row r="40" spans="1:7" x14ac:dyDescent="0.25">
      <c r="A40" s="28">
        <v>41426</v>
      </c>
      <c r="B40" s="1">
        <f t="shared" si="0"/>
        <v>6</v>
      </c>
      <c r="C40" s="1">
        <f t="shared" si="1"/>
        <v>2013</v>
      </c>
      <c r="D40" s="29">
        <f>SUMIFS(Weekly!$E$2:$E$538,Weekly!$B$2:$B$538,B40,Weekly!$C$2:$C$538,C40)*1000</f>
        <v>4189.2119999999995</v>
      </c>
      <c r="E40" s="29">
        <f>SUMIFS(Weekly!$F$2:$F$538,Weekly!$B$2:$B$538,B40,Weekly!$C$2:$C$538,C40)</f>
        <v>948.50099999999998</v>
      </c>
      <c r="F40" s="29">
        <f>SUMIFS(Weekly!$D$2:$D$538,Weekly!$B$2:$B$538,B40,Weekly!$C$2:$C$538,C40)*1000</f>
        <v>5269.45</v>
      </c>
      <c r="G40" s="29">
        <f t="shared" si="2"/>
        <v>63.233399999999996</v>
      </c>
    </row>
    <row r="41" spans="1:7" x14ac:dyDescent="0.25">
      <c r="A41" s="28">
        <v>41456</v>
      </c>
      <c r="B41" s="1">
        <f t="shared" si="0"/>
        <v>7</v>
      </c>
      <c r="C41" s="1">
        <f t="shared" si="1"/>
        <v>2013</v>
      </c>
      <c r="D41" s="29">
        <f>SUMIFS(Weekly!$E$2:$E$538,Weekly!$B$2:$B$538,B41,Weekly!$C$2:$C$538,C41)*1000</f>
        <v>5430.5240000000003</v>
      </c>
      <c r="E41" s="29">
        <f>SUMIFS(Weekly!$F$2:$F$538,Weekly!$B$2:$B$538,B41,Weekly!$C$2:$C$538,C41)</f>
        <v>1229.5529999999999</v>
      </c>
      <c r="F41" s="29">
        <f>SUMIFS(Weekly!$D$2:$D$538,Weekly!$B$2:$B$538,B41,Weekly!$C$2:$C$538,C41)*1000</f>
        <v>6830.8499999999985</v>
      </c>
      <c r="G41" s="29">
        <f t="shared" si="2"/>
        <v>81.970199999999977</v>
      </c>
    </row>
    <row r="42" spans="1:7" x14ac:dyDescent="0.25">
      <c r="A42" s="28">
        <v>41487</v>
      </c>
      <c r="B42" s="1">
        <f t="shared" si="0"/>
        <v>8</v>
      </c>
      <c r="C42" s="1">
        <f t="shared" si="1"/>
        <v>2013</v>
      </c>
      <c r="D42" s="29">
        <f>SUMIFS(Weekly!$E$2:$E$538,Weekly!$B$2:$B$538,B42,Weekly!$C$2:$C$538,C42)*1000</f>
        <v>4377.9440000000004</v>
      </c>
      <c r="E42" s="29">
        <f>SUMIFS(Weekly!$F$2:$F$538,Weekly!$B$2:$B$538,B42,Weekly!$C$2:$C$538,C42)</f>
        <v>991.23300000000006</v>
      </c>
      <c r="F42" s="29">
        <f>SUMIFS(Weekly!$D$2:$D$538,Weekly!$B$2:$B$538,B42,Weekly!$C$2:$C$538,C42)*1000</f>
        <v>5506.85</v>
      </c>
      <c r="G42" s="29">
        <f t="shared" si="2"/>
        <v>66.082200000000014</v>
      </c>
    </row>
    <row r="43" spans="1:7" x14ac:dyDescent="0.25">
      <c r="A43" s="28">
        <v>41518</v>
      </c>
      <c r="B43" s="1">
        <f t="shared" si="0"/>
        <v>9</v>
      </c>
      <c r="C43" s="1">
        <f t="shared" si="1"/>
        <v>2013</v>
      </c>
      <c r="D43" s="29">
        <f>SUMIFS(Weekly!$E$2:$E$538,Weekly!$B$2:$B$538,B43,Weekly!$C$2:$C$538,C43)*1000</f>
        <v>5442.5999999999995</v>
      </c>
      <c r="E43" s="29">
        <f>SUMIFS(Weekly!$F$2:$F$538,Weekly!$B$2:$B$538,B43,Weekly!$C$2:$C$538,C43)</f>
        <v>1232.2860000000001</v>
      </c>
      <c r="F43" s="29">
        <f>SUMIFS(Weekly!$D$2:$D$538,Weekly!$B$2:$B$538,B43,Weekly!$C$2:$C$538,C43)*1000</f>
        <v>6844.04</v>
      </c>
      <c r="G43" s="29">
        <f t="shared" si="2"/>
        <v>82.128479999999996</v>
      </c>
    </row>
    <row r="44" spans="1:7" x14ac:dyDescent="0.25">
      <c r="A44" s="28">
        <v>41548</v>
      </c>
      <c r="B44" s="1">
        <f t="shared" si="0"/>
        <v>10</v>
      </c>
      <c r="C44" s="1">
        <f t="shared" si="1"/>
        <v>2013</v>
      </c>
      <c r="D44" s="29">
        <f>SUMIFS(Weekly!$E$2:$E$538,Weekly!$B$2:$B$538,B44,Weekly!$C$2:$C$538,C44)*1000</f>
        <v>4325.9920000000002</v>
      </c>
      <c r="E44" s="29">
        <f>SUMIFS(Weekly!$F$2:$F$538,Weekly!$B$2:$B$538,B44,Weekly!$C$2:$C$538,C44)</f>
        <v>979.46999999999991</v>
      </c>
      <c r="F44" s="29">
        <f>SUMIFS(Weekly!$D$2:$D$538,Weekly!$B$2:$B$538,B44,Weekly!$C$2:$C$538,C44)*1000</f>
        <v>5446.3</v>
      </c>
      <c r="G44" s="29">
        <f t="shared" si="2"/>
        <v>65.35560000000001</v>
      </c>
    </row>
    <row r="45" spans="1:7" x14ac:dyDescent="0.25">
      <c r="A45" s="28">
        <v>41579</v>
      </c>
      <c r="B45" s="1">
        <f t="shared" si="0"/>
        <v>11</v>
      </c>
      <c r="C45" s="1">
        <f t="shared" si="1"/>
        <v>2013</v>
      </c>
      <c r="D45" s="29">
        <f>SUMIFS(Weekly!$E$2:$E$538,Weekly!$B$2:$B$538,B45,Weekly!$C$2:$C$538,C45)*1000</f>
        <v>4394.8620000000001</v>
      </c>
      <c r="E45" s="29">
        <f>SUMIFS(Weekly!$F$2:$F$538,Weekly!$B$2:$B$538,B45,Weekly!$C$2:$C$538,C45)</f>
        <v>995.06200000000001</v>
      </c>
      <c r="F45" s="29">
        <f>SUMIFS(Weekly!$D$2:$D$538,Weekly!$B$2:$B$538,B45,Weekly!$C$2:$C$538,C45)*1000</f>
        <v>5532.03</v>
      </c>
      <c r="G45" s="29">
        <f t="shared" si="2"/>
        <v>66.384360000000001</v>
      </c>
    </row>
    <row r="46" spans="1:7" x14ac:dyDescent="0.25">
      <c r="A46" s="28">
        <v>41609</v>
      </c>
      <c r="B46" s="1">
        <f t="shared" si="0"/>
        <v>12</v>
      </c>
      <c r="C46" s="1">
        <f t="shared" si="1"/>
        <v>2013</v>
      </c>
      <c r="D46" s="29">
        <f>SUMIFS(Weekly!$E$2:$E$538,Weekly!$B$2:$B$538,B46,Weekly!$C$2:$C$538,C46)*1000</f>
        <v>6450.7309999999998</v>
      </c>
      <c r="E46" s="29">
        <f>SUMIFS(Weekly!$F$2:$F$538,Weekly!$B$2:$B$538,B46,Weekly!$C$2:$C$538,C46)</f>
        <v>1460.5419999999999</v>
      </c>
      <c r="F46" s="29">
        <f>SUMIFS(Weekly!$D$2:$D$538,Weekly!$B$2:$B$538,B46,Weekly!$C$2:$C$538,C46)*1000</f>
        <v>8131.6299999999992</v>
      </c>
      <c r="G46" s="29">
        <f t="shared" si="2"/>
        <v>97.579560000000001</v>
      </c>
    </row>
    <row r="47" spans="1:7" x14ac:dyDescent="0.25">
      <c r="A47" s="28">
        <v>41640</v>
      </c>
      <c r="B47" s="1">
        <f t="shared" si="0"/>
        <v>1</v>
      </c>
      <c r="C47" s="1">
        <f t="shared" si="1"/>
        <v>2014</v>
      </c>
      <c r="D47" s="29">
        <f>SUMIFS(Weekly!$E$2:$E$538,Weekly!$B$2:$B$538,B47,Weekly!$C$2:$C$538,C47)*1000</f>
        <v>4316.7300000000005</v>
      </c>
      <c r="E47" s="29">
        <f>SUMIFS(Weekly!$F$2:$F$538,Weekly!$B$2:$B$538,B47,Weekly!$C$2:$C$538,C47)</f>
        <v>977.37299999999993</v>
      </c>
      <c r="F47" s="29">
        <f>SUMIFS(Weekly!$D$2:$D$538,Weekly!$B$2:$B$538,B47,Weekly!$C$2:$C$538,C47)*1000</f>
        <v>5414.85</v>
      </c>
      <c r="G47" s="29">
        <f t="shared" si="2"/>
        <v>64.978200000000001</v>
      </c>
    </row>
    <row r="48" spans="1:7" x14ac:dyDescent="0.25">
      <c r="A48" s="28">
        <v>41671</v>
      </c>
      <c r="B48" s="1">
        <f t="shared" si="0"/>
        <v>2</v>
      </c>
      <c r="C48" s="1">
        <f t="shared" si="1"/>
        <v>2014</v>
      </c>
      <c r="D48" s="29">
        <f>SUMIFS(Weekly!$E$2:$E$538,Weekly!$B$2:$B$538,B48,Weekly!$C$2:$C$538,C48)*1000</f>
        <v>3491.0829999999996</v>
      </c>
      <c r="E48" s="29">
        <f>SUMIFS(Weekly!$F$2:$F$538,Weekly!$B$2:$B$538,B48,Weekly!$C$2:$C$538,C48)</f>
        <v>790.43400000000008</v>
      </c>
      <c r="F48" s="29">
        <f>SUMIFS(Weekly!$D$2:$D$538,Weekly!$B$2:$B$538,B48,Weekly!$C$2:$C$538,C48)*1000</f>
        <v>4391.3</v>
      </c>
      <c r="G48" s="29">
        <f t="shared" si="2"/>
        <v>52.695600000000006</v>
      </c>
    </row>
    <row r="49" spans="1:7" x14ac:dyDescent="0.25">
      <c r="A49" s="28">
        <v>41699</v>
      </c>
      <c r="B49" s="1">
        <f t="shared" si="0"/>
        <v>3</v>
      </c>
      <c r="C49" s="1">
        <f t="shared" si="1"/>
        <v>2014</v>
      </c>
      <c r="D49" s="29">
        <f>SUMIFS(Weekly!$E$2:$E$538,Weekly!$B$2:$B$538,B49,Weekly!$C$2:$C$538,C49)*1000</f>
        <v>4172.0709999999999</v>
      </c>
      <c r="E49" s="29">
        <f>SUMIFS(Weekly!$F$2:$F$538,Weekly!$B$2:$B$538,B49,Weekly!$C$2:$C$538,C49)</f>
        <v>1140.3989999999999</v>
      </c>
      <c r="F49" s="29">
        <f>SUMIFS(Weekly!$D$2:$D$538,Weekly!$B$2:$B$538,B49,Weekly!$C$2:$C$538,C49)*1000</f>
        <v>6335.5499999999993</v>
      </c>
      <c r="G49" s="29">
        <f t="shared" si="2"/>
        <v>76.026599999999988</v>
      </c>
    </row>
    <row r="50" spans="1:7" x14ac:dyDescent="0.25">
      <c r="A50" s="28">
        <v>41730</v>
      </c>
      <c r="B50" s="1">
        <f t="shared" si="0"/>
        <v>4</v>
      </c>
      <c r="C50" s="1">
        <f t="shared" si="1"/>
        <v>2014</v>
      </c>
      <c r="D50" s="29">
        <f>SUMIFS(Weekly!$E$2:$E$538,Weekly!$B$2:$B$538,B50,Weekly!$C$2:$C$538,C50)*1000</f>
        <v>4206.2240000000011</v>
      </c>
      <c r="E50" s="29">
        <f>SUMIFS(Weekly!$F$2:$F$538,Weekly!$B$2:$B$538,B50,Weekly!$C$2:$C$538,C50)</f>
        <v>952.35299999999995</v>
      </c>
      <c r="F50" s="29">
        <f>SUMIFS(Weekly!$D$2:$D$538,Weekly!$B$2:$B$538,B50,Weekly!$C$2:$C$538,C50)*1000</f>
        <v>5505.0000000000009</v>
      </c>
      <c r="G50" s="29">
        <f t="shared" si="2"/>
        <v>66.060000000000016</v>
      </c>
    </row>
    <row r="51" spans="1:7" x14ac:dyDescent="0.25">
      <c r="A51" s="28">
        <v>41760</v>
      </c>
      <c r="B51" s="1">
        <f t="shared" si="0"/>
        <v>5</v>
      </c>
      <c r="C51" s="1">
        <f t="shared" si="1"/>
        <v>2014</v>
      </c>
      <c r="D51" s="29">
        <f>SUMIFS(Weekly!$E$2:$E$538,Weekly!$B$2:$B$538,B51,Weekly!$C$2:$C$538,C51)*1000</f>
        <v>4535.87</v>
      </c>
      <c r="E51" s="29">
        <f>SUMIFS(Weekly!$F$2:$F$538,Weekly!$B$2:$B$538,B51,Weekly!$C$2:$C$538,C51)</f>
        <v>1026.9899999999998</v>
      </c>
      <c r="F51" s="29">
        <f>SUMIFS(Weekly!$D$2:$D$538,Weekly!$B$2:$B$538,B51,Weekly!$C$2:$C$538,C51)*1000</f>
        <v>5712.9</v>
      </c>
      <c r="G51" s="29">
        <f t="shared" si="2"/>
        <v>68.554799999999986</v>
      </c>
    </row>
    <row r="52" spans="1:7" x14ac:dyDescent="0.25">
      <c r="A52" s="28">
        <v>41791</v>
      </c>
      <c r="B52" s="1">
        <f t="shared" si="0"/>
        <v>6</v>
      </c>
      <c r="C52" s="1">
        <f t="shared" si="1"/>
        <v>2014</v>
      </c>
      <c r="D52" s="29">
        <f>SUMIFS(Weekly!$E$2:$E$538,Weekly!$B$2:$B$538,B52,Weekly!$C$2:$C$538,C52)*1000</f>
        <v>5736.5599999999995</v>
      </c>
      <c r="E52" s="29">
        <f>SUMIFS(Weekly!$F$2:$F$538,Weekly!$B$2:$B$538,B52,Weekly!$C$2:$C$538,C52)</f>
        <v>1298.8440000000001</v>
      </c>
      <c r="F52" s="29">
        <f>SUMIFS(Weekly!$D$2:$D$538,Weekly!$B$2:$B$538,B52,Weekly!$C$2:$C$538,C52)*1000</f>
        <v>7215.8000000000011</v>
      </c>
      <c r="G52" s="29">
        <f t="shared" si="2"/>
        <v>86.589600000000004</v>
      </c>
    </row>
    <row r="53" spans="1:7" x14ac:dyDescent="0.25">
      <c r="A53" s="28">
        <v>41821</v>
      </c>
      <c r="B53" s="1">
        <f t="shared" si="0"/>
        <v>7</v>
      </c>
      <c r="C53" s="1">
        <f t="shared" si="1"/>
        <v>2014</v>
      </c>
      <c r="D53" s="29">
        <f>SUMIFS(Weekly!$E$2:$E$538,Weekly!$B$2:$B$538,B53,Weekly!$C$2:$C$538,C53)*1000</f>
        <v>4439.3180000000002</v>
      </c>
      <c r="E53" s="29">
        <f>SUMIFS(Weekly!$F$2:$F$538,Weekly!$B$2:$B$538,B53,Weekly!$C$2:$C$538,C53)</f>
        <v>1005.1289999999999</v>
      </c>
      <c r="F53" s="29">
        <f>SUMIFS(Weekly!$D$2:$D$538,Weekly!$B$2:$B$538,B53,Weekly!$C$2:$C$538,C53)*1000</f>
        <v>5584.0499999999993</v>
      </c>
      <c r="G53" s="29">
        <f t="shared" si="2"/>
        <v>67.008599999999987</v>
      </c>
    </row>
    <row r="54" spans="1:7" x14ac:dyDescent="0.25">
      <c r="A54" s="28">
        <v>41852</v>
      </c>
      <c r="B54" s="1">
        <f t="shared" si="0"/>
        <v>8</v>
      </c>
      <c r="C54" s="1">
        <f t="shared" si="1"/>
        <v>2014</v>
      </c>
      <c r="D54" s="29">
        <f>SUMIFS(Weekly!$E$2:$E$538,Weekly!$B$2:$B$538,B54,Weekly!$C$2:$C$538,C54)*1000</f>
        <v>4811.3369999999995</v>
      </c>
      <c r="E54" s="29">
        <f>SUMIFS(Weekly!$F$2:$F$538,Weekly!$B$2:$B$538,B54,Weekly!$C$2:$C$538,C54)</f>
        <v>1089.3599999999999</v>
      </c>
      <c r="F54" s="29">
        <f>SUMIFS(Weekly!$D$2:$D$538,Weekly!$B$2:$B$538,B54,Weekly!$C$2:$C$538,C54)*1000</f>
        <v>6052</v>
      </c>
      <c r="G54" s="29">
        <f t="shared" si="2"/>
        <v>72.623999999999995</v>
      </c>
    </row>
    <row r="55" spans="1:7" x14ac:dyDescent="0.25">
      <c r="A55" s="28">
        <v>41883</v>
      </c>
      <c r="B55" s="1">
        <f t="shared" si="0"/>
        <v>9</v>
      </c>
      <c r="C55" s="1">
        <f t="shared" si="1"/>
        <v>2014</v>
      </c>
      <c r="D55" s="29">
        <f>SUMIFS(Weekly!$E$2:$E$538,Weekly!$B$2:$B$538,B55,Weekly!$C$2:$C$538,C55)*1000</f>
        <v>5466.8549999999987</v>
      </c>
      <c r="E55" s="29">
        <f>SUMIFS(Weekly!$F$2:$F$538,Weekly!$B$2:$B$538,B55,Weekly!$C$2:$C$538,C55)</f>
        <v>1237.279</v>
      </c>
      <c r="F55" s="29">
        <f>SUMIFS(Weekly!$D$2:$D$538,Weekly!$B$2:$B$538,B55,Weekly!$C$2:$C$538,C55)*1000</f>
        <v>6876.55</v>
      </c>
      <c r="G55" s="29">
        <f t="shared" si="2"/>
        <v>82.518600000000006</v>
      </c>
    </row>
    <row r="56" spans="1:7" x14ac:dyDescent="0.25">
      <c r="A56" s="28">
        <v>41913</v>
      </c>
      <c r="B56" s="1">
        <f t="shared" si="0"/>
        <v>10</v>
      </c>
      <c r="C56" s="1">
        <f t="shared" si="1"/>
        <v>2014</v>
      </c>
      <c r="D56" s="29">
        <f>SUMIFS(Weekly!$E$2:$E$538,Weekly!$B$2:$B$538,B56,Weekly!$C$2:$C$538,C56)*1000</f>
        <v>4377.9040000000005</v>
      </c>
      <c r="E56" s="29">
        <f>SUMIFS(Weekly!$F$2:$F$538,Weekly!$B$2:$B$538,B56,Weekly!$C$2:$C$538,C56)</f>
        <v>991.22399999999993</v>
      </c>
      <c r="F56" s="29">
        <f>SUMIFS(Weekly!$D$2:$D$538,Weekly!$B$2:$B$538,B56,Weekly!$C$2:$C$538,C56)*1000</f>
        <v>5506.8</v>
      </c>
      <c r="G56" s="29">
        <f t="shared" si="2"/>
        <v>66.081600000000009</v>
      </c>
    </row>
    <row r="57" spans="1:7" x14ac:dyDescent="0.25">
      <c r="A57" s="28">
        <v>41944</v>
      </c>
      <c r="B57" s="1">
        <f t="shared" si="0"/>
        <v>11</v>
      </c>
      <c r="C57" s="1">
        <f t="shared" si="1"/>
        <v>2014</v>
      </c>
      <c r="D57" s="29">
        <f>SUMIFS(Weekly!$E$2:$E$538,Weekly!$B$2:$B$538,B57,Weekly!$C$2:$C$538,C57)*1000</f>
        <v>4332.7879999999996</v>
      </c>
      <c r="E57" s="29">
        <f>SUMIFS(Weekly!$F$2:$F$538,Weekly!$B$2:$B$538,B57,Weekly!$C$2:$C$538,C57)</f>
        <v>981.00900000000001</v>
      </c>
      <c r="F57" s="29">
        <f>SUMIFS(Weekly!$D$2:$D$538,Weekly!$B$2:$B$538,B57,Weekly!$C$2:$C$538,C57)*1000</f>
        <v>5450.05</v>
      </c>
      <c r="G57" s="29">
        <f t="shared" si="2"/>
        <v>65.400600000000011</v>
      </c>
    </row>
    <row r="58" spans="1:7" x14ac:dyDescent="0.25">
      <c r="A58" s="28">
        <v>41974</v>
      </c>
      <c r="B58" s="1">
        <f t="shared" si="0"/>
        <v>12</v>
      </c>
      <c r="C58" s="1">
        <f t="shared" si="1"/>
        <v>2014</v>
      </c>
      <c r="D58" s="29">
        <f>SUMIFS(Weekly!$E$2:$E$538,Weekly!$B$2:$B$538,B58,Weekly!$C$2:$C$538,C58)*1000</f>
        <v>5078.8559999999998</v>
      </c>
      <c r="E58" s="29">
        <f>SUMIFS(Weekly!$F$2:$F$538,Weekly!$B$2:$B$538,B58,Weekly!$C$2:$C$538,C58)</f>
        <v>1149.93</v>
      </c>
      <c r="F58" s="29">
        <f>SUMIFS(Weekly!$D$2:$D$538,Weekly!$B$2:$B$538,B58,Weekly!$C$2:$C$538,C58)*1000</f>
        <v>6388.5</v>
      </c>
      <c r="G58" s="29">
        <f t="shared" si="2"/>
        <v>76.662000000000006</v>
      </c>
    </row>
    <row r="59" spans="1:7" x14ac:dyDescent="0.25">
      <c r="A59" s="28">
        <v>42005</v>
      </c>
      <c r="B59" s="1">
        <f t="shared" si="0"/>
        <v>1</v>
      </c>
      <c r="C59" s="1">
        <f t="shared" si="1"/>
        <v>2015</v>
      </c>
      <c r="D59" s="29">
        <f>SUMIFS(Weekly!$E$2:$E$538,Weekly!$B$2:$B$538,B59,Weekly!$C$2:$C$538,C59)*1000</f>
        <v>5263.7330000000002</v>
      </c>
      <c r="E59" s="29">
        <f>SUMIFS(Weekly!$F$2:$F$538,Weekly!$B$2:$B$538,B59,Weekly!$C$2:$C$538,C59)</f>
        <v>1191.798</v>
      </c>
      <c r="F59" s="29">
        <f>SUMIFS(Weekly!$D$2:$D$538,Weekly!$B$2:$B$538,B59,Weekly!$C$2:$C$538,C59)*1000</f>
        <v>6637.5499999999993</v>
      </c>
      <c r="G59" s="29">
        <f t="shared" si="2"/>
        <v>79.650599999999997</v>
      </c>
    </row>
    <row r="60" spans="1:7" x14ac:dyDescent="0.25">
      <c r="A60" s="28">
        <v>42036</v>
      </c>
      <c r="B60" s="1">
        <f t="shared" si="0"/>
        <v>2</v>
      </c>
      <c r="C60" s="1">
        <f t="shared" si="1"/>
        <v>2015</v>
      </c>
      <c r="D60" s="29">
        <f>SUMIFS(Weekly!$E$2:$E$538,Weekly!$B$2:$B$538,B60,Weekly!$C$2:$C$538,C60)*1000</f>
        <v>2744.3389999999999</v>
      </c>
      <c r="E60" s="29">
        <f>SUMIFS(Weekly!$F$2:$F$538,Weekly!$B$2:$B$538,B60,Weekly!$C$2:$C$538,C60)</f>
        <v>621.3599999999999</v>
      </c>
      <c r="F60" s="29">
        <f>SUMIFS(Weekly!$D$2:$D$538,Weekly!$B$2:$B$538,B60,Weekly!$C$2:$C$538,C60)*1000</f>
        <v>3452</v>
      </c>
      <c r="G60" s="29">
        <f t="shared" si="2"/>
        <v>41.423999999999999</v>
      </c>
    </row>
    <row r="61" spans="1:7" x14ac:dyDescent="0.25">
      <c r="A61" s="28">
        <v>42064</v>
      </c>
      <c r="B61" s="1">
        <f t="shared" si="0"/>
        <v>3</v>
      </c>
      <c r="C61" s="1">
        <f t="shared" si="1"/>
        <v>2015</v>
      </c>
      <c r="D61" s="29">
        <f>SUMIFS(Weekly!$E$2:$E$538,Weekly!$B$2:$B$538,B61,Weekly!$C$2:$C$538,C61)*1000</f>
        <v>5512.8859999999995</v>
      </c>
      <c r="E61" s="29">
        <f>SUMIFS(Weekly!$F$2:$F$538,Weekly!$B$2:$B$538,B61,Weekly!$C$2:$C$538,C61)</f>
        <v>1248.201</v>
      </c>
      <c r="F61" s="29">
        <f>SUMIFS(Weekly!$D$2:$D$538,Weekly!$B$2:$B$538,B61,Weekly!$C$2:$C$538,C61)*1000</f>
        <v>6934.45</v>
      </c>
      <c r="G61" s="29">
        <f t="shared" si="2"/>
        <v>83.213399999999993</v>
      </c>
    </row>
    <row r="62" spans="1:7" x14ac:dyDescent="0.25">
      <c r="A62" s="28">
        <v>42095</v>
      </c>
      <c r="B62" s="1">
        <f t="shared" si="0"/>
        <v>4</v>
      </c>
      <c r="C62" s="1">
        <f t="shared" si="1"/>
        <v>2015</v>
      </c>
      <c r="D62" s="29">
        <f>SUMIFS(Weekly!$E$2:$E$538,Weekly!$B$2:$B$538,B62,Weekly!$C$2:$C$538,C62)*1000</f>
        <v>4114.5209999999997</v>
      </c>
      <c r="E62" s="29">
        <f>SUMIFS(Weekly!$F$2:$F$538,Weekly!$B$2:$B$538,B62,Weekly!$C$2:$C$538,C62)</f>
        <v>931.59</v>
      </c>
      <c r="F62" s="29">
        <f>SUMIFS(Weekly!$D$2:$D$538,Weekly!$B$2:$B$538,B62,Weekly!$C$2:$C$538,C62)*1000</f>
        <v>5171.8999999999996</v>
      </c>
      <c r="G62" s="29">
        <f t="shared" si="2"/>
        <v>62.062799999999996</v>
      </c>
    </row>
    <row r="63" spans="1:7" x14ac:dyDescent="0.25">
      <c r="A63" s="28">
        <v>42125</v>
      </c>
      <c r="B63" s="1">
        <f t="shared" si="0"/>
        <v>5</v>
      </c>
      <c r="C63" s="1">
        <f t="shared" si="1"/>
        <v>2015</v>
      </c>
      <c r="D63" s="29">
        <f>SUMIFS(Weekly!$E$2:$E$538,Weekly!$B$2:$B$538,B63,Weekly!$C$2:$C$538,C63)*1000</f>
        <v>5014.62</v>
      </c>
      <c r="E63" s="29">
        <f>SUMIFS(Weekly!$F$2:$F$538,Weekly!$B$2:$B$538,B63,Weekly!$C$2:$C$538,C63)</f>
        <v>1135.386</v>
      </c>
      <c r="F63" s="29">
        <f>SUMIFS(Weekly!$D$2:$D$538,Weekly!$B$2:$B$538,B63,Weekly!$C$2:$C$538,C63)*1000</f>
        <v>6307.7</v>
      </c>
      <c r="G63" s="29">
        <f t="shared" si="2"/>
        <v>75.692399999999992</v>
      </c>
    </row>
    <row r="64" spans="1:7" x14ac:dyDescent="0.25">
      <c r="A64" s="28">
        <v>42156</v>
      </c>
      <c r="B64" s="1">
        <f t="shared" si="0"/>
        <v>6</v>
      </c>
      <c r="C64" s="1">
        <f t="shared" si="1"/>
        <v>2015</v>
      </c>
      <c r="D64" s="29">
        <f>SUMIFS(Weekly!$E$2:$E$538,Weekly!$B$2:$B$538,B64,Weekly!$C$2:$C$538,C64)*1000</f>
        <v>6538.3959999999997</v>
      </c>
      <c r="E64" s="29">
        <f>SUMIFS(Weekly!$F$2:$F$538,Weekly!$B$2:$B$538,B64,Weekly!$C$2:$C$538,C64)</f>
        <v>1480.3920000000001</v>
      </c>
      <c r="F64" s="29">
        <f>SUMIFS(Weekly!$D$2:$D$538,Weekly!$B$2:$B$538,B64,Weekly!$C$2:$C$538,C64)*1000</f>
        <v>8224.4</v>
      </c>
      <c r="G64" s="29">
        <f t="shared" si="2"/>
        <v>98.692799999999991</v>
      </c>
    </row>
    <row r="65" spans="1:7" x14ac:dyDescent="0.25">
      <c r="A65" s="28">
        <v>42186</v>
      </c>
      <c r="B65" s="1">
        <f t="shared" si="0"/>
        <v>7</v>
      </c>
      <c r="C65" s="1">
        <f t="shared" si="1"/>
        <v>2015</v>
      </c>
      <c r="D65" s="29">
        <f>SUMIFS(Weekly!$E$2:$E$538,Weekly!$B$2:$B$538,B65,Weekly!$C$2:$C$538,C65)*1000</f>
        <v>5333.9719999999998</v>
      </c>
      <c r="E65" s="29">
        <f>SUMIFS(Weekly!$F$2:$F$538,Weekly!$B$2:$B$538,B65,Weekly!$C$2:$C$538,C65)</f>
        <v>1207.692</v>
      </c>
      <c r="F65" s="29">
        <f>SUMIFS(Weekly!$D$2:$D$538,Weekly!$B$2:$B$538,B65,Weekly!$C$2:$C$538,C65)*1000</f>
        <v>6709.4</v>
      </c>
      <c r="G65" s="29">
        <f t="shared" si="2"/>
        <v>80.512799999999984</v>
      </c>
    </row>
    <row r="66" spans="1:7" x14ac:dyDescent="0.25">
      <c r="A66" s="28">
        <v>42217</v>
      </c>
      <c r="B66" s="1">
        <f t="shared" ref="B66:B128" si="3">MONTH(A66)</f>
        <v>8</v>
      </c>
      <c r="C66" s="1">
        <f t="shared" ref="C66:C129" si="4">YEAR(A66)</f>
        <v>2015</v>
      </c>
      <c r="D66" s="29">
        <f>SUMIFS(Weekly!$E$2:$E$538,Weekly!$B$2:$B$538,B66,Weekly!$C$2:$C$538,C66)*1000</f>
        <v>6774.273000000001</v>
      </c>
      <c r="E66" s="29">
        <f>SUMIFS(Weekly!$F$2:$F$538,Weekly!$B$2:$B$538,B66,Weekly!$C$2:$C$538,C66)</f>
        <v>1533.798</v>
      </c>
      <c r="F66" s="29">
        <f>SUMIFS(Weekly!$D$2:$D$538,Weekly!$B$2:$B$538,B66,Weekly!$C$2:$C$538,C66)*1000</f>
        <v>8281.9</v>
      </c>
      <c r="G66" s="29">
        <f t="shared" ref="G66:G128" si="5">F66*12/1000</f>
        <v>99.382799999999989</v>
      </c>
    </row>
    <row r="67" spans="1:7" x14ac:dyDescent="0.25">
      <c r="A67" s="28">
        <v>42248</v>
      </c>
      <c r="B67" s="1">
        <f t="shared" si="3"/>
        <v>9</v>
      </c>
      <c r="C67" s="1">
        <f t="shared" si="4"/>
        <v>2015</v>
      </c>
      <c r="D67" s="29">
        <f>SUMIFS(Weekly!$E$2:$E$538,Weekly!$B$2:$B$538,B67,Weekly!$C$2:$C$538,C67)*1000</f>
        <v>5232.3719999999994</v>
      </c>
      <c r="E67" s="29">
        <f>SUMIFS(Weekly!$F$2:$F$538,Weekly!$B$2:$B$538,B67,Weekly!$C$2:$C$538,C67)</f>
        <v>1184.6880000000001</v>
      </c>
      <c r="F67" s="29">
        <f>SUMIFS(Weekly!$D$2:$D$538,Weekly!$B$2:$B$538,B67,Weekly!$C$2:$C$538,C67)*1000</f>
        <v>6581.5999999999995</v>
      </c>
      <c r="G67" s="29">
        <f t="shared" si="5"/>
        <v>78.979199999999992</v>
      </c>
    </row>
    <row r="68" spans="1:7" x14ac:dyDescent="0.25">
      <c r="A68" s="28">
        <v>42278</v>
      </c>
      <c r="B68" s="1">
        <f t="shared" si="3"/>
        <v>10</v>
      </c>
      <c r="C68" s="1">
        <f t="shared" si="4"/>
        <v>2015</v>
      </c>
      <c r="D68" s="29">
        <f>SUMIFS(Weekly!$E$2:$E$538,Weekly!$B$2:$B$538,B68,Weekly!$C$2:$C$538,C68)*1000</f>
        <v>5021.4179999999997</v>
      </c>
      <c r="E68" s="29">
        <f>SUMIFS(Weekly!$F$2:$F$538,Weekly!$B$2:$B$538,B68,Weekly!$C$2:$C$538,C68)</f>
        <v>1136.925</v>
      </c>
      <c r="F68" s="29">
        <f>SUMIFS(Weekly!$D$2:$D$538,Weekly!$B$2:$B$538,B68,Weekly!$C$2:$C$538,C68)*1000</f>
        <v>6245.8499999999995</v>
      </c>
      <c r="G68" s="29">
        <f t="shared" si="5"/>
        <v>74.950199999999995</v>
      </c>
    </row>
    <row r="69" spans="1:7" x14ac:dyDescent="0.25">
      <c r="A69" s="28">
        <v>42309</v>
      </c>
      <c r="B69" s="1">
        <f t="shared" si="3"/>
        <v>11</v>
      </c>
      <c r="C69" s="1">
        <f t="shared" si="4"/>
        <v>2015</v>
      </c>
      <c r="D69" s="29">
        <f>SUMIFS(Weekly!$E$2:$E$538,Weekly!$B$2:$B$538,B69,Weekly!$C$2:$C$538,C69)*1000</f>
        <v>6733.728000000001</v>
      </c>
      <c r="E69" s="29">
        <f>SUMIFS(Weekly!$F$2:$F$538,Weekly!$B$2:$B$538,B69,Weekly!$C$2:$C$538,C69)</f>
        <v>1524.6179999999999</v>
      </c>
      <c r="F69" s="29">
        <f>SUMIFS(Weekly!$D$2:$D$538,Weekly!$B$2:$B$538,B69,Weekly!$C$2:$C$538,C69)*1000</f>
        <v>8470.1</v>
      </c>
      <c r="G69" s="29">
        <f t="shared" si="5"/>
        <v>101.64120000000001</v>
      </c>
    </row>
    <row r="70" spans="1:7" x14ac:dyDescent="0.25">
      <c r="A70" s="28">
        <v>42339</v>
      </c>
      <c r="B70" s="1">
        <f t="shared" si="3"/>
        <v>12</v>
      </c>
      <c r="C70" s="1">
        <f t="shared" si="4"/>
        <v>2015</v>
      </c>
      <c r="D70" s="29">
        <f>SUMIFS(Weekly!$E$2:$E$538,Weekly!$B$2:$B$538,B70,Weekly!$C$2:$C$538,C70)*1000</f>
        <v>5844.72</v>
      </c>
      <c r="E70" s="29">
        <f>SUMIFS(Weekly!$F$2:$F$538,Weekly!$B$2:$B$538,B70,Weekly!$C$2:$C$538,C70)</f>
        <v>1323.3429999999998</v>
      </c>
      <c r="F70" s="29">
        <f>SUMIFS(Weekly!$D$2:$D$538,Weekly!$B$2:$B$538,B70,Weekly!$C$2:$C$538,C70)*1000</f>
        <v>7351.8499999999995</v>
      </c>
      <c r="G70" s="29">
        <f t="shared" si="5"/>
        <v>88.222200000000001</v>
      </c>
    </row>
    <row r="71" spans="1:7" x14ac:dyDescent="0.25">
      <c r="A71" s="28">
        <v>42370</v>
      </c>
      <c r="B71" s="1">
        <f t="shared" si="3"/>
        <v>1</v>
      </c>
      <c r="C71" s="1">
        <f t="shared" si="4"/>
        <v>2016</v>
      </c>
      <c r="D71" s="29">
        <f>SUMIFS(Weekly!$E$2:$E$538,Weekly!$B$2:$B$538,B71,Weekly!$C$2:$C$538,C71)*1000</f>
        <v>5472.0250000000005</v>
      </c>
      <c r="E71" s="29">
        <f>SUMIFS(Weekly!$F$2:$F$538,Weekly!$B$2:$B$538,B71,Weekly!$C$2:$C$538,C71)</f>
        <v>1238.9490000000001</v>
      </c>
      <c r="F71" s="29">
        <f>SUMIFS(Weekly!$D$2:$D$538,Weekly!$B$2:$B$538,B71,Weekly!$C$2:$C$538,C71)*1000</f>
        <v>6883.05</v>
      </c>
      <c r="G71" s="29">
        <f t="shared" si="5"/>
        <v>82.596600000000009</v>
      </c>
    </row>
    <row r="72" spans="1:7" x14ac:dyDescent="0.25">
      <c r="A72" s="28">
        <v>42401</v>
      </c>
      <c r="B72" s="1">
        <f t="shared" si="3"/>
        <v>2</v>
      </c>
      <c r="C72" s="1">
        <f t="shared" si="4"/>
        <v>2016</v>
      </c>
      <c r="D72" s="29">
        <f>SUMIFS(Weekly!$E$2:$E$538,Weekly!$B$2:$B$538,B72,Weekly!$C$2:$C$538,C72)*1000</f>
        <v>3868.4309999999996</v>
      </c>
      <c r="E72" s="29">
        <f>SUMIFS(Weekly!$F$2:$F$538,Weekly!$B$2:$B$538,B72,Weekly!$C$2:$C$538,C72)</f>
        <v>875.87099999999998</v>
      </c>
      <c r="F72" s="29">
        <f>SUMIFS(Weekly!$D$2:$D$538,Weekly!$B$2:$B$538,B72,Weekly!$C$2:$C$538,C72)*1000</f>
        <v>4865.95</v>
      </c>
      <c r="G72" s="29">
        <f t="shared" si="5"/>
        <v>58.391399999999997</v>
      </c>
    </row>
    <row r="73" spans="1:7" x14ac:dyDescent="0.25">
      <c r="A73" s="28">
        <v>42430</v>
      </c>
      <c r="B73" s="1">
        <f t="shared" si="3"/>
        <v>3</v>
      </c>
      <c r="C73" s="1">
        <f t="shared" si="4"/>
        <v>2016</v>
      </c>
      <c r="D73" s="29">
        <f>SUMIFS(Weekly!$E$2:$E$538,Weekly!$B$2:$B$538,B73,Weekly!$C$2:$C$538,C73)*1000</f>
        <v>4659.0764999999992</v>
      </c>
      <c r="E73" s="29">
        <f>SUMIFS(Weekly!$F$2:$F$538,Weekly!$B$2:$B$538,B73,Weekly!$C$2:$C$538,C73)</f>
        <v>1054.8854999999999</v>
      </c>
      <c r="F73" s="29">
        <f>SUMIFS(Weekly!$D$2:$D$538,Weekly!$B$2:$B$538,B73,Weekly!$C$2:$C$538,C73)*1000</f>
        <v>5859.0750000000007</v>
      </c>
      <c r="G73" s="29">
        <f t="shared" si="5"/>
        <v>70.308900000000008</v>
      </c>
    </row>
    <row r="74" spans="1:7" x14ac:dyDescent="0.25">
      <c r="A74" s="28">
        <v>42461</v>
      </c>
      <c r="B74" s="1">
        <f t="shared" si="3"/>
        <v>4</v>
      </c>
      <c r="C74" s="1">
        <f t="shared" si="4"/>
        <v>2016</v>
      </c>
      <c r="D74" s="29">
        <f>SUMIFS(Weekly!$E$2:$E$538,Weekly!$B$2:$B$538,B74,Weekly!$C$2:$C$538,C74)*1000</f>
        <v>4965.9659999999994</v>
      </c>
      <c r="E74" s="29">
        <f>SUMIFS(Weekly!$F$2:$F$538,Weekly!$B$2:$B$538,B74,Weekly!$C$2:$C$538,C74)</f>
        <v>1124.3699999999999</v>
      </c>
      <c r="F74" s="29">
        <f>SUMIFS(Weekly!$D$2:$D$538,Weekly!$B$2:$B$538,B74,Weekly!$C$2:$C$538,C74)*1000</f>
        <v>6246.5</v>
      </c>
      <c r="G74" s="29">
        <f t="shared" si="5"/>
        <v>74.957999999999998</v>
      </c>
    </row>
    <row r="75" spans="1:7" x14ac:dyDescent="0.25">
      <c r="A75" s="28">
        <v>42491</v>
      </c>
      <c r="B75" s="1">
        <f t="shared" si="3"/>
        <v>5</v>
      </c>
      <c r="C75" s="1">
        <f t="shared" si="4"/>
        <v>2016</v>
      </c>
      <c r="D75" s="29">
        <f>SUMIFS(Weekly!$E$2:$E$538,Weekly!$B$2:$B$538,B75,Weekly!$C$2:$C$538,C75)*1000</f>
        <v>6822.4090000000006</v>
      </c>
      <c r="E75" s="29">
        <f>SUMIFS(Weekly!$F$2:$F$538,Weekly!$B$2:$B$538,B75,Weekly!$C$2:$C$538,C75)</f>
        <v>1544.6970000000001</v>
      </c>
      <c r="F75" s="29">
        <f>SUMIFS(Weekly!$D$2:$D$538,Weekly!$B$2:$B$538,B75,Weekly!$C$2:$C$538,C75)*1000</f>
        <v>8581.6500000000015</v>
      </c>
      <c r="G75" s="29">
        <f t="shared" si="5"/>
        <v>102.97980000000001</v>
      </c>
    </row>
    <row r="76" spans="1:7" x14ac:dyDescent="0.25">
      <c r="A76" s="28">
        <v>42522</v>
      </c>
      <c r="B76" s="1">
        <f t="shared" si="3"/>
        <v>6</v>
      </c>
      <c r="C76" s="1">
        <f t="shared" si="4"/>
        <v>2016</v>
      </c>
      <c r="D76" s="29">
        <f>SUMIFS(Weekly!$E$2:$E$538,Weekly!$B$2:$B$538,B76,Weekly!$C$2:$C$538,C76)*1000</f>
        <v>5413.71</v>
      </c>
      <c r="E76" s="29">
        <f>SUMIFS(Weekly!$F$2:$F$538,Weekly!$B$2:$B$538,B76,Weekly!$C$2:$C$538,C76)</f>
        <v>1225.7459999999999</v>
      </c>
      <c r="F76" s="29">
        <f>SUMIFS(Weekly!$D$2:$D$538,Weekly!$B$2:$B$538,B76,Weekly!$C$2:$C$538,C76)*1000</f>
        <v>6809.7</v>
      </c>
      <c r="G76" s="29">
        <f t="shared" si="5"/>
        <v>81.716399999999993</v>
      </c>
    </row>
    <row r="77" spans="1:7" x14ac:dyDescent="0.25">
      <c r="A77" s="28">
        <v>42552</v>
      </c>
      <c r="B77" s="1">
        <f t="shared" si="3"/>
        <v>7</v>
      </c>
      <c r="C77" s="1">
        <f t="shared" si="4"/>
        <v>2016</v>
      </c>
      <c r="D77" s="29">
        <f>SUMIFS(Weekly!$E$2:$E$538,Weekly!$B$2:$B$538,B77,Weekly!$C$2:$C$538,C77)*1000</f>
        <v>5354.18</v>
      </c>
      <c r="E77" s="29">
        <f>SUMIFS(Weekly!$F$2:$F$538,Weekly!$B$2:$B$538,B77,Weekly!$C$2:$C$538,C77)</f>
        <v>1212.2669999999998</v>
      </c>
      <c r="F77" s="29">
        <f>SUMIFS(Weekly!$D$2:$D$538,Weekly!$B$2:$B$538,B77,Weekly!$C$2:$C$538,C77)*1000</f>
        <v>6734.82</v>
      </c>
      <c r="G77" s="29">
        <f t="shared" si="5"/>
        <v>80.81783999999999</v>
      </c>
    </row>
    <row r="78" spans="1:7" x14ac:dyDescent="0.25">
      <c r="A78" s="28">
        <v>42583</v>
      </c>
      <c r="B78" s="1">
        <f t="shared" si="3"/>
        <v>8</v>
      </c>
      <c r="C78" s="1">
        <f t="shared" si="4"/>
        <v>2016</v>
      </c>
      <c r="D78" s="29">
        <f>SUMIFS(Weekly!$E$2:$E$538,Weekly!$B$2:$B$538,B78,Weekly!$C$2:$C$538,C78)*1000</f>
        <v>6489.4639999999999</v>
      </c>
      <c r="E78" s="29">
        <f>SUMIFS(Weekly!$F$2:$F$538,Weekly!$B$2:$B$538,B78,Weekly!$C$2:$C$538,C78)</f>
        <v>1482.8129999999999</v>
      </c>
      <c r="F78" s="29">
        <f>SUMIFS(Weekly!$D$2:$D$538,Weekly!$B$2:$B$538,B78,Weekly!$C$2:$C$538,C78)*1000</f>
        <v>8213.3000000000011</v>
      </c>
      <c r="G78" s="29">
        <f t="shared" si="5"/>
        <v>98.559600000000003</v>
      </c>
    </row>
    <row r="79" spans="1:7" x14ac:dyDescent="0.25">
      <c r="A79" s="28">
        <v>42614</v>
      </c>
      <c r="B79" s="1">
        <f t="shared" si="3"/>
        <v>9</v>
      </c>
      <c r="C79" s="1">
        <f t="shared" si="4"/>
        <v>2016</v>
      </c>
      <c r="D79" s="29">
        <f>SUMIFS(Weekly!$E$2:$E$538,Weekly!$B$2:$B$538,B79,Weekly!$C$2:$C$538,C79)*1000</f>
        <v>5071.7020000000002</v>
      </c>
      <c r="E79" s="29">
        <f>SUMIFS(Weekly!$F$2:$F$538,Weekly!$B$2:$B$538,B79,Weekly!$C$2:$C$538,C79)</f>
        <v>1148.31</v>
      </c>
      <c r="F79" s="29">
        <f>SUMIFS(Weekly!$D$2:$D$538,Weekly!$B$2:$B$538,B79,Weekly!$C$2:$C$538,C79)*1000</f>
        <v>6379.5</v>
      </c>
      <c r="G79" s="29">
        <f t="shared" si="5"/>
        <v>76.554000000000002</v>
      </c>
    </row>
    <row r="80" spans="1:7" x14ac:dyDescent="0.25">
      <c r="A80" s="28">
        <v>42644</v>
      </c>
      <c r="B80" s="1">
        <f t="shared" si="3"/>
        <v>10</v>
      </c>
      <c r="C80" s="1">
        <f t="shared" si="4"/>
        <v>2016</v>
      </c>
      <c r="D80" s="29">
        <f>SUMIFS(Weekly!$E$2:$E$538,Weekly!$B$2:$B$538,B80,Weekly!$C$2:$C$538,C80)*1000</f>
        <v>6455.4364999999998</v>
      </c>
      <c r="E80" s="29">
        <f>SUMIFS(Weekly!$F$2:$F$538,Weekly!$B$2:$B$538,B80,Weekly!$C$2:$C$538,C80)</f>
        <v>1461.6089999999999</v>
      </c>
      <c r="F80" s="29">
        <f>SUMIFS(Weekly!$D$2:$D$538,Weekly!$B$2:$B$538,B80,Weekly!$C$2:$C$538,C80)*1000</f>
        <v>8219.15</v>
      </c>
      <c r="G80" s="29">
        <f t="shared" si="5"/>
        <v>98.629799999999989</v>
      </c>
    </row>
    <row r="81" spans="1:7" x14ac:dyDescent="0.25">
      <c r="A81" s="28">
        <v>42675</v>
      </c>
      <c r="B81" s="1">
        <f t="shared" si="3"/>
        <v>11</v>
      </c>
      <c r="C81" s="1">
        <f t="shared" si="4"/>
        <v>2016</v>
      </c>
      <c r="D81" s="29">
        <f>SUMIFS(Weekly!$E$2:$E$538,Weekly!$B$2:$B$538,B81,Weekly!$C$2:$C$538,C81)*1000</f>
        <v>5740.0770000000002</v>
      </c>
      <c r="E81" s="29">
        <f>SUMIFS(Weekly!$F$2:$F$538,Weekly!$B$2:$B$538,B81,Weekly!$C$2:$C$538,C81)</f>
        <v>1299.6405</v>
      </c>
      <c r="F81" s="29">
        <f>SUMIFS(Weekly!$D$2:$D$538,Weekly!$B$2:$B$538,B81,Weekly!$C$2:$C$538,C81)*1000</f>
        <v>7227.75</v>
      </c>
      <c r="G81" s="29">
        <f t="shared" si="5"/>
        <v>86.733000000000004</v>
      </c>
    </row>
    <row r="82" spans="1:7" x14ac:dyDescent="0.25">
      <c r="A82" s="28">
        <v>42705</v>
      </c>
      <c r="B82" s="1">
        <f t="shared" si="3"/>
        <v>12</v>
      </c>
      <c r="C82" s="1">
        <f t="shared" si="4"/>
        <v>2016</v>
      </c>
      <c r="D82" s="29">
        <f>SUMIFS(Weekly!$E$2:$E$538,Weekly!$B$2:$B$538,B82,Weekly!$C$2:$C$538,C82)*1000</f>
        <v>5995.4509999999991</v>
      </c>
      <c r="E82" s="29">
        <f>SUMIFS(Weekly!$F$2:$F$538,Weekly!$B$2:$B$538,B82,Weekly!$C$2:$C$538,C82)</f>
        <v>1357.4609999999998</v>
      </c>
      <c r="F82" s="29">
        <f>SUMIFS(Weekly!$D$2:$D$538,Weekly!$B$2:$B$538,B82,Weekly!$C$2:$C$538,C82)*1000</f>
        <v>7541.45</v>
      </c>
      <c r="G82" s="29">
        <f t="shared" si="5"/>
        <v>90.497399999999999</v>
      </c>
    </row>
    <row r="83" spans="1:7" x14ac:dyDescent="0.25">
      <c r="A83" s="28">
        <v>42736</v>
      </c>
      <c r="B83" s="1">
        <f t="shared" si="3"/>
        <v>1</v>
      </c>
      <c r="C83" s="1">
        <f t="shared" si="4"/>
        <v>2017</v>
      </c>
      <c r="D83" s="29">
        <f>SUMIFS(Weekly!$E$2:$E$538,Weekly!$B$2:$B$538,B83,Weekly!$C$2:$C$538,C83)*1000</f>
        <v>5374.1600000000008</v>
      </c>
      <c r="E83" s="29">
        <f>SUMIFS(Weekly!$F$2:$F$538,Weekly!$B$2:$B$538,B83,Weekly!$C$2:$C$538,C83)</f>
        <v>1216.7909999999999</v>
      </c>
      <c r="F83" s="29">
        <f>SUMIFS(Weekly!$D$2:$D$538,Weekly!$B$2:$B$538,B83,Weekly!$C$2:$C$538,C83)*1000</f>
        <v>6759.95</v>
      </c>
      <c r="G83" s="29">
        <f t="shared" si="5"/>
        <v>81.119399999999999</v>
      </c>
    </row>
    <row r="84" spans="1:7" x14ac:dyDescent="0.25">
      <c r="A84" s="28">
        <v>42767</v>
      </c>
      <c r="B84" s="1">
        <f t="shared" si="3"/>
        <v>2</v>
      </c>
      <c r="C84" s="1">
        <f t="shared" si="4"/>
        <v>2017</v>
      </c>
      <c r="D84" s="29">
        <f>SUMIFS(Weekly!$E$2:$E$538,Weekly!$B$2:$B$538,B84,Weekly!$C$2:$C$538,C84)*1000</f>
        <v>5186.6589999999997</v>
      </c>
      <c r="E84" s="29">
        <f>SUMIFS(Weekly!$F$2:$F$538,Weekly!$B$2:$B$538,B84,Weekly!$C$2:$C$538,C84)</f>
        <v>1174.338</v>
      </c>
      <c r="F84" s="29">
        <f>SUMIFS(Weekly!$D$2:$D$538,Weekly!$B$2:$B$538,B84,Weekly!$C$2:$C$538,C84)*1000</f>
        <v>6524.1</v>
      </c>
      <c r="G84" s="29">
        <f t="shared" si="5"/>
        <v>78.289200000000008</v>
      </c>
    </row>
    <row r="85" spans="1:7" x14ac:dyDescent="0.25">
      <c r="A85" s="28">
        <v>42795</v>
      </c>
      <c r="B85" s="1">
        <f t="shared" si="3"/>
        <v>3</v>
      </c>
      <c r="C85" s="1">
        <f t="shared" si="4"/>
        <v>2017</v>
      </c>
      <c r="D85" s="29">
        <f>SUMIFS(Weekly!$E$2:$E$538,Weekly!$B$2:$B$538,B85,Weekly!$C$2:$C$538,C85)*1000</f>
        <v>4849.8180000000002</v>
      </c>
      <c r="E85" s="29">
        <f>SUMIFS(Weekly!$F$2:$F$538,Weekly!$B$2:$B$538,B85,Weekly!$C$2:$C$538,C85)</f>
        <v>1098.0720000000001</v>
      </c>
      <c r="F85" s="29">
        <f>SUMIFS(Weekly!$D$2:$D$538,Weekly!$B$2:$B$538,B85,Weekly!$C$2:$C$538,C85)*1000</f>
        <v>6100.4</v>
      </c>
      <c r="G85" s="29">
        <f t="shared" si="5"/>
        <v>73.204799999999992</v>
      </c>
    </row>
    <row r="86" spans="1:7" x14ac:dyDescent="0.25">
      <c r="A86" s="28">
        <v>42826</v>
      </c>
      <c r="B86" s="1">
        <f t="shared" si="3"/>
        <v>4</v>
      </c>
      <c r="C86" s="1">
        <f t="shared" si="4"/>
        <v>2017</v>
      </c>
      <c r="D86" s="29">
        <f>SUMIFS(Weekly!$E$2:$E$538,Weekly!$B$2:$B$538,B86,Weekly!$C$2:$C$538,C86)*1000</f>
        <v>5373.4839999999995</v>
      </c>
      <c r="E86" s="29">
        <f>SUMIFS(Weekly!$F$2:$F$538,Weekly!$B$2:$B$538,B86,Weekly!$C$2:$C$538,C86)</f>
        <v>1216.6380000000001</v>
      </c>
      <c r="F86" s="29">
        <f>SUMIFS(Weekly!$D$2:$D$538,Weekly!$B$2:$B$538,B86,Weekly!$C$2:$C$538,C86)*1000</f>
        <v>6762.6000000000013</v>
      </c>
      <c r="G86" s="29">
        <f t="shared" si="5"/>
        <v>81.151200000000017</v>
      </c>
    </row>
    <row r="87" spans="1:7" x14ac:dyDescent="0.25">
      <c r="A87" s="28">
        <v>42856</v>
      </c>
      <c r="B87" s="1">
        <f t="shared" si="3"/>
        <v>5</v>
      </c>
      <c r="C87" s="1">
        <f t="shared" si="4"/>
        <v>2017</v>
      </c>
      <c r="D87" s="29">
        <f>SUMIFS(Weekly!$E$2:$E$538,Weekly!$B$2:$B$538,B87,Weekly!$C$2:$C$538,C87)*1000</f>
        <v>7185.4470000000001</v>
      </c>
      <c r="E87" s="29">
        <f>SUMIFS(Weekly!$F$2:$F$538,Weekly!$B$2:$B$538,B87,Weekly!$C$2:$C$538,C87)</f>
        <v>1626.894</v>
      </c>
      <c r="F87" s="29">
        <f>SUMIFS(Weekly!$D$2:$D$538,Weekly!$B$2:$B$538,B87,Weekly!$C$2:$C$538,C87)*1000</f>
        <v>9038.2999999999993</v>
      </c>
      <c r="G87" s="29">
        <f t="shared" si="5"/>
        <v>108.45959999999999</v>
      </c>
    </row>
    <row r="88" spans="1:7" x14ac:dyDescent="0.25">
      <c r="A88" s="28">
        <v>42887</v>
      </c>
      <c r="B88" s="1">
        <f t="shared" si="3"/>
        <v>6</v>
      </c>
      <c r="C88" s="1">
        <f t="shared" si="4"/>
        <v>2017</v>
      </c>
      <c r="D88" s="29">
        <f>SUMIFS(Weekly!$E$2:$E$538,Weekly!$B$2:$B$538,B88,Weekly!$C$2:$C$538,C88)*1000</f>
        <v>3769.1414999999997</v>
      </c>
      <c r="E88" s="29">
        <f>SUMIFS(Weekly!$F$2:$F$538,Weekly!$B$2:$B$538,B88,Weekly!$C$2:$C$538,C88)</f>
        <v>1282.5989999999999</v>
      </c>
      <c r="F88" s="29">
        <f>SUMIFS(Weekly!$D$2:$D$538,Weekly!$B$2:$B$538,B88,Weekly!$C$2:$C$538,C88)*1000</f>
        <v>7136.0500000000011</v>
      </c>
      <c r="G88" s="29">
        <f t="shared" si="5"/>
        <v>85.632600000000011</v>
      </c>
    </row>
    <row r="89" spans="1:7" x14ac:dyDescent="0.25">
      <c r="A89" s="28">
        <v>42917</v>
      </c>
      <c r="B89" s="1">
        <f t="shared" si="3"/>
        <v>7</v>
      </c>
      <c r="C89" s="1">
        <f t="shared" si="4"/>
        <v>2017</v>
      </c>
      <c r="D89" s="29">
        <f>SUMIFS(Weekly!$E$2:$E$538,Weekly!$B$2:$B$538,B89,Weekly!$C$2:$C$538,C89)*1000</f>
        <v>7120.0189999999993</v>
      </c>
      <c r="E89" s="29">
        <f>SUMIFS(Weekly!$F$2:$F$538,Weekly!$B$2:$B$538,B89,Weekly!$C$2:$C$538,C89)</f>
        <v>1612.0800000000002</v>
      </c>
      <c r="F89" s="29">
        <f>SUMIFS(Weekly!$D$2:$D$538,Weekly!$B$2:$B$538,B89,Weekly!$C$2:$C$538,C89)*1000</f>
        <v>8956</v>
      </c>
      <c r="G89" s="29">
        <f t="shared" si="5"/>
        <v>107.47199999999999</v>
      </c>
    </row>
    <row r="90" spans="1:7" x14ac:dyDescent="0.25">
      <c r="A90" s="28">
        <v>42948</v>
      </c>
      <c r="B90" s="1">
        <f t="shared" si="3"/>
        <v>8</v>
      </c>
      <c r="C90" s="1">
        <f t="shared" si="4"/>
        <v>2017</v>
      </c>
      <c r="D90" s="29">
        <f>SUMIFS(Weekly!$E$2:$E$538,Weekly!$B$2:$B$538,B90,Weekly!$C$2:$C$538,C90)*1000</f>
        <v>5683.692</v>
      </c>
      <c r="E90" s="29">
        <f>SUMIFS(Weekly!$F$2:$F$538,Weekly!$B$2:$B$538,B90,Weekly!$C$2:$C$538,C90)</f>
        <v>1286.874</v>
      </c>
      <c r="F90" s="29">
        <f>SUMIFS(Weekly!$D$2:$D$538,Weekly!$B$2:$B$538,B90,Weekly!$C$2:$C$538,C90)*1000</f>
        <v>7149.3</v>
      </c>
      <c r="G90" s="29">
        <f t="shared" si="5"/>
        <v>85.791600000000003</v>
      </c>
    </row>
    <row r="91" spans="1:7" x14ac:dyDescent="0.25">
      <c r="A91" s="28">
        <v>42979</v>
      </c>
      <c r="B91" s="1">
        <f t="shared" si="3"/>
        <v>9</v>
      </c>
      <c r="C91" s="1">
        <f t="shared" si="4"/>
        <v>2017</v>
      </c>
      <c r="D91" s="29">
        <f>SUMIFS(Weekly!$E$2:$E$538,Weekly!$B$2:$B$538,B91,Weekly!$C$2:$C$538,C91)*1000</f>
        <v>5987.62</v>
      </c>
      <c r="E91" s="29">
        <f>SUMIFS(Weekly!$F$2:$F$538,Weekly!$B$2:$B$538,B91,Weekly!$C$2:$C$538,C91)</f>
        <v>1355.6880000000001</v>
      </c>
      <c r="F91" s="29">
        <f>SUMIFS(Weekly!$D$2:$D$538,Weekly!$B$2:$B$538,B91,Weekly!$C$2:$C$538,C91)*1000</f>
        <v>7531.5999999999995</v>
      </c>
      <c r="G91" s="29">
        <f t="shared" si="5"/>
        <v>90.379199999999997</v>
      </c>
    </row>
    <row r="92" spans="1:7" x14ac:dyDescent="0.25">
      <c r="A92" s="28">
        <v>43009</v>
      </c>
      <c r="B92" s="1">
        <f t="shared" si="3"/>
        <v>10</v>
      </c>
      <c r="C92" s="1">
        <f t="shared" si="4"/>
        <v>2017</v>
      </c>
      <c r="D92" s="29">
        <f>SUMIFS(Weekly!$E$2:$E$538,Weekly!$B$2:$B$538,B92,Weekly!$C$2:$C$538,C92)*1000</f>
        <v>6777.1755000000003</v>
      </c>
      <c r="E92" s="29">
        <f>SUMIFS(Weekly!$F$2:$F$538,Weekly!$B$2:$B$538,B92,Weekly!$C$2:$C$538,C92)</f>
        <v>1534.4550000000002</v>
      </c>
      <c r="F92" s="29">
        <f>SUMIFS(Weekly!$D$2:$D$538,Weekly!$B$2:$B$538,B92,Weekly!$C$2:$C$538,C92)*1000</f>
        <v>8524.7500000000018</v>
      </c>
      <c r="G92" s="29">
        <f t="shared" si="5"/>
        <v>102.29700000000003</v>
      </c>
    </row>
    <row r="93" spans="1:7" x14ac:dyDescent="0.25">
      <c r="A93" s="28">
        <v>43040</v>
      </c>
      <c r="B93" s="1">
        <f t="shared" si="3"/>
        <v>11</v>
      </c>
      <c r="C93" s="1">
        <f t="shared" si="4"/>
        <v>2017</v>
      </c>
      <c r="D93" s="29">
        <f>SUMIFS(Weekly!$E$2:$E$538,Weekly!$B$2:$B$538,B93,Weekly!$C$2:$C$538,C93)*1000</f>
        <v>5921.3739999999998</v>
      </c>
      <c r="E93" s="29">
        <f>SUMIFS(Weekly!$F$2:$F$538,Weekly!$B$2:$B$538,B93,Weekly!$C$2:$C$538,C93)</f>
        <v>1331.6879999999999</v>
      </c>
      <c r="F93" s="29">
        <f>SUMIFS(Weekly!$D$2:$D$538,Weekly!$B$2:$B$538,B93,Weekly!$C$2:$C$538,C93)*1000</f>
        <v>7448.2699999999986</v>
      </c>
      <c r="G93" s="29">
        <f t="shared" si="5"/>
        <v>89.379239999999996</v>
      </c>
    </row>
    <row r="94" spans="1:7" x14ac:dyDescent="0.25">
      <c r="A94" s="28">
        <v>43070</v>
      </c>
      <c r="B94" s="1">
        <f t="shared" si="3"/>
        <v>12</v>
      </c>
      <c r="C94" s="1">
        <f t="shared" si="4"/>
        <v>2017</v>
      </c>
      <c r="D94" s="29">
        <f>SUMIFS(Weekly!$E$2:$E$538,Weekly!$B$2:$B$538,B94,Weekly!$C$2:$C$538,C94)*1000</f>
        <v>6312.1389999999992</v>
      </c>
      <c r="E94" s="29">
        <f>SUMIFS(Weekly!$F$2:$F$538,Weekly!$B$2:$B$538,B94,Weekly!$C$2:$C$538,C94)</f>
        <v>1429.164</v>
      </c>
      <c r="F94" s="29">
        <f>SUMIFS(Weekly!$D$2:$D$538,Weekly!$B$2:$B$538,B94,Weekly!$C$2:$C$538,C94)*1000</f>
        <v>7939.8</v>
      </c>
      <c r="G94" s="29">
        <f t="shared" si="5"/>
        <v>95.277600000000007</v>
      </c>
    </row>
    <row r="95" spans="1:7" x14ac:dyDescent="0.25">
      <c r="A95" s="28">
        <v>43101</v>
      </c>
      <c r="B95" s="1">
        <f t="shared" si="3"/>
        <v>1</v>
      </c>
      <c r="C95" s="1">
        <f t="shared" si="4"/>
        <v>2018</v>
      </c>
      <c r="D95" s="29">
        <f>SUMIFS(Weekly!$E$2:$E$538,Weekly!$B$2:$B$538,B95,Weekly!$C$2:$C$538,C95)*1000</f>
        <v>7451.558</v>
      </c>
      <c r="E95" s="29">
        <f>SUMIFS(Weekly!$F$2:$F$538,Weekly!$B$2:$B$538,B95,Weekly!$C$2:$C$538,C95)</f>
        <v>1684.9259999999999</v>
      </c>
      <c r="F95" s="29">
        <f>SUMIFS(Weekly!$D$2:$D$538,Weekly!$B$2:$B$538,B95,Weekly!$C$2:$C$538,C95)*1000</f>
        <v>9360.61</v>
      </c>
      <c r="G95" s="29">
        <f t="shared" si="5"/>
        <v>112.32732</v>
      </c>
    </row>
    <row r="96" spans="1:7" x14ac:dyDescent="0.25">
      <c r="A96" s="28">
        <v>43132</v>
      </c>
      <c r="B96" s="1">
        <f t="shared" si="3"/>
        <v>2</v>
      </c>
      <c r="C96" s="1">
        <f t="shared" si="4"/>
        <v>2018</v>
      </c>
      <c r="D96" s="29">
        <f>SUMIFS(Weekly!$E$2:$E$538,Weekly!$B$2:$B$538,B96,Weekly!$C$2:$C$538,C96)*1000</f>
        <v>4548.8895000000002</v>
      </c>
      <c r="E96" s="29">
        <f>SUMIFS(Weekly!$F$2:$F$538,Weekly!$B$2:$B$538,B96,Weekly!$C$2:$C$538,C96)</f>
        <v>1029.9374999999998</v>
      </c>
      <c r="F96" s="29">
        <f>SUMIFS(Weekly!$D$2:$D$538,Weekly!$B$2:$B$538,B96,Weekly!$C$2:$C$538,C96)*1000</f>
        <v>5721.8750000000009</v>
      </c>
      <c r="G96" s="29">
        <f t="shared" si="5"/>
        <v>68.662500000000009</v>
      </c>
    </row>
    <row r="97" spans="1:7" x14ac:dyDescent="0.25">
      <c r="A97" s="28">
        <v>43160</v>
      </c>
      <c r="B97" s="1">
        <f t="shared" si="3"/>
        <v>3</v>
      </c>
      <c r="C97" s="1">
        <f t="shared" si="4"/>
        <v>2018</v>
      </c>
      <c r="D97" s="29">
        <f>SUMIFS(Weekly!$E$2:$E$538,Weekly!$B$2:$B$538,B97,Weekly!$C$2:$C$538,C97)*1000</f>
        <v>5339.14</v>
      </c>
      <c r="E97" s="29">
        <f>SUMIFS(Weekly!$F$2:$F$538,Weekly!$B$2:$B$538,B97,Weekly!$C$2:$C$538,C97)</f>
        <v>1208.8620000000001</v>
      </c>
      <c r="F97" s="29">
        <f>SUMIFS(Weekly!$D$2:$D$538,Weekly!$B$2:$B$538,B97,Weekly!$C$2:$C$538,C97)*1000</f>
        <v>6715.9</v>
      </c>
      <c r="G97" s="29">
        <f t="shared" si="5"/>
        <v>80.590799999999987</v>
      </c>
    </row>
    <row r="98" spans="1:7" x14ac:dyDescent="0.25">
      <c r="A98" s="28">
        <v>43191</v>
      </c>
      <c r="B98" s="1">
        <f t="shared" si="3"/>
        <v>4</v>
      </c>
      <c r="C98" s="1">
        <f t="shared" si="4"/>
        <v>2018</v>
      </c>
      <c r="D98" s="29">
        <f>SUMIFS(Weekly!$E$2:$E$538,Weekly!$B$2:$B$538,B98,Weekly!$C$2:$C$538,C98)*1000</f>
        <v>6402.0545000000002</v>
      </c>
      <c r="E98" s="29">
        <f>SUMIFS(Weekly!$F$2:$F$538,Weekly!$B$2:$B$538,B98,Weekly!$C$2:$C$538,C98)</f>
        <v>1449.5219999999999</v>
      </c>
      <c r="F98" s="29">
        <f>SUMIFS(Weekly!$D$2:$D$538,Weekly!$B$2:$B$538,B98,Weekly!$C$2:$C$538,C98)*1000</f>
        <v>8052.9</v>
      </c>
      <c r="G98" s="29">
        <f t="shared" si="5"/>
        <v>96.634799999999984</v>
      </c>
    </row>
    <row r="99" spans="1:7" x14ac:dyDescent="0.25">
      <c r="A99" s="28">
        <v>43221</v>
      </c>
      <c r="B99" s="1">
        <f t="shared" si="3"/>
        <v>5</v>
      </c>
      <c r="C99" s="1">
        <f t="shared" si="4"/>
        <v>2018</v>
      </c>
      <c r="D99" s="29">
        <f>SUMIFS(Weekly!$E$2:$E$538,Weekly!$B$2:$B$538,B99,Weekly!$C$2:$C$538,C99)*1000</f>
        <v>4897.2510000000011</v>
      </c>
      <c r="E99" s="29">
        <f>SUMIFS(Weekly!$F$2:$F$538,Weekly!$B$2:$B$538,B99,Weekly!$C$2:$C$538,C99)</f>
        <v>1144.8</v>
      </c>
      <c r="F99" s="29">
        <f>SUMIFS(Weekly!$D$2:$D$538,Weekly!$B$2:$B$538,B99,Weekly!$C$2:$C$538,C99)*1000</f>
        <v>6180.4</v>
      </c>
      <c r="G99" s="29">
        <f t="shared" si="5"/>
        <v>74.164799999999985</v>
      </c>
    </row>
    <row r="100" spans="1:7" x14ac:dyDescent="0.25">
      <c r="A100" s="28">
        <v>43252</v>
      </c>
      <c r="B100" s="1">
        <f t="shared" si="3"/>
        <v>6</v>
      </c>
      <c r="C100" s="1">
        <f t="shared" si="4"/>
        <v>2018</v>
      </c>
      <c r="D100" s="29">
        <f>SUMIFS(Weekly!$E$2:$E$538,Weekly!$B$2:$B$538,B100,Weekly!$C$2:$C$538,C100)*1000</f>
        <v>5448.2350000000006</v>
      </c>
      <c r="E100" s="29">
        <f>SUMIFS(Weekly!$F$2:$F$538,Weekly!$B$2:$B$538,B100,Weekly!$C$2:$C$538,C100)</f>
        <v>1310.335</v>
      </c>
      <c r="F100" s="29">
        <f>SUMIFS(Weekly!$D$2:$D$538,Weekly!$B$2:$B$538,B100,Weekly!$C$2:$C$538,C100)*1000</f>
        <v>6896.5</v>
      </c>
      <c r="G100" s="29">
        <f t="shared" si="5"/>
        <v>82.757999999999996</v>
      </c>
    </row>
    <row r="101" spans="1:7" x14ac:dyDescent="0.25">
      <c r="A101" s="28">
        <v>43282</v>
      </c>
      <c r="B101" s="1">
        <f t="shared" si="3"/>
        <v>7</v>
      </c>
      <c r="C101" s="1">
        <f t="shared" si="4"/>
        <v>2018</v>
      </c>
      <c r="D101" s="29">
        <f>SUMIFS(Weekly!$E$2:$E$538,Weekly!$B$2:$B$538,B101,Weekly!$C$2:$C$538,C101)*1000</f>
        <v>6893.0649999999996</v>
      </c>
      <c r="E101" s="29">
        <f>SUMIFS(Weekly!$F$2:$F$538,Weekly!$B$2:$B$538,B101,Weekly!$C$2:$C$538,C101)</f>
        <v>1657.825</v>
      </c>
      <c r="F101" s="29">
        <f>SUMIFS(Weekly!$D$2:$D$538,Weekly!$B$2:$B$538,B101,Weekly!$C$2:$C$538,C101)*1000</f>
        <v>8725.4</v>
      </c>
      <c r="G101" s="29">
        <f t="shared" si="5"/>
        <v>104.70479999999999</v>
      </c>
    </row>
    <row r="102" spans="1:7" x14ac:dyDescent="0.25">
      <c r="A102" s="28">
        <v>43313</v>
      </c>
      <c r="B102" s="1">
        <f t="shared" si="3"/>
        <v>8</v>
      </c>
      <c r="C102" s="1">
        <f t="shared" si="4"/>
        <v>2018</v>
      </c>
      <c r="D102" s="29">
        <f>SUMIFS(Weekly!$E$2:$E$538,Weekly!$B$2:$B$538,B102,Weekly!$C$2:$C$538,C102)*1000</f>
        <v>5802.5029999999997</v>
      </c>
      <c r="E102" s="29">
        <f>SUMIFS(Weekly!$F$2:$F$538,Weekly!$B$2:$B$538,B102,Weekly!$C$2:$C$538,C102)</f>
        <v>1395.538</v>
      </c>
      <c r="F102" s="29">
        <f>SUMIFS(Weekly!$D$2:$D$538,Weekly!$B$2:$B$538,B102,Weekly!$C$2:$C$538,C102)*1000</f>
        <v>7344.9420000000009</v>
      </c>
      <c r="G102" s="29">
        <f t="shared" si="5"/>
        <v>88.13930400000001</v>
      </c>
    </row>
    <row r="103" spans="1:7" x14ac:dyDescent="0.25">
      <c r="A103" s="28">
        <v>43344</v>
      </c>
      <c r="B103" s="1">
        <f t="shared" si="3"/>
        <v>9</v>
      </c>
      <c r="C103" s="1">
        <f t="shared" si="4"/>
        <v>2018</v>
      </c>
      <c r="D103" s="29">
        <f>SUMIFS(Weekly!$E$2:$E$538,Weekly!$B$2:$B$538,B103,Weekly!$C$2:$C$538,C103)*1000</f>
        <v>5810.536000000001</v>
      </c>
      <c r="E103" s="29">
        <f>SUMIFS(Weekly!$F$2:$F$538,Weekly!$B$2:$B$538,B103,Weekly!$C$2:$C$538,C103)</f>
        <v>1415.0639999999999</v>
      </c>
      <c r="F103" s="29">
        <f>SUMIFS(Weekly!$D$2:$D$538,Weekly!$B$2:$B$538,B103,Weekly!$C$2:$C$538,C103)*1000</f>
        <v>7356.1100000000006</v>
      </c>
      <c r="G103" s="29">
        <f t="shared" si="5"/>
        <v>88.273320000000012</v>
      </c>
    </row>
    <row r="104" spans="1:7" x14ac:dyDescent="0.25">
      <c r="A104" s="28">
        <v>43374</v>
      </c>
      <c r="B104" s="1">
        <f t="shared" si="3"/>
        <v>10</v>
      </c>
      <c r="C104" s="1">
        <f t="shared" si="4"/>
        <v>2018</v>
      </c>
      <c r="D104" s="29">
        <f>SUMIFS(Weekly!$E$2:$E$538,Weekly!$B$2:$B$538,B104,Weekly!$C$2:$C$538,C104)*1000</f>
        <v>5903.195999999999</v>
      </c>
      <c r="E104" s="29">
        <f>SUMIFS(Weekly!$F$2:$F$538,Weekly!$B$2:$B$538,B104,Weekly!$C$2:$C$538,C104)</f>
        <v>1419.7539999999999</v>
      </c>
      <c r="F104" s="29">
        <f>SUMIFS(Weekly!$D$2:$D$538,Weekly!$B$2:$B$538,B104,Weekly!$C$2:$C$538,C104)*1000</f>
        <v>7472.4000000000005</v>
      </c>
      <c r="G104" s="29">
        <f t="shared" si="5"/>
        <v>89.668800000000005</v>
      </c>
    </row>
    <row r="105" spans="1:7" x14ac:dyDescent="0.25">
      <c r="A105" s="28">
        <v>43405</v>
      </c>
      <c r="B105" s="1">
        <f t="shared" si="3"/>
        <v>11</v>
      </c>
      <c r="C105" s="1">
        <f t="shared" si="4"/>
        <v>2018</v>
      </c>
      <c r="D105" s="29">
        <f>SUMIFS(Weekly!$E$2:$E$538,Weekly!$B$2:$B$538,B105,Weekly!$C$2:$C$538,C105)*1000</f>
        <v>5508.9070000000002</v>
      </c>
      <c r="E105" s="29">
        <f>SUMIFS(Weekly!$F$2:$F$538,Weekly!$B$2:$B$538,B105,Weekly!$C$2:$C$538,C105)</f>
        <v>1324.9269999999999</v>
      </c>
      <c r="F105" s="29">
        <f>SUMIFS(Weekly!$D$2:$D$538,Weekly!$B$2:$B$538,B105,Weekly!$C$2:$C$538,C105)*1000</f>
        <v>6973.3</v>
      </c>
      <c r="G105" s="29">
        <f t="shared" si="5"/>
        <v>83.679600000000008</v>
      </c>
    </row>
    <row r="106" spans="1:7" x14ac:dyDescent="0.25">
      <c r="A106" s="28">
        <v>43435</v>
      </c>
      <c r="B106" s="1">
        <f t="shared" si="3"/>
        <v>12</v>
      </c>
      <c r="C106" s="1">
        <f t="shared" si="4"/>
        <v>2018</v>
      </c>
      <c r="D106" s="29">
        <f>SUMIFS(Weekly!$E$2:$E$538,Weekly!$B$2:$B$538,B106,Weekly!$C$2:$C$538,C106)*1000</f>
        <v>5393.4879999999994</v>
      </c>
      <c r="E106" s="29">
        <f>SUMIFS(Weekly!$F$2:$F$538,Weekly!$B$2:$B$538,B106,Weekly!$C$2:$C$538,C106)</f>
        <v>1297.1680000000001</v>
      </c>
      <c r="F106" s="29">
        <f>SUMIFS(Weekly!$D$2:$D$538,Weekly!$B$2:$B$538,B106,Weekly!$C$2:$C$538,C106)*1000</f>
        <v>6827.2</v>
      </c>
      <c r="G106" s="29">
        <f t="shared" si="5"/>
        <v>81.926400000000001</v>
      </c>
    </row>
    <row r="107" spans="1:7" x14ac:dyDescent="0.25">
      <c r="A107" s="28">
        <v>43466</v>
      </c>
      <c r="B107" s="1">
        <f t="shared" si="3"/>
        <v>1</v>
      </c>
      <c r="C107" s="1">
        <f t="shared" si="4"/>
        <v>2019</v>
      </c>
      <c r="D107" s="29">
        <f>SUMIFS(Weekly!$E$2:$E$538,Weekly!$B$2:$B$538,B107,Weekly!$C$2:$C$538,C107)*1000</f>
        <v>3878.3470000000007</v>
      </c>
      <c r="E107" s="29">
        <f>SUMIFS(Weekly!$F$2:$F$538,Weekly!$B$2:$B$538,B107,Weekly!$C$2:$C$538,C107)</f>
        <v>932.76700000000005</v>
      </c>
      <c r="F107" s="29">
        <f>SUMIFS(Weekly!$D$2:$D$538,Weekly!$B$2:$B$538,B107,Weekly!$C$2:$C$538,C107)*1000</f>
        <v>4909.3</v>
      </c>
      <c r="G107" s="29">
        <f t="shared" si="5"/>
        <v>58.911600000000007</v>
      </c>
    </row>
    <row r="108" spans="1:7" x14ac:dyDescent="0.25">
      <c r="A108" s="28">
        <v>43497</v>
      </c>
      <c r="B108" s="1">
        <f t="shared" si="3"/>
        <v>2</v>
      </c>
      <c r="C108" s="1">
        <f t="shared" si="4"/>
        <v>2019</v>
      </c>
      <c r="D108" s="29">
        <f>SUMIFS(Weekly!$E$2:$E$538,Weekly!$B$2:$B$538,B108,Weekly!$C$2:$C$538,C108)*1000</f>
        <v>2315.8849999999998</v>
      </c>
      <c r="E108" s="29">
        <f>SUMIFS(Weekly!$F$2:$F$538,Weekly!$B$2:$B$538,B108,Weekly!$C$2:$C$538,C108)</f>
        <v>596.58500000000004</v>
      </c>
      <c r="F108" s="29">
        <f>SUMIFS(Weekly!$D$2:$D$538,Weekly!$B$2:$B$538,B108,Weekly!$C$2:$C$538,C108)*1000</f>
        <v>2931.5</v>
      </c>
      <c r="G108" s="29">
        <f t="shared" si="5"/>
        <v>35.177999999999997</v>
      </c>
    </row>
    <row r="109" spans="1:7" x14ac:dyDescent="0.25">
      <c r="A109" s="28">
        <v>43525</v>
      </c>
      <c r="B109" s="1">
        <f t="shared" si="3"/>
        <v>3</v>
      </c>
      <c r="C109" s="1">
        <f t="shared" si="4"/>
        <v>2019</v>
      </c>
      <c r="D109" s="29">
        <f>SUMIFS(Weekly!$E$2:$E$538,Weekly!$B$2:$B$538,B109,Weekly!$C$2:$C$538,C109)*1000</f>
        <v>5044.1099999999997</v>
      </c>
      <c r="E109" s="29">
        <f>SUMIFS(Weekly!$F$2:$F$538,Weekly!$B$2:$B$538,B109,Weekly!$C$2:$C$538,C109)</f>
        <v>1213.1399999999999</v>
      </c>
      <c r="F109" s="29">
        <f>SUMIFS(Weekly!$D$2:$D$538,Weekly!$B$2:$B$538,B109,Weekly!$C$2:$C$538,C109)*1000</f>
        <v>6384.95</v>
      </c>
      <c r="G109" s="29">
        <f t="shared" si="5"/>
        <v>76.619399999999999</v>
      </c>
    </row>
    <row r="110" spans="1:7" x14ac:dyDescent="0.25">
      <c r="A110" s="28">
        <v>43556</v>
      </c>
      <c r="B110" s="1">
        <f t="shared" si="3"/>
        <v>4</v>
      </c>
      <c r="C110" s="1">
        <f t="shared" si="4"/>
        <v>2019</v>
      </c>
      <c r="D110" s="29">
        <f>SUMIFS(Weekly!$E$2:$E$538,Weekly!$B$2:$B$538,B110,Weekly!$C$2:$C$538,C110)*1000</f>
        <v>6670.9160000000011</v>
      </c>
      <c r="E110" s="29">
        <f>SUMIFS(Weekly!$F$2:$F$538,Weekly!$B$2:$B$538,B110,Weekly!$C$2:$C$538,C110)</f>
        <v>1604.3959999999997</v>
      </c>
      <c r="F110" s="29">
        <f>SUMIFS(Weekly!$D$2:$D$538,Weekly!$B$2:$B$538,B110,Weekly!$C$2:$C$538,C110)*1000</f>
        <v>8444.2000000000007</v>
      </c>
      <c r="G110" s="29">
        <f t="shared" si="5"/>
        <v>101.33040000000001</v>
      </c>
    </row>
    <row r="111" spans="1:7" x14ac:dyDescent="0.25">
      <c r="A111" s="28">
        <v>43586</v>
      </c>
      <c r="B111" s="1">
        <f t="shared" si="3"/>
        <v>5</v>
      </c>
      <c r="C111" s="1">
        <f t="shared" si="4"/>
        <v>2019</v>
      </c>
      <c r="D111" s="29">
        <f>SUMIFS(Weekly!$E$2:$E$538,Weekly!$B$2:$B$538,B111,Weekly!$C$2:$C$538,C111)*1000</f>
        <v>5493.9360000000006</v>
      </c>
      <c r="E111" s="29">
        <f>SUMIFS(Weekly!$F$2:$F$538,Weekly!$B$2:$B$538,B111,Weekly!$C$2:$C$538,C111)</f>
        <v>1321.326</v>
      </c>
      <c r="F111" s="29">
        <f>SUMIFS(Weekly!$D$2:$D$538,Weekly!$B$2:$B$538,B111,Weekly!$C$2:$C$538,C111)*1000</f>
        <v>6954.3499999999995</v>
      </c>
      <c r="G111" s="29">
        <f t="shared" si="5"/>
        <v>83.452199999999991</v>
      </c>
    </row>
    <row r="112" spans="1:7" x14ac:dyDescent="0.25">
      <c r="A112" s="28">
        <v>43617</v>
      </c>
      <c r="B112" s="1">
        <f t="shared" si="3"/>
        <v>6</v>
      </c>
      <c r="C112" s="1">
        <f t="shared" si="4"/>
        <v>2019</v>
      </c>
      <c r="D112" s="29">
        <f>SUMIFS(Weekly!$E$2:$E$538,Weekly!$B$2:$B$538,B112,Weekly!$C$2:$C$538,C112)*1000</f>
        <v>5580.2439999999997</v>
      </c>
      <c r="E112" s="29">
        <f>SUMIFS(Weekly!$F$2:$F$538,Weekly!$B$2:$B$538,B112,Weekly!$C$2:$C$538,C112)</f>
        <v>1342.0840000000001</v>
      </c>
      <c r="F112" s="29">
        <f>SUMIFS(Weekly!$D$2:$D$538,Weekly!$B$2:$B$538,B112,Weekly!$C$2:$C$538,C112)*1000</f>
        <v>7063.6</v>
      </c>
      <c r="G112" s="29">
        <f t="shared" si="5"/>
        <v>84.763200000000012</v>
      </c>
    </row>
    <row r="113" spans="1:7" x14ac:dyDescent="0.25">
      <c r="A113" s="28">
        <v>43647</v>
      </c>
      <c r="B113" s="1">
        <f t="shared" si="3"/>
        <v>7</v>
      </c>
      <c r="C113" s="1">
        <f t="shared" si="4"/>
        <v>2019</v>
      </c>
      <c r="D113" s="29">
        <f>SUMIFS(Weekly!$E$2:$E$538,Weekly!$B$2:$B$538,B113,Weekly!$C$2:$C$538,C113)*1000</f>
        <v>6114.9160000000002</v>
      </c>
      <c r="E113" s="29">
        <f>SUMIFS(Weekly!$F$2:$F$538,Weekly!$B$2:$B$538,B113,Weekly!$C$2:$C$538,C113)</f>
        <v>1470.6760000000002</v>
      </c>
      <c r="F113" s="29">
        <f>SUMIFS(Weekly!$D$2:$D$538,Weekly!$B$2:$B$538,B113,Weekly!$C$2:$C$538,C113)*1000</f>
        <v>7740.4000000000015</v>
      </c>
      <c r="G113" s="29">
        <f t="shared" si="5"/>
        <v>92.884800000000013</v>
      </c>
    </row>
    <row r="114" spans="1:7" x14ac:dyDescent="0.25">
      <c r="A114" s="28">
        <v>43678</v>
      </c>
      <c r="B114" s="1">
        <f t="shared" si="3"/>
        <v>8</v>
      </c>
      <c r="C114" s="1">
        <f t="shared" si="4"/>
        <v>2019</v>
      </c>
      <c r="D114" s="29">
        <f>SUMIFS(Weekly!$E$2:$E$538,Weekly!$B$2:$B$538,B114,Weekly!$C$2:$C$538,C114)*1000</f>
        <v>3835.45</v>
      </c>
      <c r="E114" s="29">
        <f>SUMIFS(Weekly!$F$2:$F$538,Weekly!$B$2:$B$538,B114,Weekly!$C$2:$C$538,C114)</f>
        <v>922.45</v>
      </c>
      <c r="F114" s="29">
        <f>SUMIFS(Weekly!$D$2:$D$538,Weekly!$B$2:$B$538,B114,Weekly!$C$2:$C$538,C114)*1000</f>
        <v>4855</v>
      </c>
      <c r="G114" s="29">
        <f t="shared" si="5"/>
        <v>58.26</v>
      </c>
    </row>
    <row r="115" spans="1:7" x14ac:dyDescent="0.25">
      <c r="A115" s="28">
        <v>43709</v>
      </c>
      <c r="B115" s="1">
        <f t="shared" si="3"/>
        <v>9</v>
      </c>
      <c r="C115" s="1">
        <f t="shared" si="4"/>
        <v>2019</v>
      </c>
      <c r="D115" s="29">
        <f>SUMIFS(Weekly!$E$2:$E$538,Weekly!$B$2:$B$538,B115,Weekly!$C$2:$C$538,C115)*1000</f>
        <v>7234.3450000000003</v>
      </c>
      <c r="E115" s="29">
        <f>SUMIFS(Weekly!$F$2:$F$538,Weekly!$B$2:$B$538,B115,Weekly!$C$2:$C$538,C115)</f>
        <v>1739.905</v>
      </c>
      <c r="F115" s="29">
        <f>SUMIFS(Weekly!$D$2:$D$538,Weekly!$B$2:$B$538,B115,Weekly!$C$2:$C$538,C115)*1000</f>
        <v>9157.4</v>
      </c>
      <c r="G115" s="29">
        <f t="shared" si="5"/>
        <v>109.88879999999999</v>
      </c>
    </row>
    <row r="116" spans="1:7" x14ac:dyDescent="0.25">
      <c r="A116" s="28">
        <v>43739</v>
      </c>
      <c r="B116" s="1">
        <f t="shared" si="3"/>
        <v>10</v>
      </c>
      <c r="C116" s="1">
        <f t="shared" si="4"/>
        <v>2019</v>
      </c>
      <c r="D116" s="29">
        <f>SUMIFS(Weekly!$E$2:$E$538,Weekly!$B$2:$B$538,B116,Weekly!$C$2:$C$538,C116)*1000</f>
        <v>3660.4250000000002</v>
      </c>
      <c r="E116" s="29">
        <f>SUMIFS(Weekly!$F$2:$F$538,Weekly!$B$2:$B$538,B116,Weekly!$C$2:$C$538,C116)</f>
        <v>880.35500000000002</v>
      </c>
      <c r="F116" s="29">
        <f>SUMIFS(Weekly!$D$2:$D$538,Weekly!$B$2:$B$538,B116,Weekly!$C$2:$C$538,C116)*1000</f>
        <v>4633.45</v>
      </c>
      <c r="G116" s="29">
        <f t="shared" si="5"/>
        <v>55.601399999999991</v>
      </c>
    </row>
    <row r="117" spans="1:7" x14ac:dyDescent="0.25">
      <c r="A117" s="28">
        <v>43770</v>
      </c>
      <c r="B117" s="1">
        <f t="shared" si="3"/>
        <v>11</v>
      </c>
      <c r="C117" s="1">
        <f t="shared" si="4"/>
        <v>2019</v>
      </c>
      <c r="D117" s="29">
        <f>SUMIFS(Weekly!$E$2:$E$538,Weekly!$B$2:$B$538,B117,Weekly!$C$2:$C$538,C117)*1000</f>
        <v>5071.8379999999997</v>
      </c>
      <c r="E117" s="29">
        <f>SUMIFS(Weekly!$F$2:$F$538,Weekly!$B$2:$B$538,B117,Weekly!$C$2:$C$538,C117)</f>
        <v>1219.808</v>
      </c>
      <c r="F117" s="29">
        <f>SUMIFS(Weekly!$D$2:$D$538,Weekly!$B$2:$B$538,B117,Weekly!$C$2:$C$538,C117)*1000</f>
        <v>6507.7</v>
      </c>
      <c r="G117" s="29">
        <f t="shared" si="5"/>
        <v>78.092399999999998</v>
      </c>
    </row>
    <row r="118" spans="1:7" x14ac:dyDescent="0.25">
      <c r="A118" s="28">
        <v>43800</v>
      </c>
      <c r="B118" s="1">
        <f t="shared" si="3"/>
        <v>12</v>
      </c>
      <c r="C118" s="1">
        <f t="shared" si="4"/>
        <v>2019</v>
      </c>
      <c r="D118" s="29">
        <f>SUMIFS(Weekly!$E$2:$E$538,Weekly!$B$2:$B$538,B118,Weekly!$C$2:$C$538,C118)*1000</f>
        <v>7072.04</v>
      </c>
      <c r="E118" s="29">
        <f>SUMIFS(Weekly!$F$2:$F$538,Weekly!$B$2:$B$538,B118,Weekly!$C$2:$C$538,C118)</f>
        <v>1700.547</v>
      </c>
      <c r="F118" s="29">
        <f>SUMIFS(Weekly!$D$2:$D$538,Weekly!$B$2:$B$538,B118,Weekly!$C$2:$C$538,C118)*1000</f>
        <v>9092.5499999999993</v>
      </c>
      <c r="G118" s="29">
        <f t="shared" si="5"/>
        <v>109.11059999999999</v>
      </c>
    </row>
    <row r="119" spans="1:7" x14ac:dyDescent="0.25">
      <c r="A119" s="28">
        <v>43831</v>
      </c>
      <c r="B119" s="1">
        <f t="shared" si="3"/>
        <v>1</v>
      </c>
      <c r="C119" s="1">
        <f t="shared" si="4"/>
        <v>2020</v>
      </c>
      <c r="D119" s="29">
        <f>SUMIFS(Weekly!$E$2:$E$538,Weekly!$B$2:$B$538,B119,Weekly!$C$2:$C$538,C119)*1000</f>
        <v>5518.5450000000001</v>
      </c>
      <c r="E119" s="29">
        <f>SUMIFS(Weekly!$F$2:$F$538,Weekly!$B$2:$B$538,B119,Weekly!$C$2:$C$538,C119)</f>
        <v>1338.0557467061767</v>
      </c>
      <c r="F119" s="29">
        <f>SUMIFS(Weekly!$D$2:$D$538,Weekly!$B$2:$B$538,B119,Weekly!$C$2:$C$538,C119)*1000</f>
        <v>7042.3986668746147</v>
      </c>
      <c r="G119" s="29">
        <f t="shared" si="5"/>
        <v>84.508784002495375</v>
      </c>
    </row>
    <row r="120" spans="1:7" x14ac:dyDescent="0.25">
      <c r="A120" s="28">
        <v>43862</v>
      </c>
      <c r="B120" s="1">
        <f t="shared" si="3"/>
        <v>2</v>
      </c>
      <c r="C120" s="1">
        <f t="shared" si="4"/>
        <v>2020</v>
      </c>
      <c r="D120" s="29">
        <f>SUMIFS(Weekly!$E$2:$E$538,Weekly!$B$2:$B$538,B120,Weekly!$C$2:$C$538,C120)*1000</f>
        <v>3337.4340000000002</v>
      </c>
      <c r="E120" s="29">
        <f>SUMIFS(Weekly!$F$2:$F$538,Weekly!$B$2:$B$538,B120,Weekly!$C$2:$C$538,C120)</f>
        <v>802.67399999999998</v>
      </c>
      <c r="F120" s="29">
        <f>SUMIFS(Weekly!$D$2:$D$538,Weekly!$B$2:$B$538,B120,Weekly!$C$2:$C$538,C120)*1000</f>
        <v>4224.5999999999995</v>
      </c>
      <c r="G120" s="29">
        <f t="shared" si="5"/>
        <v>50.6952</v>
      </c>
    </row>
    <row r="121" spans="1:7" x14ac:dyDescent="0.25">
      <c r="A121" s="28">
        <v>43891</v>
      </c>
      <c r="B121" s="1">
        <f t="shared" si="3"/>
        <v>3</v>
      </c>
      <c r="C121" s="1">
        <f t="shared" si="4"/>
        <v>2020</v>
      </c>
      <c r="D121" s="29">
        <f>SUMIFS(Weekly!$E$2:$E$538,Weekly!$B$2:$B$538,B121,Weekly!$C$2:$C$538,C121)*1000</f>
        <v>6257.0370000000003</v>
      </c>
      <c r="E121" s="29">
        <f>SUMIFS(Weekly!$F$2:$F$538,Weekly!$B$2:$B$538,B121,Weekly!$C$2:$C$538,C121)</f>
        <v>1497.694</v>
      </c>
      <c r="F121" s="29">
        <f>SUMIFS(Weekly!$D$2:$D$538,Weekly!$B$2:$B$538,B121,Weekly!$C$2:$C$538,C121)*1000</f>
        <v>7972.0999999999995</v>
      </c>
      <c r="G121" s="29">
        <f t="shared" si="5"/>
        <v>95.665199999999999</v>
      </c>
    </row>
    <row r="122" spans="1:7" x14ac:dyDescent="0.25">
      <c r="A122" s="28">
        <v>43922</v>
      </c>
      <c r="B122" s="1">
        <f t="shared" si="3"/>
        <v>4</v>
      </c>
      <c r="C122" s="1">
        <f t="shared" si="4"/>
        <v>2020</v>
      </c>
      <c r="D122" s="29">
        <f>SUMIFS(Weekly!$E$2:$E$538,Weekly!$B$2:$B$538,B122,Weekly!$C$2:$C$538,C122)*1000</f>
        <v>4781.3170000000009</v>
      </c>
      <c r="E122" s="29">
        <f>SUMIFS(Weekly!$F$2:$F$538,Weekly!$B$2:$B$538,B122,Weekly!$C$2:$C$538,C122)</f>
        <v>1214.2710000000002</v>
      </c>
      <c r="F122" s="29">
        <f>SUMIFS(Weekly!$D$2:$D$538,Weekly!$B$2:$B$538,B122,Weekly!$C$2:$C$538,C122)*1000</f>
        <v>6390.9000000000005</v>
      </c>
      <c r="G122" s="29">
        <f t="shared" si="5"/>
        <v>76.690799999999996</v>
      </c>
    </row>
    <row r="123" spans="1:7" x14ac:dyDescent="0.25">
      <c r="A123" s="28">
        <v>43952</v>
      </c>
      <c r="B123" s="1">
        <f t="shared" si="3"/>
        <v>5</v>
      </c>
      <c r="C123" s="1">
        <f t="shared" si="4"/>
        <v>2020</v>
      </c>
      <c r="D123" s="29">
        <f>SUMIFS(Weekly!$E$2:$E$538,Weekly!$B$2:$B$538,B123,Weekly!$C$2:$C$538,C123)*1000</f>
        <v>5953.598</v>
      </c>
      <c r="E123" s="29">
        <f>SUMIFS(Weekly!$F$2:$F$538,Weekly!$B$2:$B$538,B123,Weekly!$C$2:$C$538,C123)</f>
        <v>1486.807</v>
      </c>
      <c r="F123" s="29">
        <f>SUMIFS(Weekly!$D$2:$D$538,Weekly!$B$2:$B$538,B123,Weekly!$C$2:$C$538,C123)*1000</f>
        <v>7825.3</v>
      </c>
      <c r="G123" s="29">
        <f t="shared" si="5"/>
        <v>93.903600000000012</v>
      </c>
    </row>
    <row r="124" spans="1:7" x14ac:dyDescent="0.25">
      <c r="A124" s="28">
        <v>43983</v>
      </c>
      <c r="B124" s="1">
        <f t="shared" si="3"/>
        <v>6</v>
      </c>
      <c r="C124" s="1">
        <f t="shared" si="4"/>
        <v>2020</v>
      </c>
      <c r="D124" s="29">
        <f>SUMIFS(Weekly!$E$2:$E$538,Weekly!$B$2:$B$538,B124,Weekly!$C$2:$C$538,C124)*1000</f>
        <v>8060.2520000000004</v>
      </c>
      <c r="E124" s="29">
        <f>SUMIFS(Weekly!$F$2:$F$538,Weekly!$B$2:$B$538,B124,Weekly!$C$2:$C$538,C124)</f>
        <v>1934.0960000000002</v>
      </c>
      <c r="F124" s="29">
        <f>SUMIFS(Weekly!$D$2:$D$538,Weekly!$B$2:$B$538,B124,Weekly!$C$2:$C$538,C124)*1000</f>
        <v>10179.450000000001</v>
      </c>
      <c r="G124" s="29">
        <f t="shared" si="5"/>
        <v>122.1534</v>
      </c>
    </row>
    <row r="125" spans="1:7" x14ac:dyDescent="0.25">
      <c r="A125" s="28">
        <v>44013</v>
      </c>
      <c r="B125" s="1">
        <f t="shared" si="3"/>
        <v>7</v>
      </c>
      <c r="C125" s="1">
        <f t="shared" si="4"/>
        <v>2020</v>
      </c>
      <c r="D125" s="29">
        <f>SUMIFS(Weekly!$E$2:$E$546,Weekly!$B$2:$B$546,B125,Weekly!$C$2:$C$546,C125)*1000</f>
        <v>6452.9965000000002</v>
      </c>
      <c r="E125" s="29">
        <f>SUMIFS(Weekly!$F$2:$F$546,Weekly!$B$2:$B$546,B125,Weekly!$C$2:$C$546,C125)</f>
        <v>1519.6960000000001</v>
      </c>
      <c r="F125" s="29">
        <f>SUMIFS(Weekly!$D$2:$D$546,Weekly!$B$2:$B$546,B125,Weekly!$C$2:$C$546,C125)*1000</f>
        <v>7998.4000000000005</v>
      </c>
      <c r="G125" s="29">
        <f t="shared" si="5"/>
        <v>95.980800000000002</v>
      </c>
    </row>
    <row r="126" spans="1:7" x14ac:dyDescent="0.25">
      <c r="A126" s="28">
        <v>44044</v>
      </c>
      <c r="B126" s="1">
        <f t="shared" si="3"/>
        <v>8</v>
      </c>
      <c r="C126" s="1">
        <f t="shared" si="4"/>
        <v>2020</v>
      </c>
      <c r="D126" s="29">
        <f>SUMIFS(Weekly!$E$2:$E$546,Weekly!$B$2:$B$546,B126,Weekly!$C$2:$C$546,C126)*1000</f>
        <v>8000.33</v>
      </c>
      <c r="E126" s="29">
        <f>SUMIFS(Weekly!$F$2:$F$546,Weekly!$B$2:$B$546,B126,Weekly!$C$2:$C$546,C126)</f>
        <v>1903.1260000000002</v>
      </c>
      <c r="F126" s="29">
        <f>SUMIFS(Weekly!$D$2:$D$546,Weekly!$B$2:$B$546,B126,Weekly!$C$2:$C$546,C126)*1000</f>
        <v>10016.450000000001</v>
      </c>
      <c r="G126" s="29">
        <f t="shared" si="5"/>
        <v>120.1974</v>
      </c>
    </row>
    <row r="127" spans="1:7" x14ac:dyDescent="0.25">
      <c r="A127" s="28">
        <v>44075</v>
      </c>
      <c r="B127" s="1">
        <f t="shared" si="3"/>
        <v>9</v>
      </c>
      <c r="C127" s="1">
        <f t="shared" si="4"/>
        <v>2020</v>
      </c>
      <c r="D127" s="29">
        <f>SUMIFS(Weekly!$E$2:$E$750,Weekly!$B$2:$B$750,B127,Weekly!$C$2:$C$750,C127)*1000</f>
        <v>6619.8859999999995</v>
      </c>
      <c r="E127" s="29">
        <f>SUMIFS(Weekly!$F$2:$F$750,Weekly!$B$2:$B$750,B127,Weekly!$C$2:$C$750,C127)</f>
        <v>1577.4099999999999</v>
      </c>
      <c r="F127" s="29">
        <f>SUMIFS(Weekly!$D$2:$D$750,Weekly!$B$2:$B$750,B127,Weekly!$C$2:$C$750,C127)*1000</f>
        <v>8302.1500000000015</v>
      </c>
      <c r="G127" s="29">
        <f t="shared" si="5"/>
        <v>99.625800000000012</v>
      </c>
    </row>
    <row r="128" spans="1:7" x14ac:dyDescent="0.25">
      <c r="A128" s="28">
        <v>44105</v>
      </c>
      <c r="B128" s="1">
        <f t="shared" si="3"/>
        <v>10</v>
      </c>
      <c r="C128" s="1">
        <f t="shared" si="4"/>
        <v>2020</v>
      </c>
      <c r="D128" s="29">
        <f>SUMIFS(Weekly!$E$2:$E$750,Weekly!$B$2:$B$750,B128,Weekly!$C$2:$C$750,C128)*1000</f>
        <v>5961.8940000000002</v>
      </c>
      <c r="E128" s="29">
        <f>SUMIFS(Weekly!$F$2:$F$750,Weekly!$B$2:$B$750,B128,Weekly!$C$2:$C$750,C128)</f>
        <v>1475.6510000000001</v>
      </c>
      <c r="F128" s="29">
        <f>SUMIFS(Weekly!$D$2:$D$750,Weekly!$B$2:$B$750,B128,Weekly!$C$2:$C$750,C128)*1000</f>
        <v>7766.579999999999</v>
      </c>
      <c r="G128" s="29">
        <f t="shared" si="5"/>
        <v>93.198959999999985</v>
      </c>
    </row>
    <row r="129" spans="1:7" x14ac:dyDescent="0.25">
      <c r="A129" s="28">
        <v>44136</v>
      </c>
      <c r="B129" s="1">
        <f>MONTH(A129)</f>
        <v>11</v>
      </c>
      <c r="C129" s="1">
        <f t="shared" si="4"/>
        <v>2020</v>
      </c>
      <c r="D129" s="29">
        <f>SUMIFS(Weekly!$E$2:$E$750,Weekly!$B$2:$B$750,B129,Weekly!$C$2:$C$750,C129)*1000</f>
        <v>8048.598</v>
      </c>
      <c r="E129" s="29">
        <f>SUMIFS(Weekly!$F$2:$F$750,Weekly!$B$2:$B$750,B129,Weekly!$C$2:$C$750,C129)</f>
        <v>1878.0159999999998</v>
      </c>
      <c r="F129" s="29">
        <f>SUMIFS(Weekly!$D$2:$D$750,Weekly!$B$2:$B$750,B129,Weekly!$C$2:$C$750,C129)*1000</f>
        <v>9884.2999999999993</v>
      </c>
      <c r="G129" s="29">
        <f>F129*12/1000</f>
        <v>118.6116</v>
      </c>
    </row>
    <row r="130" spans="1:7" x14ac:dyDescent="0.25">
      <c r="A130" s="28">
        <v>44166</v>
      </c>
      <c r="B130" s="1">
        <f t="shared" ref="B130" si="6">MONTH(A130)</f>
        <v>12</v>
      </c>
      <c r="C130" s="1">
        <f t="shared" ref="C130:C174" si="7">YEAR(A130)</f>
        <v>2020</v>
      </c>
      <c r="D130" s="29">
        <f>SUMIFS(Weekly!$E$2:$E$750,Weekly!$B$2:$B$750,B130,Weekly!$C$2:$C$750,C130)*1000</f>
        <v>6027.4780000000001</v>
      </c>
      <c r="E130" s="29">
        <f>SUMIFS(Weekly!$F$2:$F$750,Weekly!$B$2:$B$750,B130,Weekly!$C$2:$C$750,C130)</f>
        <v>1462.9967785635836</v>
      </c>
      <c r="F130" s="29">
        <f>SUMIFS(Weekly!$D$2:$D$750,Weekly!$B$2:$B$750,B130,Weekly!$C$2:$C$750,C130)*1000</f>
        <v>7699.9862029662299</v>
      </c>
      <c r="G130" s="29">
        <f t="shared" ref="G130" si="8">F130*12/1000</f>
        <v>92.399834435594769</v>
      </c>
    </row>
    <row r="131" spans="1:7" x14ac:dyDescent="0.25">
      <c r="A131" s="28">
        <v>44197</v>
      </c>
      <c r="B131" s="1">
        <f>MONTH(A131)</f>
        <v>1</v>
      </c>
      <c r="C131" s="1">
        <f t="shared" si="7"/>
        <v>2021</v>
      </c>
      <c r="D131" s="29">
        <f>SUMIFS(Weekly!$E$2:$E$750,Weekly!$B$2:$B$750,B131,Weekly!$C$2:$C$750,C131)*1000</f>
        <v>5916.4395783063646</v>
      </c>
      <c r="E131" s="29">
        <f>SUMIFS(Weekly!$F$2:$F$750,Weekly!$B$2:$B$750,B131,Weekly!$C$2:$C$750,C131)</f>
        <v>1505.366</v>
      </c>
      <c r="F131" s="29">
        <f>SUMIFS(Weekly!$D$2:$D$750,Weekly!$B$2:$B$750,B131,Weekly!$C$2:$C$750,C131)*1000</f>
        <v>7922.9799999999987</v>
      </c>
      <c r="G131" s="29">
        <f>F131*12/1000</f>
        <v>95.075759999999974</v>
      </c>
    </row>
    <row r="132" spans="1:7" x14ac:dyDescent="0.25">
      <c r="A132" s="28">
        <v>44228</v>
      </c>
      <c r="B132" s="1">
        <f>MONTH(A132)</f>
        <v>2</v>
      </c>
      <c r="C132" s="1">
        <f t="shared" si="7"/>
        <v>2021</v>
      </c>
      <c r="D132" s="29">
        <f>SUMIFS(Weekly!$E$2:$E$750,Weekly!$B$2:$B$750,B132,Weekly!$C$2:$C$750,C132)*1000</f>
        <v>4249.1729999999998</v>
      </c>
      <c r="E132" s="29">
        <f>SUMIFS(Weekly!$F$2:$F$750,Weekly!$B$2:$B$750,B132,Weekly!$C$2:$C$750,C132)</f>
        <v>902.32900000000006</v>
      </c>
      <c r="F132" s="29">
        <f>SUMIFS(Weekly!$D$2:$D$750,Weekly!$B$2:$B$750,B132,Weekly!$C$2:$C$750,C132)*1000</f>
        <v>4749.1000000000004</v>
      </c>
      <c r="G132" s="29">
        <f t="shared" ref="G132:G174" si="9">F132*12/1000</f>
        <v>56.989200000000004</v>
      </c>
    </row>
    <row r="133" spans="1:7" x14ac:dyDescent="0.25">
      <c r="A133" s="28">
        <v>44256</v>
      </c>
      <c r="B133" s="1">
        <f t="shared" ref="B133" si="10">MONTH(A133)</f>
        <v>3</v>
      </c>
      <c r="C133" s="1">
        <f t="shared" si="7"/>
        <v>2021</v>
      </c>
      <c r="D133" s="29">
        <f>SUMIFS(Weekly!$E$2:$E$750,Weekly!$B$2:$B$750,B133,Weekly!$C$2:$C$750,C133)*1000</f>
        <v>5001.2530000000006</v>
      </c>
      <c r="E133" s="29">
        <f>SUMIFS(Weekly!$F$2:$F$750,Weekly!$B$2:$B$750,B133,Weekly!$C$2:$C$750,C133)</f>
        <v>1189.4380000000001</v>
      </c>
      <c r="F133" s="29">
        <f>SUMIFS(Weekly!$D$2:$D$750,Weekly!$B$2:$B$750,B133,Weekly!$C$2:$C$750,C133)*1000</f>
        <v>6260.2000000000007</v>
      </c>
      <c r="G133" s="29">
        <f t="shared" si="9"/>
        <v>75.122400000000013</v>
      </c>
    </row>
    <row r="134" spans="1:7" x14ac:dyDescent="0.25">
      <c r="A134" s="28">
        <v>44287</v>
      </c>
      <c r="B134" s="1">
        <f>MONTH(A134)</f>
        <v>4</v>
      </c>
      <c r="C134" s="1">
        <f t="shared" si="7"/>
        <v>2021</v>
      </c>
      <c r="D134" s="29">
        <f>SUMIFS(Weekly!$E$2:$E$750,Weekly!$B$2:$B$750,B134,Weekly!$C$2:$C$750,C134)*1000</f>
        <v>6422.7000000000007</v>
      </c>
      <c r="E134" s="29">
        <f>SUMIFS(Weekly!$F$2:$F$750,Weekly!$B$2:$B$750,B134,Weekly!$C$2:$C$750,C134)</f>
        <v>1544.7</v>
      </c>
      <c r="F134" s="29">
        <f>SUMIFS(Weekly!$D$2:$D$750,Weekly!$B$2:$B$750,B134,Weekly!$C$2:$C$750,C134)*1000</f>
        <v>8130.0000000000009</v>
      </c>
      <c r="G134" s="29">
        <f t="shared" si="9"/>
        <v>97.560000000000016</v>
      </c>
    </row>
    <row r="135" spans="1:7" x14ac:dyDescent="0.25">
      <c r="A135" s="28">
        <v>44317</v>
      </c>
      <c r="B135" s="1">
        <f t="shared" ref="B135:B174" si="11">MONTH(A135)</f>
        <v>5</v>
      </c>
      <c r="C135" s="1">
        <f t="shared" si="7"/>
        <v>2021</v>
      </c>
      <c r="D135" s="29">
        <f>SUMIFS(Weekly!$E$2:$E$750,Weekly!$B$2:$B$750,B135,Weekly!$C$2:$C$750,C135)*1000</f>
        <v>4637.3</v>
      </c>
      <c r="E135" s="29">
        <f>SUMIFS(Weekly!$F$2:$F$750,Weekly!$B$2:$B$750,B135,Weekly!$C$2:$C$750,C135)</f>
        <v>1115.3</v>
      </c>
      <c r="F135" s="29">
        <f>SUMIFS(Weekly!$D$2:$D$750,Weekly!$B$2:$B$750,B135,Weekly!$C$2:$C$750,C135)*1000</f>
        <v>5869.9999999999991</v>
      </c>
      <c r="G135" s="29">
        <f t="shared" si="9"/>
        <v>70.439999999999984</v>
      </c>
    </row>
    <row r="136" spans="1:7" x14ac:dyDescent="0.25">
      <c r="A136" s="28">
        <v>44348</v>
      </c>
      <c r="B136" s="1">
        <f t="shared" si="11"/>
        <v>6</v>
      </c>
      <c r="C136" s="1">
        <f t="shared" si="7"/>
        <v>2021</v>
      </c>
      <c r="D136" s="29">
        <f>SUMIFS(Weekly!$E$2:$E$750,Weekly!$B$2:$B$750,B136,Weekly!$C$2:$C$750,C136)*1000</f>
        <v>5996.1</v>
      </c>
      <c r="E136" s="29">
        <f>SUMIFS(Weekly!$F$2:$F$750,Weekly!$B$2:$B$750,B136,Weekly!$C$2:$C$750,C136)</f>
        <v>1442.1</v>
      </c>
      <c r="F136" s="29">
        <f>SUMIFS(Weekly!$D$2:$D$750,Weekly!$B$2:$B$750,B136,Weekly!$C$2:$C$750,C136)*1000</f>
        <v>7589.9999999999991</v>
      </c>
      <c r="G136" s="29">
        <f t="shared" si="9"/>
        <v>91.079999999999984</v>
      </c>
    </row>
    <row r="137" spans="1:7" x14ac:dyDescent="0.25">
      <c r="A137" s="28">
        <v>44378</v>
      </c>
      <c r="B137" s="1">
        <f t="shared" si="11"/>
        <v>7</v>
      </c>
      <c r="C137" s="1">
        <f t="shared" si="7"/>
        <v>2021</v>
      </c>
      <c r="D137" s="29">
        <f>SUMIFS(Weekly!$E$2:$E$750,Weekly!$B$2:$B$750,B137,Weekly!$C$2:$C$750,C137)*1000</f>
        <v>6952</v>
      </c>
      <c r="E137" s="29">
        <f>SUMIFS(Weekly!$F$2:$F$750,Weekly!$B$2:$B$750,B137,Weekly!$C$2:$C$750,C137)</f>
        <v>1672</v>
      </c>
      <c r="F137" s="29">
        <f>SUMIFS(Weekly!$D$2:$D$750,Weekly!$B$2:$B$750,B137,Weekly!$C$2:$C$750,C137)*1000</f>
        <v>8799.9999999999982</v>
      </c>
      <c r="G137" s="29">
        <f t="shared" si="9"/>
        <v>105.59999999999997</v>
      </c>
    </row>
    <row r="138" spans="1:7" x14ac:dyDescent="0.25">
      <c r="A138" s="28">
        <v>44409</v>
      </c>
      <c r="B138" s="1">
        <f t="shared" si="11"/>
        <v>8</v>
      </c>
      <c r="C138" s="1">
        <f t="shared" si="7"/>
        <v>2021</v>
      </c>
      <c r="D138" s="29">
        <f>SUMIFS(Weekly!$E$2:$E$750,Weekly!$B$2:$B$750,B138,Weekly!$C$2:$C$750,C138)*1000</f>
        <v>6114.5999999999995</v>
      </c>
      <c r="E138" s="29">
        <f>SUMIFS(Weekly!$F$2:$F$750,Weekly!$B$2:$B$750,B138,Weekly!$C$2:$C$750,C138)</f>
        <v>1470.6000000000001</v>
      </c>
      <c r="F138" s="29">
        <f>SUMIFS(Weekly!$D$2:$D$750,Weekly!$B$2:$B$750,B138,Weekly!$C$2:$C$750,C138)*1000</f>
        <v>7740</v>
      </c>
      <c r="G138" s="29">
        <f t="shared" si="9"/>
        <v>92.88</v>
      </c>
    </row>
    <row r="139" spans="1:7" x14ac:dyDescent="0.25">
      <c r="A139" s="28">
        <v>44440</v>
      </c>
      <c r="B139" s="1">
        <f t="shared" si="11"/>
        <v>9</v>
      </c>
      <c r="C139" s="1">
        <f t="shared" si="7"/>
        <v>2021</v>
      </c>
      <c r="D139" s="29">
        <f>SUMIFS(Weekly!$E$2:$E$750,Weekly!$B$2:$B$750,B139,Weekly!$C$2:$C$750,C139)*1000</f>
        <v>5680.1</v>
      </c>
      <c r="E139" s="29">
        <f>SUMIFS(Weekly!$F$2:$F$750,Weekly!$B$2:$B$750,B139,Weekly!$C$2:$C$750,C139)</f>
        <v>1366.1000000000001</v>
      </c>
      <c r="F139" s="29">
        <f>SUMIFS(Weekly!$D$2:$D$750,Weekly!$B$2:$B$750,B139,Weekly!$C$2:$C$750,C139)*1000</f>
        <v>7189.9999999999991</v>
      </c>
      <c r="G139" s="29">
        <f t="shared" si="9"/>
        <v>86.279999999999987</v>
      </c>
    </row>
    <row r="140" spans="1:7" x14ac:dyDescent="0.25">
      <c r="A140" s="28">
        <v>44470</v>
      </c>
      <c r="B140" s="1">
        <f t="shared" si="11"/>
        <v>10</v>
      </c>
      <c r="C140" s="1">
        <f t="shared" si="7"/>
        <v>2021</v>
      </c>
      <c r="D140" s="29">
        <f>SUMIFS(Weekly!$E$2:$E$750,Weekly!$B$2:$B$750,B140,Weekly!$C$2:$C$750,C140)*1000</f>
        <v>5190.3</v>
      </c>
      <c r="E140" s="29">
        <f>SUMIFS(Weekly!$F$2:$F$750,Weekly!$B$2:$B$750,B140,Weekly!$C$2:$C$750,C140)</f>
        <v>1248.3</v>
      </c>
      <c r="F140" s="29">
        <f>SUMIFS(Weekly!$D$2:$D$750,Weekly!$B$2:$B$750,B140,Weekly!$C$2:$C$750,C140)*1000</f>
        <v>6569.9999999999991</v>
      </c>
      <c r="G140" s="29">
        <f t="shared" si="9"/>
        <v>78.839999999999989</v>
      </c>
    </row>
    <row r="141" spans="1:7" x14ac:dyDescent="0.25">
      <c r="A141" s="28">
        <v>44501</v>
      </c>
      <c r="B141" s="1">
        <f t="shared" si="11"/>
        <v>11</v>
      </c>
      <c r="C141" s="1">
        <f t="shared" si="7"/>
        <v>2021</v>
      </c>
      <c r="D141" s="29">
        <f>SUMIFS(Weekly!$E$2:$E$750,Weekly!$B$2:$B$750,B141,Weekly!$C$2:$C$750,C141)*1000</f>
        <v>6264.7</v>
      </c>
      <c r="E141" s="29">
        <f>SUMIFS(Weekly!$F$2:$F$750,Weekly!$B$2:$B$750,B141,Weekly!$C$2:$C$750,C141)</f>
        <v>1506.6999999999998</v>
      </c>
      <c r="F141" s="29">
        <f>SUMIFS(Weekly!$D$2:$D$750,Weekly!$B$2:$B$750,B141,Weekly!$C$2:$C$750,C141)*1000</f>
        <v>7930</v>
      </c>
      <c r="G141" s="29">
        <f t="shared" si="9"/>
        <v>95.16</v>
      </c>
    </row>
    <row r="142" spans="1:7" x14ac:dyDescent="0.25">
      <c r="A142" s="28">
        <v>44531</v>
      </c>
      <c r="B142" s="1">
        <f t="shared" si="11"/>
        <v>12</v>
      </c>
      <c r="C142" s="1">
        <f t="shared" si="7"/>
        <v>2021</v>
      </c>
      <c r="D142" s="29">
        <f>SUMIFS(Weekly!$E$2:$E$750,Weekly!$B$2:$B$750,B142,Weekly!$C$2:$C$750,C142)*1000</f>
        <v>7125.8000000000011</v>
      </c>
      <c r="E142" s="29">
        <f>SUMIFS(Weekly!$F$2:$F$750,Weekly!$B$2:$B$750,B142,Weekly!$C$2:$C$750,C142)</f>
        <v>1713.7999999999997</v>
      </c>
      <c r="F142" s="29">
        <f>SUMIFS(Weekly!$D$2:$D$750,Weekly!$B$2:$B$750,B142,Weekly!$C$2:$C$750,C142)*1000</f>
        <v>9020</v>
      </c>
      <c r="G142" s="29">
        <f t="shared" si="9"/>
        <v>108.24</v>
      </c>
    </row>
    <row r="143" spans="1:7" x14ac:dyDescent="0.25">
      <c r="A143" s="28">
        <v>44562</v>
      </c>
      <c r="B143" s="1">
        <f t="shared" si="11"/>
        <v>1</v>
      </c>
      <c r="C143" s="1">
        <f t="shared" si="7"/>
        <v>2022</v>
      </c>
      <c r="D143" s="29">
        <f>SUMIFS(Weekly!$E$2:$E$750,Weekly!$B$2:$B$750,B143,Weekly!$C$2:$C$750,C143)*1000</f>
        <v>4345</v>
      </c>
      <c r="E143" s="29">
        <f>SUMIFS(Weekly!$F$2:$F$750,Weekly!$B$2:$B$750,B143,Weekly!$C$2:$C$750,C143)</f>
        <v>1045</v>
      </c>
      <c r="F143" s="29">
        <f>SUMIFS(Weekly!$D$2:$D$750,Weekly!$B$2:$B$750,B143,Weekly!$C$2:$C$750,C143)*1000</f>
        <v>5500</v>
      </c>
      <c r="G143" s="29">
        <f t="shared" si="9"/>
        <v>66</v>
      </c>
    </row>
    <row r="144" spans="1:7" x14ac:dyDescent="0.25">
      <c r="A144" s="28">
        <v>44593</v>
      </c>
      <c r="B144" s="1">
        <f t="shared" si="11"/>
        <v>2</v>
      </c>
      <c r="C144" s="1">
        <f t="shared" si="7"/>
        <v>2022</v>
      </c>
      <c r="D144" s="29">
        <f>SUMIFS(Weekly!$E$2:$E$750,Weekly!$B$2:$B$750,B144,Weekly!$C$2:$C$750,C144)*1000</f>
        <v>4963.57</v>
      </c>
      <c r="E144" s="29">
        <f>SUMIFS(Weekly!$F$2:$F$750,Weekly!$B$2:$B$750,B144,Weekly!$C$2:$C$750,C144)</f>
        <v>1193.77</v>
      </c>
      <c r="F144" s="29">
        <f>SUMIFS(Weekly!$D$2:$D$750,Weekly!$B$2:$B$750,B144,Weekly!$C$2:$C$750,C144)*1000</f>
        <v>6283</v>
      </c>
      <c r="G144" s="29">
        <f t="shared" si="9"/>
        <v>75.396000000000001</v>
      </c>
    </row>
    <row r="145" spans="1:9" x14ac:dyDescent="0.25">
      <c r="A145" s="28">
        <v>44621</v>
      </c>
      <c r="B145" s="1">
        <f t="shared" si="11"/>
        <v>3</v>
      </c>
      <c r="C145" s="1">
        <f t="shared" si="7"/>
        <v>2022</v>
      </c>
      <c r="D145" s="29">
        <f>SUMIFS(Weekly!$E$2:$E$750,Weekly!$B$2:$B$750,B145,Weekly!$C$2:$C$750,C145)*1000</f>
        <v>5127.1000000000004</v>
      </c>
      <c r="E145" s="29">
        <f>SUMIFS(Weekly!$F$2:$F$750,Weekly!$B$2:$B$750,B145,Weekly!$C$2:$C$750,C145)</f>
        <v>1233.0999999999999</v>
      </c>
      <c r="F145" s="29">
        <f>SUMIFS(Weekly!$D$2:$D$750,Weekly!$B$2:$B$750,B145,Weekly!$C$2:$C$750,C145)*1000</f>
        <v>6490</v>
      </c>
      <c r="G145" s="29">
        <f t="shared" si="9"/>
        <v>77.88</v>
      </c>
    </row>
    <row r="146" spans="1:9" x14ac:dyDescent="0.25">
      <c r="A146" s="28">
        <v>44652</v>
      </c>
      <c r="B146" s="1">
        <f t="shared" si="11"/>
        <v>4</v>
      </c>
      <c r="C146" s="1">
        <f t="shared" si="7"/>
        <v>2022</v>
      </c>
      <c r="D146" s="29">
        <f>SUMIFS(Weekly!$E$2:$E$750,Weekly!$B$2:$B$750,B146,Weekly!$C$2:$C$750,C146)*1000</f>
        <v>4779.5</v>
      </c>
      <c r="E146" s="29">
        <f>SUMIFS(Weekly!$F$2:$F$750,Weekly!$B$2:$B$750,B146,Weekly!$C$2:$C$750,C146)</f>
        <v>1149.5</v>
      </c>
      <c r="F146" s="29">
        <f>SUMIFS(Weekly!$D$2:$D$750,Weekly!$B$2:$B$750,B146,Weekly!$C$2:$C$750,C146)*1000</f>
        <v>6049.9999999999991</v>
      </c>
      <c r="G146" s="29">
        <f t="shared" si="9"/>
        <v>72.59999999999998</v>
      </c>
    </row>
    <row r="147" spans="1:9" x14ac:dyDescent="0.25">
      <c r="A147" s="28">
        <v>44682</v>
      </c>
      <c r="B147" s="1">
        <f t="shared" si="11"/>
        <v>5</v>
      </c>
      <c r="C147" s="1">
        <f t="shared" si="7"/>
        <v>2022</v>
      </c>
      <c r="D147" s="29">
        <f>SUMIFS(Weekly!$E$2:$E$750,Weekly!$B$2:$B$750,B147,Weekly!$C$2:$C$750,C147)*1000</f>
        <v>5703.8</v>
      </c>
      <c r="E147" s="29">
        <f>SUMIFS(Weekly!$F$2:$F$750,Weekly!$B$2:$B$750,B147,Weekly!$C$2:$C$750,C147)</f>
        <v>1371.8000000000002</v>
      </c>
      <c r="F147" s="29">
        <f>SUMIFS(Weekly!$D$2:$D$750,Weekly!$B$2:$B$750,B147,Weekly!$C$2:$C$750,C147)*1000</f>
        <v>7220</v>
      </c>
      <c r="G147" s="29">
        <f t="shared" si="9"/>
        <v>86.64</v>
      </c>
    </row>
    <row r="148" spans="1:9" x14ac:dyDescent="0.25">
      <c r="A148" s="28">
        <v>44713</v>
      </c>
      <c r="B148" s="1">
        <f t="shared" si="11"/>
        <v>6</v>
      </c>
      <c r="C148" s="1">
        <f t="shared" si="7"/>
        <v>2022</v>
      </c>
      <c r="D148" s="29">
        <f>SUMIFS(Weekly!$E$2:$E$750,Weekly!$B$2:$B$750,B148,Weekly!$C$2:$C$750,C148)*1000</f>
        <v>6936.2000000000007</v>
      </c>
      <c r="E148" s="29">
        <f>SUMIFS(Weekly!$F$2:$F$750,Weekly!$B$2:$B$750,B148,Weekly!$C$2:$C$750,C148)</f>
        <v>1668.2</v>
      </c>
      <c r="F148" s="29">
        <f>SUMIFS(Weekly!$D$2:$D$750,Weekly!$B$2:$B$750,B148,Weekly!$C$2:$C$750,C148)*1000</f>
        <v>8780</v>
      </c>
      <c r="G148" s="29">
        <f t="shared" si="9"/>
        <v>105.36</v>
      </c>
    </row>
    <row r="149" spans="1:9" x14ac:dyDescent="0.25">
      <c r="A149" s="28">
        <v>44743</v>
      </c>
      <c r="B149" s="1">
        <f t="shared" si="11"/>
        <v>7</v>
      </c>
      <c r="C149" s="1">
        <f t="shared" si="7"/>
        <v>2022</v>
      </c>
      <c r="D149" s="29">
        <f>SUMIFS(Weekly!$E$2:$E$750,Weekly!$B$2:$B$750,B149,Weekly!$C$2:$C$750,C149)*1000</f>
        <v>5395.7000000000007</v>
      </c>
      <c r="E149" s="29">
        <f>SUMIFS(Weekly!$F$2:$F$750,Weekly!$B$2:$B$750,B149,Weekly!$C$2:$C$750,C149)</f>
        <v>1297.7000000000003</v>
      </c>
      <c r="F149" s="29">
        <f>SUMIFS(Weekly!$D$2:$D$750,Weekly!$B$2:$B$750,B149,Weekly!$C$2:$C$750,C149)*1000</f>
        <v>6830</v>
      </c>
      <c r="G149" s="29">
        <f t="shared" si="9"/>
        <v>81.96</v>
      </c>
    </row>
    <row r="150" spans="1:9" x14ac:dyDescent="0.25">
      <c r="A150" s="28">
        <v>44774</v>
      </c>
      <c r="B150" s="1">
        <f t="shared" si="11"/>
        <v>8</v>
      </c>
      <c r="C150" s="1">
        <f t="shared" si="7"/>
        <v>2022</v>
      </c>
      <c r="D150" s="29">
        <f>SUMIFS(Weekly!$E$2:$E$750,Weekly!$B$2:$B$750,B150,Weekly!$C$2:$C$750,C150)*1000</f>
        <v>5569.5</v>
      </c>
      <c r="E150" s="29">
        <f>SUMIFS(Weekly!$F$2:$F$750,Weekly!$B$2:$B$750,B150,Weekly!$C$2:$C$750,C150)</f>
        <v>1339.5</v>
      </c>
      <c r="F150" s="29">
        <f>SUMIFS(Weekly!$D$2:$D$750,Weekly!$B$2:$B$750,B150,Weekly!$C$2:$C$750,C150)*1000</f>
        <v>7050.0000000000009</v>
      </c>
      <c r="G150" s="29">
        <f t="shared" si="9"/>
        <v>84.600000000000009</v>
      </c>
    </row>
    <row r="151" spans="1:9" x14ac:dyDescent="0.25">
      <c r="A151" s="28">
        <v>44805</v>
      </c>
      <c r="B151" s="1">
        <f t="shared" si="11"/>
        <v>9</v>
      </c>
      <c r="C151" s="1">
        <f t="shared" si="7"/>
        <v>2022</v>
      </c>
      <c r="D151" s="29">
        <f>SUMIFS(Weekly!$E$2:$E$750,Weekly!$B$2:$B$750,B151,Weekly!$C$2:$C$750,C151)*1000</f>
        <v>7347</v>
      </c>
      <c r="E151" s="29">
        <f>SUMIFS(Weekly!$F$2:$F$750,Weekly!$B$2:$B$750,B151,Weekly!$C$2:$C$750,C151)</f>
        <v>1767</v>
      </c>
      <c r="F151" s="29">
        <f>SUMIFS(Weekly!$D$2:$D$750,Weekly!$B$2:$B$750,B151,Weekly!$C$2:$C$750,C151)*1000</f>
        <v>9300</v>
      </c>
      <c r="G151" s="29">
        <f t="shared" si="9"/>
        <v>111.6</v>
      </c>
    </row>
    <row r="152" spans="1:9" x14ac:dyDescent="0.25">
      <c r="A152" s="28">
        <v>44835</v>
      </c>
      <c r="B152" s="1">
        <f t="shared" si="11"/>
        <v>10</v>
      </c>
      <c r="C152" s="1">
        <f t="shared" si="7"/>
        <v>2022</v>
      </c>
      <c r="D152" s="29">
        <f>SUMIFS(Weekly!$E$2:$E$750,Weekly!$B$2:$B$750,B152,Weekly!$C$2:$C$750,C152)*1000</f>
        <v>3902.6</v>
      </c>
      <c r="E152" s="29">
        <f>SUMIFS(Weekly!$F$2:$F$750,Weekly!$B$2:$B$750,B152,Weekly!$C$2:$C$750,C152)</f>
        <v>938.59999999999991</v>
      </c>
      <c r="F152" s="29">
        <f>SUMIFS(Weekly!$D$2:$D$750,Weekly!$B$2:$B$750,B152,Weekly!$C$2:$C$750,C152)*1000</f>
        <v>4939.9999999999991</v>
      </c>
      <c r="G152" s="29">
        <f t="shared" si="9"/>
        <v>59.279999999999987</v>
      </c>
    </row>
    <row r="153" spans="1:9" x14ac:dyDescent="0.25">
      <c r="A153" s="28">
        <v>44866</v>
      </c>
      <c r="B153" s="1">
        <f t="shared" si="11"/>
        <v>11</v>
      </c>
      <c r="C153" s="1">
        <f t="shared" si="7"/>
        <v>2022</v>
      </c>
      <c r="D153" s="29">
        <f>SUMIFS(Weekly!$E$2:$E$750,Weekly!$B$2:$B$750,B153,Weekly!$C$2:$C$750,C153)*1000</f>
        <v>5182.4000000000015</v>
      </c>
      <c r="E153" s="29">
        <f>SUMIFS(Weekly!$F$2:$F$750,Weekly!$B$2:$B$750,B153,Weekly!$C$2:$C$750,C153)</f>
        <v>1246.4000000000001</v>
      </c>
      <c r="F153" s="29">
        <f>SUMIFS(Weekly!$D$2:$D$750,Weekly!$B$2:$B$750,B153,Weekly!$C$2:$C$750,C153)*1000</f>
        <v>6560.0000000000009</v>
      </c>
      <c r="G153" s="29">
        <f t="shared" si="9"/>
        <v>78.720000000000013</v>
      </c>
    </row>
    <row r="154" spans="1:9" x14ac:dyDescent="0.25">
      <c r="A154" s="28">
        <v>44896</v>
      </c>
      <c r="B154" s="1">
        <f t="shared" si="11"/>
        <v>12</v>
      </c>
      <c r="C154" s="1">
        <f t="shared" si="7"/>
        <v>2022</v>
      </c>
      <c r="D154" s="29">
        <f>SUMIFS(Weekly!$E$2:$E$750,Weekly!$B$2:$B$750,B154,Weekly!$C$2:$C$750,C154)*1000</f>
        <v>8050.1</v>
      </c>
      <c r="E154" s="29">
        <f>SUMIFS(Weekly!$F$2:$F$750,Weekly!$B$2:$B$750,B154,Weekly!$C$2:$C$750,C154)</f>
        <v>1936.1</v>
      </c>
      <c r="F154" s="29">
        <f>SUMIFS(Weekly!$D$2:$D$750,Weekly!$B$2:$B$750,B154,Weekly!$C$2:$C$750,C154)*1000</f>
        <v>10190</v>
      </c>
      <c r="G154" s="29">
        <f t="shared" si="9"/>
        <v>122.28</v>
      </c>
    </row>
    <row r="155" spans="1:9" x14ac:dyDescent="0.25">
      <c r="A155" s="28">
        <v>44927</v>
      </c>
      <c r="B155" s="1">
        <f t="shared" si="11"/>
        <v>1</v>
      </c>
      <c r="C155" s="1">
        <f t="shared" si="7"/>
        <v>2023</v>
      </c>
      <c r="D155" s="29">
        <f>SUMIFS(Weekly!$E$2:$E$750,Weekly!$B$2:$B$750,B155,Weekly!$C$2:$C$750,C155)*1000</f>
        <v>1666.9000000000003</v>
      </c>
      <c r="E155" s="29">
        <f>SUMIFS(Weekly!$F$2:$F$750,Weekly!$B$2:$B$750,B155,Weekly!$C$2:$C$750,C155)</f>
        <v>400.9</v>
      </c>
      <c r="F155" s="29">
        <f>SUMIFS(Weekly!$D$2:$D$750,Weekly!$B$2:$B$750,B155,Weekly!$C$2:$C$750,C155)*1000</f>
        <v>2110</v>
      </c>
      <c r="G155" s="29">
        <f t="shared" si="9"/>
        <v>25.32</v>
      </c>
    </row>
    <row r="156" spans="1:9" x14ac:dyDescent="0.25">
      <c r="A156" s="28">
        <v>44958</v>
      </c>
      <c r="B156" s="1">
        <f t="shared" si="11"/>
        <v>2</v>
      </c>
      <c r="C156" s="1">
        <f t="shared" si="7"/>
        <v>2023</v>
      </c>
      <c r="D156" s="29">
        <f>SUMIFS(Weekly!$E$2:$E$750,Weekly!$B$2:$B$750,B156,Weekly!$C$2:$C$750,C156)*1000</f>
        <v>5293</v>
      </c>
      <c r="E156" s="29">
        <f>SUMIFS(Weekly!$F$2:$F$750,Weekly!$B$2:$B$750,B156,Weekly!$C$2:$C$750,C156)</f>
        <v>1273</v>
      </c>
      <c r="F156" s="29">
        <f>SUMIFS(Weekly!$D$2:$D$750,Weekly!$B$2:$B$750,B156,Weekly!$C$2:$C$750,C156)*1000</f>
        <v>6699.9999999999991</v>
      </c>
      <c r="G156" s="29">
        <f t="shared" si="9"/>
        <v>80.399999999999991</v>
      </c>
      <c r="I156">
        <f>F156/23*28</f>
        <v>8156.5217391304341</v>
      </c>
    </row>
    <row r="157" spans="1:9" x14ac:dyDescent="0.25">
      <c r="A157" s="28">
        <v>44986</v>
      </c>
      <c r="B157" s="1">
        <f t="shared" si="11"/>
        <v>3</v>
      </c>
      <c r="C157" s="1">
        <f t="shared" si="7"/>
        <v>2023</v>
      </c>
      <c r="D157" s="29">
        <f>SUMIFS(Weekly!$E$2:$E$750,Weekly!$B$2:$B$750,B157,Weekly!$C$2:$C$750,C157)*1000</f>
        <v>5774.9000000000005</v>
      </c>
      <c r="E157" s="29">
        <f>SUMIFS(Weekly!$F$2:$F$750,Weekly!$B$2:$B$750,B157,Weekly!$C$2:$C$750,C157)</f>
        <v>1388.9</v>
      </c>
      <c r="F157" s="29">
        <f>SUMIFS(Weekly!$D$2:$D$750,Weekly!$B$2:$B$750,B157,Weekly!$C$2:$C$750,C157)*1000</f>
        <v>7310</v>
      </c>
      <c r="G157" s="29">
        <f t="shared" si="9"/>
        <v>87.72</v>
      </c>
    </row>
    <row r="158" spans="1:9" x14ac:dyDescent="0.25">
      <c r="A158" s="28">
        <v>45017</v>
      </c>
      <c r="B158" s="1">
        <f t="shared" si="11"/>
        <v>4</v>
      </c>
      <c r="C158" s="1">
        <f t="shared" si="7"/>
        <v>2023</v>
      </c>
      <c r="D158" s="29">
        <f>SUMIFS(Weekly!$E$2:$E$750,Weekly!$B$2:$B$750,B158,Weekly!$C$2:$C$750,C158)*1000</f>
        <v>5103.4000000000005</v>
      </c>
      <c r="E158" s="29">
        <f>SUMIFS(Weekly!$F$2:$F$750,Weekly!$B$2:$B$750,B158,Weekly!$C$2:$C$750,C158)</f>
        <v>1227.4000000000001</v>
      </c>
      <c r="F158" s="29">
        <f>SUMIFS(Weekly!$D$2:$D$750,Weekly!$B$2:$B$750,B158,Weekly!$C$2:$C$750,C158)*1000</f>
        <v>6460</v>
      </c>
      <c r="G158" s="29">
        <f t="shared" si="9"/>
        <v>77.52</v>
      </c>
    </row>
    <row r="159" spans="1:9" x14ac:dyDescent="0.25">
      <c r="A159" s="28">
        <v>45047</v>
      </c>
      <c r="B159" s="1">
        <f t="shared" si="11"/>
        <v>5</v>
      </c>
      <c r="C159" s="1">
        <f t="shared" si="7"/>
        <v>2023</v>
      </c>
      <c r="D159" s="29">
        <f>SUMIFS(Weekly!$E$2:$E$750,Weekly!$B$2:$B$750,B159,Weekly!$C$2:$C$750,C159)*1000</f>
        <v>5056</v>
      </c>
      <c r="E159" s="29">
        <f>SUMIFS(Weekly!$F$2:$F$750,Weekly!$B$2:$B$750,B159,Weekly!$C$2:$C$750,C159)</f>
        <v>1216</v>
      </c>
      <c r="F159" s="29">
        <f>SUMIFS(Weekly!$D$2:$D$750,Weekly!$B$2:$B$750,B159,Weekly!$C$2:$C$750,C159)*1000</f>
        <v>6399.9999999999991</v>
      </c>
      <c r="G159" s="29">
        <f t="shared" si="9"/>
        <v>76.799999999999983</v>
      </c>
    </row>
    <row r="160" spans="1:9" x14ac:dyDescent="0.25">
      <c r="A160" s="28">
        <v>45078</v>
      </c>
      <c r="B160" s="1">
        <f t="shared" si="11"/>
        <v>6</v>
      </c>
      <c r="C160" s="1">
        <f t="shared" si="7"/>
        <v>2023</v>
      </c>
      <c r="D160" s="29">
        <f>SUMIFS(Weekly!$E$2:$E$750,Weekly!$B$2:$B$750,B160,Weekly!$C$2:$C$750,C160)*1000</f>
        <v>8397.7000000000007</v>
      </c>
      <c r="E160" s="29">
        <f>SUMIFS(Weekly!$F$2:$F$750,Weekly!$B$2:$B$750,B160,Weekly!$C$2:$C$750,C160)</f>
        <v>2019.7</v>
      </c>
      <c r="F160" s="29">
        <f>SUMIFS(Weekly!$D$2:$D$750,Weekly!$B$2:$B$750,B160,Weekly!$C$2:$C$750,C160)*1000</f>
        <v>10630</v>
      </c>
      <c r="G160" s="29">
        <f t="shared" si="9"/>
        <v>127.56</v>
      </c>
    </row>
    <row r="161" spans="1:7" x14ac:dyDescent="0.25">
      <c r="A161" s="28">
        <v>45108</v>
      </c>
      <c r="B161" s="1">
        <f t="shared" si="11"/>
        <v>7</v>
      </c>
      <c r="C161" s="1">
        <f t="shared" si="7"/>
        <v>2023</v>
      </c>
      <c r="D161" s="29">
        <f>SUMIFS(Weekly!$E$2:$E$750,Weekly!$B$2:$B$750,B161,Weekly!$C$2:$C$750,C161)*1000</f>
        <v>6288.4000000000005</v>
      </c>
      <c r="E161" s="29">
        <f>SUMIFS(Weekly!$F$2:$F$750,Weekly!$B$2:$B$750,B161,Weekly!$C$2:$C$750,C161)</f>
        <v>1512.4</v>
      </c>
      <c r="F161" s="29">
        <f>SUMIFS(Weekly!$D$2:$D$750,Weekly!$B$2:$B$750,B161,Weekly!$C$2:$C$750,C161)*1000</f>
        <v>7960.0000000000009</v>
      </c>
      <c r="G161" s="29">
        <f t="shared" si="9"/>
        <v>95.52000000000001</v>
      </c>
    </row>
    <row r="162" spans="1:7" x14ac:dyDescent="0.25">
      <c r="A162" s="28">
        <v>45139</v>
      </c>
      <c r="B162" s="1">
        <f t="shared" si="11"/>
        <v>8</v>
      </c>
      <c r="C162" s="1">
        <f t="shared" si="7"/>
        <v>2023</v>
      </c>
      <c r="D162" s="29">
        <f>SUMIFS(Weekly!$E$2:$E$750,Weekly!$B$2:$B$750,B162,Weekly!$C$2:$C$750,C162)*1000</f>
        <v>8239.6999999999989</v>
      </c>
      <c r="E162" s="29">
        <f>SUMIFS(Weekly!$F$2:$F$750,Weekly!$B$2:$B$750,B162,Weekly!$C$2:$C$750,C162)</f>
        <v>1981.7</v>
      </c>
      <c r="F162" s="29">
        <f>SUMIFS(Weekly!$D$2:$D$750,Weekly!$B$2:$B$750,B162,Weekly!$C$2:$C$750,C162)*1000</f>
        <v>10430</v>
      </c>
      <c r="G162" s="29">
        <f t="shared" si="9"/>
        <v>125.16</v>
      </c>
    </row>
    <row r="163" spans="1:7" x14ac:dyDescent="0.25">
      <c r="A163" s="28">
        <v>45170</v>
      </c>
      <c r="B163" s="1">
        <f t="shared" si="11"/>
        <v>9</v>
      </c>
      <c r="C163" s="1">
        <f t="shared" si="7"/>
        <v>2023</v>
      </c>
      <c r="D163" s="29">
        <f>SUMIFS(Weekly!$E$2:$E$750,Weekly!$B$2:$B$750,B163,Weekly!$C$2:$C$750,C163)*1000</f>
        <v>6478.0000000000009</v>
      </c>
      <c r="E163" s="29">
        <f>SUMIFS(Weekly!$F$2:$F$750,Weekly!$B$2:$B$750,B163,Weekly!$C$2:$C$750,C163)</f>
        <v>1558</v>
      </c>
      <c r="F163" s="29">
        <f>SUMIFS(Weekly!$D$2:$D$750,Weekly!$B$2:$B$750,B163,Weekly!$C$2:$C$750,C163)*1000</f>
        <v>8200</v>
      </c>
      <c r="G163" s="29">
        <f t="shared" si="9"/>
        <v>98.4</v>
      </c>
    </row>
    <row r="164" spans="1:7" x14ac:dyDescent="0.25">
      <c r="A164" s="28">
        <v>45200</v>
      </c>
      <c r="B164" s="1">
        <f t="shared" si="11"/>
        <v>10</v>
      </c>
      <c r="C164" s="1">
        <f t="shared" si="7"/>
        <v>2023</v>
      </c>
      <c r="D164" s="29">
        <f>SUMIFS(Weekly!$E$2:$E$750,Weekly!$B$2:$B$750,B164,Weekly!$C$2:$C$750,C164)*1000</f>
        <v>3578.7</v>
      </c>
      <c r="E164" s="29">
        <f>SUMIFS(Weekly!$F$2:$F$750,Weekly!$B$2:$B$750,B164,Weekly!$C$2:$C$750,C164)</f>
        <v>860.7</v>
      </c>
      <c r="F164" s="29">
        <f>SUMIFS(Weekly!$D$2:$D$750,Weekly!$B$2:$B$750,B164,Weekly!$C$2:$C$750,C164)*1000</f>
        <v>4529.9999999999991</v>
      </c>
      <c r="G164" s="29">
        <f t="shared" si="9"/>
        <v>54.359999999999985</v>
      </c>
    </row>
    <row r="165" spans="1:7" x14ac:dyDescent="0.25">
      <c r="A165" s="28">
        <v>45231</v>
      </c>
      <c r="B165" s="1">
        <f t="shared" si="11"/>
        <v>11</v>
      </c>
      <c r="C165" s="1">
        <f t="shared" si="7"/>
        <v>2023</v>
      </c>
      <c r="D165" s="29">
        <f>SUMIFS(Weekly!$E$2:$E$750,Weekly!$B$2:$B$750,B165,Weekly!$C$2:$C$750,C165)*1000</f>
        <v>7141.6</v>
      </c>
      <c r="E165" s="29">
        <f>SUMIFS(Weekly!$F$2:$F$750,Weekly!$B$2:$B$750,B165,Weekly!$C$2:$C$750,C165)</f>
        <v>1717.6</v>
      </c>
      <c r="F165" s="29">
        <f>SUMIFS(Weekly!$D$2:$D$750,Weekly!$B$2:$B$750,B165,Weekly!$C$2:$C$750,C165)*1000</f>
        <v>9040</v>
      </c>
      <c r="G165" s="29">
        <f t="shared" si="9"/>
        <v>108.48</v>
      </c>
    </row>
    <row r="166" spans="1:7" x14ac:dyDescent="0.25">
      <c r="A166" s="28">
        <v>45261</v>
      </c>
      <c r="B166" s="1">
        <f t="shared" si="11"/>
        <v>12</v>
      </c>
      <c r="C166" s="1">
        <f t="shared" si="7"/>
        <v>2023</v>
      </c>
      <c r="D166" s="29">
        <f>SUMIFS(Weekly!$E$2:$E$750,Weekly!$B$2:$B$750,B166,Weekly!$C$2:$C$750,C166)*1000</f>
        <v>5925</v>
      </c>
      <c r="E166" s="29">
        <f>SUMIFS(Weekly!$F$2:$F$750,Weekly!$B$2:$B$750,B166,Weekly!$C$2:$C$750,C166)</f>
        <v>1425</v>
      </c>
      <c r="F166" s="29">
        <f>SUMIFS(Weekly!$D$2:$D$750,Weekly!$B$2:$B$750,B166,Weekly!$C$2:$C$750,C166)*1000</f>
        <v>7500</v>
      </c>
      <c r="G166" s="29">
        <f t="shared" si="9"/>
        <v>90</v>
      </c>
    </row>
    <row r="167" spans="1:7" x14ac:dyDescent="0.25">
      <c r="A167" s="28">
        <v>45292</v>
      </c>
      <c r="B167" s="1">
        <f t="shared" si="11"/>
        <v>1</v>
      </c>
      <c r="C167" s="1">
        <f t="shared" si="7"/>
        <v>2024</v>
      </c>
      <c r="D167" s="29">
        <f>SUMIFS(Weekly!$E$2:$E$750,Weekly!$B$2:$B$750,B167,Weekly!$C$2:$C$750,C167)*1000</f>
        <v>7086.3</v>
      </c>
      <c r="E167" s="29">
        <f>SUMIFS(Weekly!$F$2:$F$750,Weekly!$B$2:$B$750,B167,Weekly!$C$2:$C$750,C167)</f>
        <v>1704.3</v>
      </c>
      <c r="F167" s="29">
        <f>SUMIFS(Weekly!$D$2:$D$750,Weekly!$B$2:$B$750,B167,Weekly!$C$2:$C$750,C167)*1000</f>
        <v>8970</v>
      </c>
      <c r="G167" s="29">
        <f t="shared" si="9"/>
        <v>107.64</v>
      </c>
    </row>
    <row r="168" spans="1:7" x14ac:dyDescent="0.25">
      <c r="A168" s="28">
        <v>45323</v>
      </c>
      <c r="B168" s="1">
        <f t="shared" si="11"/>
        <v>2</v>
      </c>
      <c r="C168" s="1">
        <f t="shared" si="7"/>
        <v>2024</v>
      </c>
      <c r="D168" s="29">
        <f>SUMIFS(Weekly!$E$2:$E$750,Weekly!$B$2:$B$750,B168,Weekly!$C$2:$C$750,C168)*1000</f>
        <v>3025.7000000000003</v>
      </c>
      <c r="E168" s="29">
        <f>SUMIFS(Weekly!$F$2:$F$750,Weekly!$B$2:$B$750,B168,Weekly!$C$2:$C$750,C168)</f>
        <v>727.69999999999993</v>
      </c>
      <c r="F168" s="29">
        <f>SUMIFS(Weekly!$D$2:$D$750,Weekly!$B$2:$B$750,B168,Weekly!$C$2:$C$750,C168)*1000</f>
        <v>3830</v>
      </c>
      <c r="G168" s="29">
        <f t="shared" si="9"/>
        <v>45.96</v>
      </c>
    </row>
    <row r="169" spans="1:7" x14ac:dyDescent="0.25">
      <c r="A169" s="28">
        <v>45352</v>
      </c>
      <c r="B169" s="1">
        <f t="shared" si="11"/>
        <v>3</v>
      </c>
      <c r="C169" s="1">
        <f t="shared" si="7"/>
        <v>2024</v>
      </c>
      <c r="D169" s="29">
        <f>SUMIFS(Weekly!$E$2:$E$750,Weekly!$B$2:$B$750,B169,Weekly!$C$2:$C$750,C169)*1000</f>
        <v>3705.1000000000004</v>
      </c>
      <c r="E169" s="29">
        <f>SUMIFS(Weekly!$F$2:$F$750,Weekly!$B$2:$B$750,B169,Weekly!$C$2:$C$750,C169)</f>
        <v>891.09999999999991</v>
      </c>
      <c r="F169" s="29">
        <f>SUMIFS(Weekly!$D$2:$D$750,Weekly!$B$2:$B$750,B169,Weekly!$C$2:$C$750,C169)*1000</f>
        <v>4689.9999999999991</v>
      </c>
      <c r="G169" s="29">
        <f t="shared" si="9"/>
        <v>56.279999999999987</v>
      </c>
    </row>
    <row r="170" spans="1:7" x14ac:dyDescent="0.25">
      <c r="A170" s="28">
        <v>45383</v>
      </c>
      <c r="B170" s="1">
        <f t="shared" si="11"/>
        <v>4</v>
      </c>
      <c r="C170" s="1">
        <f t="shared" si="7"/>
        <v>2024</v>
      </c>
      <c r="D170" s="29">
        <f>SUMIFS(Weekly!$E$2:$E$750,Weekly!$B$2:$B$750,B170,Weekly!$C$2:$C$750,C170)*1000</f>
        <v>5656.4</v>
      </c>
      <c r="E170" s="29">
        <f>SUMIFS(Weekly!$F$2:$F$750,Weekly!$B$2:$B$750,B170,Weekly!$C$2:$C$750,C170)</f>
        <v>1360.4</v>
      </c>
      <c r="F170" s="29">
        <f>SUMIFS(Weekly!$D$2:$D$750,Weekly!$B$2:$B$750,B170,Weekly!$C$2:$C$750,C170)*1000</f>
        <v>7160</v>
      </c>
      <c r="G170" s="29">
        <f t="shared" si="9"/>
        <v>85.92</v>
      </c>
    </row>
    <row r="171" spans="1:7" x14ac:dyDescent="0.25">
      <c r="A171" s="28">
        <v>45413</v>
      </c>
      <c r="B171" s="1">
        <f t="shared" si="11"/>
        <v>5</v>
      </c>
      <c r="C171" s="1">
        <f t="shared" si="7"/>
        <v>2024</v>
      </c>
      <c r="D171" s="29">
        <f>SUMIFS(Weekly!$E$2:$E$750,Weekly!$B$2:$B$750,B171,Weekly!$C$2:$C$750,C171)*1000</f>
        <v>7568.2000000000007</v>
      </c>
      <c r="E171" s="29">
        <f>SUMIFS(Weekly!$F$2:$F$750,Weekly!$B$2:$B$750,B171,Weekly!$C$2:$C$750,C171)</f>
        <v>1820.1999999999998</v>
      </c>
      <c r="F171" s="29">
        <f>SUMIFS(Weekly!$D$2:$D$750,Weekly!$B$2:$B$750,B171,Weekly!$C$2:$C$750,C171)*1000</f>
        <v>9580</v>
      </c>
      <c r="G171" s="29">
        <f t="shared" si="9"/>
        <v>114.96</v>
      </c>
    </row>
    <row r="172" spans="1:7" x14ac:dyDescent="0.25">
      <c r="A172" s="28">
        <v>45444</v>
      </c>
      <c r="B172" s="1">
        <f t="shared" si="11"/>
        <v>6</v>
      </c>
      <c r="C172" s="1">
        <f t="shared" si="7"/>
        <v>2024</v>
      </c>
      <c r="D172" s="29">
        <f>SUMIFS(Weekly!$E$2:$E$750,Weekly!$B$2:$B$750,B172,Weekly!$C$2:$C$750,C172)*1000</f>
        <v>6312.1</v>
      </c>
      <c r="E172" s="29">
        <f>SUMIFS(Weekly!$F$2:$F$750,Weekly!$B$2:$B$750,B172,Weekly!$C$2:$C$750,C172)</f>
        <v>1518.1</v>
      </c>
      <c r="F172" s="29">
        <f>SUMIFS(Weekly!$D$2:$D$750,Weekly!$B$2:$B$750,B172,Weekly!$C$2:$C$750,C172)*1000</f>
        <v>7990</v>
      </c>
      <c r="G172" s="29">
        <f t="shared" si="9"/>
        <v>95.88</v>
      </c>
    </row>
    <row r="173" spans="1:7" x14ac:dyDescent="0.25">
      <c r="A173" s="28">
        <v>45474</v>
      </c>
      <c r="B173" s="1">
        <f t="shared" si="11"/>
        <v>7</v>
      </c>
      <c r="C173" s="1">
        <f t="shared" si="7"/>
        <v>2024</v>
      </c>
      <c r="D173" s="29">
        <f>SUMIFS(Weekly!$E$2:$E$750,Weekly!$B$2:$B$750,B173,Weekly!$C$2:$C$750,C173)*1000</f>
        <v>6256.8</v>
      </c>
      <c r="E173" s="29">
        <f>SUMIFS(Weekly!$F$2:$F$750,Weekly!$B$2:$B$750,B173,Weekly!$C$2:$C$750,C173)</f>
        <v>1504.8</v>
      </c>
      <c r="F173" s="29">
        <f>SUMIFS(Weekly!$D$2:$D$750,Weekly!$B$2:$B$750,B173,Weekly!$C$2:$C$750,C173)*1000</f>
        <v>7919.9999999999991</v>
      </c>
      <c r="G173" s="29">
        <f t="shared" si="9"/>
        <v>95.039999999999992</v>
      </c>
    </row>
    <row r="174" spans="1:7" x14ac:dyDescent="0.25">
      <c r="A174" s="28">
        <v>45505</v>
      </c>
      <c r="B174" s="1">
        <f t="shared" si="11"/>
        <v>8</v>
      </c>
      <c r="C174" s="1">
        <f t="shared" si="7"/>
        <v>2024</v>
      </c>
      <c r="D174" s="29">
        <f>SUMIFS(Weekly!$E$2:$E$750,Weekly!$B$2:$B$750,B174,Weekly!$C$2:$C$750,C174)*1000</f>
        <v>8113.3</v>
      </c>
      <c r="E174" s="29">
        <f>SUMIFS(Weekly!$F$2:$F$750,Weekly!$B$2:$B$750,B174,Weekly!$C$2:$C$750,C174)</f>
        <v>1951.3</v>
      </c>
      <c r="F174" s="29">
        <f>SUMIFS(Weekly!$D$2:$D$750,Weekly!$B$2:$B$750,B174,Weekly!$C$2:$C$750,C174)*1000</f>
        <v>10270</v>
      </c>
      <c r="G174" s="29">
        <f t="shared" si="9"/>
        <v>123.24</v>
      </c>
    </row>
    <row r="175" spans="1:7" x14ac:dyDescent="0.25">
      <c r="A175" s="28"/>
      <c r="B175" s="1"/>
      <c r="C175" s="1"/>
      <c r="D175" s="29"/>
      <c r="E175" s="29"/>
      <c r="F175" s="29"/>
      <c r="G175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Weekly</vt:lpstr>
      <vt:lpstr>Monthly</vt:lpstr>
      <vt:lpstr>Weekly Crush Vol - Port Stks</vt:lpstr>
      <vt:lpstr>Crush Margin - Dalian - Import</vt:lpstr>
      <vt:lpstr>SBO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2025-07-09T11:30:30Z</dcterms:created>
  <dcterms:modified xsi:type="dcterms:W3CDTF">2025-07-09T11:31:09Z</dcterms:modified>
</cp:coreProperties>
</file>