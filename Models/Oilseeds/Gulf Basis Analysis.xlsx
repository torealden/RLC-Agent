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B4EDC032-5CF5-469C-80CD-366848E4D6B8}" xr6:coauthVersionLast="47" xr6:coauthVersionMax="47" xr10:uidLastSave="{00000000-0000-0000-0000-000000000000}"/>
  <bookViews>
    <workbookView xWindow="1170" yWindow="1170" windowWidth="27240" windowHeight="14550" xr2:uid="{93BBBD8B-9029-42C1-A3F8-E0A0F72E67C0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Sheet1!$O$25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C112" i="1"/>
  <c r="F111" i="1"/>
  <c r="D111" i="1"/>
  <c r="C111" i="1"/>
  <c r="E111" i="1" s="1"/>
  <c r="B111" i="1"/>
  <c r="G110" i="1"/>
  <c r="F110" i="1"/>
  <c r="D110" i="1"/>
  <c r="C110" i="1"/>
  <c r="E110" i="1" s="1"/>
  <c r="B110" i="1"/>
  <c r="G111" i="1" s="1"/>
  <c r="F109" i="1"/>
  <c r="D109" i="1"/>
  <c r="C109" i="1"/>
  <c r="E109" i="1" s="1"/>
  <c r="B109" i="1"/>
  <c r="G108" i="1"/>
  <c r="F108" i="1"/>
  <c r="D108" i="1"/>
  <c r="E108" i="1" s="1"/>
  <c r="C108" i="1"/>
  <c r="B108" i="1"/>
  <c r="G109" i="1" s="1"/>
  <c r="J107" i="1"/>
  <c r="K107" i="1" s="1"/>
  <c r="F107" i="1"/>
  <c r="D107" i="1"/>
  <c r="C107" i="1"/>
  <c r="E107" i="1" s="1"/>
  <c r="B107" i="1"/>
  <c r="G106" i="1"/>
  <c r="F106" i="1"/>
  <c r="D106" i="1"/>
  <c r="C106" i="1"/>
  <c r="E106" i="1" s="1"/>
  <c r="B106" i="1"/>
  <c r="G107" i="1" s="1"/>
  <c r="F105" i="1"/>
  <c r="D105" i="1"/>
  <c r="C105" i="1"/>
  <c r="E105" i="1" s="1"/>
  <c r="B105" i="1"/>
  <c r="G104" i="1"/>
  <c r="F104" i="1"/>
  <c r="D104" i="1"/>
  <c r="C104" i="1"/>
  <c r="E104" i="1" s="1"/>
  <c r="B104" i="1"/>
  <c r="G105" i="1" s="1"/>
  <c r="G103" i="1"/>
  <c r="J103" i="1" s="1"/>
  <c r="K103" i="1" s="1"/>
  <c r="F103" i="1"/>
  <c r="D103" i="1"/>
  <c r="C103" i="1"/>
  <c r="E103" i="1" s="1"/>
  <c r="B103" i="1"/>
  <c r="G102" i="1"/>
  <c r="F102" i="1"/>
  <c r="D102" i="1"/>
  <c r="C102" i="1"/>
  <c r="E102" i="1" s="1"/>
  <c r="B102" i="1"/>
  <c r="G101" i="1"/>
  <c r="F101" i="1"/>
  <c r="D101" i="1"/>
  <c r="E101" i="1" s="1"/>
  <c r="C101" i="1"/>
  <c r="B101" i="1"/>
  <c r="F100" i="1"/>
  <c r="D100" i="1"/>
  <c r="C100" i="1"/>
  <c r="E100" i="1" s="1"/>
  <c r="B100" i="1"/>
  <c r="G99" i="1"/>
  <c r="F99" i="1"/>
  <c r="D99" i="1"/>
  <c r="C99" i="1"/>
  <c r="E99" i="1" s="1"/>
  <c r="B99" i="1"/>
  <c r="G100" i="1" s="1"/>
  <c r="F98" i="1"/>
  <c r="D98" i="1"/>
  <c r="C98" i="1"/>
  <c r="E98" i="1" s="1"/>
  <c r="B98" i="1"/>
  <c r="G97" i="1"/>
  <c r="F97" i="1"/>
  <c r="D97" i="1"/>
  <c r="E97" i="1" s="1"/>
  <c r="C97" i="1"/>
  <c r="B97" i="1"/>
  <c r="G98" i="1" s="1"/>
  <c r="F96" i="1"/>
  <c r="D96" i="1"/>
  <c r="C96" i="1"/>
  <c r="E96" i="1" s="1"/>
  <c r="H96" i="1" s="1"/>
  <c r="I96" i="1" s="1"/>
  <c r="B96" i="1"/>
  <c r="G95" i="1"/>
  <c r="F95" i="1"/>
  <c r="D95" i="1"/>
  <c r="C95" i="1"/>
  <c r="E95" i="1" s="1"/>
  <c r="B95" i="1"/>
  <c r="G96" i="1" s="1"/>
  <c r="F94" i="1"/>
  <c r="D94" i="1"/>
  <c r="C94" i="1"/>
  <c r="E94" i="1" s="1"/>
  <c r="B94" i="1"/>
  <c r="G93" i="1"/>
  <c r="F93" i="1"/>
  <c r="D93" i="1"/>
  <c r="C93" i="1"/>
  <c r="E93" i="1" s="1"/>
  <c r="B93" i="1"/>
  <c r="G94" i="1" s="1"/>
  <c r="G92" i="1"/>
  <c r="F92" i="1"/>
  <c r="D92" i="1"/>
  <c r="C92" i="1"/>
  <c r="E92" i="1" s="1"/>
  <c r="H92" i="1" s="1"/>
  <c r="I92" i="1" s="1"/>
  <c r="B92" i="1"/>
  <c r="G91" i="1"/>
  <c r="F91" i="1"/>
  <c r="D91" i="1"/>
  <c r="C91" i="1"/>
  <c r="E91" i="1" s="1"/>
  <c r="B91" i="1"/>
  <c r="G90" i="1"/>
  <c r="F90" i="1"/>
  <c r="D90" i="1"/>
  <c r="E90" i="1" s="1"/>
  <c r="C90" i="1"/>
  <c r="B90" i="1"/>
  <c r="F89" i="1"/>
  <c r="D89" i="1"/>
  <c r="C89" i="1"/>
  <c r="E89" i="1" s="1"/>
  <c r="B89" i="1"/>
  <c r="G88" i="1"/>
  <c r="F88" i="1"/>
  <c r="D88" i="1"/>
  <c r="C88" i="1"/>
  <c r="E88" i="1" s="1"/>
  <c r="B88" i="1"/>
  <c r="G89" i="1" s="1"/>
  <c r="F87" i="1"/>
  <c r="D87" i="1"/>
  <c r="C87" i="1"/>
  <c r="E87" i="1" s="1"/>
  <c r="B87" i="1"/>
  <c r="G86" i="1"/>
  <c r="F86" i="1"/>
  <c r="D86" i="1"/>
  <c r="E86" i="1" s="1"/>
  <c r="C86" i="1"/>
  <c r="B86" i="1"/>
  <c r="G87" i="1" s="1"/>
  <c r="F85" i="1"/>
  <c r="D85" i="1"/>
  <c r="C85" i="1"/>
  <c r="E85" i="1" s="1"/>
  <c r="B85" i="1"/>
  <c r="G84" i="1"/>
  <c r="F84" i="1"/>
  <c r="D84" i="1"/>
  <c r="C84" i="1"/>
  <c r="E84" i="1" s="1"/>
  <c r="B84" i="1"/>
  <c r="G85" i="1" s="1"/>
  <c r="F83" i="1"/>
  <c r="D83" i="1"/>
  <c r="C83" i="1"/>
  <c r="E83" i="1" s="1"/>
  <c r="J83" i="1" s="1"/>
  <c r="K83" i="1" s="1"/>
  <c r="B83" i="1"/>
  <c r="G82" i="1"/>
  <c r="F82" i="1"/>
  <c r="D82" i="1"/>
  <c r="C82" i="1"/>
  <c r="E82" i="1" s="1"/>
  <c r="B82" i="1"/>
  <c r="G83" i="1" s="1"/>
  <c r="G81" i="1"/>
  <c r="F81" i="1"/>
  <c r="D81" i="1"/>
  <c r="C81" i="1"/>
  <c r="E81" i="1" s="1"/>
  <c r="H81" i="1" s="1"/>
  <c r="I81" i="1" s="1"/>
  <c r="B81" i="1"/>
  <c r="G80" i="1"/>
  <c r="F80" i="1"/>
  <c r="D80" i="1"/>
  <c r="C80" i="1"/>
  <c r="E80" i="1" s="1"/>
  <c r="B80" i="1"/>
  <c r="G79" i="1"/>
  <c r="F79" i="1"/>
  <c r="D79" i="1"/>
  <c r="E79" i="1" s="1"/>
  <c r="C79" i="1"/>
  <c r="B79" i="1"/>
  <c r="F78" i="1"/>
  <c r="D78" i="1"/>
  <c r="C78" i="1"/>
  <c r="E78" i="1" s="1"/>
  <c r="B78" i="1"/>
  <c r="G77" i="1"/>
  <c r="F77" i="1"/>
  <c r="D77" i="1"/>
  <c r="C77" i="1"/>
  <c r="E77" i="1" s="1"/>
  <c r="B77" i="1"/>
  <c r="G78" i="1" s="1"/>
  <c r="F76" i="1"/>
  <c r="D76" i="1"/>
  <c r="C76" i="1"/>
  <c r="E76" i="1" s="1"/>
  <c r="B76" i="1"/>
  <c r="G75" i="1"/>
  <c r="F75" i="1"/>
  <c r="D75" i="1"/>
  <c r="E75" i="1" s="1"/>
  <c r="C75" i="1"/>
  <c r="B75" i="1"/>
  <c r="G76" i="1" s="1"/>
  <c r="J74" i="1"/>
  <c r="K74" i="1" s="1"/>
  <c r="F74" i="1"/>
  <c r="D74" i="1"/>
  <c r="C74" i="1"/>
  <c r="E74" i="1" s="1"/>
  <c r="B74" i="1"/>
  <c r="G73" i="1"/>
  <c r="F73" i="1"/>
  <c r="D73" i="1"/>
  <c r="C73" i="1"/>
  <c r="E73" i="1" s="1"/>
  <c r="B73" i="1"/>
  <c r="G74" i="1" s="1"/>
  <c r="F72" i="1"/>
  <c r="D72" i="1"/>
  <c r="C72" i="1"/>
  <c r="E72" i="1" s="1"/>
  <c r="B72" i="1"/>
  <c r="G71" i="1"/>
  <c r="F71" i="1"/>
  <c r="D71" i="1"/>
  <c r="C71" i="1"/>
  <c r="E71" i="1" s="1"/>
  <c r="B71" i="1"/>
  <c r="G72" i="1" s="1"/>
  <c r="G70" i="1"/>
  <c r="F70" i="1"/>
  <c r="J70" i="1" s="1"/>
  <c r="K70" i="1" s="1"/>
  <c r="D70" i="1"/>
  <c r="C70" i="1"/>
  <c r="E70" i="1" s="1"/>
  <c r="B70" i="1"/>
  <c r="G69" i="1"/>
  <c r="F69" i="1"/>
  <c r="D69" i="1"/>
  <c r="C69" i="1"/>
  <c r="E69" i="1" s="1"/>
  <c r="B69" i="1"/>
  <c r="G68" i="1"/>
  <c r="F68" i="1"/>
  <c r="D68" i="1"/>
  <c r="E68" i="1" s="1"/>
  <c r="C68" i="1"/>
  <c r="B68" i="1"/>
  <c r="F67" i="1"/>
  <c r="D67" i="1"/>
  <c r="C67" i="1"/>
  <c r="E67" i="1" s="1"/>
  <c r="B67" i="1"/>
  <c r="G66" i="1"/>
  <c r="F66" i="1"/>
  <c r="D66" i="1"/>
  <c r="C66" i="1"/>
  <c r="E66" i="1" s="1"/>
  <c r="B66" i="1"/>
  <c r="G67" i="1" s="1"/>
  <c r="F65" i="1"/>
  <c r="D65" i="1"/>
  <c r="C65" i="1"/>
  <c r="E65" i="1" s="1"/>
  <c r="B65" i="1"/>
  <c r="G64" i="1"/>
  <c r="F64" i="1"/>
  <c r="D64" i="1"/>
  <c r="E64" i="1" s="1"/>
  <c r="C64" i="1"/>
  <c r="B64" i="1"/>
  <c r="G65" i="1" s="1"/>
  <c r="F63" i="1"/>
  <c r="D63" i="1"/>
  <c r="C63" i="1"/>
  <c r="E63" i="1" s="1"/>
  <c r="B63" i="1"/>
  <c r="G62" i="1"/>
  <c r="F62" i="1"/>
  <c r="D62" i="1"/>
  <c r="C62" i="1"/>
  <c r="E62" i="1" s="1"/>
  <c r="B62" i="1"/>
  <c r="G63" i="1" s="1"/>
  <c r="J61" i="1"/>
  <c r="K61" i="1" s="1"/>
  <c r="F61" i="1"/>
  <c r="D61" i="1"/>
  <c r="C61" i="1"/>
  <c r="E61" i="1" s="1"/>
  <c r="H61" i="1" s="1"/>
  <c r="I61" i="1" s="1"/>
  <c r="B61" i="1"/>
  <c r="G60" i="1"/>
  <c r="F60" i="1"/>
  <c r="D60" i="1"/>
  <c r="C60" i="1"/>
  <c r="E60" i="1" s="1"/>
  <c r="B60" i="1"/>
  <c r="G61" i="1" s="1"/>
  <c r="G59" i="1"/>
  <c r="F59" i="1"/>
  <c r="D59" i="1"/>
  <c r="C59" i="1"/>
  <c r="E59" i="1" s="1"/>
  <c r="J59" i="1" s="1"/>
  <c r="K59" i="1" s="1"/>
  <c r="B59" i="1"/>
  <c r="G58" i="1"/>
  <c r="F58" i="1"/>
  <c r="D58" i="1"/>
  <c r="C58" i="1"/>
  <c r="E58" i="1" s="1"/>
  <c r="B58" i="1"/>
  <c r="G57" i="1"/>
  <c r="F57" i="1"/>
  <c r="D57" i="1"/>
  <c r="E57" i="1" s="1"/>
  <c r="C57" i="1"/>
  <c r="B57" i="1"/>
  <c r="F56" i="1"/>
  <c r="D56" i="1"/>
  <c r="C56" i="1"/>
  <c r="E56" i="1" s="1"/>
  <c r="B56" i="1"/>
  <c r="G55" i="1"/>
  <c r="F55" i="1"/>
  <c r="D55" i="1"/>
  <c r="C55" i="1"/>
  <c r="E55" i="1" s="1"/>
  <c r="B55" i="1"/>
  <c r="G56" i="1" s="1"/>
  <c r="F54" i="1"/>
  <c r="D54" i="1"/>
  <c r="C54" i="1"/>
  <c r="E54" i="1" s="1"/>
  <c r="B54" i="1"/>
  <c r="G53" i="1"/>
  <c r="F53" i="1"/>
  <c r="D53" i="1"/>
  <c r="E53" i="1" s="1"/>
  <c r="C53" i="1"/>
  <c r="B53" i="1"/>
  <c r="G54" i="1" s="1"/>
  <c r="F52" i="1"/>
  <c r="D52" i="1"/>
  <c r="C52" i="1"/>
  <c r="E52" i="1" s="1"/>
  <c r="B52" i="1"/>
  <c r="G51" i="1"/>
  <c r="F51" i="1"/>
  <c r="D51" i="1"/>
  <c r="C51" i="1"/>
  <c r="E51" i="1" s="1"/>
  <c r="B51" i="1"/>
  <c r="G52" i="1" s="1"/>
  <c r="F50" i="1"/>
  <c r="D50" i="1"/>
  <c r="C50" i="1"/>
  <c r="E50" i="1" s="1"/>
  <c r="H50" i="1" s="1"/>
  <c r="I50" i="1" s="1"/>
  <c r="B50" i="1"/>
  <c r="G49" i="1"/>
  <c r="F49" i="1"/>
  <c r="D49" i="1"/>
  <c r="C49" i="1"/>
  <c r="E49" i="1" s="1"/>
  <c r="B49" i="1"/>
  <c r="G50" i="1" s="1"/>
  <c r="G48" i="1"/>
  <c r="F48" i="1"/>
  <c r="D48" i="1"/>
  <c r="C48" i="1"/>
  <c r="E48" i="1" s="1"/>
  <c r="H48" i="1" s="1"/>
  <c r="I48" i="1" s="1"/>
  <c r="B48" i="1"/>
  <c r="G47" i="1"/>
  <c r="F47" i="1"/>
  <c r="D47" i="1"/>
  <c r="C47" i="1"/>
  <c r="E47" i="1" s="1"/>
  <c r="B47" i="1"/>
  <c r="G46" i="1"/>
  <c r="F46" i="1"/>
  <c r="D46" i="1"/>
  <c r="E46" i="1" s="1"/>
  <c r="C46" i="1"/>
  <c r="B46" i="1"/>
  <c r="F45" i="1"/>
  <c r="D45" i="1"/>
  <c r="C45" i="1"/>
  <c r="E45" i="1" s="1"/>
  <c r="B45" i="1"/>
  <c r="G44" i="1"/>
  <c r="F44" i="1"/>
  <c r="D44" i="1"/>
  <c r="C44" i="1"/>
  <c r="E44" i="1" s="1"/>
  <c r="B44" i="1"/>
  <c r="G45" i="1" s="1"/>
  <c r="F43" i="1"/>
  <c r="D43" i="1"/>
  <c r="C43" i="1"/>
  <c r="E43" i="1" s="1"/>
  <c r="B43" i="1"/>
  <c r="G42" i="1"/>
  <c r="F42" i="1"/>
  <c r="D42" i="1"/>
  <c r="E42" i="1" s="1"/>
  <c r="C42" i="1"/>
  <c r="B42" i="1"/>
  <c r="G43" i="1" s="1"/>
  <c r="J41" i="1"/>
  <c r="K41" i="1" s="1"/>
  <c r="F41" i="1"/>
  <c r="D41" i="1"/>
  <c r="C41" i="1"/>
  <c r="E41" i="1" s="1"/>
  <c r="B41" i="1"/>
  <c r="T40" i="1"/>
  <c r="G40" i="1"/>
  <c r="F40" i="1"/>
  <c r="D40" i="1"/>
  <c r="C40" i="1"/>
  <c r="E40" i="1" s="1"/>
  <c r="B40" i="1"/>
  <c r="G41" i="1" s="1"/>
  <c r="T39" i="1"/>
  <c r="F39" i="1"/>
  <c r="D39" i="1"/>
  <c r="C39" i="1"/>
  <c r="E39" i="1" s="1"/>
  <c r="B39" i="1"/>
  <c r="T38" i="1"/>
  <c r="M40" i="1"/>
  <c r="M38" i="1" a="1"/>
  <c r="M39" i="1" s="1"/>
  <c r="F38" i="1"/>
  <c r="D38" i="1"/>
  <c r="C38" i="1"/>
  <c r="E38" i="1" s="1"/>
  <c r="B38" i="1"/>
  <c r="G39" i="1" s="1"/>
  <c r="N37" i="1" a="1"/>
  <c r="N38" i="1" s="1"/>
  <c r="G37" i="1"/>
  <c r="F37" i="1"/>
  <c r="D37" i="1"/>
  <c r="C37" i="1"/>
  <c r="E37" i="1" s="1"/>
  <c r="B37" i="1"/>
  <c r="G38" i="1" s="1"/>
  <c r="G36" i="1"/>
  <c r="F36" i="1"/>
  <c r="D36" i="1"/>
  <c r="E36" i="1" s="1"/>
  <c r="C36" i="1"/>
  <c r="B36" i="1"/>
  <c r="G35" i="1"/>
  <c r="F35" i="1"/>
  <c r="D35" i="1"/>
  <c r="C35" i="1"/>
  <c r="E35" i="1" s="1"/>
  <c r="B35" i="1"/>
  <c r="G34" i="1"/>
  <c r="F34" i="1"/>
  <c r="D34" i="1"/>
  <c r="E34" i="1" s="1"/>
  <c r="C34" i="1"/>
  <c r="B34" i="1"/>
  <c r="G33" i="1"/>
  <c r="F33" i="1"/>
  <c r="D33" i="1"/>
  <c r="C33" i="1"/>
  <c r="E33" i="1" s="1"/>
  <c r="B33" i="1"/>
  <c r="F32" i="1"/>
  <c r="D32" i="1"/>
  <c r="C32" i="1"/>
  <c r="E32" i="1" s="1"/>
  <c r="B32" i="1"/>
  <c r="Y31" i="1" a="1"/>
  <c r="Y31" i="1" s="1"/>
  <c r="F31" i="1"/>
  <c r="E31" i="1"/>
  <c r="D31" i="1"/>
  <c r="C31" i="1"/>
  <c r="B31" i="1"/>
  <c r="G32" i="1" s="1"/>
  <c r="Z30" i="1" a="1"/>
  <c r="AA31" i="1" s="1"/>
  <c r="G30" i="1"/>
  <c r="F30" i="1"/>
  <c r="D30" i="1"/>
  <c r="C30" i="1"/>
  <c r="E30" i="1" s="1"/>
  <c r="B30" i="1"/>
  <c r="G31" i="1" s="1"/>
  <c r="F29" i="1"/>
  <c r="D29" i="1"/>
  <c r="C29" i="1"/>
  <c r="E29" i="1" s="1"/>
  <c r="B29" i="1"/>
  <c r="G28" i="1"/>
  <c r="F28" i="1"/>
  <c r="D28" i="1"/>
  <c r="C28" i="1"/>
  <c r="E28" i="1" s="1"/>
  <c r="B28" i="1"/>
  <c r="G29" i="1" s="1"/>
  <c r="G27" i="1"/>
  <c r="F27" i="1"/>
  <c r="D27" i="1"/>
  <c r="C27" i="1"/>
  <c r="E27" i="1" s="1"/>
  <c r="B27" i="1"/>
  <c r="G26" i="1"/>
  <c r="F26" i="1"/>
  <c r="D26" i="1"/>
  <c r="C26" i="1"/>
  <c r="E26" i="1" s="1"/>
  <c r="J26" i="1" s="1"/>
  <c r="K26" i="1" s="1"/>
  <c r="B26" i="1"/>
  <c r="G25" i="1"/>
  <c r="F25" i="1"/>
  <c r="D25" i="1"/>
  <c r="C25" i="1"/>
  <c r="E25" i="1" s="1"/>
  <c r="B25" i="1"/>
  <c r="G24" i="1"/>
  <c r="F24" i="1"/>
  <c r="D24" i="1"/>
  <c r="C24" i="1"/>
  <c r="E24" i="1" s="1"/>
  <c r="B24" i="1"/>
  <c r="G23" i="1"/>
  <c r="F23" i="1"/>
  <c r="D23" i="1"/>
  <c r="C23" i="1"/>
  <c r="E23" i="1" s="1"/>
  <c r="B23" i="1"/>
  <c r="F22" i="1"/>
  <c r="D22" i="1"/>
  <c r="C22" i="1"/>
  <c r="E22" i="1" s="1"/>
  <c r="B22" i="1"/>
  <c r="G21" i="1"/>
  <c r="F21" i="1"/>
  <c r="D21" i="1"/>
  <c r="C21" i="1"/>
  <c r="E21" i="1" s="1"/>
  <c r="B21" i="1"/>
  <c r="G22" i="1" s="1"/>
  <c r="G20" i="1"/>
  <c r="F20" i="1"/>
  <c r="D20" i="1"/>
  <c r="C20" i="1"/>
  <c r="E20" i="1" s="1"/>
  <c r="B20" i="1"/>
  <c r="G19" i="1"/>
  <c r="F19" i="1"/>
  <c r="D19" i="1"/>
  <c r="C19" i="1"/>
  <c r="E19" i="1" s="1"/>
  <c r="B19" i="1"/>
  <c r="G18" i="1"/>
  <c r="F18" i="1"/>
  <c r="D18" i="1"/>
  <c r="C18" i="1"/>
  <c r="E18" i="1" s="1"/>
  <c r="B18" i="1"/>
  <c r="J17" i="1"/>
  <c r="K17" i="1" s="1"/>
  <c r="I17" i="1"/>
  <c r="G17" i="1"/>
  <c r="F17" i="1"/>
  <c r="E17" i="1"/>
  <c r="H17" i="1" s="1"/>
  <c r="D17" i="1"/>
  <c r="C17" i="1"/>
  <c r="B17" i="1"/>
  <c r="G16" i="1"/>
  <c r="F16" i="1"/>
  <c r="D16" i="1"/>
  <c r="C16" i="1"/>
  <c r="E16" i="1" s="1"/>
  <c r="B16" i="1"/>
  <c r="G15" i="1"/>
  <c r="F15" i="1"/>
  <c r="D15" i="1"/>
  <c r="C15" i="1"/>
  <c r="E15" i="1" s="1"/>
  <c r="B15" i="1"/>
  <c r="F14" i="1"/>
  <c r="D14" i="1"/>
  <c r="C14" i="1"/>
  <c r="E14" i="1" s="1"/>
  <c r="B14" i="1"/>
  <c r="G13" i="1"/>
  <c r="F13" i="1"/>
  <c r="D13" i="1"/>
  <c r="C13" i="1"/>
  <c r="E13" i="1" s="1"/>
  <c r="B13" i="1"/>
  <c r="G14" i="1" s="1"/>
  <c r="F12" i="1"/>
  <c r="D12" i="1"/>
  <c r="C12" i="1"/>
  <c r="E12" i="1" s="1"/>
  <c r="B12" i="1"/>
  <c r="G11" i="1"/>
  <c r="F11" i="1"/>
  <c r="D11" i="1"/>
  <c r="C11" i="1"/>
  <c r="E11" i="1" s="1"/>
  <c r="B11" i="1"/>
  <c r="G12" i="1" s="1"/>
  <c r="F10" i="1"/>
  <c r="D10" i="1"/>
  <c r="C10" i="1"/>
  <c r="E10" i="1" s="1"/>
  <c r="H10" i="1" s="1"/>
  <c r="I10" i="1" s="1"/>
  <c r="B10" i="1"/>
  <c r="G9" i="1"/>
  <c r="F9" i="1"/>
  <c r="D9" i="1"/>
  <c r="C9" i="1"/>
  <c r="E9" i="1" s="1"/>
  <c r="B9" i="1"/>
  <c r="G10" i="1" s="1"/>
  <c r="G8" i="1"/>
  <c r="F8" i="1"/>
  <c r="D8" i="1"/>
  <c r="C8" i="1"/>
  <c r="E8" i="1" s="1"/>
  <c r="J8" i="1" s="1"/>
  <c r="K8" i="1" s="1"/>
  <c r="B8" i="1"/>
  <c r="G7" i="1"/>
  <c r="F7" i="1"/>
  <c r="D7" i="1"/>
  <c r="C7" i="1"/>
  <c r="E7" i="1" s="1"/>
  <c r="B7" i="1"/>
  <c r="G6" i="1"/>
  <c r="J6" i="1" s="1"/>
  <c r="K6" i="1" s="1"/>
  <c r="F6" i="1"/>
  <c r="E6" i="1"/>
  <c r="D6" i="1"/>
  <c r="C6" i="1"/>
  <c r="B6" i="1"/>
  <c r="G5" i="1"/>
  <c r="F5" i="1"/>
  <c r="D5" i="1"/>
  <c r="C5" i="1"/>
  <c r="E5" i="1" s="1"/>
  <c r="B5" i="1"/>
  <c r="G4" i="1"/>
  <c r="F4" i="1"/>
  <c r="D4" i="1"/>
  <c r="C4" i="1"/>
  <c r="AA27" i="1" s="1"/>
  <c r="B4" i="1"/>
  <c r="F3" i="1"/>
  <c r="D3" i="1"/>
  <c r="C3" i="1"/>
  <c r="E3" i="1" s="1"/>
  <c r="B3" i="1"/>
  <c r="G2" i="1"/>
  <c r="F2" i="1"/>
  <c r="D2" i="1"/>
  <c r="C2" i="1"/>
  <c r="B2" i="1"/>
  <c r="P38" i="1" l="1"/>
  <c r="N37" i="1"/>
  <c r="O32" i="1" s="1"/>
  <c r="N25" i="1" s="1"/>
  <c r="O38" i="1"/>
  <c r="O39" i="1"/>
  <c r="N39" i="1"/>
  <c r="N40" i="1"/>
  <c r="P40" i="1" s="1"/>
  <c r="O40" i="1"/>
  <c r="J19" i="1"/>
  <c r="K19" i="1" s="1"/>
  <c r="H19" i="1"/>
  <c r="I19" i="1" s="1"/>
  <c r="J79" i="1"/>
  <c r="K79" i="1" s="1"/>
  <c r="H79" i="1"/>
  <c r="I79" i="1" s="1"/>
  <c r="J57" i="1"/>
  <c r="K57" i="1" s="1"/>
  <c r="H57" i="1"/>
  <c r="I57" i="1" s="1"/>
  <c r="J15" i="1"/>
  <c r="K15" i="1" s="1"/>
  <c r="H15" i="1"/>
  <c r="I15" i="1" s="1"/>
  <c r="J90" i="1"/>
  <c r="K90" i="1" s="1"/>
  <c r="H90" i="1"/>
  <c r="I90" i="1" s="1"/>
  <c r="J28" i="1"/>
  <c r="K28" i="1" s="1"/>
  <c r="H28" i="1"/>
  <c r="I28" i="1" s="1"/>
  <c r="J101" i="1"/>
  <c r="K101" i="1" s="1"/>
  <c r="H101" i="1"/>
  <c r="I101" i="1" s="1"/>
  <c r="J23" i="1"/>
  <c r="K23" i="1" s="1"/>
  <c r="H23" i="1"/>
  <c r="I23" i="1" s="1"/>
  <c r="J36" i="1"/>
  <c r="K36" i="1" s="1"/>
  <c r="H36" i="1"/>
  <c r="I36" i="1" s="1"/>
  <c r="H25" i="1"/>
  <c r="I25" i="1" s="1"/>
  <c r="J25" i="1"/>
  <c r="K25" i="1" s="1"/>
  <c r="J34" i="1"/>
  <c r="K34" i="1" s="1"/>
  <c r="H34" i="1"/>
  <c r="I34" i="1" s="1"/>
  <c r="H40" i="1"/>
  <c r="I40" i="1" s="1"/>
  <c r="J40" i="1"/>
  <c r="K40" i="1" s="1"/>
  <c r="J68" i="1"/>
  <c r="K68" i="1" s="1"/>
  <c r="H68" i="1"/>
  <c r="I68" i="1" s="1"/>
  <c r="H13" i="1"/>
  <c r="I13" i="1" s="1"/>
  <c r="J13" i="1"/>
  <c r="K13" i="1" s="1"/>
  <c r="J46" i="1"/>
  <c r="K46" i="1" s="1"/>
  <c r="H46" i="1"/>
  <c r="I46" i="1" s="1"/>
  <c r="J30" i="1"/>
  <c r="K30" i="1" s="1"/>
  <c r="H30" i="1"/>
  <c r="I30" i="1" s="1"/>
  <c r="J50" i="1"/>
  <c r="K50" i="1" s="1"/>
  <c r="H37" i="1"/>
  <c r="I37" i="1" s="1"/>
  <c r="J37" i="1"/>
  <c r="K37" i="1" s="1"/>
  <c r="J109" i="1"/>
  <c r="K109" i="1" s="1"/>
  <c r="H109" i="1"/>
  <c r="I109" i="1" s="1"/>
  <c r="J3" i="1"/>
  <c r="K3" i="1" s="1"/>
  <c r="H3" i="1"/>
  <c r="I3" i="1" s="1"/>
  <c r="J62" i="1"/>
  <c r="K62" i="1" s="1"/>
  <c r="H62" i="1"/>
  <c r="I62" i="1" s="1"/>
  <c r="J22" i="1"/>
  <c r="K22" i="1" s="1"/>
  <c r="H22" i="1"/>
  <c r="I22" i="1" s="1"/>
  <c r="J42" i="1"/>
  <c r="K42" i="1" s="1"/>
  <c r="H42" i="1"/>
  <c r="I42" i="1" s="1"/>
  <c r="H55" i="1"/>
  <c r="I55" i="1" s="1"/>
  <c r="J55" i="1"/>
  <c r="K55" i="1" s="1"/>
  <c r="J105" i="1"/>
  <c r="K105" i="1" s="1"/>
  <c r="H59" i="1"/>
  <c r="I59" i="1" s="1"/>
  <c r="J72" i="1"/>
  <c r="K72" i="1" s="1"/>
  <c r="J10" i="1"/>
  <c r="K10" i="1" s="1"/>
  <c r="H108" i="1"/>
  <c r="I108" i="1" s="1"/>
  <c r="J108" i="1"/>
  <c r="K108" i="1" s="1"/>
  <c r="H105" i="1"/>
  <c r="I105" i="1" s="1"/>
  <c r="J12" i="1"/>
  <c r="K12" i="1" s="1"/>
  <c r="H12" i="1"/>
  <c r="I12" i="1" s="1"/>
  <c r="H85" i="1"/>
  <c r="I85" i="1" s="1"/>
  <c r="H24" i="1"/>
  <c r="I24" i="1" s="1"/>
  <c r="J24" i="1"/>
  <c r="K24" i="1" s="1"/>
  <c r="H77" i="1"/>
  <c r="I77" i="1" s="1"/>
  <c r="J77" i="1"/>
  <c r="K77" i="1" s="1"/>
  <c r="J102" i="1"/>
  <c r="K102" i="1" s="1"/>
  <c r="H102" i="1"/>
  <c r="I102" i="1" s="1"/>
  <c r="J106" i="1"/>
  <c r="K106" i="1" s="1"/>
  <c r="H106" i="1"/>
  <c r="I106" i="1" s="1"/>
  <c r="H66" i="1"/>
  <c r="I66" i="1" s="1"/>
  <c r="J66" i="1"/>
  <c r="K66" i="1" s="1"/>
  <c r="H104" i="1"/>
  <c r="I104" i="1" s="1"/>
  <c r="J104" i="1"/>
  <c r="K104" i="1" s="1"/>
  <c r="J47" i="1"/>
  <c r="K47" i="1" s="1"/>
  <c r="H47" i="1"/>
  <c r="I47" i="1" s="1"/>
  <c r="H11" i="1"/>
  <c r="I11" i="1" s="1"/>
  <c r="J11" i="1"/>
  <c r="K11" i="1" s="1"/>
  <c r="E4" i="1"/>
  <c r="J95" i="1"/>
  <c r="K95" i="1" s="1"/>
  <c r="H95" i="1"/>
  <c r="I95" i="1" s="1"/>
  <c r="J33" i="1"/>
  <c r="K33" i="1" s="1"/>
  <c r="H33" i="1"/>
  <c r="I33" i="1" s="1"/>
  <c r="J67" i="1"/>
  <c r="K67" i="1" s="1"/>
  <c r="H67" i="1"/>
  <c r="I67" i="1" s="1"/>
  <c r="H63" i="1"/>
  <c r="I63" i="1" s="1"/>
  <c r="H16" i="1"/>
  <c r="I16" i="1" s="1"/>
  <c r="J16" i="1"/>
  <c r="K16" i="1" s="1"/>
  <c r="J110" i="1"/>
  <c r="K110" i="1" s="1"/>
  <c r="H110" i="1"/>
  <c r="I110" i="1" s="1"/>
  <c r="J5" i="1"/>
  <c r="K5" i="1" s="1"/>
  <c r="H5" i="1"/>
  <c r="I5" i="1" s="1"/>
  <c r="J20" i="1"/>
  <c r="K20" i="1" s="1"/>
  <c r="H20" i="1"/>
  <c r="I20" i="1" s="1"/>
  <c r="J91" i="1"/>
  <c r="K91" i="1" s="1"/>
  <c r="H91" i="1"/>
  <c r="I91" i="1" s="1"/>
  <c r="J87" i="1"/>
  <c r="K87" i="1" s="1"/>
  <c r="H87" i="1"/>
  <c r="I87" i="1" s="1"/>
  <c r="J18" i="1"/>
  <c r="K18" i="1" s="1"/>
  <c r="H18" i="1"/>
  <c r="I18" i="1" s="1"/>
  <c r="H26" i="1"/>
  <c r="I26" i="1" s="1"/>
  <c r="H84" i="1"/>
  <c r="I84" i="1" s="1"/>
  <c r="J84" i="1"/>
  <c r="K84" i="1" s="1"/>
  <c r="J63" i="1"/>
  <c r="K63" i="1" s="1"/>
  <c r="J44" i="1"/>
  <c r="K44" i="1" s="1"/>
  <c r="H44" i="1"/>
  <c r="I44" i="1" s="1"/>
  <c r="H52" i="1"/>
  <c r="I52" i="1" s="1"/>
  <c r="P39" i="1"/>
  <c r="J48" i="1"/>
  <c r="K48" i="1" s="1"/>
  <c r="J73" i="1"/>
  <c r="K73" i="1" s="1"/>
  <c r="H73" i="1"/>
  <c r="I73" i="1" s="1"/>
  <c r="J94" i="1"/>
  <c r="K94" i="1" s="1"/>
  <c r="H9" i="1"/>
  <c r="I9" i="1" s="1"/>
  <c r="J9" i="1"/>
  <c r="K9" i="1" s="1"/>
  <c r="H45" i="1"/>
  <c r="I45" i="1" s="1"/>
  <c r="J45" i="1"/>
  <c r="K45" i="1" s="1"/>
  <c r="J81" i="1"/>
  <c r="K81" i="1" s="1"/>
  <c r="J111" i="1"/>
  <c r="K111" i="1" s="1"/>
  <c r="H111" i="1"/>
  <c r="I111" i="1" s="1"/>
  <c r="J14" i="1"/>
  <c r="K14" i="1" s="1"/>
  <c r="H14" i="1"/>
  <c r="I14" i="1" s="1"/>
  <c r="J71" i="1"/>
  <c r="K71" i="1" s="1"/>
  <c r="H71" i="1"/>
  <c r="I71" i="1" s="1"/>
  <c r="J88" i="1"/>
  <c r="K88" i="1" s="1"/>
  <c r="H88" i="1"/>
  <c r="I88" i="1" s="1"/>
  <c r="J96" i="1"/>
  <c r="K96" i="1" s="1"/>
  <c r="J76" i="1"/>
  <c r="K76" i="1" s="1"/>
  <c r="H76" i="1"/>
  <c r="I76" i="1" s="1"/>
  <c r="J27" i="1"/>
  <c r="K27" i="1" s="1"/>
  <c r="H27" i="1"/>
  <c r="I27" i="1" s="1"/>
  <c r="H93" i="1"/>
  <c r="I93" i="1" s="1"/>
  <c r="J93" i="1"/>
  <c r="K93" i="1" s="1"/>
  <c r="H72" i="1"/>
  <c r="I72" i="1" s="1"/>
  <c r="G3" i="1"/>
  <c r="Z25" i="1"/>
  <c r="O34" i="1"/>
  <c r="N28" i="1"/>
  <c r="Z21" i="1"/>
  <c r="H49" i="1"/>
  <c r="I49" i="1" s="1"/>
  <c r="J49" i="1"/>
  <c r="K49" i="1" s="1"/>
  <c r="J65" i="1"/>
  <c r="K65" i="1" s="1"/>
  <c r="H65" i="1"/>
  <c r="I65" i="1" s="1"/>
  <c r="J58" i="1"/>
  <c r="K58" i="1" s="1"/>
  <c r="H58" i="1"/>
  <c r="I58" i="1" s="1"/>
  <c r="J54" i="1"/>
  <c r="K54" i="1" s="1"/>
  <c r="H54" i="1"/>
  <c r="I54" i="1" s="1"/>
  <c r="J100" i="1"/>
  <c r="K100" i="1" s="1"/>
  <c r="H100" i="1"/>
  <c r="I100" i="1" s="1"/>
  <c r="H75" i="1"/>
  <c r="I75" i="1" s="1"/>
  <c r="J75" i="1"/>
  <c r="K75" i="1" s="1"/>
  <c r="J80" i="1"/>
  <c r="K80" i="1" s="1"/>
  <c r="H80" i="1"/>
  <c r="I80" i="1" s="1"/>
  <c r="J92" i="1"/>
  <c r="K92" i="1" s="1"/>
  <c r="J60" i="1"/>
  <c r="K60" i="1" s="1"/>
  <c r="H60" i="1"/>
  <c r="I60" i="1" s="1"/>
  <c r="H8" i="1"/>
  <c r="I8" i="1" s="1"/>
  <c r="J69" i="1"/>
  <c r="K69" i="1" s="1"/>
  <c r="H69" i="1"/>
  <c r="I69" i="1" s="1"/>
  <c r="J85" i="1"/>
  <c r="K85" i="1" s="1"/>
  <c r="J98" i="1"/>
  <c r="K98" i="1" s="1"/>
  <c r="H98" i="1"/>
  <c r="I98" i="1" s="1"/>
  <c r="J35" i="1"/>
  <c r="K35" i="1" s="1"/>
  <c r="H35" i="1"/>
  <c r="I35" i="1" s="1"/>
  <c r="H41" i="1"/>
  <c r="I41" i="1" s="1"/>
  <c r="J78" i="1"/>
  <c r="K78" i="1" s="1"/>
  <c r="H78" i="1"/>
  <c r="I78" i="1" s="1"/>
  <c r="H94" i="1"/>
  <c r="I94" i="1" s="1"/>
  <c r="H103" i="1"/>
  <c r="I103" i="1" s="1"/>
  <c r="H107" i="1"/>
  <c r="I107" i="1" s="1"/>
  <c r="J7" i="1"/>
  <c r="K7" i="1" s="1"/>
  <c r="H7" i="1"/>
  <c r="I7" i="1" s="1"/>
  <c r="H83" i="1"/>
  <c r="I83" i="1" s="1"/>
  <c r="H51" i="1"/>
  <c r="I51" i="1" s="1"/>
  <c r="J51" i="1"/>
  <c r="K51" i="1" s="1"/>
  <c r="J89" i="1"/>
  <c r="K89" i="1" s="1"/>
  <c r="H89" i="1"/>
  <c r="I89" i="1" s="1"/>
  <c r="H97" i="1"/>
  <c r="I97" i="1" s="1"/>
  <c r="J97" i="1"/>
  <c r="K97" i="1" s="1"/>
  <c r="J31" i="1"/>
  <c r="K31" i="1" s="1"/>
  <c r="H31" i="1"/>
  <c r="I31" i="1" s="1"/>
  <c r="J52" i="1"/>
  <c r="K52" i="1" s="1"/>
  <c r="J32" i="1"/>
  <c r="K32" i="1" s="1"/>
  <c r="H32" i="1"/>
  <c r="I32" i="1" s="1"/>
  <c r="H38" i="1"/>
  <c r="I38" i="1" s="1"/>
  <c r="J38" i="1"/>
  <c r="K38" i="1" s="1"/>
  <c r="H21" i="1"/>
  <c r="I21" i="1" s="1"/>
  <c r="J21" i="1"/>
  <c r="K21" i="1" s="1"/>
  <c r="J53" i="1"/>
  <c r="K53" i="1" s="1"/>
  <c r="H53" i="1"/>
  <c r="I53" i="1" s="1"/>
  <c r="J86" i="1"/>
  <c r="K86" i="1" s="1"/>
  <c r="H86" i="1"/>
  <c r="I86" i="1" s="1"/>
  <c r="H99" i="1"/>
  <c r="I99" i="1" s="1"/>
  <c r="J99" i="1"/>
  <c r="K99" i="1" s="1"/>
  <c r="J29" i="1"/>
  <c r="K29" i="1" s="1"/>
  <c r="H29" i="1"/>
  <c r="I29" i="1" s="1"/>
  <c r="J39" i="1"/>
  <c r="K39" i="1" s="1"/>
  <c r="H39" i="1"/>
  <c r="I39" i="1" s="1"/>
  <c r="J43" i="1"/>
  <c r="K43" i="1" s="1"/>
  <c r="H43" i="1"/>
  <c r="I43" i="1" s="1"/>
  <c r="J56" i="1"/>
  <c r="K56" i="1" s="1"/>
  <c r="H56" i="1"/>
  <c r="I56" i="1" s="1"/>
  <c r="H64" i="1"/>
  <c r="I64" i="1" s="1"/>
  <c r="J64" i="1"/>
  <c r="K64" i="1" s="1"/>
  <c r="H82" i="1"/>
  <c r="I82" i="1" s="1"/>
  <c r="J82" i="1"/>
  <c r="K82" i="1" s="1"/>
  <c r="E2" i="1"/>
  <c r="H6" i="1"/>
  <c r="I6" i="1" s="1"/>
  <c r="H70" i="1"/>
  <c r="I70" i="1" s="1"/>
  <c r="H74" i="1"/>
  <c r="I74" i="1" s="1"/>
  <c r="Z30" i="1"/>
  <c r="Z31" i="1"/>
  <c r="AA30" i="1"/>
  <c r="M38" i="1"/>
  <c r="O37" i="1"/>
  <c r="P37" i="1" s="1"/>
  <c r="O33" i="1" l="1"/>
  <c r="N34" i="1"/>
  <c r="Z27" i="1"/>
  <c r="Z26" i="1" s="1"/>
  <c r="AA25" i="1"/>
  <c r="AE30" i="1"/>
  <c r="AD30" i="1"/>
  <c r="AB30" i="1"/>
  <c r="AC30" i="1" s="1"/>
  <c r="J2" i="1"/>
  <c r="K2" i="1" s="1"/>
  <c r="H2" i="1"/>
  <c r="I2" i="1" s="1"/>
  <c r="N32" i="1"/>
  <c r="P32" i="1" s="1"/>
  <c r="N24" i="1"/>
  <c r="N26" i="1"/>
  <c r="AE31" i="1"/>
  <c r="AD31" i="1"/>
  <c r="AB31" i="1"/>
  <c r="AC31" i="1" s="1"/>
  <c r="J4" i="1"/>
  <c r="K4" i="1" s="1"/>
  <c r="H4" i="1"/>
  <c r="I4" i="1" s="1"/>
  <c r="Z18" i="1" l="1"/>
  <c r="AB25" i="1"/>
  <c r="AA26" i="1"/>
  <c r="N33" i="1"/>
  <c r="Q26" i="1"/>
  <c r="Q24" i="1"/>
  <c r="Q25" i="1" s="1"/>
  <c r="R37" i="1" l="1"/>
  <c r="S37" i="1"/>
  <c r="S38" i="1"/>
  <c r="Q40" i="1"/>
  <c r="R40" i="1"/>
  <c r="Q38" i="1"/>
  <c r="S40" i="1"/>
  <c r="R38" i="1"/>
  <c r="R39" i="1"/>
  <c r="S39" i="1"/>
  <c r="Q37" i="1"/>
  <c r="Q39" i="1"/>
  <c r="P33" i="1"/>
  <c r="AB26" i="1"/>
  <c r="Z20" i="1" s="1"/>
  <c r="AC17" i="1"/>
  <c r="AC18" i="1" s="1"/>
  <c r="AC19" i="1"/>
  <c r="AC25" i="1"/>
  <c r="AD25" i="1" s="1"/>
  <c r="AE25" i="1" s="1"/>
  <c r="Z17" i="1"/>
  <c r="Z19" i="1"/>
  <c r="N27" i="1" l="1"/>
  <c r="Q32" i="1"/>
  <c r="R32" i="1" s="1"/>
  <c r="S32" i="1" s="1"/>
</calcChain>
</file>

<file path=xl/sharedStrings.xml><?xml version="1.0" encoding="utf-8"?>
<sst xmlns="http://schemas.openxmlformats.org/spreadsheetml/2006/main" count="132" uniqueCount="38">
  <si>
    <t>Basis</t>
  </si>
  <si>
    <t>Exportable Supply</t>
  </si>
  <si>
    <t>Exports</t>
  </si>
  <si>
    <t>Exportable Supply - Exports</t>
  </si>
  <si>
    <t>BBD Use</t>
  </si>
  <si>
    <t>Basis Lagged</t>
  </si>
  <si>
    <t>Forecast Basis (no BBD Use)</t>
  </si>
  <si>
    <t>Error</t>
  </si>
  <si>
    <t>Forecast Basis (BBD Use)</t>
  </si>
  <si>
    <t>Regression Analysis</t>
  </si>
  <si>
    <t>OVERALL FIT</t>
  </si>
  <si>
    <t>Multiple R</t>
  </si>
  <si>
    <t>AIC</t>
  </si>
  <si>
    <t>R Square</t>
  </si>
  <si>
    <t>AICc</t>
  </si>
  <si>
    <t>Adjusted R Square</t>
  </si>
  <si>
    <t>SBC</t>
  </si>
  <si>
    <t>Standard Error</t>
  </si>
  <si>
    <t>Observations</t>
  </si>
  <si>
    <t>ANOVA</t>
  </si>
  <si>
    <t>Alpha</t>
  </si>
  <si>
    <t>df</t>
  </si>
  <si>
    <t>SS</t>
  </si>
  <si>
    <t>MS</t>
  </si>
  <si>
    <t>F</t>
  </si>
  <si>
    <t>p-value</t>
  </si>
  <si>
    <t>sig</t>
  </si>
  <si>
    <t>Regression</t>
  </si>
  <si>
    <t>Residual</t>
  </si>
  <si>
    <t>Total</t>
  </si>
  <si>
    <t>coeff</t>
  </si>
  <si>
    <t>std err</t>
  </si>
  <si>
    <t>t stat</t>
  </si>
  <si>
    <t>lower</t>
  </si>
  <si>
    <t>upper</t>
  </si>
  <si>
    <t>Intercept</t>
  </si>
  <si>
    <t>vif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</si>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</sst>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Narrow"/>
      <family val="2"/>
    </font>
    <font>
      <b/>
      <sz val="9"/>
      <color theme="1"/>
      <name val="Arial"/>
      <family val="2"/>
    </font>
    <font>
      <i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40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Basis vs. Exportable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782370953630793E-2"/>
                  <c:y val="0.26411818314377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Sheet1!$B$2:$B$109</c:f>
              <c:numCache>
                <c:formatCode>#,##0.00_);[Red]\(#,##0.00\)</c:formatCode>
                <c:ptCount val="108"/>
                <c:pt idx="0">
                  <c:v>42.8673</c:v>
                </c:pt>
                <c:pt idx="1">
                  <c:v>40.812199999999997</c:v>
                </c:pt>
                <c:pt idx="2">
                  <c:v>40.701500000000003</c:v>
                </c:pt>
                <c:pt idx="3">
                  <c:v>39.681399999999996</c:v>
                </c:pt>
                <c:pt idx="4">
                  <c:v>37.824300000000001</c:v>
                </c:pt>
                <c:pt idx="5">
                  <c:v>39.628399999999999</c:v>
                </c:pt>
                <c:pt idx="6">
                  <c:v>42.230499999999999</c:v>
                </c:pt>
                <c:pt idx="7">
                  <c:v>42.37</c:v>
                </c:pt>
                <c:pt idx="8">
                  <c:v>40.6248</c:v>
                </c:pt>
                <c:pt idx="9">
                  <c:v>39.533799999999999</c:v>
                </c:pt>
                <c:pt idx="10">
                  <c:v>36.954099999999997</c:v>
                </c:pt>
                <c:pt idx="11">
                  <c:v>33.855699999999999</c:v>
                </c:pt>
                <c:pt idx="12">
                  <c:v>42.445500000000003</c:v>
                </c:pt>
                <c:pt idx="13">
                  <c:v>32.794800000000002</c:v>
                </c:pt>
                <c:pt idx="14">
                  <c:v>32.722099999999998</c:v>
                </c:pt>
                <c:pt idx="15">
                  <c:v>32.059100000000001</c:v>
                </c:pt>
                <c:pt idx="16">
                  <c:v>32.186</c:v>
                </c:pt>
                <c:pt idx="17">
                  <c:v>31.657900000000001</c:v>
                </c:pt>
                <c:pt idx="18">
                  <c:v>31.072299999999998</c:v>
                </c:pt>
                <c:pt idx="19">
                  <c:v>31.373799999999999</c:v>
                </c:pt>
                <c:pt idx="20">
                  <c:v>32.587499999999999</c:v>
                </c:pt>
                <c:pt idx="21">
                  <c:v>33.476799999999997</c:v>
                </c:pt>
                <c:pt idx="22">
                  <c:v>31.6023</c:v>
                </c:pt>
                <c:pt idx="23">
                  <c:v>28.573799999999999</c:v>
                </c:pt>
                <c:pt idx="24">
                  <c:v>32.299500000000002</c:v>
                </c:pt>
                <c:pt idx="25">
                  <c:v>28.377700000000001</c:v>
                </c:pt>
                <c:pt idx="26">
                  <c:v>27.884</c:v>
                </c:pt>
                <c:pt idx="27">
                  <c:v>30.822700000000001</c:v>
                </c:pt>
                <c:pt idx="28">
                  <c:v>30.012599999999999</c:v>
                </c:pt>
                <c:pt idx="29">
                  <c:v>31.157499999999999</c:v>
                </c:pt>
                <c:pt idx="30">
                  <c:v>32.476399999999998</c:v>
                </c:pt>
                <c:pt idx="31">
                  <c:v>33.9529</c:v>
                </c:pt>
                <c:pt idx="32">
                  <c:v>32.2057</c:v>
                </c:pt>
                <c:pt idx="33">
                  <c:v>31.914999999999999</c:v>
                </c:pt>
                <c:pt idx="34">
                  <c:v>30.401499999999999</c:v>
                </c:pt>
                <c:pt idx="35">
                  <c:v>32.326999999999998</c:v>
                </c:pt>
                <c:pt idx="36">
                  <c:v>26.809000000000001</c:v>
                </c:pt>
                <c:pt idx="37">
                  <c:v>34.444800000000001</c:v>
                </c:pt>
                <c:pt idx="38">
                  <c:v>35.036200000000001</c:v>
                </c:pt>
                <c:pt idx="39">
                  <c:v>36.395699999999998</c:v>
                </c:pt>
                <c:pt idx="40">
                  <c:v>35.111499999999999</c:v>
                </c:pt>
                <c:pt idx="41">
                  <c:v>33.698399999999999</c:v>
                </c:pt>
                <c:pt idx="42">
                  <c:v>32.93</c:v>
                </c:pt>
                <c:pt idx="43">
                  <c:v>31.538399999999999</c:v>
                </c:pt>
                <c:pt idx="44">
                  <c:v>32.490900000000003</c:v>
                </c:pt>
                <c:pt idx="45">
                  <c:v>31.970500000000001</c:v>
                </c:pt>
                <c:pt idx="46">
                  <c:v>33.548499999999997</c:v>
                </c:pt>
                <c:pt idx="47">
                  <c:v>33.869999999999997</c:v>
                </c:pt>
                <c:pt idx="48">
                  <c:v>32.812899999999999</c:v>
                </c:pt>
                <c:pt idx="49">
                  <c:v>33.6</c:v>
                </c:pt>
                <c:pt idx="50">
                  <c:v>34.409999999999997</c:v>
                </c:pt>
                <c:pt idx="51">
                  <c:v>33.14</c:v>
                </c:pt>
                <c:pt idx="52">
                  <c:v>32.950000000000003</c:v>
                </c:pt>
                <c:pt idx="53">
                  <c:v>32.18</c:v>
                </c:pt>
                <c:pt idx="54">
                  <c:v>31.85</c:v>
                </c:pt>
                <c:pt idx="55">
                  <c:v>31.35</c:v>
                </c:pt>
                <c:pt idx="56">
                  <c:v>31</c:v>
                </c:pt>
                <c:pt idx="57">
                  <c:v>29.82</c:v>
                </c:pt>
                <c:pt idx="58">
                  <c:v>28.36</c:v>
                </c:pt>
                <c:pt idx="59">
                  <c:v>28.33</c:v>
                </c:pt>
                <c:pt idx="60">
                  <c:v>34.28</c:v>
                </c:pt>
                <c:pt idx="61">
                  <c:v>29.051739130434775</c:v>
                </c:pt>
                <c:pt idx="62">
                  <c:v>27.69</c:v>
                </c:pt>
                <c:pt idx="63">
                  <c:v>28.32</c:v>
                </c:pt>
                <c:pt idx="64">
                  <c:v>29.000952380952373</c:v>
                </c:pt>
                <c:pt idx="65">
                  <c:v>30.23</c:v>
                </c:pt>
                <c:pt idx="66">
                  <c:v>29.38</c:v>
                </c:pt>
                <c:pt idx="67">
                  <c:v>28.556666666666668</c:v>
                </c:pt>
                <c:pt idx="68">
                  <c:v>27.230454545454549</c:v>
                </c:pt>
                <c:pt idx="69">
                  <c:v>27.85</c:v>
                </c:pt>
                <c:pt idx="70">
                  <c:v>28.054999999999996</c:v>
                </c:pt>
                <c:pt idx="71">
                  <c:v>28.569999999999997</c:v>
                </c:pt>
                <c:pt idx="72">
                  <c:v>28.26</c:v>
                </c:pt>
                <c:pt idx="73">
                  <c:v>30.28</c:v>
                </c:pt>
                <c:pt idx="74">
                  <c:v>30.957999999999998</c:v>
                </c:pt>
                <c:pt idx="75">
                  <c:v>32.689523809523813</c:v>
                </c:pt>
                <c:pt idx="76">
                  <c:v>33.150952380952383</c:v>
                </c:pt>
                <c:pt idx="77">
                  <c:v>30.248421052631581</c:v>
                </c:pt>
                <c:pt idx="78">
                  <c:v>27.017727272727271</c:v>
                </c:pt>
                <c:pt idx="79">
                  <c:v>26.202857142857148</c:v>
                </c:pt>
                <c:pt idx="80">
                  <c:v>26.708999999999996</c:v>
                </c:pt>
                <c:pt idx="81">
                  <c:v>27.891363636363643</c:v>
                </c:pt>
                <c:pt idx="82">
                  <c:v>29.206818181818178</c:v>
                </c:pt>
                <c:pt idx="83">
                  <c:v>31.59238095238096</c:v>
                </c:pt>
                <c:pt idx="84">
                  <c:v>29.063000000000006</c:v>
                </c:pt>
                <c:pt idx="85">
                  <c:v>33.276818181818186</c:v>
                </c:pt>
                <c:pt idx="86">
                  <c:v>36.862499999999997</c:v>
                </c:pt>
                <c:pt idx="87">
                  <c:v>39.571363636363643</c:v>
                </c:pt>
                <c:pt idx="88">
                  <c:v>43.154210526315786</c:v>
                </c:pt>
                <c:pt idx="89">
                  <c:v>46.94631578947368</c:v>
                </c:pt>
                <c:pt idx="90">
                  <c:v>53.370000000000012</c:v>
                </c:pt>
                <c:pt idx="91">
                  <c:v>58.235714285714302</c:v>
                </c:pt>
                <c:pt idx="92">
                  <c:v>65.639500000000012</c:v>
                </c:pt>
                <c:pt idx="93">
                  <c:v>65.243181818181839</c:v>
                </c:pt>
                <c:pt idx="94">
                  <c:v>64.936190476190475</c:v>
                </c:pt>
                <c:pt idx="95">
                  <c:v>61.464090909090899</c:v>
                </c:pt>
                <c:pt idx="96">
                  <c:v>33.51047619047619</c:v>
                </c:pt>
                <c:pt idx="97">
                  <c:v>61.246190476190478</c:v>
                </c:pt>
                <c:pt idx="98">
                  <c:v>59.234761904761896</c:v>
                </c:pt>
                <c:pt idx="99">
                  <c:v>55.209545454545463</c:v>
                </c:pt>
                <c:pt idx="100">
                  <c:v>60.679999999999993</c:v>
                </c:pt>
                <c:pt idx="101">
                  <c:v>67.012631578947364</c:v>
                </c:pt>
                <c:pt idx="102">
                  <c:v>74.006521739130449</c:v>
                </c:pt>
                <c:pt idx="103">
                  <c:v>79.201999999999998</c:v>
                </c:pt>
                <c:pt idx="104">
                  <c:v>81.004761904761907</c:v>
                </c:pt>
                <c:pt idx="105">
                  <c:v>76.33</c:v>
                </c:pt>
                <c:pt idx="106">
                  <c:v>61.398000000000003</c:v>
                </c:pt>
                <c:pt idx="107">
                  <c:v>67.486956521739117</c:v>
                </c:pt>
              </c:numCache>
            </c:numRef>
          </c:xVal>
          <c:yVal>
            <c:numRef>
              <c:f>Sheet1!$C$2:$C$110</c:f>
              <c:numCache>
                <c:formatCode>#,##0</c:formatCode>
                <c:ptCount val="109"/>
                <c:pt idx="0">
                  <c:v>48.637999999999998</c:v>
                </c:pt>
                <c:pt idx="1">
                  <c:v>47.160899999999998</c:v>
                </c:pt>
                <c:pt idx="2">
                  <c:v>43.981499999999997</c:v>
                </c:pt>
                <c:pt idx="3">
                  <c:v>42.730499999999999</c:v>
                </c:pt>
                <c:pt idx="4">
                  <c:v>40.824300000000001</c:v>
                </c:pt>
                <c:pt idx="5">
                  <c:v>42.642600000000002</c:v>
                </c:pt>
                <c:pt idx="6">
                  <c:v>44.147100000000002</c:v>
                </c:pt>
                <c:pt idx="7">
                  <c:v>44.762900000000002</c:v>
                </c:pt>
                <c:pt idx="8">
                  <c:v>44.114800000000002</c:v>
                </c:pt>
                <c:pt idx="9">
                  <c:v>43.6267</c:v>
                </c:pt>
                <c:pt idx="10">
                  <c:v>41.756399999999999</c:v>
                </c:pt>
                <c:pt idx="11">
                  <c:v>39.138599999999997</c:v>
                </c:pt>
                <c:pt idx="12">
                  <c:v>37.836199999999998</c:v>
                </c:pt>
                <c:pt idx="13">
                  <c:v>38.316499999999998</c:v>
                </c:pt>
                <c:pt idx="14">
                  <c:v>37.3932</c:v>
                </c:pt>
                <c:pt idx="15">
                  <c:v>35.390500000000003</c:v>
                </c:pt>
                <c:pt idx="16">
                  <c:v>35.077500000000001</c:v>
                </c:pt>
                <c:pt idx="17">
                  <c:v>33.789499999999997</c:v>
                </c:pt>
                <c:pt idx="18">
                  <c:v>33.247100000000003</c:v>
                </c:pt>
                <c:pt idx="19">
                  <c:v>35.381100000000004</c:v>
                </c:pt>
                <c:pt idx="20">
                  <c:v>35.650500000000001</c:v>
                </c:pt>
                <c:pt idx="21">
                  <c:v>36.537300000000002</c:v>
                </c:pt>
                <c:pt idx="22">
                  <c:v>34.613599999999998</c:v>
                </c:pt>
                <c:pt idx="23">
                  <c:v>31.4771</c:v>
                </c:pt>
                <c:pt idx="24">
                  <c:v>28.5471</c:v>
                </c:pt>
                <c:pt idx="25">
                  <c:v>29.8005</c:v>
                </c:pt>
                <c:pt idx="26">
                  <c:v>29.0715</c:v>
                </c:pt>
                <c:pt idx="27">
                  <c:v>32.013599999999997</c:v>
                </c:pt>
                <c:pt idx="28">
                  <c:v>31.2942</c:v>
                </c:pt>
                <c:pt idx="29">
                  <c:v>32.157499999999999</c:v>
                </c:pt>
                <c:pt idx="30">
                  <c:v>33.476399999999998</c:v>
                </c:pt>
                <c:pt idx="31">
                  <c:v>34.941000000000003</c:v>
                </c:pt>
                <c:pt idx="32">
                  <c:v>33.078600000000002</c:v>
                </c:pt>
                <c:pt idx="33">
                  <c:v>33.017299999999999</c:v>
                </c:pt>
                <c:pt idx="34">
                  <c:v>31.5</c:v>
                </c:pt>
                <c:pt idx="35">
                  <c:v>34.055700000000002</c:v>
                </c:pt>
                <c:pt idx="36">
                  <c:v>35.465200000000003</c:v>
                </c:pt>
                <c:pt idx="37">
                  <c:v>36.134300000000003</c:v>
                </c:pt>
                <c:pt idx="38">
                  <c:v>36.786200000000001</c:v>
                </c:pt>
                <c:pt idx="39">
                  <c:v>37.848100000000002</c:v>
                </c:pt>
                <c:pt idx="40">
                  <c:v>36.111499999999999</c:v>
                </c:pt>
                <c:pt idx="41">
                  <c:v>34.782600000000002</c:v>
                </c:pt>
                <c:pt idx="42">
                  <c:v>33.362200000000001</c:v>
                </c:pt>
                <c:pt idx="43">
                  <c:v>32.117400000000004</c:v>
                </c:pt>
                <c:pt idx="44">
                  <c:v>33.204099999999997</c:v>
                </c:pt>
                <c:pt idx="45">
                  <c:v>33.277299999999997</c:v>
                </c:pt>
                <c:pt idx="46">
                  <c:v>35.21</c:v>
                </c:pt>
                <c:pt idx="47">
                  <c:v>35.659599999999998</c:v>
                </c:pt>
                <c:pt idx="48">
                  <c:v>35.792499999999997</c:v>
                </c:pt>
                <c:pt idx="49">
                  <c:v>34.637700000000002</c:v>
                </c:pt>
                <c:pt idx="50">
                  <c:v>35.815199999999997</c:v>
                </c:pt>
                <c:pt idx="51">
                  <c:v>34.683500000000002</c:v>
                </c:pt>
                <c:pt idx="52">
                  <c:v>34.326700000000002</c:v>
                </c:pt>
                <c:pt idx="53">
                  <c:v>33.142600000000002</c:v>
                </c:pt>
                <c:pt idx="54">
                  <c:v>32.784799999999997</c:v>
                </c:pt>
                <c:pt idx="55">
                  <c:v>32.198599999999999</c:v>
                </c:pt>
                <c:pt idx="56">
                  <c:v>31.936800000000002</c:v>
                </c:pt>
                <c:pt idx="57">
                  <c:v>30.721</c:v>
                </c:pt>
                <c:pt idx="58">
                  <c:v>29.685700000000001</c:v>
                </c:pt>
                <c:pt idx="59">
                  <c:v>30.17</c:v>
                </c:pt>
                <c:pt idx="60">
                  <c:v>30.276299999999999</c:v>
                </c:pt>
                <c:pt idx="61">
                  <c:v>31.438700000000001</c:v>
                </c:pt>
                <c:pt idx="62">
                  <c:v>30.943300000000001</c:v>
                </c:pt>
                <c:pt idx="63">
                  <c:v>31.872499999999999</c:v>
                </c:pt>
                <c:pt idx="64">
                  <c:v>32.317599999999999</c:v>
                </c:pt>
                <c:pt idx="65">
                  <c:v>32.904699999999998</c:v>
                </c:pt>
                <c:pt idx="66">
                  <c:v>31.79</c:v>
                </c:pt>
                <c:pt idx="67">
                  <c:v>31.028099999999998</c:v>
                </c:pt>
                <c:pt idx="68">
                  <c:v>30.131399999999999</c:v>
                </c:pt>
                <c:pt idx="69">
                  <c:v>31.390499999999999</c:v>
                </c:pt>
                <c:pt idx="70">
                  <c:v>31.423200000000001</c:v>
                </c:pt>
                <c:pt idx="71">
                  <c:v>31.520900000000001</c:v>
                </c:pt>
                <c:pt idx="72">
                  <c:v>31.963000000000001</c:v>
                </c:pt>
                <c:pt idx="73">
                  <c:v>33.269100000000002</c:v>
                </c:pt>
                <c:pt idx="74">
                  <c:v>33.766500000000001</c:v>
                </c:pt>
                <c:pt idx="75">
                  <c:v>35.382399999999997</c:v>
                </c:pt>
                <c:pt idx="76">
                  <c:v>36.0929</c:v>
                </c:pt>
                <c:pt idx="77">
                  <c:v>33.432600000000001</c:v>
                </c:pt>
                <c:pt idx="78">
                  <c:v>30.1768</c:v>
                </c:pt>
                <c:pt idx="79">
                  <c:v>28.802900000000001</c:v>
                </c:pt>
                <c:pt idx="80">
                  <c:v>28.418500000000002</c:v>
                </c:pt>
                <c:pt idx="81">
                  <c:v>29.764099999999999</c:v>
                </c:pt>
                <c:pt idx="82">
                  <c:v>31.8109</c:v>
                </c:pt>
                <c:pt idx="83">
                  <c:v>35.142899999999997</c:v>
                </c:pt>
                <c:pt idx="84">
                  <c:v>37.217599999999997</c:v>
                </c:pt>
                <c:pt idx="85">
                  <c:v>37.026800000000001</c:v>
                </c:pt>
                <c:pt idx="86">
                  <c:v>41.102499999999999</c:v>
                </c:pt>
                <c:pt idx="87">
                  <c:v>45.719099999999997</c:v>
                </c:pt>
                <c:pt idx="88">
                  <c:v>49.417400000000001</c:v>
                </c:pt>
                <c:pt idx="89">
                  <c:v>52.604199999999999</c:v>
                </c:pt>
                <c:pt idx="90">
                  <c:v>62.609099999999998</c:v>
                </c:pt>
                <c:pt idx="91">
                  <c:v>71.7667</c:v>
                </c:pt>
                <c:pt idx="92">
                  <c:v>92.789500000000004</c:v>
                </c:pt>
                <c:pt idx="93">
                  <c:v>97.356800000000007</c:v>
                </c:pt>
                <c:pt idx="94">
                  <c:v>92.793300000000002</c:v>
                </c:pt>
                <c:pt idx="95">
                  <c:v>82.827699999999993</c:v>
                </c:pt>
                <c:pt idx="96">
                  <c:v>75.1571</c:v>
                </c:pt>
                <c:pt idx="97">
                  <c:v>79.650999999999996</c:v>
                </c:pt>
                <c:pt idx="98">
                  <c:v>77.377600000000001</c:v>
                </c:pt>
                <c:pt idx="99">
                  <c:v>73.038600000000002</c:v>
                </c:pt>
                <c:pt idx="100">
                  <c:v>75.567499999999995</c:v>
                </c:pt>
                <c:pt idx="101">
                  <c:v>79.657399999999996</c:v>
                </c:pt>
                <c:pt idx="102">
                  <c:v>91.289100000000005</c:v>
                </c:pt>
                <c:pt idx="103">
                  <c:v>96.501999999999995</c:v>
                </c:pt>
                <c:pt idx="104">
                  <c:v>104.0286</c:v>
                </c:pt>
                <c:pt idx="105">
                  <c:v>98.782399999999996</c:v>
                </c:pt>
                <c:pt idx="106">
                  <c:v>81.498000000000005</c:v>
                </c:pt>
                <c:pt idx="107">
                  <c:v>85.409099999999995</c:v>
                </c:pt>
                <c:pt idx="108">
                  <c:v>83.801900000000003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E-453F-8183-FD5F4C2DE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66719"/>
        <c:axId val="152182135"/>
      </c:scatterChart>
      <c:valAx>
        <c:axId val="15216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2135"/>
        <c:crosses val="autoZero"/>
        <c:crossBetween val="midCat"/>
      </c:valAx>
      <c:valAx>
        <c:axId val="15218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6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1</xdr:row>
      <xdr:rowOff>14287</xdr:rowOff>
    </xdr:from>
    <xdr:to>
      <xdr:col>20</xdr:col>
      <xdr:colOff>309562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198A0-3D5F-4E40-9302-9586C8203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gulfbasisanalysis%20-%20HOBO.xlsx" TargetMode="External"/><Relationship Id="rId1" Type="http://schemas.openxmlformats.org/officeDocument/2006/relationships/externalLinkPath" Target="/Users/torem/Dropbox/FM%20Files/HOBO/Biofuel%20Model/gulfbasisanalysis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tore_alden_fastmarkets_com/Documents/TJTeam%20-%20Documents/Soybean%20Spreadsheets/usoilseedbal.xlsx" TargetMode="External"/><Relationship Id="rId1" Type="http://schemas.openxmlformats.org/officeDocument/2006/relationships/externalLinkPath" Target="https://fmpra-my.sharepoint.com/personal/tore_alden_fastmarkets_com/Documents/TJTeam%20-%20Documents/Soybean%20Spreadsheets/usoilseedb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%20(The%20Jacobsen)/The%20Jacobsen%20Team%20Folder/Soybean%20Spreadsheet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42.8673</v>
          </cell>
          <cell r="C2">
            <v>48.637999999999998</v>
          </cell>
        </row>
        <row r="3">
          <cell r="B3">
            <v>40.812199999999997</v>
          </cell>
          <cell r="C3">
            <v>47.160899999999998</v>
          </cell>
        </row>
        <row r="4">
          <cell r="B4">
            <v>40.701500000000003</v>
          </cell>
          <cell r="C4">
            <v>43.981499999999997</v>
          </cell>
        </row>
        <row r="5">
          <cell r="B5">
            <v>39.681399999999996</v>
          </cell>
          <cell r="C5">
            <v>42.730499999999999</v>
          </cell>
        </row>
        <row r="6">
          <cell r="B6">
            <v>37.824300000000001</v>
          </cell>
          <cell r="C6">
            <v>40.824300000000001</v>
          </cell>
        </row>
        <row r="7">
          <cell r="B7">
            <v>39.628399999999999</v>
          </cell>
          <cell r="C7">
            <v>42.642600000000002</v>
          </cell>
        </row>
        <row r="8">
          <cell r="B8">
            <v>42.230499999999999</v>
          </cell>
          <cell r="C8">
            <v>44.147100000000002</v>
          </cell>
        </row>
        <row r="9">
          <cell r="B9">
            <v>42.37</v>
          </cell>
          <cell r="C9">
            <v>44.762900000000002</v>
          </cell>
        </row>
        <row r="10">
          <cell r="B10">
            <v>40.6248</v>
          </cell>
          <cell r="C10">
            <v>44.114800000000002</v>
          </cell>
        </row>
        <row r="11">
          <cell r="B11">
            <v>39.533799999999999</v>
          </cell>
          <cell r="C11">
            <v>43.6267</v>
          </cell>
        </row>
        <row r="12">
          <cell r="B12">
            <v>36.954099999999997</v>
          </cell>
          <cell r="C12">
            <v>41.756399999999999</v>
          </cell>
        </row>
        <row r="13">
          <cell r="B13">
            <v>33.855699999999999</v>
          </cell>
          <cell r="C13">
            <v>39.138599999999997</v>
          </cell>
        </row>
        <row r="14">
          <cell r="B14">
            <v>42.445500000000003</v>
          </cell>
          <cell r="C14">
            <v>37.836199999999998</v>
          </cell>
        </row>
        <row r="15">
          <cell r="B15">
            <v>32.794800000000002</v>
          </cell>
          <cell r="C15">
            <v>38.316499999999998</v>
          </cell>
        </row>
        <row r="16">
          <cell r="B16">
            <v>32.722099999999998</v>
          </cell>
          <cell r="C16">
            <v>37.3932</v>
          </cell>
        </row>
        <row r="17">
          <cell r="B17">
            <v>32.059100000000001</v>
          </cell>
          <cell r="C17">
            <v>35.390500000000003</v>
          </cell>
        </row>
        <row r="18">
          <cell r="B18">
            <v>32.186</v>
          </cell>
          <cell r="C18">
            <v>35.077500000000001</v>
          </cell>
        </row>
        <row r="19">
          <cell r="B19">
            <v>31.657900000000001</v>
          </cell>
          <cell r="C19">
            <v>33.789499999999997</v>
          </cell>
        </row>
        <row r="20">
          <cell r="B20">
            <v>31.072299999999998</v>
          </cell>
          <cell r="C20">
            <v>33.247100000000003</v>
          </cell>
        </row>
        <row r="21">
          <cell r="B21">
            <v>31.373799999999999</v>
          </cell>
          <cell r="C21">
            <v>35.381100000000004</v>
          </cell>
        </row>
        <row r="22">
          <cell r="B22">
            <v>32.587499999999999</v>
          </cell>
          <cell r="C22">
            <v>35.650500000000001</v>
          </cell>
        </row>
        <row r="23">
          <cell r="B23">
            <v>33.476799999999997</v>
          </cell>
          <cell r="C23">
            <v>36.537300000000002</v>
          </cell>
        </row>
        <row r="24">
          <cell r="B24">
            <v>31.6023</v>
          </cell>
          <cell r="C24">
            <v>34.613599999999998</v>
          </cell>
        </row>
        <row r="25">
          <cell r="B25">
            <v>28.573799999999999</v>
          </cell>
          <cell r="C25">
            <v>31.4771</v>
          </cell>
        </row>
        <row r="26">
          <cell r="B26">
            <v>32.299500000000002</v>
          </cell>
          <cell r="C26">
            <v>28.5471</v>
          </cell>
        </row>
        <row r="27">
          <cell r="B27">
            <v>28.377700000000001</v>
          </cell>
          <cell r="C27">
            <v>29.8005</v>
          </cell>
        </row>
        <row r="28">
          <cell r="B28">
            <v>27.884</v>
          </cell>
          <cell r="C28">
            <v>29.0715</v>
          </cell>
        </row>
        <row r="29">
          <cell r="B29">
            <v>30.822700000000001</v>
          </cell>
          <cell r="C29">
            <v>32.013599999999997</v>
          </cell>
        </row>
        <row r="30">
          <cell r="B30">
            <v>30.012599999999999</v>
          </cell>
          <cell r="C30">
            <v>31.2942</v>
          </cell>
        </row>
        <row r="31">
          <cell r="B31">
            <v>31.157499999999999</v>
          </cell>
          <cell r="C31">
            <v>32.157499999999999</v>
          </cell>
        </row>
        <row r="32">
          <cell r="B32">
            <v>32.476399999999998</v>
          </cell>
          <cell r="C32">
            <v>33.476399999999998</v>
          </cell>
        </row>
        <row r="33">
          <cell r="B33">
            <v>33.9529</v>
          </cell>
          <cell r="C33">
            <v>34.941000000000003</v>
          </cell>
        </row>
        <row r="34">
          <cell r="B34">
            <v>32.2057</v>
          </cell>
          <cell r="C34">
            <v>33.078600000000002</v>
          </cell>
        </row>
        <row r="35">
          <cell r="B35">
            <v>31.914999999999999</v>
          </cell>
          <cell r="C35">
            <v>33.017299999999999</v>
          </cell>
        </row>
        <row r="36">
          <cell r="B36">
            <v>30.401499999999999</v>
          </cell>
          <cell r="C36">
            <v>31.5</v>
          </cell>
        </row>
        <row r="37">
          <cell r="B37">
            <v>32.326999999999998</v>
          </cell>
          <cell r="C37">
            <v>34.055700000000002</v>
          </cell>
        </row>
        <row r="38">
          <cell r="B38">
            <v>26.809000000000001</v>
          </cell>
          <cell r="C38">
            <v>35.465200000000003</v>
          </cell>
        </row>
        <row r="39">
          <cell r="B39">
            <v>34.444800000000001</v>
          </cell>
          <cell r="C39">
            <v>36.134300000000003</v>
          </cell>
        </row>
        <row r="40">
          <cell r="B40">
            <v>35.036200000000001</v>
          </cell>
          <cell r="C40">
            <v>36.786200000000001</v>
          </cell>
        </row>
        <row r="41">
          <cell r="B41">
            <v>36.395699999999998</v>
          </cell>
          <cell r="C41">
            <v>37.848100000000002</v>
          </cell>
        </row>
        <row r="42">
          <cell r="B42">
            <v>35.111499999999999</v>
          </cell>
          <cell r="C42">
            <v>36.111499999999999</v>
          </cell>
        </row>
        <row r="43">
          <cell r="B43">
            <v>33.698399999999999</v>
          </cell>
          <cell r="C43">
            <v>34.782600000000002</v>
          </cell>
        </row>
        <row r="44">
          <cell r="B44">
            <v>32.93</v>
          </cell>
          <cell r="C44">
            <v>33.362200000000001</v>
          </cell>
        </row>
        <row r="45">
          <cell r="B45">
            <v>31.538399999999999</v>
          </cell>
          <cell r="C45">
            <v>32.117400000000004</v>
          </cell>
        </row>
        <row r="46">
          <cell r="B46">
            <v>32.490900000000003</v>
          </cell>
          <cell r="C46">
            <v>33.204099999999997</v>
          </cell>
        </row>
        <row r="47">
          <cell r="B47">
            <v>31.970500000000001</v>
          </cell>
          <cell r="C47">
            <v>33.277299999999997</v>
          </cell>
        </row>
        <row r="48">
          <cell r="B48">
            <v>33.548499999999997</v>
          </cell>
          <cell r="C48">
            <v>35.21</v>
          </cell>
        </row>
        <row r="49">
          <cell r="B49">
            <v>33.869999999999997</v>
          </cell>
          <cell r="C49">
            <v>35.659599999999998</v>
          </cell>
        </row>
        <row r="50">
          <cell r="B50">
            <v>32.812899999999999</v>
          </cell>
          <cell r="C50">
            <v>35.792499999999997</v>
          </cell>
        </row>
        <row r="51">
          <cell r="B51">
            <v>33.6</v>
          </cell>
          <cell r="C51">
            <v>34.637700000000002</v>
          </cell>
        </row>
        <row r="52">
          <cell r="B52">
            <v>34.409999999999997</v>
          </cell>
          <cell r="C52">
            <v>35.815199999999997</v>
          </cell>
        </row>
        <row r="53">
          <cell r="B53">
            <v>33.14</v>
          </cell>
          <cell r="C53">
            <v>34.683500000000002</v>
          </cell>
        </row>
        <row r="54">
          <cell r="B54">
            <v>32.950000000000003</v>
          </cell>
          <cell r="C54">
            <v>34.326700000000002</v>
          </cell>
        </row>
        <row r="55">
          <cell r="B55">
            <v>32.18</v>
          </cell>
          <cell r="C55">
            <v>33.142600000000002</v>
          </cell>
        </row>
        <row r="56">
          <cell r="B56">
            <v>31.85</v>
          </cell>
          <cell r="C56">
            <v>32.784799999999997</v>
          </cell>
        </row>
        <row r="57">
          <cell r="B57">
            <v>31.35</v>
          </cell>
          <cell r="C57">
            <v>32.198599999999999</v>
          </cell>
        </row>
        <row r="58">
          <cell r="B58">
            <v>31</v>
          </cell>
          <cell r="C58">
            <v>31.936800000000002</v>
          </cell>
        </row>
        <row r="59">
          <cell r="B59">
            <v>29.82</v>
          </cell>
          <cell r="C59">
            <v>30.721</v>
          </cell>
        </row>
        <row r="60">
          <cell r="B60">
            <v>28.36</v>
          </cell>
          <cell r="C60">
            <v>29.685700000000001</v>
          </cell>
        </row>
        <row r="61">
          <cell r="B61">
            <v>28.33</v>
          </cell>
          <cell r="C61">
            <v>30.17</v>
          </cell>
        </row>
        <row r="62">
          <cell r="B62">
            <v>34.28</v>
          </cell>
          <cell r="C62">
            <v>30.276299999999999</v>
          </cell>
        </row>
        <row r="63">
          <cell r="B63">
            <v>29.051739130434775</v>
          </cell>
          <cell r="C63">
            <v>31.438700000000001</v>
          </cell>
        </row>
        <row r="64">
          <cell r="B64">
            <v>27.69</v>
          </cell>
          <cell r="C64">
            <v>30.943300000000001</v>
          </cell>
        </row>
        <row r="65">
          <cell r="B65">
            <v>28.32</v>
          </cell>
          <cell r="C65">
            <v>31.872499999999999</v>
          </cell>
        </row>
        <row r="66">
          <cell r="B66">
            <v>29.000952380952373</v>
          </cell>
          <cell r="C66">
            <v>32.317599999999999</v>
          </cell>
        </row>
        <row r="67">
          <cell r="B67">
            <v>30.23</v>
          </cell>
          <cell r="C67">
            <v>32.904699999999998</v>
          </cell>
        </row>
        <row r="68">
          <cell r="B68">
            <v>29.38</v>
          </cell>
          <cell r="C68">
            <v>31.79</v>
          </cell>
        </row>
        <row r="69">
          <cell r="B69">
            <v>28.556666666666668</v>
          </cell>
          <cell r="C69">
            <v>31.028099999999998</v>
          </cell>
        </row>
        <row r="70">
          <cell r="B70">
            <v>27.230454545454549</v>
          </cell>
          <cell r="C70">
            <v>30.131399999999999</v>
          </cell>
        </row>
        <row r="71">
          <cell r="B71">
            <v>27.85</v>
          </cell>
          <cell r="C71">
            <v>31.390499999999999</v>
          </cell>
        </row>
        <row r="72">
          <cell r="B72">
            <v>28.054999999999996</v>
          </cell>
          <cell r="C72">
            <v>31.423200000000001</v>
          </cell>
        </row>
        <row r="73">
          <cell r="B73">
            <v>28.569999999999997</v>
          </cell>
          <cell r="C73">
            <v>31.520900000000001</v>
          </cell>
        </row>
        <row r="74">
          <cell r="B74">
            <v>28.26</v>
          </cell>
          <cell r="C74">
            <v>31.963000000000001</v>
          </cell>
        </row>
        <row r="75">
          <cell r="B75">
            <v>30.28</v>
          </cell>
          <cell r="C75">
            <v>33.269100000000002</v>
          </cell>
        </row>
        <row r="76">
          <cell r="B76">
            <v>30.957999999999998</v>
          </cell>
          <cell r="C76">
            <v>33.766500000000001</v>
          </cell>
        </row>
        <row r="77">
          <cell r="B77">
            <v>32.689523809523813</v>
          </cell>
          <cell r="C77">
            <v>35.382399999999997</v>
          </cell>
        </row>
        <row r="78">
          <cell r="B78">
            <v>33.150952380952383</v>
          </cell>
          <cell r="C78">
            <v>36.0929</v>
          </cell>
        </row>
        <row r="79">
          <cell r="B79">
            <v>30.248421052631581</v>
          </cell>
          <cell r="C79">
            <v>33.432600000000001</v>
          </cell>
        </row>
        <row r="80">
          <cell r="B80">
            <v>27.017727272727271</v>
          </cell>
          <cell r="C80">
            <v>30.1768</v>
          </cell>
        </row>
        <row r="81">
          <cell r="B81">
            <v>26.202857142857148</v>
          </cell>
          <cell r="C81">
            <v>28.802900000000001</v>
          </cell>
        </row>
        <row r="82">
          <cell r="B82">
            <v>26.708999999999996</v>
          </cell>
          <cell r="C82">
            <v>28.418500000000002</v>
          </cell>
        </row>
        <row r="83">
          <cell r="B83">
            <v>27.891363636363643</v>
          </cell>
          <cell r="C83">
            <v>29.764099999999999</v>
          </cell>
        </row>
        <row r="84">
          <cell r="B84">
            <v>29.206818181818178</v>
          </cell>
          <cell r="C84">
            <v>31.8109</v>
          </cell>
        </row>
        <row r="85">
          <cell r="B85">
            <v>31.59238095238096</v>
          </cell>
          <cell r="C85">
            <v>35.142899999999997</v>
          </cell>
        </row>
        <row r="86">
          <cell r="B86">
            <v>29.063000000000006</v>
          </cell>
          <cell r="C86">
            <v>37.217599999999997</v>
          </cell>
        </row>
        <row r="87">
          <cell r="B87">
            <v>33.276818181818186</v>
          </cell>
          <cell r="C87">
            <v>37.026800000000001</v>
          </cell>
        </row>
        <row r="88">
          <cell r="B88">
            <v>36.862499999999997</v>
          </cell>
          <cell r="C88">
            <v>41.102499999999999</v>
          </cell>
        </row>
        <row r="89">
          <cell r="B89">
            <v>39.571363636363643</v>
          </cell>
          <cell r="C89">
            <v>45.719099999999997</v>
          </cell>
        </row>
        <row r="90">
          <cell r="B90">
            <v>43.154210526315786</v>
          </cell>
          <cell r="C90">
            <v>49.417400000000001</v>
          </cell>
        </row>
        <row r="91">
          <cell r="B91">
            <v>46.94631578947368</v>
          </cell>
          <cell r="C91">
            <v>52.604199999999999</v>
          </cell>
        </row>
        <row r="92">
          <cell r="B92">
            <v>53.370000000000012</v>
          </cell>
          <cell r="C92">
            <v>62.609099999999998</v>
          </cell>
        </row>
        <row r="93">
          <cell r="B93">
            <v>58.235714285714302</v>
          </cell>
          <cell r="C93">
            <v>71.7667</v>
          </cell>
        </row>
        <row r="94">
          <cell r="B94">
            <v>65.639500000000012</v>
          </cell>
          <cell r="C94">
            <v>92.789500000000004</v>
          </cell>
        </row>
        <row r="95">
          <cell r="B95">
            <v>65.243181818181839</v>
          </cell>
          <cell r="C95">
            <v>97.356800000000007</v>
          </cell>
        </row>
        <row r="96">
          <cell r="B96">
            <v>64.936190476190475</v>
          </cell>
          <cell r="C96">
            <v>92.793300000000002</v>
          </cell>
        </row>
        <row r="97">
          <cell r="B97">
            <v>61.464090909090899</v>
          </cell>
          <cell r="C97">
            <v>82.827699999999993</v>
          </cell>
        </row>
        <row r="98">
          <cell r="B98">
            <v>33.51047619047619</v>
          </cell>
          <cell r="C98">
            <v>75.1571</v>
          </cell>
        </row>
        <row r="99">
          <cell r="B99">
            <v>61.246190476190478</v>
          </cell>
          <cell r="C99">
            <v>79.650999999999996</v>
          </cell>
        </row>
        <row r="100">
          <cell r="B100">
            <v>59.234761904761896</v>
          </cell>
          <cell r="C100">
            <v>77.377600000000001</v>
          </cell>
        </row>
        <row r="101">
          <cell r="B101">
            <v>55.209545454545463</v>
          </cell>
          <cell r="C101">
            <v>73.038600000000002</v>
          </cell>
        </row>
        <row r="102">
          <cell r="B102">
            <v>60.679999999999993</v>
          </cell>
          <cell r="C102">
            <v>75.567499999999995</v>
          </cell>
        </row>
        <row r="103">
          <cell r="B103">
            <v>67.012631578947364</v>
          </cell>
          <cell r="C103">
            <v>79.657399999999996</v>
          </cell>
        </row>
        <row r="104">
          <cell r="B104">
            <v>74.006521739130449</v>
          </cell>
          <cell r="C104">
            <v>91.289100000000005</v>
          </cell>
        </row>
        <row r="105">
          <cell r="B105">
            <v>79.201999999999998</v>
          </cell>
          <cell r="C105">
            <v>96.501999999999995</v>
          </cell>
        </row>
        <row r="106">
          <cell r="B106">
            <v>81.004761904761907</v>
          </cell>
          <cell r="C106">
            <v>104.0286</v>
          </cell>
        </row>
        <row r="107">
          <cell r="B107">
            <v>76.33</v>
          </cell>
          <cell r="C107">
            <v>98.782399999999996</v>
          </cell>
        </row>
        <row r="108">
          <cell r="B108">
            <v>61.398000000000003</v>
          </cell>
          <cell r="C108">
            <v>81.498000000000005</v>
          </cell>
        </row>
        <row r="109">
          <cell r="B109">
            <v>67.486956521739117</v>
          </cell>
          <cell r="C109">
            <v>85.409099999999995</v>
          </cell>
        </row>
        <row r="110">
          <cell r="C110">
            <v>83.801900000000003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Futures v stu"/>
      <sheetName val="Cash v stu"/>
      <sheetName val="Chart10"/>
      <sheetName val="Chart11"/>
      <sheetName val="VO CY Balance Sheets"/>
      <sheetName val="VO MY Balance Sheets"/>
      <sheetName val="Soy Complex"/>
      <sheetName val="Sun Complex"/>
      <sheetName val="Canola Complex"/>
      <sheetName val="Cottonseed Complex"/>
      <sheetName val="Peanut Complex"/>
      <sheetName val="Flaxseed Complex"/>
      <sheetName val="Safflower Complex"/>
      <sheetName val="SBO Dom Use vs Days of Coverage"/>
      <sheetName val="Sheet1"/>
      <sheetName val="Chart13"/>
      <sheetName val="Price Spreads"/>
      <sheetName val="Acreage-Yield Scenario"/>
      <sheetName val="Chart14"/>
      <sheetName val="Chart15"/>
      <sheetName val="SBO Biofuel Use Data"/>
      <sheetName val="Slaughter"/>
      <sheetName val="Chart16"/>
      <sheetName val="Chart17"/>
      <sheetName val="Chart18"/>
      <sheetName val="Chart19"/>
      <sheetName val="Crop Progress"/>
      <sheetName val="Soy Monthly Bal"/>
      <sheetName val="Meal Monthly Bal"/>
      <sheetName val="Meal Domestic Use"/>
      <sheetName val="Meal and Co-Product Dom Use"/>
      <sheetName val="Oil Monthly Bal"/>
      <sheetName val="Chart20"/>
      <sheetName val="Chart21"/>
      <sheetName val="Oil Domestic Use"/>
      <sheetName val="Oil Biodiesel Use"/>
      <sheetName val="Oil Non-Biodiesel Use"/>
      <sheetName val="Chart22"/>
      <sheetName val="Chart23"/>
      <sheetName val="Veg Oil Imports"/>
      <sheetName val="Chart30"/>
      <sheetName val="Chart32"/>
      <sheetName val="Sunflower Meal Monthly Bal"/>
      <sheetName val="Sunflower Oil Monthly Bal"/>
      <sheetName val="Canola USDA Comp"/>
      <sheetName val="Chart34"/>
      <sheetName val="Chart36"/>
      <sheetName val="Chart38"/>
      <sheetName val="Chart42"/>
      <sheetName val="Chart43"/>
      <sheetName val="Chart44"/>
      <sheetName val="Chart45"/>
      <sheetName val="Chart46"/>
      <sheetName val="Canola State Production"/>
      <sheetName val="Canola Meal Monthly Bal"/>
      <sheetName val="Canola Oil Monthly Bal"/>
      <sheetName val="Chart47"/>
      <sheetName val="Chart48"/>
      <sheetName val="Chart49"/>
      <sheetName val="Chart50"/>
      <sheetName val="FOG MY Balance Sheet"/>
      <sheetName val="FOG CY Balance Sheet"/>
      <sheetName val="Corn Oil Balance Sheet"/>
      <sheetName val="Distillers' Corn Oil Complex"/>
      <sheetName val="Corn Oil Monthly Bal"/>
      <sheetName val="Chart51"/>
      <sheetName val="Chart12"/>
      <sheetName val="Palm Complex"/>
      <sheetName val="Copra Complex"/>
      <sheetName val="Meat and Bone Meal Complex"/>
      <sheetName val="Inedible Fat and Oil Bal"/>
      <sheetName val="Tallow Complex"/>
      <sheetName val="Edible Tallow Complex"/>
      <sheetName val="Chart65"/>
      <sheetName val="Chart66"/>
      <sheetName val="Chart67"/>
      <sheetName val="Chart68"/>
      <sheetName val="Chart69"/>
      <sheetName val="Tallow Feedstock Demand by Fuel"/>
      <sheetName val="Inedible Tallow Complex"/>
      <sheetName val="Chart70"/>
      <sheetName val="Chart71"/>
      <sheetName val="Chart72"/>
      <sheetName val="Chart73"/>
      <sheetName val="Grease Complex"/>
      <sheetName val="UCO-YG Production"/>
      <sheetName val="UCO-YG Imports"/>
      <sheetName val="US UCO Imports by Country"/>
      <sheetName val="China UCO Exports by Country"/>
      <sheetName val="UCO-YG BBD Use"/>
      <sheetName val="UCO-YG Combined Bal Sheets"/>
      <sheetName val="Yellow Grease Complex"/>
      <sheetName val="Used Cooking Oil Complex"/>
      <sheetName val="Chart74"/>
      <sheetName val="Chart75"/>
      <sheetName val="Chart76"/>
      <sheetName val="CWG Complex"/>
      <sheetName val="Lard Complex"/>
      <sheetName val="Feather Meal Complex"/>
      <sheetName val="Poultry Byproduct Complex"/>
      <sheetName val="Chart77"/>
      <sheetName val="Chart78"/>
      <sheetName val="Chart79"/>
      <sheetName val="Chart80"/>
      <sheetName val="Chart81"/>
      <sheetName val="Chart82"/>
      <sheetName val="Chart121"/>
      <sheetName val="Chart122"/>
      <sheetName val="Chart123"/>
      <sheetName val="Chart124"/>
      <sheetName val="Chart125"/>
      <sheetName val="Chart126"/>
      <sheetName val="Chart127"/>
      <sheetName val="Chart128"/>
      <sheetName val="Chart129"/>
      <sheetName val="Chart130"/>
      <sheetName val="Chart131"/>
      <sheetName val="Chart132"/>
      <sheetName val="Complex Template Meal-Oil"/>
      <sheetName val="Complex Template"/>
      <sheetName val="Monthly Bal Templat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>
        <row r="340">
          <cell r="BC340">
            <v>71.354134265399992</v>
          </cell>
          <cell r="BD340">
            <v>158.08330235880001</v>
          </cell>
          <cell r="BE340">
            <v>179.0744262318</v>
          </cell>
          <cell r="BF340">
            <v>239.87881145535999</v>
          </cell>
          <cell r="BG340">
            <v>212.05530994669999</v>
          </cell>
          <cell r="BH340">
            <v>145.71995643017999</v>
          </cell>
          <cell r="BI340">
            <v>252.08236300000002</v>
          </cell>
          <cell r="BJ340">
            <v>183.89848973562002</v>
          </cell>
          <cell r="BK340">
            <v>57.888122706040001</v>
          </cell>
          <cell r="BL340">
            <v>23.193758999999996</v>
          </cell>
        </row>
        <row r="341">
          <cell r="BC341">
            <v>135.91737138420001</v>
          </cell>
          <cell r="BD341">
            <v>231.5380004658</v>
          </cell>
          <cell r="BE341">
            <v>232.49482698310001</v>
          </cell>
          <cell r="BF341">
            <v>235.94273361361999</v>
          </cell>
          <cell r="BG341">
            <v>131.75515039324</v>
          </cell>
          <cell r="BH341">
            <v>214.18404913091999</v>
          </cell>
          <cell r="BI341">
            <v>257.23147299999999</v>
          </cell>
          <cell r="BJ341">
            <v>175.07636770338001</v>
          </cell>
          <cell r="BK341">
            <v>229.48059899999998</v>
          </cell>
          <cell r="BL341">
            <v>23.562170999999999</v>
          </cell>
        </row>
        <row r="342">
          <cell r="BC342">
            <v>320.22597520619991</v>
          </cell>
          <cell r="BD342">
            <v>235.49860388880003</v>
          </cell>
          <cell r="BE342">
            <v>320.07370701767996</v>
          </cell>
          <cell r="BF342">
            <v>235.00323259599998</v>
          </cell>
          <cell r="BG342">
            <v>172.62649254686002</v>
          </cell>
          <cell r="BH342">
            <v>156.95284099999998</v>
          </cell>
          <cell r="BI342">
            <v>183.953934</v>
          </cell>
          <cell r="BJ342">
            <v>234.89342488303998</v>
          </cell>
          <cell r="BK342">
            <v>164.832829</v>
          </cell>
        </row>
        <row r="343">
          <cell r="BC343">
            <v>267.15763719540001</v>
          </cell>
          <cell r="BD343">
            <v>256.163161</v>
          </cell>
          <cell r="BE343">
            <v>165.96508109807999</v>
          </cell>
          <cell r="BF343">
            <v>262.65550126926001</v>
          </cell>
          <cell r="BG343">
            <v>180.2512082954</v>
          </cell>
          <cell r="BH343">
            <v>220.49961743106002</v>
          </cell>
          <cell r="BI343">
            <v>124.59328579522</v>
          </cell>
          <cell r="BJ343">
            <v>327.28215523630001</v>
          </cell>
          <cell r="BK343">
            <v>283.83997800000003</v>
          </cell>
        </row>
        <row r="344">
          <cell r="BC344">
            <v>276.65492830919999</v>
          </cell>
          <cell r="BD344">
            <v>219.82096925645999</v>
          </cell>
          <cell r="BE344">
            <v>114.12120410878001</v>
          </cell>
          <cell r="BF344">
            <v>238.18432729564</v>
          </cell>
          <cell r="BG344">
            <v>178.97044312488001</v>
          </cell>
          <cell r="BH344">
            <v>91.130957164720002</v>
          </cell>
          <cell r="BI344">
            <v>395.60963645411999</v>
          </cell>
          <cell r="BJ344">
            <v>255.14466737144002</v>
          </cell>
          <cell r="BK344">
            <v>234.146694</v>
          </cell>
        </row>
        <row r="345">
          <cell r="BC345">
            <v>195.54203476079999</v>
          </cell>
          <cell r="BD345">
            <v>232.74479561718002</v>
          </cell>
          <cell r="BE345">
            <v>232.32517486024</v>
          </cell>
          <cell r="BF345">
            <v>295.03894839650002</v>
          </cell>
          <cell r="BG345">
            <v>202.66968924708002</v>
          </cell>
          <cell r="BH345">
            <v>270.20118800466003</v>
          </cell>
          <cell r="BI345">
            <v>319.77810600000004</v>
          </cell>
          <cell r="BJ345">
            <v>154.79033631138</v>
          </cell>
          <cell r="BK345">
            <v>275.57772299999999</v>
          </cell>
        </row>
        <row r="346">
          <cell r="BC346">
            <v>93.039678106200014</v>
          </cell>
          <cell r="BD346">
            <v>124.61321335540001</v>
          </cell>
          <cell r="BE346">
            <v>124.76960909820001</v>
          </cell>
          <cell r="BF346">
            <v>257.03336091620002</v>
          </cell>
          <cell r="BG346">
            <v>211.72933262887997</v>
          </cell>
          <cell r="BH346">
            <v>147.49068296336</v>
          </cell>
          <cell r="BI346">
            <v>229.69411499999998</v>
          </cell>
          <cell r="BJ346">
            <v>130.73842815088</v>
          </cell>
          <cell r="BK346">
            <v>157.14760999999999</v>
          </cell>
        </row>
        <row r="347">
          <cell r="BC347">
            <v>45.820863648</v>
          </cell>
          <cell r="BD347">
            <v>71.85582120442001</v>
          </cell>
          <cell r="BE347">
            <v>103.50585298702001</v>
          </cell>
          <cell r="BF347">
            <v>160.55444537396002</v>
          </cell>
          <cell r="BG347">
            <v>430.82704763428001</v>
          </cell>
          <cell r="BH347">
            <v>204.75930304016001</v>
          </cell>
          <cell r="BI347">
            <v>357.12462900000003</v>
          </cell>
          <cell r="BJ347">
            <v>71.295192952280004</v>
          </cell>
          <cell r="BK347">
            <v>73.899194000000008</v>
          </cell>
        </row>
        <row r="348">
          <cell r="BC348">
            <v>78.719335442999977</v>
          </cell>
          <cell r="BD348">
            <v>156.71127903749999</v>
          </cell>
          <cell r="BE348">
            <v>157.95037689002001</v>
          </cell>
          <cell r="BF348">
            <v>137.20419059776</v>
          </cell>
          <cell r="BG348">
            <v>227.33878298120001</v>
          </cell>
          <cell r="BH348">
            <v>94.654817363480007</v>
          </cell>
          <cell r="BI348">
            <v>166.82469800000001</v>
          </cell>
          <cell r="BJ348">
            <v>91.233981261940002</v>
          </cell>
          <cell r="BK348">
            <v>72.837020999999993</v>
          </cell>
        </row>
        <row r="349">
          <cell r="BC349">
            <v>198.0200298888</v>
          </cell>
          <cell r="BD349">
            <v>63.685885292919998</v>
          </cell>
          <cell r="BE349">
            <v>278.43118878805996</v>
          </cell>
          <cell r="BF349">
            <v>198.40281919744001</v>
          </cell>
          <cell r="BG349">
            <v>173.93930407370001</v>
          </cell>
          <cell r="BH349">
            <v>173.52756042401998</v>
          </cell>
          <cell r="BI349">
            <v>164.21516800000001</v>
          </cell>
          <cell r="BJ349">
            <v>35.53751979954</v>
          </cell>
          <cell r="BK349">
            <v>117.8989</v>
          </cell>
        </row>
        <row r="350">
          <cell r="BC350">
            <v>118.99954308060001</v>
          </cell>
          <cell r="BD350">
            <v>153.88864893600001</v>
          </cell>
          <cell r="BE350">
            <v>98.670124838779998</v>
          </cell>
          <cell r="BF350">
            <v>162.72398766514002</v>
          </cell>
          <cell r="BG350">
            <v>194.07342832922001</v>
          </cell>
          <cell r="BH350">
            <v>165.16295215727999</v>
          </cell>
          <cell r="BI350">
            <v>200.05547289728</v>
          </cell>
          <cell r="BJ350">
            <v>24.694848104960002</v>
          </cell>
          <cell r="BK350">
            <v>56.588618000000004</v>
          </cell>
        </row>
        <row r="351">
          <cell r="BB351">
            <v>87.94237158</v>
          </cell>
          <cell r="BC351">
            <v>75.629557710000014</v>
          </cell>
          <cell r="BD351">
            <v>101.17275434728001</v>
          </cell>
          <cell r="BE351">
            <v>226.91755946551999</v>
          </cell>
          <cell r="BF351">
            <v>129.8842172672</v>
          </cell>
          <cell r="BG351">
            <v>120.33798118210001</v>
          </cell>
          <cell r="BH351">
            <v>47.789809999999996</v>
          </cell>
          <cell r="BI351">
            <v>178.052347</v>
          </cell>
          <cell r="BJ351">
            <v>34.430668282339994</v>
          </cell>
          <cell r="BK351">
            <v>44.741493000000006</v>
          </cell>
        </row>
        <row r="420">
          <cell r="DO420">
            <v>2.2869514669025577</v>
          </cell>
          <cell r="DP420">
            <v>0.1871819296834028</v>
          </cell>
          <cell r="DQ420">
            <v>0.18718192968340286</v>
          </cell>
          <cell r="DR420">
            <v>0.25119525716197616</v>
          </cell>
          <cell r="DS420">
            <v>0.33424595490225079</v>
          </cell>
          <cell r="DT420">
            <v>0.29654515319719382</v>
          </cell>
          <cell r="DU420">
            <v>0.28379172590573865</v>
          </cell>
          <cell r="DV420">
            <v>0.24618526306029176</v>
          </cell>
          <cell r="DW420">
            <v>0.45396641241802216</v>
          </cell>
          <cell r="DX420">
            <v>0.46125096930408721</v>
          </cell>
        </row>
        <row r="421">
          <cell r="DO421">
            <v>4.1195683870140059</v>
          </cell>
          <cell r="DP421">
            <v>0.18718192968340283</v>
          </cell>
          <cell r="DQ421">
            <v>0.18718192968340283</v>
          </cell>
          <cell r="DR421">
            <v>0.23110383395011674</v>
          </cell>
          <cell r="DS421">
            <v>0.33424595490225084</v>
          </cell>
          <cell r="DT421">
            <v>0.29654515319719388</v>
          </cell>
          <cell r="DU421">
            <v>0.41312180951762839</v>
          </cell>
          <cell r="DV421">
            <v>0.27431131600213066</v>
          </cell>
          <cell r="DW421">
            <v>0.45555708975682102</v>
          </cell>
        </row>
        <row r="422">
          <cell r="DO422">
            <v>-1.7738631926891557</v>
          </cell>
          <cell r="DP422">
            <v>0.18718192968340283</v>
          </cell>
          <cell r="DQ422">
            <v>0.1871819296834028</v>
          </cell>
          <cell r="DR422">
            <v>0.23110383395011672</v>
          </cell>
          <cell r="DS422">
            <v>0.33424595490225079</v>
          </cell>
          <cell r="DT422">
            <v>0.30540083482829727</v>
          </cell>
          <cell r="DU422">
            <v>0.37272792453444065</v>
          </cell>
          <cell r="DV422">
            <v>0.29277456854488193</v>
          </cell>
          <cell r="DW422">
            <v>0.47751317872937399</v>
          </cell>
        </row>
        <row r="423">
          <cell r="DO423">
            <v>4.831442650719719</v>
          </cell>
          <cell r="DP423">
            <v>0.18718192968340286</v>
          </cell>
          <cell r="DQ423">
            <v>0.24809063990546606</v>
          </cell>
          <cell r="DR423">
            <v>0.28895511950933878</v>
          </cell>
          <cell r="DS423">
            <v>0.28795455588596519</v>
          </cell>
          <cell r="DT423">
            <v>0.28108294339050222</v>
          </cell>
          <cell r="DU423">
            <v>0.30827551733849318</v>
          </cell>
          <cell r="DV423">
            <v>0.33103246561623079</v>
          </cell>
          <cell r="DW423">
            <v>0.48227511119093835</v>
          </cell>
        </row>
        <row r="424">
          <cell r="DO424">
            <v>5.4513430706195365</v>
          </cell>
          <cell r="DP424">
            <v>0.18718192968340283</v>
          </cell>
          <cell r="DQ424">
            <v>0.24809063990546606</v>
          </cell>
          <cell r="DR424">
            <v>0.28895511950933883</v>
          </cell>
          <cell r="DS424">
            <v>0.29252227556248644</v>
          </cell>
          <cell r="DT424">
            <v>0.41028277595083978</v>
          </cell>
          <cell r="DU424">
            <v>0.33273989040286844</v>
          </cell>
          <cell r="DV424">
            <v>0.35274040714093147</v>
          </cell>
          <cell r="DW424">
            <v>0.45234458680536604</v>
          </cell>
        </row>
        <row r="425">
          <cell r="DO425">
            <v>1.149863126925748</v>
          </cell>
          <cell r="DP425">
            <v>0.18718192968340283</v>
          </cell>
          <cell r="DQ425">
            <v>0.24809063990546612</v>
          </cell>
          <cell r="DR425">
            <v>0.28895511950933889</v>
          </cell>
          <cell r="DS425">
            <v>0.29252227556248644</v>
          </cell>
          <cell r="DT425">
            <v>0.39803561069519428</v>
          </cell>
          <cell r="DU425">
            <v>0.35500624351647297</v>
          </cell>
          <cell r="DV425">
            <v>0.257261820550375</v>
          </cell>
          <cell r="DW425">
            <v>0.44452458145598972</v>
          </cell>
        </row>
        <row r="426">
          <cell r="DO426">
            <v>2.8069295876978835</v>
          </cell>
          <cell r="DP426">
            <v>0.18718192968340283</v>
          </cell>
          <cell r="DQ426">
            <v>0.24809063990546609</v>
          </cell>
          <cell r="DR426">
            <v>0.28895511950933883</v>
          </cell>
          <cell r="DS426">
            <v>0.2925222755624865</v>
          </cell>
          <cell r="DT426">
            <v>0.26043836371442608</v>
          </cell>
          <cell r="DU426">
            <v>0.31742073412876221</v>
          </cell>
          <cell r="DV426">
            <v>0.26450672065931452</v>
          </cell>
          <cell r="DW426">
            <v>0.41955133558234037</v>
          </cell>
        </row>
        <row r="427">
          <cell r="DO427">
            <v>8.4395539094982723</v>
          </cell>
          <cell r="DP427">
            <v>0.1871819296834028</v>
          </cell>
          <cell r="DQ427">
            <v>0.25375237548655916</v>
          </cell>
          <cell r="DR427">
            <v>0.28895511950933889</v>
          </cell>
          <cell r="DS427">
            <v>0.29252227556248644</v>
          </cell>
          <cell r="DT427">
            <v>0.33320055006353444</v>
          </cell>
          <cell r="DU427">
            <v>0.2582176407810855</v>
          </cell>
          <cell r="DV427">
            <v>0.29566342088374692</v>
          </cell>
          <cell r="DW427">
            <v>0.42924521166562463</v>
          </cell>
        </row>
        <row r="428">
          <cell r="DO428">
            <v>12.744063290868986</v>
          </cell>
          <cell r="DP428">
            <v>0.18718192968340283</v>
          </cell>
          <cell r="DQ428">
            <v>0.25917416114061093</v>
          </cell>
          <cell r="DR428">
            <v>0.28895511950933878</v>
          </cell>
          <cell r="DS428">
            <v>0.29252227556248644</v>
          </cell>
          <cell r="DT428">
            <v>0.35600880575248672</v>
          </cell>
          <cell r="DU428">
            <v>0.2198407587509876</v>
          </cell>
          <cell r="DV428">
            <v>0.34154122597605213</v>
          </cell>
          <cell r="DW428">
            <v>0.45440262378007901</v>
          </cell>
        </row>
        <row r="429">
          <cell r="DO429">
            <v>9.7065080568970075</v>
          </cell>
          <cell r="DP429">
            <v>0.1871819296834028</v>
          </cell>
          <cell r="DQ429">
            <v>0.32472761512606796</v>
          </cell>
          <cell r="DR429">
            <v>0.28895511950933883</v>
          </cell>
          <cell r="DS429">
            <v>0.31987917233004082</v>
          </cell>
          <cell r="DT429">
            <v>0.32020981852807556</v>
          </cell>
          <cell r="DU429">
            <v>0.31188651655918442</v>
          </cell>
          <cell r="DV429">
            <v>0.39267123522180608</v>
          </cell>
          <cell r="DW429">
            <v>0.44256457321480774</v>
          </cell>
        </row>
        <row r="430">
          <cell r="DO430">
            <v>7.9293721081447615</v>
          </cell>
          <cell r="DP430">
            <v>0.1871819296834028</v>
          </cell>
          <cell r="DQ430">
            <v>0.26991679537308155</v>
          </cell>
          <cell r="DR430">
            <v>0.28895511950933878</v>
          </cell>
          <cell r="DS430">
            <v>0.34286946075960117</v>
          </cell>
          <cell r="DT430">
            <v>0.35849604722884298</v>
          </cell>
          <cell r="DU430">
            <v>0.26667537942736641</v>
          </cell>
          <cell r="DV430">
            <v>0.31282131491963</v>
          </cell>
          <cell r="DW430">
            <v>0.44145448595562881</v>
          </cell>
        </row>
        <row r="431">
          <cell r="DN431">
            <v>-3.2489843302339132</v>
          </cell>
          <cell r="DO431">
            <v>9.7780810114610652</v>
          </cell>
          <cell r="DP431">
            <v>0.18718192968340283</v>
          </cell>
          <cell r="DQ431">
            <v>0.25355468294439709</v>
          </cell>
          <cell r="DR431">
            <v>0.28895511950933878</v>
          </cell>
          <cell r="DS431">
            <v>0.36246134355999776</v>
          </cell>
          <cell r="DT431">
            <v>0.34443519867917288</v>
          </cell>
          <cell r="DU431">
            <v>0.2739562182428098</v>
          </cell>
          <cell r="DV431">
            <v>0.37355882349118696</v>
          </cell>
          <cell r="DW431">
            <v>0.42619637566961671</v>
          </cell>
        </row>
        <row r="578">
          <cell r="BC578">
            <v>40.812199999999997</v>
          </cell>
          <cell r="BD578">
            <v>32.794800000000002</v>
          </cell>
          <cell r="BE578">
            <v>28.377700000000001</v>
          </cell>
          <cell r="BF578">
            <v>34.444800000000001</v>
          </cell>
          <cell r="BG578">
            <v>33.6</v>
          </cell>
          <cell r="BH578">
            <v>29.051739130434775</v>
          </cell>
          <cell r="BI578">
            <v>30.28</v>
          </cell>
          <cell r="BJ578">
            <v>33.276818181818186</v>
          </cell>
          <cell r="BK578">
            <v>61.246190476190478</v>
          </cell>
          <cell r="BL578">
            <v>68.494285714285709</v>
          </cell>
        </row>
        <row r="579">
          <cell r="BC579">
            <v>40.701500000000003</v>
          </cell>
          <cell r="BD579">
            <v>32.722099999999998</v>
          </cell>
          <cell r="BE579">
            <v>27.884</v>
          </cell>
          <cell r="BF579">
            <v>35.036200000000001</v>
          </cell>
          <cell r="BG579">
            <v>34.409999999999997</v>
          </cell>
          <cell r="BH579">
            <v>27.69</v>
          </cell>
          <cell r="BI579">
            <v>30.957999999999998</v>
          </cell>
          <cell r="BJ579">
            <v>36.862499999999997</v>
          </cell>
          <cell r="BK579">
            <v>59.234761904761896</v>
          </cell>
        </row>
        <row r="580">
          <cell r="BC580">
            <v>39.681399999999996</v>
          </cell>
          <cell r="BD580">
            <v>32.059100000000001</v>
          </cell>
          <cell r="BE580">
            <v>30.822700000000001</v>
          </cell>
          <cell r="BF580">
            <v>36.395699999999998</v>
          </cell>
          <cell r="BG580">
            <v>33.14</v>
          </cell>
          <cell r="BH580">
            <v>28.32</v>
          </cell>
          <cell r="BI580">
            <v>32.689523809523813</v>
          </cell>
          <cell r="BJ580">
            <v>39.571363636363643</v>
          </cell>
          <cell r="BK580">
            <v>55.209545454545463</v>
          </cell>
        </row>
        <row r="581">
          <cell r="BC581">
            <v>37.824300000000001</v>
          </cell>
          <cell r="BD581">
            <v>32.186</v>
          </cell>
          <cell r="BE581">
            <v>30.012599999999999</v>
          </cell>
          <cell r="BF581">
            <v>35.111499999999999</v>
          </cell>
          <cell r="BG581">
            <v>32.950000000000003</v>
          </cell>
          <cell r="BH581">
            <v>29.000952380952373</v>
          </cell>
          <cell r="BI581">
            <v>33.150952380952383</v>
          </cell>
          <cell r="BJ581">
            <v>43.154210526315786</v>
          </cell>
          <cell r="BK581">
            <v>60.679999999999993</v>
          </cell>
        </row>
        <row r="582">
          <cell r="BC582">
            <v>39.628399999999999</v>
          </cell>
          <cell r="BD582">
            <v>31.657900000000001</v>
          </cell>
          <cell r="BE582">
            <v>31.157499999999999</v>
          </cell>
          <cell r="BF582">
            <v>33.698399999999999</v>
          </cell>
          <cell r="BG582">
            <v>32.18</v>
          </cell>
          <cell r="BH582">
            <v>30.23</v>
          </cell>
          <cell r="BI582">
            <v>30.248421052631581</v>
          </cell>
          <cell r="BJ582">
            <v>46.94631578947368</v>
          </cell>
          <cell r="BK582">
            <v>67.012631578947364</v>
          </cell>
        </row>
        <row r="583">
          <cell r="BC583">
            <v>42.230499999999999</v>
          </cell>
          <cell r="BD583">
            <v>31.072299999999998</v>
          </cell>
          <cell r="BE583">
            <v>32.476399999999998</v>
          </cell>
          <cell r="BF583">
            <v>32.93</v>
          </cell>
          <cell r="BG583">
            <v>31.85</v>
          </cell>
          <cell r="BH583">
            <v>29.38</v>
          </cell>
          <cell r="BI583">
            <v>27.017727272727271</v>
          </cell>
          <cell r="BJ583">
            <v>53.370000000000012</v>
          </cell>
          <cell r="BK583">
            <v>74.006521739130449</v>
          </cell>
        </row>
        <row r="584">
          <cell r="BC584">
            <v>42.37</v>
          </cell>
          <cell r="BD584">
            <v>31.373799999999999</v>
          </cell>
          <cell r="BE584">
            <v>33.9529</v>
          </cell>
          <cell r="BF584">
            <v>31.538399999999999</v>
          </cell>
          <cell r="BG584">
            <v>31.35</v>
          </cell>
          <cell r="BH584">
            <v>28.556666666666668</v>
          </cell>
          <cell r="BI584">
            <v>26.202857142857148</v>
          </cell>
          <cell r="BJ584">
            <v>58.235714285714302</v>
          </cell>
          <cell r="BK584">
            <v>79.201999999999998</v>
          </cell>
        </row>
        <row r="585">
          <cell r="BC585">
            <v>40.6248</v>
          </cell>
          <cell r="BD585">
            <v>32.587499999999999</v>
          </cell>
          <cell r="BE585">
            <v>32.2057</v>
          </cell>
          <cell r="BF585">
            <v>32.490900000000003</v>
          </cell>
          <cell r="BG585">
            <v>31</v>
          </cell>
          <cell r="BH585">
            <v>27.230454545454549</v>
          </cell>
          <cell r="BI585">
            <v>26.708999999999996</v>
          </cell>
          <cell r="BJ585">
            <v>65.639500000000012</v>
          </cell>
          <cell r="BK585">
            <v>81.004761904761907</v>
          </cell>
        </row>
        <row r="586">
          <cell r="BC586">
            <v>39.533799999999999</v>
          </cell>
          <cell r="BD586">
            <v>33.476799999999997</v>
          </cell>
          <cell r="BE586">
            <v>31.914999999999999</v>
          </cell>
          <cell r="BF586">
            <v>31.970500000000001</v>
          </cell>
          <cell r="BG586">
            <v>29.82</v>
          </cell>
          <cell r="BH586">
            <v>27.85</v>
          </cell>
          <cell r="BI586">
            <v>27.891363636363643</v>
          </cell>
          <cell r="BJ586">
            <v>65.243181818181839</v>
          </cell>
          <cell r="BK586">
            <v>76.33</v>
          </cell>
        </row>
        <row r="587">
          <cell r="BC587">
            <v>36.954099999999997</v>
          </cell>
          <cell r="BD587">
            <v>31.6023</v>
          </cell>
          <cell r="BE587">
            <v>30.401499999999999</v>
          </cell>
          <cell r="BF587">
            <v>33.548499999999997</v>
          </cell>
          <cell r="BG587">
            <v>28.36</v>
          </cell>
          <cell r="BH587">
            <v>28.054999999999996</v>
          </cell>
          <cell r="BI587">
            <v>29.206818181818178</v>
          </cell>
          <cell r="BJ587">
            <v>64.936190476190475</v>
          </cell>
          <cell r="BK587">
            <v>61.398000000000003</v>
          </cell>
        </row>
        <row r="588">
          <cell r="BB588">
            <v>45.387300000000003</v>
          </cell>
          <cell r="BC588">
            <v>33.855699999999999</v>
          </cell>
          <cell r="BD588">
            <v>28.573799999999999</v>
          </cell>
          <cell r="BE588">
            <v>32.326999999999998</v>
          </cell>
          <cell r="BF588">
            <v>33.869999999999997</v>
          </cell>
          <cell r="BG588">
            <v>28.33</v>
          </cell>
          <cell r="BH588">
            <v>28.569999999999997</v>
          </cell>
          <cell r="BI588">
            <v>31.59238095238096</v>
          </cell>
          <cell r="BJ588">
            <v>61.464090909090899</v>
          </cell>
          <cell r="BK588">
            <v>67.486956521739117</v>
          </cell>
        </row>
        <row r="589">
          <cell r="BB589">
            <v>42.8673</v>
          </cell>
          <cell r="BC589">
            <v>42.445500000000003</v>
          </cell>
          <cell r="BD589">
            <v>32.299500000000002</v>
          </cell>
          <cell r="BE589">
            <v>26.809000000000001</v>
          </cell>
          <cell r="BF589">
            <v>32.812899999999999</v>
          </cell>
          <cell r="BG589">
            <v>34.28</v>
          </cell>
          <cell r="BH589">
            <v>28.26</v>
          </cell>
          <cell r="BI589">
            <v>29.063000000000006</v>
          </cell>
          <cell r="BJ589">
            <v>33.51047619047619</v>
          </cell>
          <cell r="BK589">
            <v>57.204761904761902</v>
          </cell>
        </row>
        <row r="594">
          <cell r="BC594">
            <v>47.160899999999998</v>
          </cell>
          <cell r="BD594">
            <v>38.316499999999998</v>
          </cell>
          <cell r="BE594">
            <v>29.8005</v>
          </cell>
          <cell r="BF594">
            <v>36.134300000000003</v>
          </cell>
          <cell r="BG594">
            <v>34.637700000000002</v>
          </cell>
          <cell r="BH594">
            <v>31.438700000000001</v>
          </cell>
          <cell r="BI594">
            <v>33.269100000000002</v>
          </cell>
          <cell r="BJ594">
            <v>37.026800000000001</v>
          </cell>
          <cell r="BK594">
            <v>79.650999999999996</v>
          </cell>
          <cell r="BL594">
            <v>84.172857142857154</v>
          </cell>
        </row>
        <row r="595">
          <cell r="BC595">
            <v>43.981499999999997</v>
          </cell>
          <cell r="BD595">
            <v>37.3932</v>
          </cell>
          <cell r="BE595">
            <v>29.0715</v>
          </cell>
          <cell r="BF595">
            <v>36.786200000000001</v>
          </cell>
          <cell r="BG595">
            <v>35.815199999999997</v>
          </cell>
          <cell r="BH595">
            <v>30.943300000000001</v>
          </cell>
          <cell r="BI595">
            <v>33.766500000000001</v>
          </cell>
          <cell r="BJ595">
            <v>41.102499999999999</v>
          </cell>
          <cell r="BK595">
            <v>77.377600000000001</v>
          </cell>
        </row>
        <row r="596">
          <cell r="BC596">
            <v>42.730499999999999</v>
          </cell>
          <cell r="BD596">
            <v>35.390500000000003</v>
          </cell>
          <cell r="BE596">
            <v>32.013599999999997</v>
          </cell>
          <cell r="BF596">
            <v>37.848100000000002</v>
          </cell>
          <cell r="BG596">
            <v>34.683500000000002</v>
          </cell>
          <cell r="BH596">
            <v>31.872499999999999</v>
          </cell>
          <cell r="BI596">
            <v>35.382399999999997</v>
          </cell>
          <cell r="BJ596">
            <v>45.719099999999997</v>
          </cell>
          <cell r="BK596">
            <v>73.038600000000002</v>
          </cell>
        </row>
        <row r="597">
          <cell r="BC597">
            <v>40.824300000000001</v>
          </cell>
          <cell r="BD597">
            <v>35.077500000000001</v>
          </cell>
          <cell r="BE597">
            <v>31.2942</v>
          </cell>
          <cell r="BF597">
            <v>36.111499999999999</v>
          </cell>
          <cell r="BG597">
            <v>34.326700000000002</v>
          </cell>
          <cell r="BH597">
            <v>32.317599999999999</v>
          </cell>
          <cell r="BI597">
            <v>36.0929</v>
          </cell>
          <cell r="BJ597">
            <v>49.417400000000001</v>
          </cell>
          <cell r="BK597">
            <v>75.567499999999995</v>
          </cell>
        </row>
        <row r="598">
          <cell r="BC598">
            <v>42.642600000000002</v>
          </cell>
          <cell r="BD598">
            <v>33.789499999999997</v>
          </cell>
          <cell r="BE598">
            <v>32.157499999999999</v>
          </cell>
          <cell r="BF598">
            <v>34.782600000000002</v>
          </cell>
          <cell r="BG598">
            <v>33.142600000000002</v>
          </cell>
          <cell r="BH598">
            <v>32.904699999999998</v>
          </cell>
          <cell r="BI598">
            <v>33.432600000000001</v>
          </cell>
          <cell r="BJ598">
            <v>52.604199999999999</v>
          </cell>
          <cell r="BK598">
            <v>79.657399999999996</v>
          </cell>
        </row>
        <row r="599">
          <cell r="BC599">
            <v>44.147100000000002</v>
          </cell>
          <cell r="BD599">
            <v>33.247100000000003</v>
          </cell>
          <cell r="BE599">
            <v>33.476399999999998</v>
          </cell>
          <cell r="BF599">
            <v>33.362200000000001</v>
          </cell>
          <cell r="BG599">
            <v>32.784799999999997</v>
          </cell>
          <cell r="BH599">
            <v>31.79</v>
          </cell>
          <cell r="BI599">
            <v>30.1768</v>
          </cell>
          <cell r="BJ599">
            <v>62.609099999999998</v>
          </cell>
          <cell r="BK599">
            <v>91.289100000000005</v>
          </cell>
        </row>
        <row r="600">
          <cell r="BC600">
            <v>44.762900000000002</v>
          </cell>
          <cell r="BD600">
            <v>35.381100000000004</v>
          </cell>
          <cell r="BE600">
            <v>34.941000000000003</v>
          </cell>
          <cell r="BF600">
            <v>32.117400000000004</v>
          </cell>
          <cell r="BG600">
            <v>32.198599999999999</v>
          </cell>
          <cell r="BH600">
            <v>31.028099999999998</v>
          </cell>
          <cell r="BI600">
            <v>28.802900000000001</v>
          </cell>
          <cell r="BJ600">
            <v>71.7667</v>
          </cell>
          <cell r="BK600">
            <v>96.501999999999995</v>
          </cell>
        </row>
        <row r="601">
          <cell r="BC601">
            <v>44.114800000000002</v>
          </cell>
          <cell r="BD601">
            <v>35.650500000000001</v>
          </cell>
          <cell r="BE601">
            <v>33.078600000000002</v>
          </cell>
          <cell r="BF601">
            <v>33.204099999999997</v>
          </cell>
          <cell r="BG601">
            <v>31.936800000000002</v>
          </cell>
          <cell r="BH601">
            <v>30.131399999999999</v>
          </cell>
          <cell r="BI601">
            <v>28.418500000000002</v>
          </cell>
          <cell r="BJ601">
            <v>92.789500000000004</v>
          </cell>
          <cell r="BK601">
            <v>104.0286</v>
          </cell>
        </row>
        <row r="602">
          <cell r="BC602">
            <v>43.6267</v>
          </cell>
          <cell r="BD602">
            <v>36.537300000000002</v>
          </cell>
          <cell r="BE602">
            <v>33.017299999999999</v>
          </cell>
          <cell r="BF602">
            <v>33.277299999999997</v>
          </cell>
          <cell r="BG602">
            <v>30.721</v>
          </cell>
          <cell r="BH602">
            <v>31.390499999999999</v>
          </cell>
          <cell r="BI602">
            <v>29.764099999999999</v>
          </cell>
          <cell r="BJ602">
            <v>97.356800000000007</v>
          </cell>
          <cell r="BK602">
            <v>98.782399999999996</v>
          </cell>
        </row>
        <row r="603">
          <cell r="BC603">
            <v>41.756399999999999</v>
          </cell>
          <cell r="BD603">
            <v>34.613599999999998</v>
          </cell>
          <cell r="BE603">
            <v>31.5</v>
          </cell>
          <cell r="BF603">
            <v>35.21</v>
          </cell>
          <cell r="BG603">
            <v>29.685700000000001</v>
          </cell>
          <cell r="BH603">
            <v>31.423200000000001</v>
          </cell>
          <cell r="BI603">
            <v>31.8109</v>
          </cell>
          <cell r="BJ603">
            <v>92.793300000000002</v>
          </cell>
          <cell r="BK603">
            <v>81.498000000000005</v>
          </cell>
        </row>
        <row r="604">
          <cell r="BC604">
            <v>39.138599999999997</v>
          </cell>
          <cell r="BD604">
            <v>31.4771</v>
          </cell>
          <cell r="BE604">
            <v>34.055700000000002</v>
          </cell>
          <cell r="BF604">
            <v>35.659599999999998</v>
          </cell>
          <cell r="BG604">
            <v>30.17</v>
          </cell>
          <cell r="BH604">
            <v>31.520900000000001</v>
          </cell>
          <cell r="BI604">
            <v>35.142899999999997</v>
          </cell>
          <cell r="BJ604">
            <v>82.827699999999993</v>
          </cell>
          <cell r="BK604">
            <v>85.409099999999995</v>
          </cell>
        </row>
        <row r="605">
          <cell r="BB605">
            <v>48.637999999999998</v>
          </cell>
          <cell r="BC605">
            <v>37.836199999999998</v>
          </cell>
          <cell r="BD605">
            <v>28.5471</v>
          </cell>
          <cell r="BE605">
            <v>35.465200000000003</v>
          </cell>
          <cell r="BF605">
            <v>35.792499999999997</v>
          </cell>
          <cell r="BG605">
            <v>30.276299999999999</v>
          </cell>
          <cell r="BH605">
            <v>31.963000000000001</v>
          </cell>
          <cell r="BI605">
            <v>37.217599999999997</v>
          </cell>
          <cell r="BJ605">
            <v>75.1571</v>
          </cell>
          <cell r="BK605">
            <v>83.801900000000003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/>
      <sheetData sheetId="27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  <sheetName val="XRealStats"/>
    </sheetNames>
    <definedNames>
      <definedName name="DESIGN"/>
      <definedName name="RegCoeff"/>
      <definedName name="VI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57E6-0886-45A1-B605-06249C19F160}">
  <dimension ref="A1:AE112"/>
  <sheetViews>
    <sheetView tabSelected="1" topLeftCell="A22" workbookViewId="0">
      <selection activeCell="X58" sqref="X58"/>
    </sheetView>
  </sheetViews>
  <sheetFormatPr defaultRowHeight="12.75" x14ac:dyDescent="0.2"/>
  <cols>
    <col min="2" max="7" width="11.6640625" customWidth="1"/>
  </cols>
  <sheetData>
    <row r="1" spans="1:29" ht="4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</v>
      </c>
    </row>
    <row r="2" spans="1:29" x14ac:dyDescent="0.2">
      <c r="A2" s="2">
        <v>41518</v>
      </c>
      <c r="B2" s="3">
        <f>'[2]Soy Complex'!$BB589</f>
        <v>42.8673</v>
      </c>
      <c r="C2" s="4">
        <f>'[2]Soy Complex'!$BB$605</f>
        <v>48.637999999999998</v>
      </c>
      <c r="D2" s="4">
        <f>'[2]Soy Complex'!$BB$351</f>
        <v>87.94237158</v>
      </c>
      <c r="E2" s="4">
        <f>C2-D2</f>
        <v>-39.304371580000002</v>
      </c>
      <c r="F2" s="4">
        <f>'[2]Soy Complex'!$DN$431</f>
        <v>-3.2489843302339132</v>
      </c>
      <c r="G2" s="3">
        <f>'[2]Soy Complex'!$BB$588</f>
        <v>45.387300000000003</v>
      </c>
      <c r="H2" s="3">
        <f t="shared" ref="H2:H65" si="0">$N$58+($N$59*E2)+($N$60*G2)</f>
        <v>41.190219307028002</v>
      </c>
      <c r="I2" s="3">
        <f t="shared" ref="I2:I65" si="1">H2-B2</f>
        <v>-1.6770806929719981</v>
      </c>
      <c r="J2" s="3">
        <f>$X$58+($X$59*E2)+($X$60*F2)+($X$61*G2)</f>
        <v>36.628825615602111</v>
      </c>
      <c r="K2" s="3">
        <f>J2-B2</f>
        <v>-6.2384743843978896</v>
      </c>
    </row>
    <row r="3" spans="1:29" x14ac:dyDescent="0.2">
      <c r="A3" s="2">
        <v>41548</v>
      </c>
      <c r="B3" s="3">
        <f>'[2]Soy Complex'!$BC578</f>
        <v>40.812199999999997</v>
      </c>
      <c r="C3" s="4">
        <f>'[2]Soy Complex'!$BC594</f>
        <v>47.160899999999998</v>
      </c>
      <c r="D3" s="4">
        <f>'[2]Soy Complex'!$BC340</f>
        <v>71.354134265399992</v>
      </c>
      <c r="E3" s="4">
        <f t="shared" ref="E3:E66" si="2">C3-D3</f>
        <v>-24.193234265399994</v>
      </c>
      <c r="F3" s="4">
        <f>'[2]Soy Complex'!$DO420</f>
        <v>2.2869514669025577</v>
      </c>
      <c r="G3" s="3">
        <f>B2</f>
        <v>42.8673</v>
      </c>
      <c r="H3" s="3">
        <f t="shared" si="0"/>
        <v>38.952928047451437</v>
      </c>
      <c r="I3" s="3">
        <f t="shared" si="1"/>
        <v>-1.8592719525485606</v>
      </c>
      <c r="J3" s="3">
        <f t="shared" ref="J3:J66" si="3">$X$58+($X$59*E3)+($X$60*F3)+($X$61*G3)</f>
        <v>34.605271326777896</v>
      </c>
      <c r="K3" s="3">
        <f t="shared" ref="K3:K66" si="4">J3-B3</f>
        <v>-6.2069286732221016</v>
      </c>
    </row>
    <row r="4" spans="1:29" x14ac:dyDescent="0.2">
      <c r="A4" s="2">
        <v>41579</v>
      </c>
      <c r="B4" s="3">
        <f>'[2]Soy Complex'!$BC579</f>
        <v>40.701500000000003</v>
      </c>
      <c r="C4" s="4">
        <f>'[2]Soy Complex'!$BC595</f>
        <v>43.981499999999997</v>
      </c>
      <c r="D4" s="4">
        <f>'[2]Soy Complex'!$BC341</f>
        <v>135.91737138420001</v>
      </c>
      <c r="E4" s="4">
        <f t="shared" si="2"/>
        <v>-91.935871384200013</v>
      </c>
      <c r="F4" s="4">
        <f>'[2]Soy Complex'!$DO421</f>
        <v>4.1195683870140059</v>
      </c>
      <c r="G4" s="3">
        <f t="shared" ref="G4:G67" si="5">B3</f>
        <v>40.812199999999997</v>
      </c>
      <c r="H4" s="3">
        <f t="shared" si="0"/>
        <v>37.150682163619308</v>
      </c>
      <c r="I4" s="3">
        <f t="shared" si="1"/>
        <v>-3.5508178363806948</v>
      </c>
      <c r="J4" s="3">
        <f t="shared" si="3"/>
        <v>32.973736959753019</v>
      </c>
      <c r="K4" s="3">
        <f t="shared" si="4"/>
        <v>-7.7277630402469839</v>
      </c>
    </row>
    <row r="5" spans="1:29" x14ac:dyDescent="0.2">
      <c r="A5" s="2">
        <v>41609</v>
      </c>
      <c r="B5" s="3">
        <f>'[2]Soy Complex'!$BC580</f>
        <v>39.681399999999996</v>
      </c>
      <c r="C5" s="4">
        <f>'[2]Soy Complex'!$BC596</f>
        <v>42.730499999999999</v>
      </c>
      <c r="D5" s="4">
        <f>'[2]Soy Complex'!$BC342</f>
        <v>320.22597520619991</v>
      </c>
      <c r="E5" s="4">
        <f t="shared" si="2"/>
        <v>-277.4954752061999</v>
      </c>
      <c r="F5" s="4">
        <f>'[2]Soy Complex'!$DO422</f>
        <v>-1.7738631926891557</v>
      </c>
      <c r="G5" s="3">
        <f t="shared" si="5"/>
        <v>40.701500000000003</v>
      </c>
      <c r="H5" s="3">
        <f t="shared" si="0"/>
        <v>37.10426964905615</v>
      </c>
      <c r="I5" s="3">
        <f t="shared" si="1"/>
        <v>-2.5771303509438468</v>
      </c>
      <c r="J5" s="3">
        <f t="shared" si="3"/>
        <v>32.92853819817671</v>
      </c>
      <c r="K5" s="3">
        <f t="shared" si="4"/>
        <v>-6.7528618018232862</v>
      </c>
    </row>
    <row r="6" spans="1:29" x14ac:dyDescent="0.2">
      <c r="A6" s="2">
        <v>41640</v>
      </c>
      <c r="B6" s="3">
        <f>'[2]Soy Complex'!$BC581</f>
        <v>37.824300000000001</v>
      </c>
      <c r="C6" s="4">
        <f>'[2]Soy Complex'!$BC597</f>
        <v>40.824300000000001</v>
      </c>
      <c r="D6" s="4">
        <f>'[2]Soy Complex'!$BC343</f>
        <v>267.15763719540001</v>
      </c>
      <c r="E6" s="4">
        <f t="shared" si="2"/>
        <v>-226.33333719540002</v>
      </c>
      <c r="F6" s="4">
        <f>'[2]Soy Complex'!$DO423</f>
        <v>4.831442650719719</v>
      </c>
      <c r="G6" s="3">
        <f t="shared" si="5"/>
        <v>39.681399999999996</v>
      </c>
      <c r="H6" s="3">
        <f t="shared" si="0"/>
        <v>36.186064252862508</v>
      </c>
      <c r="I6" s="3">
        <f t="shared" si="1"/>
        <v>-1.6382357471374931</v>
      </c>
      <c r="J6" s="3">
        <f t="shared" si="3"/>
        <v>32.104074094256326</v>
      </c>
      <c r="K6" s="3">
        <f t="shared" si="4"/>
        <v>-5.7202259057436748</v>
      </c>
    </row>
    <row r="7" spans="1:29" x14ac:dyDescent="0.2">
      <c r="A7" s="2">
        <v>41671</v>
      </c>
      <c r="B7" s="3">
        <f>'[2]Soy Complex'!$BC582</f>
        <v>39.628399999999999</v>
      </c>
      <c r="C7" s="4">
        <f>'[2]Soy Complex'!$BC598</f>
        <v>42.642600000000002</v>
      </c>
      <c r="D7" s="4">
        <f>'[2]Soy Complex'!$BC344</f>
        <v>276.65492830919999</v>
      </c>
      <c r="E7" s="4">
        <f t="shared" si="2"/>
        <v>-234.01232830919997</v>
      </c>
      <c r="F7" s="4">
        <f>'[2]Soy Complex'!$DO424</f>
        <v>5.4513430706195365</v>
      </c>
      <c r="G7" s="3">
        <f t="shared" si="5"/>
        <v>37.824300000000001</v>
      </c>
      <c r="H7" s="3">
        <f t="shared" si="0"/>
        <v>34.542545415467259</v>
      </c>
      <c r="I7" s="3">
        <f t="shared" si="1"/>
        <v>-5.0858545845327399</v>
      </c>
      <c r="J7" s="3">
        <f t="shared" si="3"/>
        <v>30.612072037086783</v>
      </c>
      <c r="K7" s="3">
        <f t="shared" si="4"/>
        <v>-9.0163279629132163</v>
      </c>
    </row>
    <row r="8" spans="1:29" x14ac:dyDescent="0.2">
      <c r="A8" s="2">
        <v>41699</v>
      </c>
      <c r="B8" s="3">
        <f>'[2]Soy Complex'!$BC583</f>
        <v>42.230499999999999</v>
      </c>
      <c r="C8" s="4">
        <f>'[2]Soy Complex'!$BC599</f>
        <v>44.147100000000002</v>
      </c>
      <c r="D8" s="4">
        <f>'[2]Soy Complex'!$BC345</f>
        <v>195.54203476079999</v>
      </c>
      <c r="E8" s="4">
        <f t="shared" si="2"/>
        <v>-151.3949347608</v>
      </c>
      <c r="F8" s="4">
        <f>'[2]Soy Complex'!$DO425</f>
        <v>1.149863126925748</v>
      </c>
      <c r="G8" s="3">
        <f t="shared" si="5"/>
        <v>39.628399999999999</v>
      </c>
      <c r="H8" s="3">
        <f t="shared" si="0"/>
        <v>36.118226164225405</v>
      </c>
      <c r="I8" s="3">
        <f t="shared" si="1"/>
        <v>-6.1122738357745945</v>
      </c>
      <c r="J8" s="3">
        <f t="shared" si="3"/>
        <v>32.032617016211994</v>
      </c>
      <c r="K8" s="3">
        <f t="shared" si="4"/>
        <v>-10.197882983788006</v>
      </c>
    </row>
    <row r="9" spans="1:29" x14ac:dyDescent="0.2">
      <c r="A9" s="2">
        <v>41730</v>
      </c>
      <c r="B9" s="3">
        <f>'[2]Soy Complex'!$BC584</f>
        <v>42.37</v>
      </c>
      <c r="C9" s="4">
        <f>'[2]Soy Complex'!$BC600</f>
        <v>44.762900000000002</v>
      </c>
      <c r="D9" s="4">
        <f>'[2]Soy Complex'!$BC346</f>
        <v>93.039678106200014</v>
      </c>
      <c r="E9" s="4">
        <f t="shared" si="2"/>
        <v>-48.276778106200013</v>
      </c>
      <c r="F9" s="4">
        <f>'[2]Soy Complex'!$DO426</f>
        <v>2.8069295876978835</v>
      </c>
      <c r="G9" s="3">
        <f t="shared" si="5"/>
        <v>42.230499999999999</v>
      </c>
      <c r="H9" s="3">
        <f t="shared" si="0"/>
        <v>38.395339623568162</v>
      </c>
      <c r="I9" s="3">
        <f t="shared" si="1"/>
        <v>-3.9746603764318351</v>
      </c>
      <c r="J9" s="3">
        <f t="shared" si="3"/>
        <v>34.10054271460303</v>
      </c>
      <c r="K9" s="3">
        <f t="shared" si="4"/>
        <v>-8.2694572853969674</v>
      </c>
    </row>
    <row r="10" spans="1:29" x14ac:dyDescent="0.2">
      <c r="A10" s="2">
        <v>41760</v>
      </c>
      <c r="B10" s="3">
        <f>'[2]Soy Complex'!$BC585</f>
        <v>40.6248</v>
      </c>
      <c r="C10" s="4">
        <f>'[2]Soy Complex'!$BC601</f>
        <v>44.114800000000002</v>
      </c>
      <c r="D10" s="4">
        <f>'[2]Soy Complex'!$BC347</f>
        <v>45.820863648</v>
      </c>
      <c r="E10" s="4">
        <f t="shared" si="2"/>
        <v>-1.7060636479999971</v>
      </c>
      <c r="F10" s="4">
        <f>'[2]Soy Complex'!$DO427</f>
        <v>8.4395539094982723</v>
      </c>
      <c r="G10" s="3">
        <f t="shared" si="5"/>
        <v>42.37</v>
      </c>
      <c r="H10" s="3">
        <f t="shared" si="0"/>
        <v>38.505985421137332</v>
      </c>
      <c r="I10" s="3">
        <f t="shared" si="1"/>
        <v>-2.1188145788626684</v>
      </c>
      <c r="J10" s="3">
        <f t="shared" si="3"/>
        <v>34.209405499588783</v>
      </c>
      <c r="K10" s="3">
        <f t="shared" si="4"/>
        <v>-6.4153945004112174</v>
      </c>
    </row>
    <row r="11" spans="1:29" x14ac:dyDescent="0.2">
      <c r="A11" s="2">
        <v>41791</v>
      </c>
      <c r="B11" s="3">
        <f>'[2]Soy Complex'!$BC586</f>
        <v>39.533799999999999</v>
      </c>
      <c r="C11" s="4">
        <f>'[2]Soy Complex'!$BC602</f>
        <v>43.6267</v>
      </c>
      <c r="D11" s="4">
        <f>'[2]Soy Complex'!$BC348</f>
        <v>78.719335442999977</v>
      </c>
      <c r="E11" s="4">
        <f t="shared" si="2"/>
        <v>-35.092635442999978</v>
      </c>
      <c r="F11" s="4">
        <f>'[2]Soy Complex'!$DO428</f>
        <v>12.744063290868986</v>
      </c>
      <c r="G11" s="3">
        <f t="shared" si="5"/>
        <v>40.6248</v>
      </c>
      <c r="H11" s="3">
        <f t="shared" si="0"/>
        <v>36.968786364333283</v>
      </c>
      <c r="I11" s="3">
        <f t="shared" si="1"/>
        <v>-2.5650136356667161</v>
      </c>
      <c r="J11" s="3">
        <f t="shared" si="3"/>
        <v>32.821789966488218</v>
      </c>
      <c r="K11" s="3">
        <f t="shared" si="4"/>
        <v>-6.7120100335117812</v>
      </c>
    </row>
    <row r="12" spans="1:29" x14ac:dyDescent="0.2">
      <c r="A12" s="2">
        <v>41821</v>
      </c>
      <c r="B12" s="3">
        <f>'[2]Soy Complex'!$BC587</f>
        <v>36.954099999999997</v>
      </c>
      <c r="C12" s="4">
        <f>'[2]Soy Complex'!$BC603</f>
        <v>41.756399999999999</v>
      </c>
      <c r="D12" s="4">
        <f>'[2]Soy Complex'!$BC349</f>
        <v>198.0200298888</v>
      </c>
      <c r="E12" s="4">
        <f t="shared" si="2"/>
        <v>-156.26362988879998</v>
      </c>
      <c r="F12" s="4">
        <f>'[2]Soy Complex'!$DO429</f>
        <v>9.7065080568970075</v>
      </c>
      <c r="G12" s="3">
        <f t="shared" si="5"/>
        <v>39.533799999999999</v>
      </c>
      <c r="H12" s="3">
        <f t="shared" si="0"/>
        <v>36.035753030061095</v>
      </c>
      <c r="I12" s="3">
        <f t="shared" si="1"/>
        <v>-0.91834696993890219</v>
      </c>
      <c r="J12" s="3">
        <f t="shared" si="3"/>
        <v>31.973453105944106</v>
      </c>
      <c r="K12" s="3">
        <f t="shared" si="4"/>
        <v>-4.9806468940558908</v>
      </c>
    </row>
    <row r="13" spans="1:29" x14ac:dyDescent="0.2">
      <c r="A13" s="2">
        <v>41852</v>
      </c>
      <c r="B13" s="3">
        <f>'[2]Soy Complex'!$BC588</f>
        <v>33.855699999999999</v>
      </c>
      <c r="C13" s="4">
        <f>'[2]Soy Complex'!$BC604</f>
        <v>39.138599999999997</v>
      </c>
      <c r="D13" s="4">
        <f>'[2]Soy Complex'!$BC350</f>
        <v>118.99954308060001</v>
      </c>
      <c r="E13" s="4">
        <f t="shared" si="2"/>
        <v>-79.860943080600009</v>
      </c>
      <c r="F13" s="4">
        <f>'[2]Soy Complex'!$DO430</f>
        <v>7.9293721081447615</v>
      </c>
      <c r="G13" s="3">
        <f t="shared" si="5"/>
        <v>36.954099999999997</v>
      </c>
      <c r="H13" s="3">
        <f t="shared" si="0"/>
        <v>33.728487553367351</v>
      </c>
      <c r="I13" s="3">
        <f t="shared" si="1"/>
        <v>-0.12721244663264741</v>
      </c>
      <c r="J13" s="3">
        <f t="shared" si="3"/>
        <v>29.870456511617707</v>
      </c>
      <c r="K13" s="3">
        <f t="shared" si="4"/>
        <v>-3.9852434883822916</v>
      </c>
    </row>
    <row r="14" spans="1:29" x14ac:dyDescent="0.2">
      <c r="A14" s="2">
        <v>41883</v>
      </c>
      <c r="B14" s="3">
        <f>'[2]Soy Complex'!$BC589</f>
        <v>42.445500000000003</v>
      </c>
      <c r="C14" s="4">
        <f>'[2]Soy Complex'!$BC605</f>
        <v>37.836199999999998</v>
      </c>
      <c r="D14" s="4">
        <f>'[2]Soy Complex'!$BC351</f>
        <v>75.629557710000014</v>
      </c>
      <c r="E14" s="4">
        <f t="shared" si="2"/>
        <v>-37.793357710000016</v>
      </c>
      <c r="F14" s="4">
        <f>'[2]Soy Complex'!$DO431</f>
        <v>9.7780810114610652</v>
      </c>
      <c r="G14" s="3">
        <f t="shared" si="5"/>
        <v>33.855699999999999</v>
      </c>
      <c r="H14" s="3">
        <f t="shared" si="0"/>
        <v>30.971142584844515</v>
      </c>
      <c r="I14" s="3">
        <f t="shared" si="1"/>
        <v>-11.474357415155488</v>
      </c>
      <c r="J14" s="3">
        <f t="shared" si="3"/>
        <v>27.366503145330014</v>
      </c>
      <c r="K14" s="3">
        <f t="shared" si="4"/>
        <v>-15.078996854669988</v>
      </c>
      <c r="Y14" t="s">
        <v>9</v>
      </c>
    </row>
    <row r="15" spans="1:29" x14ac:dyDescent="0.2">
      <c r="A15" s="2">
        <v>41913</v>
      </c>
      <c r="B15" s="3">
        <f>'[2]Soy Complex'!$BD578</f>
        <v>32.794800000000002</v>
      </c>
      <c r="C15" s="4">
        <f>'[2]Soy Complex'!$BD594</f>
        <v>38.316499999999998</v>
      </c>
      <c r="D15" s="4">
        <f>'[2]Soy Complex'!$BD340</f>
        <v>158.08330235880001</v>
      </c>
      <c r="E15" s="4">
        <f t="shared" si="2"/>
        <v>-119.76680235880002</v>
      </c>
      <c r="F15" s="4">
        <f>'[2]Soy Complex'!$DP420</f>
        <v>0.1871819296834028</v>
      </c>
      <c r="G15" s="3">
        <f t="shared" si="5"/>
        <v>42.445500000000003</v>
      </c>
      <c r="H15" s="3">
        <f t="shared" si="0"/>
        <v>38.605772537083951</v>
      </c>
      <c r="I15" s="3">
        <f t="shared" si="1"/>
        <v>5.8109725370839485</v>
      </c>
      <c r="J15" s="3">
        <f t="shared" si="3"/>
        <v>34.289960227835302</v>
      </c>
      <c r="K15" s="3">
        <f t="shared" si="4"/>
        <v>1.4951602278352993</v>
      </c>
    </row>
    <row r="16" spans="1:29" ht="13.5" thickBot="1" x14ac:dyDescent="0.25">
      <c r="A16" s="2">
        <v>41944</v>
      </c>
      <c r="B16" s="3">
        <f>'[2]Soy Complex'!$BD579</f>
        <v>32.722099999999998</v>
      </c>
      <c r="C16" s="4">
        <f>'[2]Soy Complex'!$BD595</f>
        <v>37.3932</v>
      </c>
      <c r="D16" s="4">
        <f>'[2]Soy Complex'!$BD341</f>
        <v>231.5380004658</v>
      </c>
      <c r="E16" s="4">
        <f t="shared" si="2"/>
        <v>-194.14480046579999</v>
      </c>
      <c r="F16" s="4">
        <f>'[2]Soy Complex'!$DP421</f>
        <v>0.18718192968340283</v>
      </c>
      <c r="G16" s="3">
        <f t="shared" si="5"/>
        <v>32.794800000000002</v>
      </c>
      <c r="H16" s="3">
        <f t="shared" si="0"/>
        <v>30.074580930079794</v>
      </c>
      <c r="I16" s="3">
        <f t="shared" si="1"/>
        <v>-2.6475190699202038</v>
      </c>
      <c r="J16" s="3">
        <f t="shared" si="3"/>
        <v>26.540838716351143</v>
      </c>
      <c r="K16" s="3">
        <f t="shared" si="4"/>
        <v>-6.1812612836488547</v>
      </c>
      <c r="Y16" s="5" t="s">
        <v>10</v>
      </c>
      <c r="Z16" s="5"/>
      <c r="AB16" s="5"/>
      <c r="AC16" s="5"/>
    </row>
    <row r="17" spans="1:31" ht="13.5" thickTop="1" x14ac:dyDescent="0.2">
      <c r="A17" s="2">
        <v>41974</v>
      </c>
      <c r="B17" s="3">
        <f>'[2]Soy Complex'!$BD580</f>
        <v>32.059100000000001</v>
      </c>
      <c r="C17" s="4">
        <f>'[2]Soy Complex'!$BD596</f>
        <v>35.390500000000003</v>
      </c>
      <c r="D17" s="4">
        <f>'[2]Soy Complex'!$BD342</f>
        <v>235.49860388880003</v>
      </c>
      <c r="E17" s="4">
        <f t="shared" si="2"/>
        <v>-200.10810388880003</v>
      </c>
      <c r="F17" s="4">
        <f>'[2]Soy Complex'!$DP422</f>
        <v>0.18718192968340283</v>
      </c>
      <c r="G17" s="3">
        <f t="shared" si="5"/>
        <v>32.722099999999998</v>
      </c>
      <c r="H17" s="3">
        <f t="shared" si="0"/>
        <v>30.011819224576421</v>
      </c>
      <c r="I17" s="3">
        <f t="shared" si="1"/>
        <v>-2.0472807754235802</v>
      </c>
      <c r="J17" s="3">
        <f t="shared" si="3"/>
        <v>26.48405536306738</v>
      </c>
      <c r="K17" s="3">
        <f t="shared" si="4"/>
        <v>-5.5750446369326205</v>
      </c>
      <c r="Y17" t="s">
        <v>11</v>
      </c>
      <c r="Z17" t="e">
        <f ca="1">SQRT(Z18)</f>
        <v>#NAME?</v>
      </c>
      <c r="AB17" t="s">
        <v>12</v>
      </c>
      <c r="AC17" t="e">
        <f ca="1">Z21*LN(AA26/Z21)+2*(Z25+1)</f>
        <v>#NAME?</v>
      </c>
    </row>
    <row r="18" spans="1:31" x14ac:dyDescent="0.2">
      <c r="A18" s="2">
        <v>42005</v>
      </c>
      <c r="B18" s="3">
        <f>'[2]Soy Complex'!$BD581</f>
        <v>32.186</v>
      </c>
      <c r="C18" s="4">
        <f>'[2]Soy Complex'!$BD597</f>
        <v>35.077500000000001</v>
      </c>
      <c r="D18" s="4">
        <f>'[2]Soy Complex'!$BD343</f>
        <v>256.163161</v>
      </c>
      <c r="E18" s="4">
        <f t="shared" si="2"/>
        <v>-221.08566100000002</v>
      </c>
      <c r="F18" s="4">
        <f>'[2]Soy Complex'!$DP423</f>
        <v>0.18718192968340286</v>
      </c>
      <c r="G18" s="3">
        <f t="shared" si="5"/>
        <v>32.059100000000001</v>
      </c>
      <c r="H18" s="3">
        <f t="shared" si="0"/>
        <v>29.430148727834048</v>
      </c>
      <c r="I18" s="3">
        <f t="shared" si="1"/>
        <v>-2.7558512721659518</v>
      </c>
      <c r="J18" s="3">
        <f t="shared" si="3"/>
        <v>25.956368086952743</v>
      </c>
      <c r="K18" s="3">
        <f t="shared" si="4"/>
        <v>-6.2296319130472568</v>
      </c>
      <c r="Y18" t="s">
        <v>13</v>
      </c>
      <c r="Z18" t="e">
        <f ca="1">AA25/AA27</f>
        <v>#NAME?</v>
      </c>
      <c r="AB18" t="s">
        <v>14</v>
      </c>
      <c r="AC18" t="e">
        <f ca="1">AC17+2*(Z25+2)*(Z25+3)/(Z21-Z25-3)</f>
        <v>#NAME?</v>
      </c>
    </row>
    <row r="19" spans="1:31" x14ac:dyDescent="0.2">
      <c r="A19" s="2">
        <v>42036</v>
      </c>
      <c r="B19" s="3">
        <f>'[2]Soy Complex'!$BD582</f>
        <v>31.657900000000001</v>
      </c>
      <c r="C19" s="4">
        <f>'[2]Soy Complex'!$BD598</f>
        <v>33.789499999999997</v>
      </c>
      <c r="D19" s="4">
        <f>'[2]Soy Complex'!$BD344</f>
        <v>219.82096925645999</v>
      </c>
      <c r="E19" s="4">
        <f t="shared" si="2"/>
        <v>-186.03146925645999</v>
      </c>
      <c r="F19" s="4">
        <f>'[2]Soy Complex'!$DP424</f>
        <v>0.18718192968340283</v>
      </c>
      <c r="G19" s="3">
        <f t="shared" si="5"/>
        <v>32.186</v>
      </c>
      <c r="H19" s="3">
        <f t="shared" si="0"/>
        <v>29.532836791200051</v>
      </c>
      <c r="I19" s="3">
        <f t="shared" si="1"/>
        <v>-2.1250632087999506</v>
      </c>
      <c r="J19" s="3">
        <f t="shared" si="3"/>
        <v>26.048224310062448</v>
      </c>
      <c r="K19" s="3">
        <f t="shared" si="4"/>
        <v>-5.6096756899375535</v>
      </c>
      <c r="Y19" t="s">
        <v>15</v>
      </c>
      <c r="Z19" t="e">
        <f ca="1">1-(1-Z18)*(Z21-1)/(Z21-Z25-1)</f>
        <v>#NAME?</v>
      </c>
      <c r="AB19" s="6" t="s">
        <v>16</v>
      </c>
      <c r="AC19" s="6" t="e">
        <f ca="1">Z21*LN(AA26/Z21)+(Z25+1)*LN(Z21)</f>
        <v>#NAME?</v>
      </c>
    </row>
    <row r="20" spans="1:31" x14ac:dyDescent="0.2">
      <c r="A20" s="2">
        <v>42064</v>
      </c>
      <c r="B20" s="3">
        <f>'[2]Soy Complex'!$BD583</f>
        <v>31.072299999999998</v>
      </c>
      <c r="C20" s="4">
        <f>'[2]Soy Complex'!$BD599</f>
        <v>33.247100000000003</v>
      </c>
      <c r="D20" s="4">
        <f>'[2]Soy Complex'!$BD345</f>
        <v>232.74479561718002</v>
      </c>
      <c r="E20" s="4">
        <f t="shared" si="2"/>
        <v>-199.49769561718</v>
      </c>
      <c r="F20" s="4">
        <f>'[2]Soy Complex'!$DP425</f>
        <v>0.18718192968340283</v>
      </c>
      <c r="G20" s="3">
        <f t="shared" si="5"/>
        <v>31.657900000000001</v>
      </c>
      <c r="H20" s="3">
        <f t="shared" si="0"/>
        <v>29.068614974970728</v>
      </c>
      <c r="I20" s="3">
        <f t="shared" si="1"/>
        <v>-2.0036850250292702</v>
      </c>
      <c r="J20" s="3">
        <f t="shared" si="3"/>
        <v>25.626949629387756</v>
      </c>
      <c r="K20" s="3">
        <f t="shared" si="4"/>
        <v>-5.4453503706122426</v>
      </c>
      <c r="Y20" t="s">
        <v>17</v>
      </c>
      <c r="Z20" t="e">
        <f ca="1">SQRT(AB26)</f>
        <v>#NAME?</v>
      </c>
    </row>
    <row r="21" spans="1:31" x14ac:dyDescent="0.2">
      <c r="A21" s="2">
        <v>42095</v>
      </c>
      <c r="B21" s="3">
        <f>'[2]Soy Complex'!$BD584</f>
        <v>31.373799999999999</v>
      </c>
      <c r="C21" s="4">
        <f>'[2]Soy Complex'!$BD600</f>
        <v>35.381100000000004</v>
      </c>
      <c r="D21" s="4">
        <f>'[2]Soy Complex'!$BD346</f>
        <v>124.61321335540001</v>
      </c>
      <c r="E21" s="4">
        <f t="shared" si="2"/>
        <v>-89.232113355400003</v>
      </c>
      <c r="F21" s="4">
        <f>'[2]Soy Complex'!$DP426</f>
        <v>0.18718192968340283</v>
      </c>
      <c r="G21" s="3">
        <f t="shared" si="5"/>
        <v>31.072299999999998</v>
      </c>
      <c r="H21" s="3">
        <f t="shared" si="0"/>
        <v>28.518977077661255</v>
      </c>
      <c r="I21" s="3">
        <f t="shared" si="1"/>
        <v>-2.8548229223387445</v>
      </c>
      <c r="J21" s="3">
        <f t="shared" si="3"/>
        <v>25.122921008649286</v>
      </c>
      <c r="K21" s="3">
        <f t="shared" si="4"/>
        <v>-6.2508789913507137</v>
      </c>
      <c r="M21" t="s">
        <v>9</v>
      </c>
      <c r="Y21" s="6" t="s">
        <v>18</v>
      </c>
      <c r="Z21" s="6">
        <f>COUNT(C2:C110)</f>
        <v>109</v>
      </c>
    </row>
    <row r="22" spans="1:31" x14ac:dyDescent="0.2">
      <c r="A22" s="2">
        <v>42125</v>
      </c>
      <c r="B22" s="3">
        <f>'[2]Soy Complex'!$BD585</f>
        <v>32.587499999999999</v>
      </c>
      <c r="C22" s="4">
        <f>'[2]Soy Complex'!$BD601</f>
        <v>35.650500000000001</v>
      </c>
      <c r="D22" s="4">
        <f>'[2]Soy Complex'!$BD347</f>
        <v>71.85582120442001</v>
      </c>
      <c r="E22" s="4">
        <f t="shared" si="2"/>
        <v>-36.205321204420009</v>
      </c>
      <c r="F22" s="4">
        <f>'[2]Soy Complex'!$DP427</f>
        <v>0.1871819296834028</v>
      </c>
      <c r="G22" s="3">
        <f t="shared" si="5"/>
        <v>31.373799999999999</v>
      </c>
      <c r="H22" s="3">
        <f t="shared" si="0"/>
        <v>28.771379970624491</v>
      </c>
      <c r="I22" s="3">
        <f t="shared" si="1"/>
        <v>-3.816120029375508</v>
      </c>
      <c r="J22" s="3">
        <f t="shared" si="3"/>
        <v>25.35007541946759</v>
      </c>
      <c r="K22" s="3">
        <f t="shared" si="4"/>
        <v>-7.2374245805324087</v>
      </c>
    </row>
    <row r="23" spans="1:31" ht="13.5" thickBot="1" x14ac:dyDescent="0.25">
      <c r="A23" s="2">
        <v>42156</v>
      </c>
      <c r="B23" s="3">
        <f>'[2]Soy Complex'!$BD586</f>
        <v>33.476799999999997</v>
      </c>
      <c r="C23" s="4">
        <f>'[2]Soy Complex'!$BD602</f>
        <v>36.537300000000002</v>
      </c>
      <c r="D23" s="4">
        <f>'[2]Soy Complex'!$BD348</f>
        <v>156.71127903749999</v>
      </c>
      <c r="E23" s="4">
        <f t="shared" si="2"/>
        <v>-120.17397903749999</v>
      </c>
      <c r="F23" s="4">
        <f>'[2]Soy Complex'!$DP428</f>
        <v>0.18718192968340283</v>
      </c>
      <c r="G23" s="3">
        <f t="shared" si="5"/>
        <v>32.587499999999999</v>
      </c>
      <c r="H23" s="3">
        <f t="shared" si="0"/>
        <v>29.870280351572308</v>
      </c>
      <c r="I23" s="3">
        <f t="shared" si="1"/>
        <v>-3.6065196484276889</v>
      </c>
      <c r="J23" s="3">
        <f t="shared" si="3"/>
        <v>26.352121621247079</v>
      </c>
      <c r="K23" s="3">
        <f t="shared" si="4"/>
        <v>-7.1246783787529182</v>
      </c>
      <c r="M23" s="5" t="s">
        <v>10</v>
      </c>
      <c r="N23" s="5"/>
      <c r="P23" s="5"/>
      <c r="Q23" s="5"/>
      <c r="Y23" t="s">
        <v>19</v>
      </c>
      <c r="AC23" s="7" t="s">
        <v>20</v>
      </c>
      <c r="AD23" s="7">
        <v>0.05</v>
      </c>
    </row>
    <row r="24" spans="1:31" ht="13.5" thickTop="1" x14ac:dyDescent="0.2">
      <c r="A24" s="2">
        <v>42186</v>
      </c>
      <c r="B24" s="3">
        <f>'[2]Soy Complex'!$BD587</f>
        <v>31.6023</v>
      </c>
      <c r="C24" s="4">
        <f>'[2]Soy Complex'!$BD603</f>
        <v>34.613599999999998</v>
      </c>
      <c r="D24" s="4">
        <f>'[2]Soy Complex'!$BD349</f>
        <v>63.685885292919998</v>
      </c>
      <c r="E24" s="4">
        <f t="shared" si="2"/>
        <v>-29.07228529292</v>
      </c>
      <c r="F24" s="4">
        <f>'[2]Soy Complex'!$DP429</f>
        <v>0.1871819296834028</v>
      </c>
      <c r="G24" s="3">
        <f t="shared" si="5"/>
        <v>33.476799999999997</v>
      </c>
      <c r="H24" s="3">
        <f t="shared" si="0"/>
        <v>30.632953632806544</v>
      </c>
      <c r="I24" s="3">
        <f t="shared" si="1"/>
        <v>-0.9693463671934559</v>
      </c>
      <c r="J24" s="3">
        <f t="shared" si="3"/>
        <v>27.041372874050531</v>
      </c>
      <c r="K24" s="3">
        <f t="shared" si="4"/>
        <v>-4.560927125949469</v>
      </c>
      <c r="M24" t="s">
        <v>11</v>
      </c>
      <c r="N24" t="e">
        <f ca="1">SQRT(N25)</f>
        <v>#NAME?</v>
      </c>
      <c r="P24" t="s">
        <v>12</v>
      </c>
      <c r="Q24" t="e">
        <f ca="1">N28*LN(O33/N28)+2*(N32+1)</f>
        <v>#NAME?</v>
      </c>
      <c r="Y24" s="8"/>
      <c r="Z24" s="8" t="s">
        <v>21</v>
      </c>
      <c r="AA24" s="8" t="s">
        <v>22</v>
      </c>
      <c r="AB24" s="8" t="s">
        <v>23</v>
      </c>
      <c r="AC24" s="8" t="s">
        <v>24</v>
      </c>
      <c r="AD24" s="8" t="s">
        <v>25</v>
      </c>
      <c r="AE24" s="8" t="s">
        <v>26</v>
      </c>
    </row>
    <row r="25" spans="1:31" x14ac:dyDescent="0.2">
      <c r="A25" s="2">
        <v>42217</v>
      </c>
      <c r="B25" s="3">
        <f>'[2]Soy Complex'!$BD588</f>
        <v>28.573799999999999</v>
      </c>
      <c r="C25" s="4">
        <f>'[2]Soy Complex'!$BD604</f>
        <v>31.4771</v>
      </c>
      <c r="D25" s="4">
        <f>'[2]Soy Complex'!$BD350</f>
        <v>153.88864893600001</v>
      </c>
      <c r="E25" s="4">
        <f t="shared" si="2"/>
        <v>-122.411548936</v>
      </c>
      <c r="F25" s="4">
        <f>'[2]Soy Complex'!$DP430</f>
        <v>0.1871819296834028</v>
      </c>
      <c r="G25" s="3">
        <f t="shared" si="5"/>
        <v>31.6023</v>
      </c>
      <c r="H25" s="3">
        <f t="shared" si="0"/>
        <v>28.997874704857921</v>
      </c>
      <c r="I25" s="3">
        <f t="shared" si="1"/>
        <v>0.42407470485792231</v>
      </c>
      <c r="J25" s="3">
        <f t="shared" si="3"/>
        <v>25.559468123592374</v>
      </c>
      <c r="K25" s="3">
        <f t="shared" si="4"/>
        <v>-3.0143318764076241</v>
      </c>
      <c r="M25" t="s">
        <v>13</v>
      </c>
      <c r="N25" t="e">
        <f ca="1">O32/O34</f>
        <v>#NAME?</v>
      </c>
      <c r="P25" t="s">
        <v>14</v>
      </c>
      <c r="Q25" t="e">
        <f ca="1">Q24+2*(N32+2)*(N32+3)/(N28-N32-3)</f>
        <v>#NAME?</v>
      </c>
      <c r="Y25" t="s">
        <v>27</v>
      </c>
      <c r="Z25">
        <f>COUNT(B2)</f>
        <v>1</v>
      </c>
      <c r="AA25" t="e">
        <f ca="1">DEVSQ(MMULT([3]!DESIGN(B2:B109),Z30:Z31))</f>
        <v>#NAME?</v>
      </c>
      <c r="AB25" t="e">
        <f ca="1">AA25/Z25</f>
        <v>#NAME?</v>
      </c>
      <c r="AC25" t="e">
        <f ca="1">AB25/AB26</f>
        <v>#NAME?</v>
      </c>
      <c r="AD25" t="e">
        <f ca="1">_xlfn.F.DIST.RT(AC25,Z25,Z26)</f>
        <v>#NAME?</v>
      </c>
      <c r="AE25" s="7" t="e">
        <f ca="1">IF(AD25&lt;AD23,"yes","no")</f>
        <v>#NAME?</v>
      </c>
    </row>
    <row r="26" spans="1:31" x14ac:dyDescent="0.2">
      <c r="A26" s="2">
        <v>42248</v>
      </c>
      <c r="B26" s="3">
        <f>'[2]Soy Complex'!$BD589</f>
        <v>32.299500000000002</v>
      </c>
      <c r="C26" s="4">
        <f>'[2]Soy Complex'!$BD605</f>
        <v>28.5471</v>
      </c>
      <c r="D26" s="4">
        <f>'[2]Soy Complex'!$BD351</f>
        <v>101.17275434728001</v>
      </c>
      <c r="E26" s="4">
        <f t="shared" si="2"/>
        <v>-72.625654347280005</v>
      </c>
      <c r="F26" s="4">
        <f>'[2]Soy Complex'!$DP431</f>
        <v>0.18718192968340283</v>
      </c>
      <c r="G26" s="3">
        <f t="shared" si="5"/>
        <v>28.573799999999999</v>
      </c>
      <c r="H26" s="3">
        <f t="shared" si="0"/>
        <v>26.300321420382577</v>
      </c>
      <c r="I26" s="3">
        <f t="shared" si="1"/>
        <v>-5.9991785796174248</v>
      </c>
      <c r="J26" s="3">
        <f t="shared" si="3"/>
        <v>23.106161036012455</v>
      </c>
      <c r="K26" s="3">
        <f t="shared" si="4"/>
        <v>-9.1933389639875465</v>
      </c>
      <c r="M26" t="s">
        <v>15</v>
      </c>
      <c r="N26" t="e">
        <f ca="1">1-(1-N25)*(N28-1)/(N28-N32-1)</f>
        <v>#NAME?</v>
      </c>
      <c r="P26" s="6" t="s">
        <v>16</v>
      </c>
      <c r="Q26" s="6" t="e">
        <f ca="1">N28*LN(O33/N28)+(N32+1)*LN(N28)</f>
        <v>#NAME?</v>
      </c>
      <c r="Y26" t="s">
        <v>28</v>
      </c>
      <c r="Z26">
        <f>Z27-Z25</f>
        <v>107</v>
      </c>
      <c r="AA26" t="e">
        <f ca="1">AA27-AA25</f>
        <v>#NAME?</v>
      </c>
      <c r="AB26" t="e">
        <f ca="1">AA26/Z26</f>
        <v>#NAME?</v>
      </c>
    </row>
    <row r="27" spans="1:31" x14ac:dyDescent="0.2">
      <c r="A27" s="2">
        <v>42278</v>
      </c>
      <c r="B27" s="3">
        <f>'[2]Soy Complex'!$BE578</f>
        <v>28.377700000000001</v>
      </c>
      <c r="C27" s="4">
        <f>'[2]Soy Complex'!$BE594</f>
        <v>29.8005</v>
      </c>
      <c r="D27" s="4">
        <f>'[2]Soy Complex'!$BE340</f>
        <v>179.0744262318</v>
      </c>
      <c r="E27" s="4">
        <f t="shared" si="2"/>
        <v>-149.2739262318</v>
      </c>
      <c r="F27" s="4">
        <f>'[2]Soy Complex'!$DQ420</f>
        <v>0.18718192968340286</v>
      </c>
      <c r="G27" s="3">
        <f t="shared" si="5"/>
        <v>32.299500000000002</v>
      </c>
      <c r="H27" s="3">
        <f t="shared" si="0"/>
        <v>29.623176096058561</v>
      </c>
      <c r="I27" s="3">
        <f t="shared" si="1"/>
        <v>1.2454760960585602</v>
      </c>
      <c r="J27" s="3">
        <f t="shared" si="3"/>
        <v>26.128788617202222</v>
      </c>
      <c r="K27" s="3">
        <f t="shared" si="4"/>
        <v>-2.2489113827977789</v>
      </c>
      <c r="M27" t="s">
        <v>17</v>
      </c>
      <c r="N27" t="e">
        <f ca="1">SQRT(P33)</f>
        <v>#NAME?</v>
      </c>
      <c r="Y27" s="6" t="s">
        <v>29</v>
      </c>
      <c r="Z27" s="6">
        <f>Z21-1</f>
        <v>108</v>
      </c>
      <c r="AA27" s="6">
        <f>DEVSQ(C2:C110)</f>
        <v>42132.930920164414</v>
      </c>
      <c r="AB27" s="6"/>
      <c r="AC27" s="6"/>
      <c r="AD27" s="6"/>
      <c r="AE27" s="6"/>
    </row>
    <row r="28" spans="1:31" ht="13.5" thickBot="1" x14ac:dyDescent="0.25">
      <c r="A28" s="2">
        <v>42309</v>
      </c>
      <c r="B28" s="3">
        <f>'[2]Soy Complex'!$BE579</f>
        <v>27.884</v>
      </c>
      <c r="C28" s="4">
        <f>'[2]Soy Complex'!$BE595</f>
        <v>29.0715</v>
      </c>
      <c r="D28" s="4">
        <f>'[2]Soy Complex'!$BE341</f>
        <v>232.49482698310001</v>
      </c>
      <c r="E28" s="4">
        <f t="shared" si="2"/>
        <v>-203.42332698310003</v>
      </c>
      <c r="F28" s="4">
        <f>'[2]Soy Complex'!$DQ421</f>
        <v>0.18718192968340283</v>
      </c>
      <c r="G28" s="3">
        <f t="shared" si="5"/>
        <v>28.377700000000001</v>
      </c>
      <c r="H28" s="3">
        <f t="shared" si="0"/>
        <v>26.162979476604029</v>
      </c>
      <c r="I28" s="3">
        <f t="shared" si="1"/>
        <v>-1.7210205233959712</v>
      </c>
      <c r="J28" s="3">
        <f t="shared" si="3"/>
        <v>22.986790323821445</v>
      </c>
      <c r="K28" s="3">
        <f t="shared" si="4"/>
        <v>-4.8972096761785551</v>
      </c>
      <c r="M28" s="6" t="s">
        <v>18</v>
      </c>
      <c r="N28" s="6">
        <f>COUNT(B2:B109)</f>
        <v>108</v>
      </c>
    </row>
    <row r="29" spans="1:31" ht="13.5" thickTop="1" x14ac:dyDescent="0.2">
      <c r="A29" s="2">
        <v>42339</v>
      </c>
      <c r="B29" s="3">
        <f>'[2]Soy Complex'!$BE580</f>
        <v>30.822700000000001</v>
      </c>
      <c r="C29" s="4">
        <f>'[2]Soy Complex'!$BE596</f>
        <v>32.013599999999997</v>
      </c>
      <c r="D29" s="4">
        <f>'[2]Soy Complex'!$BE342</f>
        <v>320.07370701767996</v>
      </c>
      <c r="E29" s="4">
        <f t="shared" si="2"/>
        <v>-288.06010701767997</v>
      </c>
      <c r="F29" s="4">
        <f>'[2]Soy Complex'!$DQ422</f>
        <v>0.1871819296834028</v>
      </c>
      <c r="G29" s="3">
        <f t="shared" si="5"/>
        <v>27.884</v>
      </c>
      <c r="H29" s="3">
        <f t="shared" si="0"/>
        <v>25.749064021726511</v>
      </c>
      <c r="I29" s="3">
        <f t="shared" si="1"/>
        <v>-5.0736359782734901</v>
      </c>
      <c r="J29" s="3">
        <f t="shared" si="3"/>
        <v>22.614183449729254</v>
      </c>
      <c r="K29" s="3">
        <f t="shared" si="4"/>
        <v>-8.2085165502707476</v>
      </c>
      <c r="Y29" s="8"/>
      <c r="Z29" s="8" t="s">
        <v>30</v>
      </c>
      <c r="AA29" s="8" t="s">
        <v>31</v>
      </c>
      <c r="AB29" s="8" t="s">
        <v>32</v>
      </c>
      <c r="AC29" s="8" t="s">
        <v>25</v>
      </c>
      <c r="AD29" s="8" t="s">
        <v>33</v>
      </c>
      <c r="AE29" s="8" t="s">
        <v>34</v>
      </c>
    </row>
    <row r="30" spans="1:31" ht="13.5" thickBot="1" x14ac:dyDescent="0.25">
      <c r="A30" s="2">
        <v>42370</v>
      </c>
      <c r="B30" s="3">
        <f>'[2]Soy Complex'!$BE581</f>
        <v>30.012599999999999</v>
      </c>
      <c r="C30" s="4">
        <f>'[2]Soy Complex'!$BE597</f>
        <v>31.2942</v>
      </c>
      <c r="D30" s="4">
        <f>'[2]Soy Complex'!$BE343</f>
        <v>165.96508109807999</v>
      </c>
      <c r="E30" s="4">
        <f t="shared" si="2"/>
        <v>-134.67088109808</v>
      </c>
      <c r="F30" s="4">
        <f>'[2]Soy Complex'!$DQ423</f>
        <v>0.24809063990546606</v>
      </c>
      <c r="G30" s="3">
        <f t="shared" si="5"/>
        <v>30.822700000000001</v>
      </c>
      <c r="H30" s="3">
        <f t="shared" si="0"/>
        <v>28.310451568326382</v>
      </c>
      <c r="I30" s="3">
        <f t="shared" si="1"/>
        <v>-1.7021484316736171</v>
      </c>
      <c r="J30" s="3">
        <f t="shared" si="3"/>
        <v>24.93543337575235</v>
      </c>
      <c r="K30" s="3">
        <f t="shared" si="4"/>
        <v>-5.0771666242476492</v>
      </c>
      <c r="M30" t="s">
        <v>19</v>
      </c>
      <c r="Q30" s="7" t="s">
        <v>20</v>
      </c>
      <c r="R30" s="7">
        <v>0.05</v>
      </c>
      <c r="Y30" t="s">
        <v>35</v>
      </c>
      <c r="Z30" t="e">
        <f t="array" aca="1" ref="Z30:AA31" ca="1">[3]!RegCoeff(B2:B109,C2:C110)</f>
        <v>#NAME?</v>
      </c>
      <c r="AA30" t="e">
        <f ca="1"/>
        <v>#NAME?</v>
      </c>
      <c r="AB30" t="e">
        <f ca="1">Z30/AA30</f>
        <v>#NAME?</v>
      </c>
      <c r="AC30" t="e">
        <f ca="1">_xlfn.T.DIST.2T(ABS(AB30),$Z$26)</f>
        <v>#NAME?</v>
      </c>
      <c r="AD30" t="e">
        <f ca="1">Z30-_xlfn.T.INV.2T(AD$23,$Z$26)*AA30</f>
        <v>#NAME?</v>
      </c>
      <c r="AE30" t="e">
        <f ca="1">Z30+_xlfn.T.INV.2T(AD$23,$Z$26)*AA30</f>
        <v>#NAME?</v>
      </c>
    </row>
    <row r="31" spans="1:31" ht="13.5" thickTop="1" x14ac:dyDescent="0.2">
      <c r="A31" s="2">
        <v>42401</v>
      </c>
      <c r="B31" s="3">
        <f>'[2]Soy Complex'!$BE582</f>
        <v>31.157499999999999</v>
      </c>
      <c r="C31" s="4">
        <f>'[2]Soy Complex'!$BE598</f>
        <v>32.157499999999999</v>
      </c>
      <c r="D31" s="4">
        <f>'[2]Soy Complex'!$BE344</f>
        <v>114.12120410878001</v>
      </c>
      <c r="E31" s="4">
        <f t="shared" si="2"/>
        <v>-81.963704108780007</v>
      </c>
      <c r="F31" s="4">
        <f>'[2]Soy Complex'!$DQ424</f>
        <v>0.24809063990546606</v>
      </c>
      <c r="G31" s="3">
        <f t="shared" si="5"/>
        <v>30.012599999999999</v>
      </c>
      <c r="H31" s="3">
        <f t="shared" si="0"/>
        <v>27.577906033352345</v>
      </c>
      <c r="I31" s="3">
        <f t="shared" si="1"/>
        <v>-3.5795939666476535</v>
      </c>
      <c r="J31" s="3">
        <f t="shared" si="3"/>
        <v>24.267588143553635</v>
      </c>
      <c r="K31" s="3">
        <f t="shared" si="4"/>
        <v>-6.8899118564463642</v>
      </c>
      <c r="M31" s="8"/>
      <c r="N31" s="8" t="s">
        <v>21</v>
      </c>
      <c r="O31" s="8" t="s">
        <v>22</v>
      </c>
      <c r="P31" s="8" t="s">
        <v>23</v>
      </c>
      <c r="Q31" s="8" t="s">
        <v>24</v>
      </c>
      <c r="R31" s="8" t="s">
        <v>25</v>
      </c>
      <c r="S31" s="8" t="s">
        <v>26</v>
      </c>
      <c r="Y31" s="6" t="str">
        <f t="array" ref="Y31">TRANSPOSE(B1)</f>
        <v>Basis</v>
      </c>
      <c r="Z31" s="6" t="e">
        <f ca="1"/>
        <v>#NAME?</v>
      </c>
      <c r="AA31" s="6" t="e">
        <f ca="1"/>
        <v>#NAME?</v>
      </c>
      <c r="AB31" s="6" t="e">
        <f ca="1">Z31/AA31</f>
        <v>#NAME?</v>
      </c>
      <c r="AC31" s="6" t="e">
        <f ca="1">_xlfn.T.DIST.2T(ABS(AB31),$Z$26)</f>
        <v>#NAME?</v>
      </c>
      <c r="AD31" s="6" t="e">
        <f ca="1">Z31-_xlfn.T.INV.2T(AD$23,$Z$26)*AA31</f>
        <v>#NAME?</v>
      </c>
      <c r="AE31" s="6" t="e">
        <f ca="1">Z31+_xlfn.T.INV.2T(AD$23,$Z$26)*AA31</f>
        <v>#NAME?</v>
      </c>
    </row>
    <row r="32" spans="1:31" x14ac:dyDescent="0.2">
      <c r="A32" s="2">
        <v>42430</v>
      </c>
      <c r="B32" s="3">
        <f>'[2]Soy Complex'!$BE583</f>
        <v>32.476399999999998</v>
      </c>
      <c r="C32" s="4">
        <f>'[2]Soy Complex'!$BE599</f>
        <v>33.476399999999998</v>
      </c>
      <c r="D32" s="4">
        <f>'[2]Soy Complex'!$BE345</f>
        <v>232.32517486024</v>
      </c>
      <c r="E32" s="4">
        <f t="shared" si="2"/>
        <v>-198.84877486023998</v>
      </c>
      <c r="F32" s="4">
        <f>'[2]Soy Complex'!$DQ425</f>
        <v>0.24809063990546612</v>
      </c>
      <c r="G32" s="3">
        <f t="shared" si="5"/>
        <v>31.157499999999999</v>
      </c>
      <c r="H32" s="3">
        <f t="shared" si="0"/>
        <v>28.625007873865012</v>
      </c>
      <c r="I32" s="3">
        <f t="shared" si="1"/>
        <v>-3.8513921261349857</v>
      </c>
      <c r="J32" s="3">
        <f t="shared" si="3"/>
        <v>25.223932171417239</v>
      </c>
      <c r="K32" s="3">
        <f t="shared" si="4"/>
        <v>-7.2524678285827591</v>
      </c>
      <c r="M32" t="s">
        <v>27</v>
      </c>
      <c r="N32">
        <f>COUNT(C2:E2)</f>
        <v>3</v>
      </c>
      <c r="O32" t="e">
        <f ca="1">DEVSQ(MMULT([3]!DESIGN(C2:E109),N37:N40))</f>
        <v>#NAME?</v>
      </c>
      <c r="P32" t="e">
        <f ca="1">O32/N32</f>
        <v>#NAME?</v>
      </c>
      <c r="Q32" t="e">
        <f ca="1">P32/P33</f>
        <v>#NAME?</v>
      </c>
      <c r="R32" t="e">
        <f ca="1">_xlfn.F.DIST.RT(Q32,N32,N33)</f>
        <v>#NAME?</v>
      </c>
      <c r="S32" s="7" t="e">
        <f ca="1">IF(R32&lt;R30,"yes","no")</f>
        <v>#NAME?</v>
      </c>
    </row>
    <row r="33" spans="1:27" x14ac:dyDescent="0.2">
      <c r="A33" s="2">
        <v>42461</v>
      </c>
      <c r="B33" s="3">
        <f>'[2]Soy Complex'!$BE584</f>
        <v>33.9529</v>
      </c>
      <c r="C33" s="4">
        <f>'[2]Soy Complex'!$BE600</f>
        <v>34.941000000000003</v>
      </c>
      <c r="D33" s="4">
        <f>'[2]Soy Complex'!$BE346</f>
        <v>124.76960909820001</v>
      </c>
      <c r="E33" s="4">
        <f t="shared" si="2"/>
        <v>-89.828609098200005</v>
      </c>
      <c r="F33" s="4">
        <f>'[2]Soy Complex'!$DQ426</f>
        <v>0.24809063990546609</v>
      </c>
      <c r="G33" s="3">
        <f t="shared" si="5"/>
        <v>32.476399999999998</v>
      </c>
      <c r="H33" s="3">
        <f t="shared" si="0"/>
        <v>29.76337773038286</v>
      </c>
      <c r="I33" s="3">
        <f t="shared" si="1"/>
        <v>-4.1895222696171395</v>
      </c>
      <c r="J33" s="3">
        <f t="shared" si="3"/>
        <v>26.253831240682366</v>
      </c>
      <c r="K33" s="3">
        <f t="shared" si="4"/>
        <v>-7.6990687593176332</v>
      </c>
      <c r="M33" t="s">
        <v>28</v>
      </c>
      <c r="N33">
        <f>N34-N32</f>
        <v>104</v>
      </c>
      <c r="O33" t="e">
        <f ca="1">O34-O32</f>
        <v>#NAME?</v>
      </c>
      <c r="P33" t="e">
        <f ca="1">O33/N33</f>
        <v>#NAME?</v>
      </c>
    </row>
    <row r="34" spans="1:27" x14ac:dyDescent="0.2">
      <c r="A34" s="2">
        <v>42491</v>
      </c>
      <c r="B34" s="3">
        <f>'[2]Soy Complex'!$BE585</f>
        <v>32.2057</v>
      </c>
      <c r="C34" s="4">
        <f>'[2]Soy Complex'!$BE601</f>
        <v>33.078600000000002</v>
      </c>
      <c r="D34" s="4">
        <f>'[2]Soy Complex'!$BE347</f>
        <v>103.50585298702001</v>
      </c>
      <c r="E34" s="4">
        <f t="shared" si="2"/>
        <v>-70.427252987020012</v>
      </c>
      <c r="F34" s="4">
        <f>'[2]Soy Complex'!$DQ427</f>
        <v>0.25375237548655916</v>
      </c>
      <c r="G34" s="3">
        <f t="shared" si="5"/>
        <v>33.9529</v>
      </c>
      <c r="H34" s="3">
        <f t="shared" si="0"/>
        <v>31.066365226304452</v>
      </c>
      <c r="I34" s="3">
        <f t="shared" si="1"/>
        <v>-1.1393347736955484</v>
      </c>
      <c r="J34" s="3">
        <f t="shared" si="3"/>
        <v>27.437047901591427</v>
      </c>
      <c r="K34" s="3">
        <f t="shared" si="4"/>
        <v>-4.7686520984085732</v>
      </c>
      <c r="M34" s="6" t="s">
        <v>29</v>
      </c>
      <c r="N34" s="6">
        <f>N28-1</f>
        <v>107</v>
      </c>
      <c r="O34" s="6">
        <f>DEVSQ(B2:B109)</f>
        <v>17997.775031751993</v>
      </c>
      <c r="P34" s="6"/>
      <c r="Q34" s="6"/>
      <c r="R34" s="6"/>
      <c r="S34" s="6"/>
    </row>
    <row r="35" spans="1:27" ht="13.5" thickBot="1" x14ac:dyDescent="0.25">
      <c r="A35" s="2">
        <v>42522</v>
      </c>
      <c r="B35" s="3">
        <f>'[2]Soy Complex'!$BE586</f>
        <v>31.914999999999999</v>
      </c>
      <c r="C35" s="4">
        <f>'[2]Soy Complex'!$BE602</f>
        <v>33.017299999999999</v>
      </c>
      <c r="D35" s="4">
        <f>'[2]Soy Complex'!$BE348</f>
        <v>157.95037689002001</v>
      </c>
      <c r="E35" s="4">
        <f t="shared" si="2"/>
        <v>-124.93307689002</v>
      </c>
      <c r="F35" s="4">
        <f>'[2]Soy Complex'!$DQ428</f>
        <v>0.25917416114061093</v>
      </c>
      <c r="G35" s="3">
        <f t="shared" si="5"/>
        <v>32.2057</v>
      </c>
      <c r="H35" s="3">
        <f t="shared" si="0"/>
        <v>29.533276191656135</v>
      </c>
      <c r="I35" s="3">
        <f t="shared" si="1"/>
        <v>-2.3817238083438639</v>
      </c>
      <c r="J35" s="3">
        <f t="shared" si="3"/>
        <v>26.046217914121531</v>
      </c>
      <c r="K35" s="3">
        <f t="shared" si="4"/>
        <v>-5.8687820858784683</v>
      </c>
    </row>
    <row r="36" spans="1:27" ht="13.5" thickTop="1" x14ac:dyDescent="0.2">
      <c r="A36" s="2">
        <v>42552</v>
      </c>
      <c r="B36" s="3">
        <f>'[2]Soy Complex'!$BE587</f>
        <v>30.401499999999999</v>
      </c>
      <c r="C36" s="4">
        <f>'[2]Soy Complex'!$BE603</f>
        <v>31.5</v>
      </c>
      <c r="D36" s="4">
        <f>'[2]Soy Complex'!$BE349</f>
        <v>278.43118878805996</v>
      </c>
      <c r="E36" s="4">
        <f t="shared" si="2"/>
        <v>-246.93118878805996</v>
      </c>
      <c r="F36" s="4">
        <f>'[2]Soy Complex'!$DQ429</f>
        <v>0.32472761512606796</v>
      </c>
      <c r="G36" s="3">
        <f t="shared" si="5"/>
        <v>31.914999999999999</v>
      </c>
      <c r="H36" s="3">
        <f t="shared" si="0"/>
        <v>29.309654117402296</v>
      </c>
      <c r="I36" s="3">
        <f t="shared" si="1"/>
        <v>-1.0918458825977027</v>
      </c>
      <c r="J36" s="3">
        <f t="shared" si="3"/>
        <v>25.848199285491766</v>
      </c>
      <c r="K36" s="3">
        <f t="shared" si="4"/>
        <v>-4.5533007145082323</v>
      </c>
      <c r="M36" s="8"/>
      <c r="N36" s="8" t="s">
        <v>30</v>
      </c>
      <c r="O36" s="8" t="s">
        <v>31</v>
      </c>
      <c r="P36" s="8" t="s">
        <v>32</v>
      </c>
      <c r="Q36" s="8" t="s">
        <v>25</v>
      </c>
      <c r="R36" s="8" t="s">
        <v>33</v>
      </c>
      <c r="S36" s="8" t="s">
        <v>34</v>
      </c>
      <c r="T36" s="8" t="s">
        <v>36</v>
      </c>
    </row>
    <row r="37" spans="1:27" x14ac:dyDescent="0.2">
      <c r="A37" s="2">
        <v>42583</v>
      </c>
      <c r="B37" s="3">
        <f>'[2]Soy Complex'!$BE588</f>
        <v>32.326999999999998</v>
      </c>
      <c r="C37" s="4">
        <f>'[2]Soy Complex'!$BE604</f>
        <v>34.055700000000002</v>
      </c>
      <c r="D37" s="4">
        <f>'[2]Soy Complex'!$BE350</f>
        <v>98.670124838779998</v>
      </c>
      <c r="E37" s="4">
        <f t="shared" si="2"/>
        <v>-64.614424838779996</v>
      </c>
      <c r="F37" s="4">
        <f>'[2]Soy Complex'!$DQ430</f>
        <v>0.26991679537308155</v>
      </c>
      <c r="G37" s="3">
        <f t="shared" si="5"/>
        <v>30.401499999999999</v>
      </c>
      <c r="H37" s="3">
        <f t="shared" si="0"/>
        <v>27.917695092210938</v>
      </c>
      <c r="I37" s="3">
        <f t="shared" si="1"/>
        <v>-4.4093049077890605</v>
      </c>
      <c r="J37" s="3">
        <f t="shared" si="3"/>
        <v>24.57567051870868</v>
      </c>
      <c r="K37" s="3">
        <f t="shared" si="4"/>
        <v>-7.751329481291318</v>
      </c>
      <c r="M37" t="s">
        <v>35</v>
      </c>
      <c r="N37" t="e">
        <f t="array" aca="1" ref="N37:O40" ca="1">[3]!RegCoeff(C2:E109,B2:B109)</f>
        <v>#NAME?</v>
      </c>
      <c r="O37" t="e">
        <f ca="1"/>
        <v>#NAME?</v>
      </c>
      <c r="P37" t="e">
        <f ca="1">N37/O37</f>
        <v>#NAME?</v>
      </c>
      <c r="Q37" t="e">
        <f ca="1">_xlfn.T.DIST.2T(ABS(P37),$N$33)</f>
        <v>#NAME?</v>
      </c>
      <c r="R37" t="e">
        <f ca="1">N37-_xlfn.T.INV.2T(R$30,$N$33)*O37</f>
        <v>#NAME?</v>
      </c>
      <c r="S37" t="e">
        <f ca="1">N37+_xlfn.T.INV.2T(R$30,$N$33)*O37</f>
        <v>#NAME?</v>
      </c>
    </row>
    <row r="38" spans="1:27" x14ac:dyDescent="0.2">
      <c r="A38" s="2">
        <v>42614</v>
      </c>
      <c r="B38" s="3">
        <f>'[2]Soy Complex'!$BE589</f>
        <v>26.809000000000001</v>
      </c>
      <c r="C38" s="4">
        <f>'[2]Soy Complex'!$BE605</f>
        <v>35.465200000000003</v>
      </c>
      <c r="D38" s="4">
        <f>'[2]Soy Complex'!$BE351</f>
        <v>226.91755946551999</v>
      </c>
      <c r="E38" s="4">
        <f t="shared" si="2"/>
        <v>-191.45235946551998</v>
      </c>
      <c r="F38" s="4">
        <f>'[2]Soy Complex'!$DQ431</f>
        <v>0.25355468294439709</v>
      </c>
      <c r="G38" s="3">
        <f t="shared" si="5"/>
        <v>32.326999999999998</v>
      </c>
      <c r="H38" s="3">
        <f t="shared" si="0"/>
        <v>29.659292938649443</v>
      </c>
      <c r="I38" s="3">
        <f t="shared" si="1"/>
        <v>2.8502929386494422</v>
      </c>
      <c r="J38" s="3">
        <f t="shared" si="3"/>
        <v>26.163479656078017</v>
      </c>
      <c r="K38" s="3">
        <f t="shared" si="4"/>
        <v>-0.64552034392198365</v>
      </c>
      <c r="M38" t="str">
        <f t="array" ref="M38:M40">TRANSPOSE(C1:E1)</f>
        <v>Exportable Supply</v>
      </c>
      <c r="N38" t="e">
        <f ca="1"/>
        <v>#NAME?</v>
      </c>
      <c r="O38" t="e">
        <f ca="1"/>
        <v>#NAME?</v>
      </c>
      <c r="P38" t="e">
        <f ca="1">N38/O38</f>
        <v>#NAME?</v>
      </c>
      <c r="Q38" t="e">
        <f ca="1">_xlfn.T.DIST.2T(ABS(P38),$N$33)</f>
        <v>#NAME?</v>
      </c>
      <c r="R38" t="e">
        <f ca="1">N38-_xlfn.T.INV.2T(R$30,$N$33)*O38</f>
        <v>#NAME?</v>
      </c>
      <c r="S38" t="e">
        <f ca="1">N38+_xlfn.T.INV.2T(R$30,$N$33)*O38</f>
        <v>#NAME?</v>
      </c>
      <c r="T38" t="e">
        <f ca="1">[3]!VIF(C2:E109,1)</f>
        <v>#NAME?</v>
      </c>
    </row>
    <row r="39" spans="1:27" x14ac:dyDescent="0.2">
      <c r="A39" s="2">
        <v>42644</v>
      </c>
      <c r="B39" s="3">
        <f>'[2]Soy Complex'!$BF578</f>
        <v>34.444800000000001</v>
      </c>
      <c r="C39" s="4">
        <f>'[2]Soy Complex'!$BF594</f>
        <v>36.134300000000003</v>
      </c>
      <c r="D39" s="4">
        <f>'[2]Soy Complex'!$BF340</f>
        <v>239.87881145535999</v>
      </c>
      <c r="E39" s="4">
        <f t="shared" si="2"/>
        <v>-203.74451145536</v>
      </c>
      <c r="F39" s="4">
        <f>'[2]Soy Complex'!$DR420</f>
        <v>0.25119525716197616</v>
      </c>
      <c r="G39" s="3">
        <f t="shared" si="5"/>
        <v>26.809000000000001</v>
      </c>
      <c r="H39" s="3">
        <f t="shared" si="0"/>
        <v>24.772975154072579</v>
      </c>
      <c r="I39" s="3">
        <f t="shared" si="1"/>
        <v>-9.6718248459274214</v>
      </c>
      <c r="J39" s="3">
        <f t="shared" si="3"/>
        <v>21.723836982777904</v>
      </c>
      <c r="K39" s="3">
        <f t="shared" si="4"/>
        <v>-12.720963017222097</v>
      </c>
      <c r="M39" t="str">
        <v>Exports</v>
      </c>
      <c r="N39" t="e">
        <f ca="1"/>
        <v>#NAME?</v>
      </c>
      <c r="O39" t="e">
        <f ca="1"/>
        <v>#NAME?</v>
      </c>
      <c r="P39" t="e">
        <f ca="1">N39/O39</f>
        <v>#NAME?</v>
      </c>
      <c r="Q39" t="e">
        <f ca="1">_xlfn.T.DIST.2T(ABS(P39),$N$33)</f>
        <v>#NAME?</v>
      </c>
      <c r="R39" t="e">
        <f ca="1">N39-_xlfn.T.INV.2T(R$30,$N$33)*O39</f>
        <v>#NAME?</v>
      </c>
      <c r="S39" t="e">
        <f ca="1">N39+_xlfn.T.INV.2T(R$30,$N$33)*O39</f>
        <v>#NAME?</v>
      </c>
      <c r="T39" t="e">
        <f ca="1">[3]!VIF(C2:E109,2)</f>
        <v>#NAME?</v>
      </c>
    </row>
    <row r="40" spans="1:27" x14ac:dyDescent="0.2">
      <c r="A40" s="2">
        <v>42675</v>
      </c>
      <c r="B40" s="3">
        <f>'[2]Soy Complex'!$BF579</f>
        <v>35.036200000000001</v>
      </c>
      <c r="C40" s="4">
        <f>'[2]Soy Complex'!$BF595</f>
        <v>36.786200000000001</v>
      </c>
      <c r="D40" s="4">
        <f>'[2]Soy Complex'!$BF341</f>
        <v>235.94273361361999</v>
      </c>
      <c r="E40" s="4">
        <f t="shared" si="2"/>
        <v>-199.15653361361998</v>
      </c>
      <c r="F40" s="4">
        <f>'[2]Soy Complex'!$DR421</f>
        <v>0.23110383395011674</v>
      </c>
      <c r="G40" s="3">
        <f t="shared" si="5"/>
        <v>34.444800000000001</v>
      </c>
      <c r="H40" s="3">
        <f t="shared" si="0"/>
        <v>31.53811411225049</v>
      </c>
      <c r="I40" s="3">
        <f t="shared" si="1"/>
        <v>-3.4980858877495109</v>
      </c>
      <c r="J40" s="3">
        <f t="shared" si="3"/>
        <v>27.871024907076347</v>
      </c>
      <c r="K40" s="3">
        <f t="shared" si="4"/>
        <v>-7.1651750929236542</v>
      </c>
      <c r="M40" s="6" t="str">
        <v>Exportable Supply - Exports</v>
      </c>
      <c r="N40" s="6" t="e">
        <f ca="1"/>
        <v>#NAME?</v>
      </c>
      <c r="O40" s="6" t="e">
        <f ca="1"/>
        <v>#NAME?</v>
      </c>
      <c r="P40" s="6" t="e">
        <f ca="1">N40/O40</f>
        <v>#NAME?</v>
      </c>
      <c r="Q40" s="6" t="e">
        <f ca="1">_xlfn.T.DIST.2T(ABS(P40),$N$33)</f>
        <v>#NAME?</v>
      </c>
      <c r="R40" s="6" t="e">
        <f ca="1">N40-_xlfn.T.INV.2T(R$30,$N$33)*O40</f>
        <v>#NAME?</v>
      </c>
      <c r="S40" s="6" t="e">
        <f ca="1">N40+_xlfn.T.INV.2T(R$30,$N$33)*O40</f>
        <v>#NAME?</v>
      </c>
      <c r="T40" s="6" t="e">
        <f ca="1">[3]!VIF(C2:E109,3)</f>
        <v>#NAME?</v>
      </c>
    </row>
    <row r="41" spans="1:27" x14ac:dyDescent="0.2">
      <c r="A41" s="2">
        <v>42705</v>
      </c>
      <c r="B41" s="3">
        <f>'[2]Soy Complex'!$BF580</f>
        <v>36.395699999999998</v>
      </c>
      <c r="C41" s="4">
        <f>'[2]Soy Complex'!$BF596</f>
        <v>37.848100000000002</v>
      </c>
      <c r="D41" s="4">
        <f>'[2]Soy Complex'!$BF342</f>
        <v>235.00323259599998</v>
      </c>
      <c r="E41" s="4">
        <f t="shared" si="2"/>
        <v>-197.15513259599999</v>
      </c>
      <c r="F41" s="4">
        <f>'[2]Soy Complex'!$DR422</f>
        <v>0.23110383395011672</v>
      </c>
      <c r="G41" s="3">
        <f t="shared" si="5"/>
        <v>35.036200000000001</v>
      </c>
      <c r="H41" s="3">
        <f t="shared" si="0"/>
        <v>32.061622109632879</v>
      </c>
      <c r="I41" s="3">
        <f t="shared" si="1"/>
        <v>-4.3340778903671193</v>
      </c>
      <c r="J41" s="3">
        <f t="shared" si="3"/>
        <v>28.346648360543679</v>
      </c>
      <c r="K41" s="3">
        <f t="shared" si="4"/>
        <v>-8.0490516394563194</v>
      </c>
    </row>
    <row r="42" spans="1:27" x14ac:dyDescent="0.2">
      <c r="A42" s="2">
        <v>42736</v>
      </c>
      <c r="B42" s="3">
        <f>'[2]Soy Complex'!$BF581</f>
        <v>35.111499999999999</v>
      </c>
      <c r="C42" s="4">
        <f>'[2]Soy Complex'!$BF597</f>
        <v>36.111499999999999</v>
      </c>
      <c r="D42" s="4">
        <f>'[2]Soy Complex'!$BF343</f>
        <v>262.65550126926001</v>
      </c>
      <c r="E42" s="4">
        <f t="shared" si="2"/>
        <v>-226.54400126926001</v>
      </c>
      <c r="F42" s="4">
        <f>'[2]Soy Complex'!$DR423</f>
        <v>0.28895511950933878</v>
      </c>
      <c r="G42" s="3">
        <f t="shared" si="5"/>
        <v>36.395699999999998</v>
      </c>
      <c r="H42" s="3">
        <f t="shared" si="0"/>
        <v>33.274520239997408</v>
      </c>
      <c r="I42" s="3">
        <f t="shared" si="1"/>
        <v>-1.8369797600025919</v>
      </c>
      <c r="J42" s="3">
        <f t="shared" si="3"/>
        <v>29.450122419208281</v>
      </c>
      <c r="K42" s="3">
        <f t="shared" si="4"/>
        <v>-5.6613775807917186</v>
      </c>
      <c r="M42" t="s">
        <v>9</v>
      </c>
      <c r="W42" t="s">
        <v>9</v>
      </c>
    </row>
    <row r="43" spans="1:27" x14ac:dyDescent="0.2">
      <c r="A43" s="2">
        <v>42767</v>
      </c>
      <c r="B43" s="3">
        <f>'[2]Soy Complex'!$BF582</f>
        <v>33.698399999999999</v>
      </c>
      <c r="C43" s="4">
        <f>'[2]Soy Complex'!$BF598</f>
        <v>34.782600000000002</v>
      </c>
      <c r="D43" s="4">
        <f>'[2]Soy Complex'!$BF344</f>
        <v>238.18432729564</v>
      </c>
      <c r="E43" s="4">
        <f t="shared" si="2"/>
        <v>-203.40172729564</v>
      </c>
      <c r="F43" s="4">
        <f>'[2]Soy Complex'!$DR424</f>
        <v>0.28895511950933883</v>
      </c>
      <c r="G43" s="3">
        <f t="shared" si="5"/>
        <v>35.111499999999999</v>
      </c>
      <c r="H43" s="3">
        <f t="shared" si="0"/>
        <v>32.130088591402597</v>
      </c>
      <c r="I43" s="3">
        <f t="shared" si="1"/>
        <v>-1.5683114085974026</v>
      </c>
      <c r="J43" s="3">
        <f t="shared" si="3"/>
        <v>28.409227839617945</v>
      </c>
      <c r="K43" s="3">
        <f t="shared" si="4"/>
        <v>-5.289172160382055</v>
      </c>
    </row>
    <row r="44" spans="1:27" ht="13.5" thickBot="1" x14ac:dyDescent="0.25">
      <c r="A44" s="2">
        <v>42795</v>
      </c>
      <c r="B44" s="3">
        <f>'[2]Soy Complex'!$BF583</f>
        <v>32.93</v>
      </c>
      <c r="C44" s="4">
        <f>'[2]Soy Complex'!$BF599</f>
        <v>33.362200000000001</v>
      </c>
      <c r="D44" s="4">
        <f>'[2]Soy Complex'!$BF345</f>
        <v>295.03894839650002</v>
      </c>
      <c r="E44" s="4">
        <f t="shared" si="2"/>
        <v>-261.67674839649999</v>
      </c>
      <c r="F44" s="4">
        <f>'[2]Soy Complex'!$DR425</f>
        <v>0.28895511950933889</v>
      </c>
      <c r="G44" s="3">
        <f t="shared" si="5"/>
        <v>33.698399999999999</v>
      </c>
      <c r="H44" s="3">
        <f t="shared" si="0"/>
        <v>30.894110029008669</v>
      </c>
      <c r="I44" s="3">
        <f t="shared" si="1"/>
        <v>-2.035889970991331</v>
      </c>
      <c r="J44" s="3">
        <f t="shared" si="3"/>
        <v>27.288525827784756</v>
      </c>
      <c r="K44" s="3">
        <f t="shared" si="4"/>
        <v>-5.6414741722152435</v>
      </c>
      <c r="M44" s="5" t="s">
        <v>10</v>
      </c>
      <c r="N44" s="5"/>
      <c r="P44" s="5"/>
      <c r="Q44" s="5"/>
      <c r="W44" s="5" t="s">
        <v>10</v>
      </c>
      <c r="X44" s="5"/>
      <c r="Z44" s="5"/>
      <c r="AA44" s="5"/>
    </row>
    <row r="45" spans="1:27" ht="13.5" thickTop="1" x14ac:dyDescent="0.2">
      <c r="A45" s="2">
        <v>42826</v>
      </c>
      <c r="B45" s="3">
        <f>'[2]Soy Complex'!$BF584</f>
        <v>31.538399999999999</v>
      </c>
      <c r="C45" s="4">
        <f>'[2]Soy Complex'!$BF600</f>
        <v>32.117400000000004</v>
      </c>
      <c r="D45" s="4">
        <f>'[2]Soy Complex'!$BF346</f>
        <v>257.03336091620002</v>
      </c>
      <c r="E45" s="4">
        <f t="shared" si="2"/>
        <v>-224.91596091620002</v>
      </c>
      <c r="F45" s="4">
        <f>'[2]Soy Complex'!$DR426</f>
        <v>0.28895511950933883</v>
      </c>
      <c r="G45" s="3">
        <f t="shared" si="5"/>
        <v>32.93</v>
      </c>
      <c r="H45" s="3">
        <f t="shared" si="0"/>
        <v>30.202958211601469</v>
      </c>
      <c r="I45" s="3">
        <f t="shared" si="1"/>
        <v>-1.3354417883985299</v>
      </c>
      <c r="J45" s="3">
        <f t="shared" si="3"/>
        <v>26.658956732308749</v>
      </c>
      <c r="K45" s="3">
        <f t="shared" si="4"/>
        <v>-4.8794432676912507</v>
      </c>
      <c r="M45" t="s">
        <v>11</v>
      </c>
      <c r="N45">
        <v>0.83159415726066788</v>
      </c>
      <c r="P45" t="s">
        <v>12</v>
      </c>
      <c r="Q45">
        <v>-22.343733126953769</v>
      </c>
      <c r="W45" t="s">
        <v>11</v>
      </c>
      <c r="X45">
        <v>0.87611497677538575</v>
      </c>
      <c r="Z45" t="s">
        <v>12</v>
      </c>
      <c r="AA45">
        <v>-31.079579876317929</v>
      </c>
    </row>
    <row r="46" spans="1:27" x14ac:dyDescent="0.2">
      <c r="A46" s="2">
        <v>42856</v>
      </c>
      <c r="B46" s="3">
        <f>'[2]Soy Complex'!$BF585</f>
        <v>32.490900000000003</v>
      </c>
      <c r="C46" s="4">
        <f>'[2]Soy Complex'!$BF601</f>
        <v>33.204099999999997</v>
      </c>
      <c r="D46" s="4">
        <f>'[2]Soy Complex'!$BF347</f>
        <v>160.55444537396002</v>
      </c>
      <c r="E46" s="4">
        <f t="shared" si="2"/>
        <v>-127.35034537396002</v>
      </c>
      <c r="F46" s="4">
        <f>'[2]Soy Complex'!$DR427</f>
        <v>0.28895511950933889</v>
      </c>
      <c r="G46" s="3">
        <f t="shared" si="5"/>
        <v>31.538399999999999</v>
      </c>
      <c r="H46" s="3">
        <f t="shared" si="0"/>
        <v>28.94262571060133</v>
      </c>
      <c r="I46" s="3">
        <f t="shared" si="1"/>
        <v>-3.5482742893986732</v>
      </c>
      <c r="J46" s="3">
        <f t="shared" si="3"/>
        <v>25.509654227967882</v>
      </c>
      <c r="K46" s="3">
        <f t="shared" si="4"/>
        <v>-6.9812457720321213</v>
      </c>
      <c r="M46" t="s">
        <v>13</v>
      </c>
      <c r="N46">
        <v>0.69154884239008041</v>
      </c>
      <c r="P46" t="s">
        <v>14</v>
      </c>
      <c r="Q46">
        <v>-21.955383612390662</v>
      </c>
      <c r="W46" t="s">
        <v>13</v>
      </c>
      <c r="X46">
        <v>0.76757745253013476</v>
      </c>
      <c r="Z46" t="s">
        <v>14</v>
      </c>
      <c r="AA46">
        <v>-30.502656799394853</v>
      </c>
    </row>
    <row r="47" spans="1:27" x14ac:dyDescent="0.2">
      <c r="A47" s="2">
        <v>42887</v>
      </c>
      <c r="B47" s="3">
        <f>'[2]Soy Complex'!$BF586</f>
        <v>31.970500000000001</v>
      </c>
      <c r="C47" s="4">
        <f>'[2]Soy Complex'!$BF602</f>
        <v>33.277299999999997</v>
      </c>
      <c r="D47" s="4">
        <f>'[2]Soy Complex'!$BF348</f>
        <v>137.20419059776</v>
      </c>
      <c r="E47" s="4">
        <f t="shared" si="2"/>
        <v>-103.92689059776001</v>
      </c>
      <c r="F47" s="4">
        <f>'[2]Soy Complex'!$DR428</f>
        <v>0.28895511950933878</v>
      </c>
      <c r="G47" s="3">
        <f t="shared" si="5"/>
        <v>32.490900000000003</v>
      </c>
      <c r="H47" s="3">
        <f t="shared" si="0"/>
        <v>29.780153586132723</v>
      </c>
      <c r="I47" s="3">
        <f t="shared" si="1"/>
        <v>-2.1903464138672781</v>
      </c>
      <c r="J47" s="3">
        <f t="shared" si="3"/>
        <v>26.269735027738669</v>
      </c>
      <c r="K47" s="3">
        <f t="shared" si="4"/>
        <v>-5.7007649722613323</v>
      </c>
      <c r="M47" t="s">
        <v>15</v>
      </c>
      <c r="N47">
        <v>0.68567358224512964</v>
      </c>
      <c r="P47" s="6" t="s">
        <v>16</v>
      </c>
      <c r="Q47" s="6">
        <v>-14.297339445581109</v>
      </c>
      <c r="W47" t="s">
        <v>15</v>
      </c>
      <c r="X47">
        <v>0.76099945590362916</v>
      </c>
      <c r="Z47" s="6" t="s">
        <v>16</v>
      </c>
      <c r="AA47" s="6">
        <v>-20.277658413148263</v>
      </c>
    </row>
    <row r="48" spans="1:27" x14ac:dyDescent="0.2">
      <c r="A48" s="2">
        <v>42917</v>
      </c>
      <c r="B48" s="3">
        <f>'[2]Soy Complex'!$BF587</f>
        <v>33.548499999999997</v>
      </c>
      <c r="C48" s="4">
        <f>'[2]Soy Complex'!$BF603</f>
        <v>35.21</v>
      </c>
      <c r="D48" s="4">
        <f>'[2]Soy Complex'!$BF349</f>
        <v>198.40281919744001</v>
      </c>
      <c r="E48" s="4">
        <f t="shared" si="2"/>
        <v>-163.19281919744</v>
      </c>
      <c r="F48" s="4">
        <f>'[2]Soy Complex'!$DR429</f>
        <v>0.28895511950933883</v>
      </c>
      <c r="G48" s="3">
        <f t="shared" si="5"/>
        <v>31.970500000000001</v>
      </c>
      <c r="H48" s="3">
        <f t="shared" si="0"/>
        <v>29.335511591187107</v>
      </c>
      <c r="I48" s="3">
        <f t="shared" si="1"/>
        <v>-4.2129884088128904</v>
      </c>
      <c r="J48" s="3">
        <f t="shared" si="3"/>
        <v>25.868153883902348</v>
      </c>
      <c r="K48" s="3">
        <f t="shared" si="4"/>
        <v>-7.6803461160976489</v>
      </c>
      <c r="M48" t="s">
        <v>17</v>
      </c>
      <c r="N48">
        <v>0.88946461964987922</v>
      </c>
      <c r="W48" t="s">
        <v>17</v>
      </c>
      <c r="X48">
        <v>0.85289927803238297</v>
      </c>
    </row>
    <row r="49" spans="1:30" x14ac:dyDescent="0.2">
      <c r="A49" s="2">
        <v>42948</v>
      </c>
      <c r="B49" s="3">
        <f>'[2]Soy Complex'!$BF588</f>
        <v>33.869999999999997</v>
      </c>
      <c r="C49" s="4">
        <f>'[2]Soy Complex'!$BF604</f>
        <v>35.659599999999998</v>
      </c>
      <c r="D49" s="4">
        <f>'[2]Soy Complex'!$BF350</f>
        <v>162.72398766514002</v>
      </c>
      <c r="E49" s="4">
        <f t="shared" si="2"/>
        <v>-127.06438766514002</v>
      </c>
      <c r="F49" s="4">
        <f>'[2]Soy Complex'!$DR430</f>
        <v>0.28895511950933878</v>
      </c>
      <c r="G49" s="3">
        <f t="shared" si="5"/>
        <v>33.548499999999997</v>
      </c>
      <c r="H49" s="3">
        <f t="shared" si="0"/>
        <v>30.723783718791104</v>
      </c>
      <c r="I49" s="3">
        <f t="shared" si="1"/>
        <v>-3.1462162812088934</v>
      </c>
      <c r="J49" s="3">
        <f t="shared" si="3"/>
        <v>27.128163053782146</v>
      </c>
      <c r="K49" s="3">
        <f t="shared" si="4"/>
        <v>-6.7418369462178518</v>
      </c>
      <c r="M49" s="6" t="s">
        <v>18</v>
      </c>
      <c r="N49" s="6">
        <v>108</v>
      </c>
      <c r="W49" s="6" t="s">
        <v>18</v>
      </c>
      <c r="X49" s="6">
        <v>110</v>
      </c>
    </row>
    <row r="50" spans="1:30" x14ac:dyDescent="0.2">
      <c r="A50" s="2">
        <v>42979</v>
      </c>
      <c r="B50" s="3">
        <f>'[2]Soy Complex'!$BF589</f>
        <v>32.812899999999999</v>
      </c>
      <c r="C50" s="4">
        <f>'[2]Soy Complex'!$BF605</f>
        <v>35.792499999999997</v>
      </c>
      <c r="D50" s="4">
        <f>'[2]Soy Complex'!$BF351</f>
        <v>129.8842172672</v>
      </c>
      <c r="E50" s="4">
        <f t="shared" si="2"/>
        <v>-94.091717267200011</v>
      </c>
      <c r="F50" s="4">
        <f>'[2]Soy Complex'!$DR431</f>
        <v>0.28895511950933878</v>
      </c>
      <c r="G50" s="3">
        <f t="shared" si="5"/>
        <v>33.869999999999997</v>
      </c>
      <c r="H50" s="3">
        <f t="shared" si="0"/>
        <v>30.999495128578523</v>
      </c>
      <c r="I50" s="3">
        <f t="shared" si="1"/>
        <v>-1.8134048714214757</v>
      </c>
      <c r="J50" s="3">
        <f t="shared" si="3"/>
        <v>27.377330305866614</v>
      </c>
      <c r="K50" s="3">
        <f t="shared" si="4"/>
        <v>-5.4355696941333846</v>
      </c>
    </row>
    <row r="51" spans="1:30" ht="13.5" thickBot="1" x14ac:dyDescent="0.25">
      <c r="A51" s="2">
        <v>43009</v>
      </c>
      <c r="B51" s="3">
        <f>'[2]Soy Complex'!$BG578</f>
        <v>33.6</v>
      </c>
      <c r="C51" s="4">
        <f>'[2]Soy Complex'!$BG594</f>
        <v>34.637700000000002</v>
      </c>
      <c r="D51" s="4">
        <f>'[2]Soy Complex'!$BG340</f>
        <v>212.05530994669999</v>
      </c>
      <c r="E51" s="4">
        <f t="shared" si="2"/>
        <v>-177.4176099467</v>
      </c>
      <c r="F51" s="4">
        <f>'[2]Soy Complex'!$DS420</f>
        <v>0.33424595490225079</v>
      </c>
      <c r="G51" s="3">
        <f t="shared" si="5"/>
        <v>32.812899999999999</v>
      </c>
      <c r="H51" s="3">
        <f t="shared" si="0"/>
        <v>30.085961136654316</v>
      </c>
      <c r="I51" s="3">
        <f t="shared" si="1"/>
        <v>-3.5140388633456858</v>
      </c>
      <c r="J51" s="3">
        <f t="shared" si="3"/>
        <v>26.550753020187017</v>
      </c>
      <c r="K51" s="3">
        <f t="shared" si="4"/>
        <v>-7.0492469798129846</v>
      </c>
      <c r="M51" t="s">
        <v>19</v>
      </c>
      <c r="Q51" s="7" t="s">
        <v>20</v>
      </c>
      <c r="R51" s="7">
        <v>0.05</v>
      </c>
      <c r="W51" t="s">
        <v>19</v>
      </c>
      <c r="AA51" s="7" t="s">
        <v>20</v>
      </c>
      <c r="AB51" s="7">
        <v>0.05</v>
      </c>
    </row>
    <row r="52" spans="1:30" ht="13.5" thickTop="1" x14ac:dyDescent="0.2">
      <c r="A52" s="2">
        <v>43040</v>
      </c>
      <c r="B52" s="3">
        <f>'[2]Soy Complex'!$BG579</f>
        <v>34.409999999999997</v>
      </c>
      <c r="C52" s="4">
        <f>'[2]Soy Complex'!$BG595</f>
        <v>35.815199999999997</v>
      </c>
      <c r="D52" s="4">
        <f>'[2]Soy Complex'!$BG341</f>
        <v>131.75515039324</v>
      </c>
      <c r="E52" s="4">
        <f t="shared" si="2"/>
        <v>-95.939950393239997</v>
      </c>
      <c r="F52" s="4">
        <f>'[2]Soy Complex'!$DS421</f>
        <v>0.33424595490225084</v>
      </c>
      <c r="G52" s="3">
        <f t="shared" si="5"/>
        <v>33.6</v>
      </c>
      <c r="H52" s="3">
        <f t="shared" si="0"/>
        <v>30.76075108742134</v>
      </c>
      <c r="I52" s="3">
        <f t="shared" si="1"/>
        <v>-3.6492489125786562</v>
      </c>
      <c r="J52" s="3">
        <f t="shared" si="3"/>
        <v>27.160545136080145</v>
      </c>
      <c r="K52" s="3">
        <f t="shared" si="4"/>
        <v>-7.2494548639198513</v>
      </c>
      <c r="M52" s="8"/>
      <c r="N52" s="8" t="s">
        <v>21</v>
      </c>
      <c r="O52" s="8" t="s">
        <v>22</v>
      </c>
      <c r="P52" s="8" t="s">
        <v>23</v>
      </c>
      <c r="Q52" s="8" t="s">
        <v>24</v>
      </c>
      <c r="R52" s="8" t="s">
        <v>25</v>
      </c>
      <c r="S52" s="8" t="s">
        <v>26</v>
      </c>
      <c r="W52" s="8"/>
      <c r="X52" s="8" t="s">
        <v>21</v>
      </c>
      <c r="Y52" s="8" t="s">
        <v>22</v>
      </c>
      <c r="Z52" s="8" t="s">
        <v>23</v>
      </c>
      <c r="AA52" s="8" t="s">
        <v>24</v>
      </c>
      <c r="AB52" s="8" t="s">
        <v>25</v>
      </c>
      <c r="AC52" s="8" t="s">
        <v>26</v>
      </c>
    </row>
    <row r="53" spans="1:30" x14ac:dyDescent="0.2">
      <c r="A53" s="2">
        <v>43070</v>
      </c>
      <c r="B53" s="3">
        <f>'[2]Soy Complex'!$BG580</f>
        <v>33.14</v>
      </c>
      <c r="C53" s="4">
        <f>'[2]Soy Complex'!$BG596</f>
        <v>34.683500000000002</v>
      </c>
      <c r="D53" s="4">
        <f>'[2]Soy Complex'!$BG342</f>
        <v>172.62649254686002</v>
      </c>
      <c r="E53" s="4">
        <f t="shared" si="2"/>
        <v>-137.94299254686001</v>
      </c>
      <c r="F53" s="4">
        <f>'[2]Soy Complex'!$DS422</f>
        <v>0.33424595490225079</v>
      </c>
      <c r="G53" s="3">
        <f t="shared" si="5"/>
        <v>34.409999999999997</v>
      </c>
      <c r="H53" s="3">
        <f t="shared" si="0"/>
        <v>31.490226603347949</v>
      </c>
      <c r="I53" s="3">
        <f t="shared" si="1"/>
        <v>-1.6497733966520514</v>
      </c>
      <c r="J53" s="3">
        <f t="shared" si="3"/>
        <v>27.825156249946147</v>
      </c>
      <c r="K53" s="3">
        <f t="shared" si="4"/>
        <v>-5.3148437500538535</v>
      </c>
      <c r="M53" t="s">
        <v>27</v>
      </c>
      <c r="N53">
        <v>2</v>
      </c>
      <c r="O53">
        <v>186.24435092980593</v>
      </c>
      <c r="P53">
        <v>93.122175464902966</v>
      </c>
      <c r="Q53">
        <v>117.70522927131861</v>
      </c>
      <c r="R53">
        <v>1.52155002390077E-27</v>
      </c>
      <c r="S53" s="7" t="s">
        <v>37</v>
      </c>
      <c r="W53" t="s">
        <v>27</v>
      </c>
      <c r="X53">
        <v>3</v>
      </c>
      <c r="Y53">
        <v>254.65095591919533</v>
      </c>
      <c r="Z53">
        <v>84.883651973065113</v>
      </c>
      <c r="AA53">
        <v>116.6886357826987</v>
      </c>
      <c r="AB53">
        <v>1.8800438551797948E-33</v>
      </c>
      <c r="AC53" s="7" t="s">
        <v>37</v>
      </c>
    </row>
    <row r="54" spans="1:30" x14ac:dyDescent="0.2">
      <c r="A54" s="2">
        <v>43101</v>
      </c>
      <c r="B54" s="3">
        <f>'[2]Soy Complex'!$BG581</f>
        <v>32.950000000000003</v>
      </c>
      <c r="C54" s="4">
        <f>'[2]Soy Complex'!$BG597</f>
        <v>34.326700000000002</v>
      </c>
      <c r="D54" s="4">
        <f>'[2]Soy Complex'!$BG343</f>
        <v>180.2512082954</v>
      </c>
      <c r="E54" s="4">
        <f t="shared" si="2"/>
        <v>-145.92450829540002</v>
      </c>
      <c r="F54" s="4">
        <f>'[2]Soy Complex'!$DS423</f>
        <v>0.28795455588596519</v>
      </c>
      <c r="G54" s="3">
        <f t="shared" si="5"/>
        <v>33.14</v>
      </c>
      <c r="H54" s="3">
        <f t="shared" si="0"/>
        <v>30.367047053524246</v>
      </c>
      <c r="I54" s="3">
        <f t="shared" si="1"/>
        <v>-2.582952946475757</v>
      </c>
      <c r="J54" s="3">
        <f t="shared" si="3"/>
        <v>26.804781195035808</v>
      </c>
      <c r="K54" s="3">
        <f t="shared" si="4"/>
        <v>-6.1452188049641947</v>
      </c>
      <c r="M54" t="s">
        <v>28</v>
      </c>
      <c r="N54">
        <v>105</v>
      </c>
      <c r="O54">
        <v>83.070467508934939</v>
      </c>
      <c r="P54">
        <v>0.79114730960890423</v>
      </c>
      <c r="W54" t="s">
        <v>28</v>
      </c>
      <c r="X54">
        <v>106</v>
      </c>
      <c r="Y54">
        <v>77.108340917624957</v>
      </c>
      <c r="Z54">
        <v>0.72743717846816003</v>
      </c>
    </row>
    <row r="55" spans="1:30" x14ac:dyDescent="0.2">
      <c r="A55" s="2">
        <v>43132</v>
      </c>
      <c r="B55" s="3">
        <f>'[2]Soy Complex'!$BG582</f>
        <v>32.18</v>
      </c>
      <c r="C55" s="4">
        <f>'[2]Soy Complex'!$BG598</f>
        <v>33.142600000000002</v>
      </c>
      <c r="D55" s="4">
        <f>'[2]Soy Complex'!$BG344</f>
        <v>178.97044312488001</v>
      </c>
      <c r="E55" s="4">
        <f t="shared" si="2"/>
        <v>-145.82784312488002</v>
      </c>
      <c r="F55" s="4">
        <f>'[2]Soy Complex'!$DS424</f>
        <v>0.29252227556248644</v>
      </c>
      <c r="G55" s="3">
        <f t="shared" si="5"/>
        <v>32.950000000000003</v>
      </c>
      <c r="H55" s="3">
        <f t="shared" si="0"/>
        <v>30.198652807241139</v>
      </c>
      <c r="I55" s="3">
        <f t="shared" si="1"/>
        <v>-1.9813471927588608</v>
      </c>
      <c r="J55" s="3">
        <f t="shared" si="3"/>
        <v>26.651767307464024</v>
      </c>
      <c r="K55" s="3">
        <f t="shared" si="4"/>
        <v>-5.5282326925359762</v>
      </c>
      <c r="M55" s="6" t="s">
        <v>29</v>
      </c>
      <c r="N55" s="6">
        <v>107</v>
      </c>
      <c r="O55" s="6">
        <v>269.31481843874087</v>
      </c>
      <c r="P55" s="6"/>
      <c r="Q55" s="6"/>
      <c r="R55" s="6"/>
      <c r="S55" s="6"/>
      <c r="W55" s="6" t="s">
        <v>29</v>
      </c>
      <c r="X55" s="6">
        <v>109</v>
      </c>
      <c r="Y55" s="6">
        <v>331.75929683682028</v>
      </c>
      <c r="Z55" s="6"/>
      <c r="AA55" s="6"/>
      <c r="AB55" s="6"/>
      <c r="AC55" s="6"/>
    </row>
    <row r="56" spans="1:30" ht="13.5" thickBot="1" x14ac:dyDescent="0.25">
      <c r="A56" s="2">
        <v>43160</v>
      </c>
      <c r="B56" s="3">
        <f>'[2]Soy Complex'!$BG583</f>
        <v>31.85</v>
      </c>
      <c r="C56" s="4">
        <f>'[2]Soy Complex'!$BG599</f>
        <v>32.784799999999997</v>
      </c>
      <c r="D56" s="4">
        <f>'[2]Soy Complex'!$BG345</f>
        <v>202.66968924708002</v>
      </c>
      <c r="E56" s="4">
        <f t="shared" si="2"/>
        <v>-169.88488924708003</v>
      </c>
      <c r="F56" s="4">
        <f>'[2]Soy Complex'!$DS425</f>
        <v>0.29252227556248644</v>
      </c>
      <c r="G56" s="3">
        <f t="shared" si="5"/>
        <v>32.18</v>
      </c>
      <c r="H56" s="3">
        <f t="shared" si="0"/>
        <v>29.523022648625521</v>
      </c>
      <c r="I56" s="3">
        <f t="shared" si="1"/>
        <v>-2.3269773513744809</v>
      </c>
      <c r="J56" s="3">
        <f t="shared" si="3"/>
        <v>26.038827670720426</v>
      </c>
      <c r="K56" s="3">
        <f t="shared" si="4"/>
        <v>-5.8111723292795752</v>
      </c>
    </row>
    <row r="57" spans="1:30" ht="13.5" thickTop="1" x14ac:dyDescent="0.2">
      <c r="A57" s="2">
        <v>43191</v>
      </c>
      <c r="B57" s="3">
        <f>'[2]Soy Complex'!$BG584</f>
        <v>31.35</v>
      </c>
      <c r="C57" s="4">
        <f>'[2]Soy Complex'!$BG600</f>
        <v>32.198599999999999</v>
      </c>
      <c r="D57" s="4">
        <f>'[2]Soy Complex'!$BG346</f>
        <v>211.72933262887997</v>
      </c>
      <c r="E57" s="4">
        <f t="shared" si="2"/>
        <v>-179.53073262887997</v>
      </c>
      <c r="F57" s="4">
        <f>'[2]Soy Complex'!$DS426</f>
        <v>0.2925222755624865</v>
      </c>
      <c r="G57" s="3">
        <f t="shared" si="5"/>
        <v>31.85</v>
      </c>
      <c r="H57" s="3">
        <f t="shared" si="0"/>
        <v>29.233281834640852</v>
      </c>
      <c r="I57" s="3">
        <f t="shared" si="1"/>
        <v>-2.1167181653591491</v>
      </c>
      <c r="J57" s="3">
        <f t="shared" si="3"/>
        <v>25.775943536768491</v>
      </c>
      <c r="K57" s="3">
        <f t="shared" si="4"/>
        <v>-5.5740564632315106</v>
      </c>
      <c r="M57" s="8"/>
      <c r="N57" s="8" t="s">
        <v>30</v>
      </c>
      <c r="O57" s="8" t="s">
        <v>31</v>
      </c>
      <c r="P57" s="8" t="s">
        <v>32</v>
      </c>
      <c r="Q57" s="8" t="s">
        <v>25</v>
      </c>
      <c r="R57" s="8" t="s">
        <v>33</v>
      </c>
      <c r="S57" s="8" t="s">
        <v>34</v>
      </c>
      <c r="T57" s="8" t="s">
        <v>36</v>
      </c>
      <c r="W57" s="8"/>
      <c r="X57" s="8" t="s">
        <v>30</v>
      </c>
      <c r="Y57" s="8" t="s">
        <v>31</v>
      </c>
      <c r="Z57" s="8" t="s">
        <v>32</v>
      </c>
      <c r="AA57" s="8" t="s">
        <v>25</v>
      </c>
      <c r="AB57" s="8" t="s">
        <v>33</v>
      </c>
      <c r="AC57" s="8" t="s">
        <v>34</v>
      </c>
      <c r="AD57" s="8" t="s">
        <v>36</v>
      </c>
    </row>
    <row r="58" spans="1:30" x14ac:dyDescent="0.2">
      <c r="A58" s="2">
        <v>43221</v>
      </c>
      <c r="B58" s="3">
        <f>'[2]Soy Complex'!$BG585</f>
        <v>31</v>
      </c>
      <c r="C58" s="4">
        <f>'[2]Soy Complex'!$BG601</f>
        <v>31.936800000000002</v>
      </c>
      <c r="D58" s="4">
        <f>'[2]Soy Complex'!$BG347</f>
        <v>430.82704763428001</v>
      </c>
      <c r="E58" s="4">
        <f t="shared" si="2"/>
        <v>-398.89024763428</v>
      </c>
      <c r="F58" s="4">
        <f>'[2]Soy Complex'!$DS427</f>
        <v>0.29252227556248644</v>
      </c>
      <c r="G58" s="3">
        <f t="shared" si="5"/>
        <v>31.35</v>
      </c>
      <c r="H58" s="3">
        <f t="shared" si="0"/>
        <v>28.851307770528951</v>
      </c>
      <c r="I58" s="3">
        <f t="shared" si="1"/>
        <v>-2.1486922294710489</v>
      </c>
      <c r="J58" s="3">
        <f t="shared" si="3"/>
        <v>25.437955009111853</v>
      </c>
      <c r="K58" s="3">
        <f t="shared" si="4"/>
        <v>-5.5620449908881469</v>
      </c>
      <c r="M58" t="s">
        <v>35</v>
      </c>
      <c r="N58">
        <v>0.95959736213813907</v>
      </c>
      <c r="O58">
        <v>0.62228167900252673</v>
      </c>
      <c r="P58">
        <v>1.5420626936603781</v>
      </c>
      <c r="Q58">
        <v>0.12606685507141713</v>
      </c>
      <c r="R58">
        <v>-0.27427225559089718</v>
      </c>
      <c r="S58">
        <v>2.1934669798671753</v>
      </c>
      <c r="W58" t="s">
        <v>35</v>
      </c>
      <c r="X58">
        <v>7.5939176726657731E-2</v>
      </c>
      <c r="Y58">
        <v>0.59971875388576623</v>
      </c>
      <c r="Z58">
        <v>0.1266246490286054</v>
      </c>
      <c r="AA58">
        <v>0.89947736730622663</v>
      </c>
      <c r="AB58">
        <v>-1.1130615825566796</v>
      </c>
      <c r="AC58">
        <v>1.2649399360099951</v>
      </c>
    </row>
    <row r="59" spans="1:30" x14ac:dyDescent="0.2">
      <c r="A59" s="2">
        <v>43252</v>
      </c>
      <c r="B59" s="3">
        <f>'[2]Soy Complex'!$BG586</f>
        <v>29.82</v>
      </c>
      <c r="C59" s="4">
        <f>'[2]Soy Complex'!$BG602</f>
        <v>30.721</v>
      </c>
      <c r="D59" s="4">
        <f>'[2]Soy Complex'!$BG348</f>
        <v>227.33878298120001</v>
      </c>
      <c r="E59" s="4">
        <f t="shared" si="2"/>
        <v>-196.61778298120001</v>
      </c>
      <c r="F59" s="4">
        <f>'[2]Soy Complex'!$DS428</f>
        <v>0.29252227556248644</v>
      </c>
      <c r="G59" s="3">
        <f t="shared" si="5"/>
        <v>31</v>
      </c>
      <c r="H59" s="3">
        <f t="shared" si="0"/>
        <v>28.484818830705144</v>
      </c>
      <c r="I59" s="3">
        <f t="shared" si="1"/>
        <v>-1.3351811692948559</v>
      </c>
      <c r="J59" s="3">
        <f t="shared" si="3"/>
        <v>25.096532026955934</v>
      </c>
      <c r="K59" s="3">
        <f t="shared" si="4"/>
        <v>-4.7234679730440661</v>
      </c>
      <c r="M59" t="s">
        <v>3</v>
      </c>
      <c r="N59">
        <v>-2.7852831761136662E-4</v>
      </c>
      <c r="O59">
        <v>2.8263223482926996E-4</v>
      </c>
      <c r="P59">
        <v>-0.98547965620275979</v>
      </c>
      <c r="Q59">
        <v>0.3266539402109413</v>
      </c>
      <c r="R59">
        <v>-8.3893582969767132E-4</v>
      </c>
      <c r="S59">
        <v>2.8187919447493812E-4</v>
      </c>
      <c r="T59">
        <v>1.0008696516024911</v>
      </c>
      <c r="W59" t="s">
        <v>3</v>
      </c>
      <c r="X59">
        <v>-2.9461468569636368E-4</v>
      </c>
      <c r="Y59">
        <v>2.8037785397264548E-4</v>
      </c>
      <c r="Z59">
        <v>-1.0507773047050541</v>
      </c>
      <c r="AA59">
        <v>0.29575056305197539</v>
      </c>
      <c r="AB59">
        <v>-8.5049105124221759E-4</v>
      </c>
      <c r="AC59">
        <v>2.6126167984949028E-4</v>
      </c>
      <c r="AD59">
        <v>1.0890432974586464</v>
      </c>
    </row>
    <row r="60" spans="1:30" x14ac:dyDescent="0.2">
      <c r="A60" s="2">
        <v>43282</v>
      </c>
      <c r="B60" s="3">
        <f>'[2]Soy Complex'!$BG587</f>
        <v>28.36</v>
      </c>
      <c r="C60" s="4">
        <f>'[2]Soy Complex'!$BG603</f>
        <v>29.685700000000001</v>
      </c>
      <c r="D60" s="4">
        <f>'[2]Soy Complex'!$BG349</f>
        <v>173.93930407370001</v>
      </c>
      <c r="E60" s="4">
        <f t="shared" si="2"/>
        <v>-144.25360407370002</v>
      </c>
      <c r="F60" s="4">
        <f>'[2]Soy Complex'!$DS429</f>
        <v>0.31987917233004082</v>
      </c>
      <c r="G60" s="3">
        <f t="shared" si="5"/>
        <v>29.82</v>
      </c>
      <c r="H60" s="3">
        <f t="shared" si="0"/>
        <v>27.424584238213914</v>
      </c>
      <c r="I60" s="3">
        <f t="shared" si="1"/>
        <v>-0.93541576178608565</v>
      </c>
      <c r="J60" s="3">
        <f t="shared" si="3"/>
        <v>24.130983024343404</v>
      </c>
      <c r="K60" s="3">
        <f t="shared" si="4"/>
        <v>-4.2290169756565952</v>
      </c>
      <c r="M60" s="6" t="s">
        <v>5</v>
      </c>
      <c r="N60" s="6">
        <v>0.88614380155679917</v>
      </c>
      <c r="O60" s="6">
        <v>5.8009999037414911E-2</v>
      </c>
      <c r="P60" s="6">
        <v>15.275707916927562</v>
      </c>
      <c r="Q60" s="6">
        <v>1.9502140921331485E-28</v>
      </c>
      <c r="R60" s="6">
        <v>0.77112068943257694</v>
      </c>
      <c r="S60" s="6">
        <v>1.0011669136810215</v>
      </c>
      <c r="T60" s="6">
        <v>1.0008696516024911</v>
      </c>
      <c r="W60" t="s">
        <v>4</v>
      </c>
      <c r="X60">
        <v>1.8203946228423169E-3</v>
      </c>
      <c r="Y60">
        <v>5.4256334940312159E-4</v>
      </c>
      <c r="Z60">
        <v>3.3551743309697346</v>
      </c>
      <c r="AA60">
        <v>1.1014650959418751E-3</v>
      </c>
      <c r="AB60">
        <v>7.4471001198137031E-4</v>
      </c>
      <c r="AC60">
        <v>2.8960792337032635E-3</v>
      </c>
      <c r="AD60">
        <v>1.3435822247245159</v>
      </c>
    </row>
    <row r="61" spans="1:30" x14ac:dyDescent="0.2">
      <c r="A61" s="2">
        <v>43313</v>
      </c>
      <c r="B61" s="3">
        <f>'[2]Soy Complex'!$BG588</f>
        <v>28.33</v>
      </c>
      <c r="C61" s="4">
        <f>'[2]Soy Complex'!$BG604</f>
        <v>30.17</v>
      </c>
      <c r="D61" s="4">
        <f>'[2]Soy Complex'!$BG350</f>
        <v>194.07342832922001</v>
      </c>
      <c r="E61" s="4">
        <f t="shared" si="2"/>
        <v>-163.90342832921999</v>
      </c>
      <c r="F61" s="4">
        <f>'[2]Soy Complex'!$DS430</f>
        <v>0.34286946075960117</v>
      </c>
      <c r="G61" s="3">
        <f t="shared" si="5"/>
        <v>28.36</v>
      </c>
      <c r="H61" s="3">
        <f t="shared" si="0"/>
        <v>26.136287320432235</v>
      </c>
      <c r="I61" s="3">
        <f t="shared" si="1"/>
        <v>-2.1937126795677635</v>
      </c>
      <c r="J61" s="3">
        <f t="shared" si="3"/>
        <v>22.96117802084245</v>
      </c>
      <c r="K61" s="3">
        <f t="shared" si="4"/>
        <v>-5.3688219791575484</v>
      </c>
      <c r="W61" s="6" t="s">
        <v>5</v>
      </c>
      <c r="X61" s="6">
        <v>0.80523012444891806</v>
      </c>
      <c r="Y61" s="6">
        <v>5.4566840484197104E-2</v>
      </c>
      <c r="Z61" s="6">
        <v>14.756766514310421</v>
      </c>
      <c r="AA61" s="6">
        <v>1.8692901010669496E-27</v>
      </c>
      <c r="AB61" s="6">
        <v>0.69704605592175406</v>
      </c>
      <c r="AC61" s="6">
        <v>0.91341419297608206</v>
      </c>
      <c r="AD61" s="6">
        <v>1.2735986586840937</v>
      </c>
    </row>
    <row r="62" spans="1:30" x14ac:dyDescent="0.2">
      <c r="A62" s="2">
        <v>43344</v>
      </c>
      <c r="B62" s="3">
        <f>'[2]Soy Complex'!$BG589</f>
        <v>34.28</v>
      </c>
      <c r="C62" s="4">
        <f>'[2]Soy Complex'!$BG605</f>
        <v>30.276299999999999</v>
      </c>
      <c r="D62" s="4">
        <f>'[2]Soy Complex'!$BG351</f>
        <v>120.33798118210001</v>
      </c>
      <c r="E62" s="4">
        <f t="shared" si="2"/>
        <v>-90.061681182100017</v>
      </c>
      <c r="F62" s="4">
        <f>'[2]Soy Complex'!$DS431</f>
        <v>0.36246134355999776</v>
      </c>
      <c r="G62" s="3">
        <f t="shared" si="5"/>
        <v>28.33</v>
      </c>
      <c r="H62" s="3">
        <f t="shared" si="0"/>
        <v>26.089135988783159</v>
      </c>
      <c r="I62" s="3">
        <f t="shared" si="1"/>
        <v>-8.190864011216842</v>
      </c>
      <c r="J62" s="3">
        <f t="shared" si="3"/>
        <v>22.91530191894006</v>
      </c>
      <c r="K62" s="3">
        <f t="shared" si="4"/>
        <v>-11.364698081059942</v>
      </c>
    </row>
    <row r="63" spans="1:30" x14ac:dyDescent="0.2">
      <c r="A63" s="2">
        <v>43374</v>
      </c>
      <c r="B63" s="3">
        <f>'[2]Soy Complex'!$BH578</f>
        <v>29.051739130434775</v>
      </c>
      <c r="C63" s="4">
        <f>'[2]Soy Complex'!$BH594</f>
        <v>31.438700000000001</v>
      </c>
      <c r="D63" s="4">
        <f>'[2]Soy Complex'!$BH340</f>
        <v>145.71995643017999</v>
      </c>
      <c r="E63" s="4">
        <f t="shared" si="2"/>
        <v>-114.28125643017999</v>
      </c>
      <c r="F63" s="4">
        <f>'[2]Soy Complex'!$DT420</f>
        <v>0.29654515319719382</v>
      </c>
      <c r="G63" s="3">
        <f t="shared" si="5"/>
        <v>34.28</v>
      </c>
      <c r="H63" s="3">
        <f t="shared" si="0"/>
        <v>31.36843744559323</v>
      </c>
      <c r="I63" s="3">
        <f t="shared" si="1"/>
        <v>2.3166983151584546</v>
      </c>
      <c r="J63" s="3">
        <f t="shared" si="3"/>
        <v>27.713436608482045</v>
      </c>
      <c r="K63" s="3">
        <f t="shared" si="4"/>
        <v>-1.3383025219527305</v>
      </c>
    </row>
    <row r="64" spans="1:30" x14ac:dyDescent="0.2">
      <c r="A64" s="2">
        <v>43405</v>
      </c>
      <c r="B64" s="3">
        <f>'[2]Soy Complex'!$BH579</f>
        <v>27.69</v>
      </c>
      <c r="C64" s="4">
        <f>'[2]Soy Complex'!$BH595</f>
        <v>30.943300000000001</v>
      </c>
      <c r="D64" s="4">
        <f>'[2]Soy Complex'!$BH341</f>
        <v>214.18404913091999</v>
      </c>
      <c r="E64" s="4">
        <f t="shared" si="2"/>
        <v>-183.24074913091999</v>
      </c>
      <c r="F64" s="4">
        <f>'[2]Soy Complex'!$DT421</f>
        <v>0.29654515319719388</v>
      </c>
      <c r="G64" s="3">
        <f t="shared" si="5"/>
        <v>29.051739130434775</v>
      </c>
      <c r="H64" s="3">
        <f t="shared" si="0"/>
        <v>26.754653654591312</v>
      </c>
      <c r="I64" s="3">
        <f t="shared" si="1"/>
        <v>-0.93534634540868922</v>
      </c>
      <c r="J64" s="3">
        <f t="shared" si="3"/>
        <v>23.523799937098438</v>
      </c>
      <c r="K64" s="3">
        <f t="shared" si="4"/>
        <v>-4.166200062901563</v>
      </c>
    </row>
    <row r="65" spans="1:11" x14ac:dyDescent="0.2">
      <c r="A65" s="2">
        <v>43435</v>
      </c>
      <c r="B65" s="3">
        <f>'[2]Soy Complex'!$BH580</f>
        <v>28.32</v>
      </c>
      <c r="C65" s="4">
        <f>'[2]Soy Complex'!$BH596</f>
        <v>31.872499999999999</v>
      </c>
      <c r="D65" s="4">
        <f>'[2]Soy Complex'!$BH342</f>
        <v>156.95284099999998</v>
      </c>
      <c r="E65" s="4">
        <f t="shared" si="2"/>
        <v>-125.08034099999998</v>
      </c>
      <c r="F65" s="4">
        <f>'[2]Soy Complex'!$DT422</f>
        <v>0.30540083482829727</v>
      </c>
      <c r="G65" s="3">
        <f t="shared" si="5"/>
        <v>27.69</v>
      </c>
      <c r="H65" s="3">
        <f t="shared" si="0"/>
        <v>25.531757644190897</v>
      </c>
      <c r="I65" s="3">
        <f t="shared" si="1"/>
        <v>-2.7882423558091034</v>
      </c>
      <c r="J65" s="3">
        <f t="shared" si="3"/>
        <v>22.410167778105244</v>
      </c>
      <c r="K65" s="3">
        <f t="shared" si="4"/>
        <v>-5.9098322218947565</v>
      </c>
    </row>
    <row r="66" spans="1:11" x14ac:dyDescent="0.2">
      <c r="A66" s="2">
        <v>43466</v>
      </c>
      <c r="B66" s="3">
        <f>'[2]Soy Complex'!$BH581</f>
        <v>29.000952380952373</v>
      </c>
      <c r="C66" s="4">
        <f>'[2]Soy Complex'!$BH597</f>
        <v>32.317599999999999</v>
      </c>
      <c r="D66" s="4">
        <f>'[2]Soy Complex'!$BH343</f>
        <v>220.49961743106002</v>
      </c>
      <c r="E66" s="4">
        <f t="shared" si="2"/>
        <v>-188.18201743106002</v>
      </c>
      <c r="F66" s="4">
        <f>'[2]Soy Complex'!$DT423</f>
        <v>0.28108294339050222</v>
      </c>
      <c r="G66" s="3">
        <f t="shared" si="5"/>
        <v>28.32</v>
      </c>
      <c r="H66" s="3">
        <f t="shared" ref="H66:H111" si="6">$N$58+($N$59*E66)+($N$60*G66)</f>
        <v>26.107603842946478</v>
      </c>
      <c r="I66" s="3">
        <f t="shared" ref="I66:I111" si="7">H66-B66</f>
        <v>-2.8933485380058954</v>
      </c>
      <c r="J66" s="3">
        <f t="shared" si="3"/>
        <v>22.936009168917899</v>
      </c>
      <c r="K66" s="3">
        <f t="shared" si="4"/>
        <v>-6.0649432120344748</v>
      </c>
    </row>
    <row r="67" spans="1:11" x14ac:dyDescent="0.2">
      <c r="A67" s="2">
        <v>43497</v>
      </c>
      <c r="B67" s="3">
        <f>'[2]Soy Complex'!$BH582</f>
        <v>30.23</v>
      </c>
      <c r="C67" s="4">
        <f>'[2]Soy Complex'!$BH598</f>
        <v>32.904699999999998</v>
      </c>
      <c r="D67" s="4">
        <f>'[2]Soy Complex'!$BH344</f>
        <v>91.130957164720002</v>
      </c>
      <c r="E67" s="4">
        <f t="shared" ref="E67:E111" si="8">C67-D67</f>
        <v>-58.226257164720003</v>
      </c>
      <c r="F67" s="4">
        <f>'[2]Soy Complex'!$DT424</f>
        <v>0.41028277595083978</v>
      </c>
      <c r="G67" s="3">
        <f t="shared" si="5"/>
        <v>29.000952380952373</v>
      </c>
      <c r="H67" s="3">
        <f t="shared" si="6"/>
        <v>26.674829215211879</v>
      </c>
      <c r="I67" s="3">
        <f t="shared" si="7"/>
        <v>-3.5551707847881211</v>
      </c>
      <c r="J67" s="3">
        <f t="shared" ref="J67:J111" si="9">$X$58+($X$59*E67)+($X$60*F67)+($X$61*G67)</f>
        <v>23.446280858591127</v>
      </c>
      <c r="K67" s="3">
        <f t="shared" ref="K67:K111" si="10">J67-B67</f>
        <v>-6.7837191414088736</v>
      </c>
    </row>
    <row r="68" spans="1:11" x14ac:dyDescent="0.2">
      <c r="A68" s="2">
        <v>43525</v>
      </c>
      <c r="B68" s="3">
        <f>'[2]Soy Complex'!$BH583</f>
        <v>29.38</v>
      </c>
      <c r="C68" s="4">
        <f>'[2]Soy Complex'!$BH599</f>
        <v>31.79</v>
      </c>
      <c r="D68" s="4">
        <f>'[2]Soy Complex'!$BH345</f>
        <v>270.20118800466003</v>
      </c>
      <c r="E68" s="4">
        <f t="shared" si="8"/>
        <v>-238.41118800466003</v>
      </c>
      <c r="F68" s="4">
        <f>'[2]Soy Complex'!$DT425</f>
        <v>0.39803561069519428</v>
      </c>
      <c r="G68" s="3">
        <f t="shared" ref="G68:G110" si="11">B67</f>
        <v>30.23</v>
      </c>
      <c r="H68" s="3">
        <f t="shared" si="6"/>
        <v>27.814128750294845</v>
      </c>
      <c r="I68" s="3">
        <f t="shared" si="7"/>
        <v>-1.5658712497051539</v>
      </c>
      <c r="J68" s="3">
        <f t="shared" si="9"/>
        <v>24.48900985792335</v>
      </c>
      <c r="K68" s="3">
        <f t="shared" si="10"/>
        <v>-4.8909901420766495</v>
      </c>
    </row>
    <row r="69" spans="1:11" x14ac:dyDescent="0.2">
      <c r="A69" s="2">
        <v>43556</v>
      </c>
      <c r="B69" s="3">
        <f>'[2]Soy Complex'!$BH584</f>
        <v>28.556666666666668</v>
      </c>
      <c r="C69" s="4">
        <f>'[2]Soy Complex'!$BH600</f>
        <v>31.028099999999998</v>
      </c>
      <c r="D69" s="4">
        <f>'[2]Soy Complex'!$BH346</f>
        <v>147.49068296336</v>
      </c>
      <c r="E69" s="4">
        <f t="shared" si="8"/>
        <v>-116.46258296336001</v>
      </c>
      <c r="F69" s="4">
        <f>'[2]Soy Complex'!$DT426</f>
        <v>0.26043836371442608</v>
      </c>
      <c r="G69" s="3">
        <f t="shared" si="11"/>
        <v>29.38</v>
      </c>
      <c r="H69" s="3">
        <f t="shared" si="6"/>
        <v>27.026940379174356</v>
      </c>
      <c r="I69" s="3">
        <f t="shared" si="7"/>
        <v>-1.5297262874923128</v>
      </c>
      <c r="J69" s="3">
        <f t="shared" si="9"/>
        <v>23.768385920907896</v>
      </c>
      <c r="K69" s="3">
        <f t="shared" si="10"/>
        <v>-4.7882807457587724</v>
      </c>
    </row>
    <row r="70" spans="1:11" x14ac:dyDescent="0.2">
      <c r="A70" s="2">
        <v>43586</v>
      </c>
      <c r="B70" s="3">
        <f>'[2]Soy Complex'!$BH585</f>
        <v>27.230454545454549</v>
      </c>
      <c r="C70" s="4">
        <f>'[2]Soy Complex'!$BH601</f>
        <v>30.131399999999999</v>
      </c>
      <c r="D70" s="4">
        <f>'[2]Soy Complex'!$BH347</f>
        <v>204.75930304016001</v>
      </c>
      <c r="E70" s="4">
        <f t="shared" si="8"/>
        <v>-174.62790304015999</v>
      </c>
      <c r="F70" s="4">
        <f>'[2]Soy Complex'!$DT427</f>
        <v>0.33320055006353444</v>
      </c>
      <c r="G70" s="3">
        <f t="shared" si="11"/>
        <v>28.556666666666668</v>
      </c>
      <c r="H70" s="3">
        <f t="shared" si="6"/>
        <v>26.313549337970247</v>
      </c>
      <c r="I70" s="3">
        <f t="shared" si="7"/>
        <v>-0.9169052074843016</v>
      </c>
      <c r="J70" s="3">
        <f t="shared" si="9"/>
        <v>23.122681931830584</v>
      </c>
      <c r="K70" s="3">
        <f t="shared" si="10"/>
        <v>-4.1077726136239647</v>
      </c>
    </row>
    <row r="71" spans="1:11" x14ac:dyDescent="0.2">
      <c r="A71" s="2">
        <v>43617</v>
      </c>
      <c r="B71" s="3">
        <f>'[2]Soy Complex'!$BH586</f>
        <v>27.85</v>
      </c>
      <c r="C71" s="4">
        <f>'[2]Soy Complex'!$BH602</f>
        <v>31.390499999999999</v>
      </c>
      <c r="D71" s="4">
        <f>'[2]Soy Complex'!$BH348</f>
        <v>94.654817363480007</v>
      </c>
      <c r="E71" s="4">
        <f t="shared" si="8"/>
        <v>-63.264317363480004</v>
      </c>
      <c r="F71" s="4">
        <f>'[2]Soy Complex'!$DT428</f>
        <v>0.35600880575248672</v>
      </c>
      <c r="G71" s="3">
        <f t="shared" si="11"/>
        <v>27.230454545454549</v>
      </c>
      <c r="H71" s="3">
        <f t="shared" si="6"/>
        <v>25.107316775046936</v>
      </c>
      <c r="I71" s="3">
        <f t="shared" si="7"/>
        <v>-2.7426832249530655</v>
      </c>
      <c r="J71" s="3">
        <f t="shared" si="9"/>
        <v>22.022008152655143</v>
      </c>
      <c r="K71" s="3">
        <f t="shared" si="10"/>
        <v>-5.8279918473448582</v>
      </c>
    </row>
    <row r="72" spans="1:11" x14ac:dyDescent="0.2">
      <c r="A72" s="2">
        <v>43647</v>
      </c>
      <c r="B72" s="3">
        <f>'[2]Soy Complex'!$BH587</f>
        <v>28.054999999999996</v>
      </c>
      <c r="C72" s="4">
        <f>'[2]Soy Complex'!$BH603</f>
        <v>31.423200000000001</v>
      </c>
      <c r="D72" s="4">
        <f>'[2]Soy Complex'!$BH349</f>
        <v>173.52756042401998</v>
      </c>
      <c r="E72" s="4">
        <f t="shared" si="8"/>
        <v>-142.10436042401997</v>
      </c>
      <c r="F72" s="4">
        <f>'[2]Soy Complex'!$DT429</f>
        <v>0.32020981852807556</v>
      </c>
      <c r="G72" s="3">
        <f t="shared" si="11"/>
        <v>27.85</v>
      </c>
      <c r="H72" s="3">
        <f t="shared" si="6"/>
        <v>25.678282323929139</v>
      </c>
      <c r="I72" s="3">
        <f t="shared" si="7"/>
        <v>-2.3767176760708573</v>
      </c>
      <c r="J72" s="3">
        <f t="shared" si="9"/>
        <v>22.544047082343262</v>
      </c>
      <c r="K72" s="3">
        <f t="shared" si="10"/>
        <v>-5.5109529176567342</v>
      </c>
    </row>
    <row r="73" spans="1:11" x14ac:dyDescent="0.2">
      <c r="A73" s="2">
        <v>43678</v>
      </c>
      <c r="B73" s="3">
        <f>'[2]Soy Complex'!$BH588</f>
        <v>28.569999999999997</v>
      </c>
      <c r="C73" s="4">
        <f>'[2]Soy Complex'!$BH604</f>
        <v>31.520900000000001</v>
      </c>
      <c r="D73" s="4">
        <f>'[2]Soy Complex'!$BH350</f>
        <v>165.16295215727999</v>
      </c>
      <c r="E73" s="4">
        <f t="shared" si="8"/>
        <v>-133.64205215727998</v>
      </c>
      <c r="F73" s="4">
        <f>'[2]Soy Complex'!$DT430</f>
        <v>0.35849604722884298</v>
      </c>
      <c r="G73" s="3">
        <f t="shared" si="11"/>
        <v>28.054999999999996</v>
      </c>
      <c r="H73" s="3">
        <f t="shared" si="6"/>
        <v>25.857584810763633</v>
      </c>
      <c r="I73" s="3">
        <f t="shared" si="7"/>
        <v>-2.7124151892363635</v>
      </c>
      <c r="J73" s="3">
        <f t="shared" si="9"/>
        <v>22.706695833609871</v>
      </c>
      <c r="K73" s="3">
        <f t="shared" si="10"/>
        <v>-5.863304166390126</v>
      </c>
    </row>
    <row r="74" spans="1:11" x14ac:dyDescent="0.2">
      <c r="A74" s="2">
        <v>43709</v>
      </c>
      <c r="B74" s="3">
        <f>'[2]Soy Complex'!$BH589</f>
        <v>28.26</v>
      </c>
      <c r="C74" s="4">
        <f>'[2]Soy Complex'!$BH605</f>
        <v>31.963000000000001</v>
      </c>
      <c r="D74" s="4">
        <f>'[2]Soy Complex'!$BH351</f>
        <v>47.789809999999996</v>
      </c>
      <c r="E74" s="4">
        <f t="shared" si="8"/>
        <v>-15.826809999999995</v>
      </c>
      <c r="F74" s="4">
        <f>'[2]Soy Complex'!$DT431</f>
        <v>0.34443519867917288</v>
      </c>
      <c r="G74" s="3">
        <f t="shared" si="11"/>
        <v>28.569999999999997</v>
      </c>
      <c r="H74" s="3">
        <f t="shared" si="6"/>
        <v>26.281133987378343</v>
      </c>
      <c r="I74" s="3">
        <f t="shared" si="7"/>
        <v>-1.9788660126216584</v>
      </c>
      <c r="J74" s="3">
        <f t="shared" si="9"/>
        <v>23.086653650869561</v>
      </c>
      <c r="K74" s="3">
        <f t="shared" si="10"/>
        <v>-5.1733463491304406</v>
      </c>
    </row>
    <row r="75" spans="1:11" x14ac:dyDescent="0.2">
      <c r="A75" s="2">
        <v>43739</v>
      </c>
      <c r="B75" s="3">
        <f>'[2]Soy Complex'!$BI578</f>
        <v>30.28</v>
      </c>
      <c r="C75" s="4">
        <f>'[2]Soy Complex'!$BI594</f>
        <v>33.269100000000002</v>
      </c>
      <c r="D75" s="4">
        <f>'[2]Soy Complex'!$BI340</f>
        <v>252.08236300000002</v>
      </c>
      <c r="E75" s="4">
        <f t="shared" si="8"/>
        <v>-218.81326300000001</v>
      </c>
      <c r="F75" s="4">
        <f>'[2]Soy Complex'!$DU420</f>
        <v>0.28379172590573865</v>
      </c>
      <c r="G75" s="3">
        <f t="shared" si="11"/>
        <v>28.26</v>
      </c>
      <c r="H75" s="3">
        <f t="shared" si="6"/>
        <v>26.062966884147727</v>
      </c>
      <c r="I75" s="3">
        <f t="shared" si="7"/>
        <v>-4.2170331158522742</v>
      </c>
      <c r="J75" s="3">
        <f t="shared" si="9"/>
        <v>22.89672470728987</v>
      </c>
      <c r="K75" s="3">
        <f t="shared" si="10"/>
        <v>-7.3832752927101311</v>
      </c>
    </row>
    <row r="76" spans="1:11" x14ac:dyDescent="0.2">
      <c r="A76" s="2">
        <v>43770</v>
      </c>
      <c r="B76" s="3">
        <f>'[2]Soy Complex'!$BI579</f>
        <v>30.957999999999998</v>
      </c>
      <c r="C76" s="4">
        <f>'[2]Soy Complex'!$BI595</f>
        <v>33.766500000000001</v>
      </c>
      <c r="D76" s="4">
        <f>'[2]Soy Complex'!$BI341</f>
        <v>257.23147299999999</v>
      </c>
      <c r="E76" s="4">
        <f t="shared" si="8"/>
        <v>-223.46497299999999</v>
      </c>
      <c r="F76" s="4">
        <f>'[2]Soy Complex'!$DU421</f>
        <v>0.41312180951762839</v>
      </c>
      <c r="G76" s="3">
        <f t="shared" si="11"/>
        <v>30.28</v>
      </c>
      <c r="H76" s="3">
        <f t="shared" si="6"/>
        <v>27.854272996252778</v>
      </c>
      <c r="I76" s="3">
        <f t="shared" si="7"/>
        <v>-3.1037270037472204</v>
      </c>
      <c r="J76" s="3">
        <f t="shared" si="9"/>
        <v>24.524895452545064</v>
      </c>
      <c r="K76" s="3">
        <f t="shared" si="10"/>
        <v>-6.4331045474549349</v>
      </c>
    </row>
    <row r="77" spans="1:11" x14ac:dyDescent="0.2">
      <c r="A77" s="2">
        <v>43800</v>
      </c>
      <c r="B77" s="3">
        <f>'[2]Soy Complex'!$BI580</f>
        <v>32.689523809523813</v>
      </c>
      <c r="C77" s="4">
        <f>'[2]Soy Complex'!$BI596</f>
        <v>35.382399999999997</v>
      </c>
      <c r="D77" s="4">
        <f>'[2]Soy Complex'!$BI342</f>
        <v>183.953934</v>
      </c>
      <c r="E77" s="4">
        <f t="shared" si="8"/>
        <v>-148.57153400000001</v>
      </c>
      <c r="F77" s="4">
        <f>'[2]Soy Complex'!$DU422</f>
        <v>0.37272792453444065</v>
      </c>
      <c r="G77" s="3">
        <f t="shared" si="11"/>
        <v>30.957999999999998</v>
      </c>
      <c r="H77" s="3">
        <f t="shared" si="6"/>
        <v>28.434218550143488</v>
      </c>
      <c r="I77" s="3">
        <f t="shared" si="7"/>
        <v>-4.2553052593803251</v>
      </c>
      <c r="J77" s="3">
        <f t="shared" si="9"/>
        <v>25.048703237118705</v>
      </c>
      <c r="K77" s="3">
        <f t="shared" si="10"/>
        <v>-7.6408205724051079</v>
      </c>
    </row>
    <row r="78" spans="1:11" x14ac:dyDescent="0.2">
      <c r="A78" s="2">
        <v>43831</v>
      </c>
      <c r="B78" s="3">
        <f>'[2]Soy Complex'!$BI581</f>
        <v>33.150952380952383</v>
      </c>
      <c r="C78" s="4">
        <f>'[2]Soy Complex'!$BI597</f>
        <v>36.0929</v>
      </c>
      <c r="D78" s="4">
        <f>'[2]Soy Complex'!$BI343</f>
        <v>124.59328579522</v>
      </c>
      <c r="E78" s="4">
        <f t="shared" si="8"/>
        <v>-88.500385795219998</v>
      </c>
      <c r="F78" s="4">
        <f>'[2]Soy Complex'!$DU423</f>
        <v>0.30827551733849318</v>
      </c>
      <c r="G78" s="3">
        <f t="shared" si="11"/>
        <v>32.689523809523813</v>
      </c>
      <c r="H78" s="3">
        <f t="shared" si="6"/>
        <v>29.95186612535457</v>
      </c>
      <c r="I78" s="3">
        <f t="shared" si="7"/>
        <v>-3.1990862555978126</v>
      </c>
      <c r="J78" s="3">
        <f t="shared" si="9"/>
        <v>26.425163198484572</v>
      </c>
      <c r="K78" s="3">
        <f t="shared" si="10"/>
        <v>-6.7257891824678104</v>
      </c>
    </row>
    <row r="79" spans="1:11" x14ac:dyDescent="0.2">
      <c r="A79" s="2">
        <v>43862</v>
      </c>
      <c r="B79" s="3">
        <f>'[2]Soy Complex'!$BI582</f>
        <v>30.248421052631581</v>
      </c>
      <c r="C79" s="4">
        <f>'[2]Soy Complex'!$BI598</f>
        <v>33.432600000000001</v>
      </c>
      <c r="D79" s="4">
        <f>'[2]Soy Complex'!$BI344</f>
        <v>395.60963645411999</v>
      </c>
      <c r="E79" s="4">
        <f t="shared" si="8"/>
        <v>-362.17703645412001</v>
      </c>
      <c r="F79" s="4">
        <f>'[2]Soy Complex'!$DU424</f>
        <v>0.33273989040286844</v>
      </c>
      <c r="G79" s="3">
        <f t="shared" si="11"/>
        <v>33.150952380952383</v>
      </c>
      <c r="H79" s="3">
        <f t="shared" si="6"/>
        <v>30.436984890864743</v>
      </c>
      <c r="I79" s="3">
        <f t="shared" si="7"/>
        <v>0.18856383823316136</v>
      </c>
      <c r="J79" s="3">
        <f t="shared" si="9"/>
        <v>26.877393079709766</v>
      </c>
      <c r="K79" s="3">
        <f t="shared" si="10"/>
        <v>-3.3710279729218158</v>
      </c>
    </row>
    <row r="80" spans="1:11" x14ac:dyDescent="0.2">
      <c r="A80" s="2">
        <v>43891</v>
      </c>
      <c r="B80" s="3">
        <f>'[2]Soy Complex'!$BI583</f>
        <v>27.017727272727271</v>
      </c>
      <c r="C80" s="4">
        <f>'[2]Soy Complex'!$BI599</f>
        <v>30.1768</v>
      </c>
      <c r="D80" s="4">
        <f>'[2]Soy Complex'!$BI345</f>
        <v>319.77810600000004</v>
      </c>
      <c r="E80" s="4">
        <f t="shared" si="8"/>
        <v>-289.60130600000002</v>
      </c>
      <c r="F80" s="4">
        <f>'[2]Soy Complex'!$DU425</f>
        <v>0.35500624351647297</v>
      </c>
      <c r="G80" s="3">
        <f t="shared" si="11"/>
        <v>30.248421052631581</v>
      </c>
      <c r="H80" s="3">
        <f t="shared" si="6"/>
        <v>27.844710349346038</v>
      </c>
      <c r="I80" s="3">
        <f t="shared" si="7"/>
        <v>0.82698307661876669</v>
      </c>
      <c r="J80" s="3">
        <f t="shared" si="9"/>
        <v>24.518846074521676</v>
      </c>
      <c r="K80" s="3">
        <f t="shared" si="10"/>
        <v>-2.498881198205595</v>
      </c>
    </row>
    <row r="81" spans="1:11" x14ac:dyDescent="0.2">
      <c r="A81" s="2">
        <v>43922</v>
      </c>
      <c r="B81" s="3">
        <f>'[2]Soy Complex'!$BI584</f>
        <v>26.202857142857148</v>
      </c>
      <c r="C81" s="4">
        <f>'[2]Soy Complex'!$BI600</f>
        <v>28.802900000000001</v>
      </c>
      <c r="D81" s="4">
        <f>'[2]Soy Complex'!$BI346</f>
        <v>229.69411499999998</v>
      </c>
      <c r="E81" s="4">
        <f t="shared" si="8"/>
        <v>-200.89121499999999</v>
      </c>
      <c r="F81" s="4">
        <f>'[2]Soy Complex'!$DU426</f>
        <v>0.31742073412876221</v>
      </c>
      <c r="G81" s="3">
        <f t="shared" si="11"/>
        <v>27.017727272727271</v>
      </c>
      <c r="H81" s="3">
        <f t="shared" si="6"/>
        <v>24.957142809154348</v>
      </c>
      <c r="I81" s="3">
        <f t="shared" si="7"/>
        <v>-1.2457143337028</v>
      </c>
      <c r="J81" s="3">
        <f t="shared" si="9"/>
        <v>21.89119040403574</v>
      </c>
      <c r="K81" s="3">
        <f t="shared" si="10"/>
        <v>-4.3116667388214083</v>
      </c>
    </row>
    <row r="82" spans="1:11" x14ac:dyDescent="0.2">
      <c r="A82" s="2">
        <v>43952</v>
      </c>
      <c r="B82" s="3">
        <f>'[2]Soy Complex'!$BI585</f>
        <v>26.708999999999996</v>
      </c>
      <c r="C82" s="4">
        <f>'[2]Soy Complex'!$BI601</f>
        <v>28.418500000000002</v>
      </c>
      <c r="D82" s="4">
        <f>'[2]Soy Complex'!$BI347</f>
        <v>357.12462900000003</v>
      </c>
      <c r="E82" s="4">
        <f t="shared" si="8"/>
        <v>-328.70612900000003</v>
      </c>
      <c r="F82" s="4">
        <f>'[2]Soy Complex'!$DU427</f>
        <v>0.2582176407810855</v>
      </c>
      <c r="G82" s="3">
        <f t="shared" si="11"/>
        <v>26.202857142857148</v>
      </c>
      <c r="H82" s="3">
        <f t="shared" si="6"/>
        <v>24.270650767458218</v>
      </c>
      <c r="I82" s="3">
        <f t="shared" si="7"/>
        <v>-2.4383492325417784</v>
      </c>
      <c r="J82" s="3">
        <f t="shared" si="9"/>
        <v>21.272580805673343</v>
      </c>
      <c r="K82" s="3">
        <f t="shared" si="10"/>
        <v>-5.4364191943266533</v>
      </c>
    </row>
    <row r="83" spans="1:11" x14ac:dyDescent="0.2">
      <c r="A83" s="2">
        <v>43983</v>
      </c>
      <c r="B83" s="3">
        <f>'[2]Soy Complex'!$BI586</f>
        <v>27.891363636363643</v>
      </c>
      <c r="C83" s="4">
        <f>'[2]Soy Complex'!$BI602</f>
        <v>29.764099999999999</v>
      </c>
      <c r="D83" s="4">
        <f>'[2]Soy Complex'!$BI348</f>
        <v>166.82469800000001</v>
      </c>
      <c r="E83" s="4">
        <f t="shared" si="8"/>
        <v>-137.06059800000003</v>
      </c>
      <c r="F83" s="4">
        <f>'[2]Soy Complex'!$DU428</f>
        <v>0.2198407587509876</v>
      </c>
      <c r="G83" s="3">
        <f t="shared" si="11"/>
        <v>26.708999999999996</v>
      </c>
      <c r="H83" s="3">
        <f t="shared" si="6"/>
        <v>24.665787415690435</v>
      </c>
      <c r="I83" s="3">
        <f t="shared" si="7"/>
        <v>-3.2255762206732079</v>
      </c>
      <c r="J83" s="3">
        <f t="shared" si="9"/>
        <v>21.623610832569042</v>
      </c>
      <c r="K83" s="3">
        <f t="shared" si="10"/>
        <v>-6.2677528037946004</v>
      </c>
    </row>
    <row r="84" spans="1:11" x14ac:dyDescent="0.2">
      <c r="A84" s="2">
        <v>44013</v>
      </c>
      <c r="B84" s="3">
        <f>'[2]Soy Complex'!$BI587</f>
        <v>29.206818181818178</v>
      </c>
      <c r="C84" s="4">
        <f>'[2]Soy Complex'!$BI603</f>
        <v>31.8109</v>
      </c>
      <c r="D84" s="4">
        <f>'[2]Soy Complex'!$BI349</f>
        <v>164.21516800000001</v>
      </c>
      <c r="E84" s="4">
        <f t="shared" si="8"/>
        <v>-132.404268</v>
      </c>
      <c r="F84" s="4">
        <f>'[2]Soy Complex'!$DU429</f>
        <v>0.31188651655918442</v>
      </c>
      <c r="G84" s="3">
        <f t="shared" si="11"/>
        <v>27.891363636363643</v>
      </c>
      <c r="H84" s="3">
        <f t="shared" si="6"/>
        <v>25.712234703479091</v>
      </c>
      <c r="I84" s="3">
        <f t="shared" si="7"/>
        <v>-3.4945834783390879</v>
      </c>
      <c r="J84" s="3">
        <f t="shared" si="9"/>
        <v>22.574481387025138</v>
      </c>
      <c r="K84" s="3">
        <f t="shared" si="10"/>
        <v>-6.6323367947930407</v>
      </c>
    </row>
    <row r="85" spans="1:11" x14ac:dyDescent="0.2">
      <c r="A85" s="2">
        <v>44044</v>
      </c>
      <c r="B85" s="3">
        <f>'[2]Soy Complex'!$BI588</f>
        <v>31.59238095238096</v>
      </c>
      <c r="C85" s="4">
        <f>'[2]Soy Complex'!$BI604</f>
        <v>35.142899999999997</v>
      </c>
      <c r="D85" s="4">
        <f>'[2]Soy Complex'!$BI350</f>
        <v>200.05547289728</v>
      </c>
      <c r="E85" s="4">
        <f t="shared" si="8"/>
        <v>-164.91257289728</v>
      </c>
      <c r="F85" s="4">
        <f>'[2]Soy Complex'!$DU430</f>
        <v>0.26667537942736641</v>
      </c>
      <c r="G85" s="3">
        <f t="shared" si="11"/>
        <v>29.206818181818178</v>
      </c>
      <c r="H85" s="3">
        <f t="shared" si="6"/>
        <v>26.886971078634783</v>
      </c>
      <c r="I85" s="3">
        <f t="shared" si="7"/>
        <v>-4.7054098737461771</v>
      </c>
      <c r="J85" s="3">
        <f t="shared" si="9"/>
        <v>23.643220136287297</v>
      </c>
      <c r="K85" s="3">
        <f t="shared" si="10"/>
        <v>-7.9491608160936629</v>
      </c>
    </row>
    <row r="86" spans="1:11" x14ac:dyDescent="0.2">
      <c r="A86" s="2">
        <v>44075</v>
      </c>
      <c r="B86" s="3">
        <f>'[2]Soy Complex'!$BI589</f>
        <v>29.063000000000006</v>
      </c>
      <c r="C86" s="4">
        <f>'[2]Soy Complex'!$BI605</f>
        <v>37.217599999999997</v>
      </c>
      <c r="D86" s="4">
        <f>'[2]Soy Complex'!$BI351</f>
        <v>178.052347</v>
      </c>
      <c r="E86" s="4">
        <f t="shared" si="8"/>
        <v>-140.83474699999999</v>
      </c>
      <c r="F86" s="4">
        <f>'[2]Soy Complex'!$DU431</f>
        <v>0.2739562182428098</v>
      </c>
      <c r="G86" s="3">
        <f t="shared" si="11"/>
        <v>31.59238095238096</v>
      </c>
      <c r="H86" s="3">
        <f t="shared" si="6"/>
        <v>28.994216384654745</v>
      </c>
      <c r="I86" s="3">
        <f t="shared" si="7"/>
        <v>-6.8783615345260785E-2</v>
      </c>
      <c r="J86" s="3">
        <f t="shared" si="9"/>
        <v>25.557066715799124</v>
      </c>
      <c r="K86" s="3">
        <f t="shared" si="10"/>
        <v>-3.5059332842008821</v>
      </c>
    </row>
    <row r="87" spans="1:11" x14ac:dyDescent="0.2">
      <c r="A87" s="2">
        <v>44105</v>
      </c>
      <c r="B87" s="3">
        <f>'[2]Soy Complex'!$BJ578</f>
        <v>33.276818181818186</v>
      </c>
      <c r="C87" s="4">
        <f>'[2]Soy Complex'!$BJ594</f>
        <v>37.026800000000001</v>
      </c>
      <c r="D87" s="4">
        <f>'[2]Soy Complex'!$BJ340</f>
        <v>183.89848973562002</v>
      </c>
      <c r="E87" s="4">
        <f t="shared" si="8"/>
        <v>-146.87168973562001</v>
      </c>
      <c r="F87" s="4">
        <f>'[2]Soy Complex'!$DV420</f>
        <v>0.24618526306029176</v>
      </c>
      <c r="G87" s="3">
        <f t="shared" si="11"/>
        <v>29.063000000000006</v>
      </c>
      <c r="H87" s="3">
        <f t="shared" si="6"/>
        <v>26.754502591430199</v>
      </c>
      <c r="I87" s="3">
        <f t="shared" si="7"/>
        <v>-6.5223155903879864</v>
      </c>
      <c r="J87" s="3">
        <f t="shared" si="9"/>
        <v>23.522060994623818</v>
      </c>
      <c r="K87" s="3">
        <f t="shared" si="10"/>
        <v>-9.7547571871943681</v>
      </c>
    </row>
    <row r="88" spans="1:11" x14ac:dyDescent="0.2">
      <c r="A88" s="2">
        <v>44136</v>
      </c>
      <c r="B88" s="3">
        <f>'[2]Soy Complex'!$BJ579</f>
        <v>36.862499999999997</v>
      </c>
      <c r="C88" s="4">
        <f>'[2]Soy Complex'!$BJ595</f>
        <v>41.102499999999999</v>
      </c>
      <c r="D88" s="4">
        <f>'[2]Soy Complex'!$BJ341</f>
        <v>175.07636770338001</v>
      </c>
      <c r="E88" s="4">
        <f t="shared" si="8"/>
        <v>-133.97386770338002</v>
      </c>
      <c r="F88" s="4">
        <f>'[2]Soy Complex'!$DV421</f>
        <v>0.27431131600213066</v>
      </c>
      <c r="G88" s="3">
        <f t="shared" si="11"/>
        <v>33.276818181818186</v>
      </c>
      <c r="H88" s="3">
        <f t="shared" si="6"/>
        <v>30.48495904546423</v>
      </c>
      <c r="I88" s="3">
        <f t="shared" si="7"/>
        <v>-6.3775409545357675</v>
      </c>
      <c r="J88" s="3">
        <f t="shared" si="9"/>
        <v>26.911405646305727</v>
      </c>
      <c r="K88" s="3">
        <f t="shared" si="10"/>
        <v>-9.9510943536942698</v>
      </c>
    </row>
    <row r="89" spans="1:11" x14ac:dyDescent="0.2">
      <c r="A89" s="2">
        <v>44166</v>
      </c>
      <c r="B89" s="3">
        <f>'[2]Soy Complex'!$BJ580</f>
        <v>39.571363636363643</v>
      </c>
      <c r="C89" s="4">
        <f>'[2]Soy Complex'!$BJ596</f>
        <v>45.719099999999997</v>
      </c>
      <c r="D89" s="4">
        <f>'[2]Soy Complex'!$BJ342</f>
        <v>234.89342488303998</v>
      </c>
      <c r="E89" s="4">
        <f t="shared" si="8"/>
        <v>-189.17432488303999</v>
      </c>
      <c r="F89" s="4">
        <f>'[2]Soy Complex'!$DV422</f>
        <v>0.29277456854488193</v>
      </c>
      <c r="G89" s="3">
        <f t="shared" si="11"/>
        <v>36.862499999999997</v>
      </c>
      <c r="H89" s="3">
        <f t="shared" si="6"/>
        <v>33.677763653470585</v>
      </c>
      <c r="I89" s="3">
        <f t="shared" si="7"/>
        <v>-5.8935999828930576</v>
      </c>
      <c r="J89" s="3">
        <f t="shared" si="9"/>
        <v>29.815001138742421</v>
      </c>
      <c r="K89" s="3">
        <f t="shared" si="10"/>
        <v>-9.7563624976212218</v>
      </c>
    </row>
    <row r="90" spans="1:11" x14ac:dyDescent="0.2">
      <c r="A90" s="2">
        <v>44197</v>
      </c>
      <c r="B90" s="3">
        <f>'[2]Soy Complex'!$BJ581</f>
        <v>43.154210526315786</v>
      </c>
      <c r="C90" s="4">
        <f>'[2]Soy Complex'!$BJ597</f>
        <v>49.417400000000001</v>
      </c>
      <c r="D90" s="4">
        <f>'[2]Soy Complex'!$BJ343</f>
        <v>327.28215523630001</v>
      </c>
      <c r="E90" s="4">
        <f t="shared" si="8"/>
        <v>-277.86475523630003</v>
      </c>
      <c r="F90" s="4">
        <f>'[2]Soy Complex'!$DV423</f>
        <v>0.33103246561623079</v>
      </c>
      <c r="G90" s="3">
        <f t="shared" si="11"/>
        <v>39.571363636363643</v>
      </c>
      <c r="H90" s="3">
        <f t="shared" si="6"/>
        <v>36.102909170451362</v>
      </c>
      <c r="I90" s="3">
        <f t="shared" si="7"/>
        <v>-7.0513013558644246</v>
      </c>
      <c r="J90" s="3">
        <f t="shared" si="9"/>
        <v>32.022458889499582</v>
      </c>
      <c r="K90" s="3">
        <f t="shared" si="10"/>
        <v>-11.131751636816205</v>
      </c>
    </row>
    <row r="91" spans="1:11" x14ac:dyDescent="0.2">
      <c r="A91" s="2">
        <v>44228</v>
      </c>
      <c r="B91" s="3">
        <f>'[2]Soy Complex'!$BJ582</f>
        <v>46.94631578947368</v>
      </c>
      <c r="C91" s="4">
        <f>'[2]Soy Complex'!$BJ598</f>
        <v>52.604199999999999</v>
      </c>
      <c r="D91" s="4">
        <f>'[2]Soy Complex'!$BJ344</f>
        <v>255.14466737144002</v>
      </c>
      <c r="E91" s="4">
        <f t="shared" si="8"/>
        <v>-202.54046737144003</v>
      </c>
      <c r="F91" s="4">
        <f>'[2]Soy Complex'!$DV424</f>
        <v>0.35274040714093147</v>
      </c>
      <c r="G91" s="3">
        <f t="shared" si="11"/>
        <v>43.154210526315786</v>
      </c>
      <c r="H91" s="3">
        <f t="shared" si="6"/>
        <v>39.256846786735238</v>
      </c>
      <c r="I91" s="3">
        <f t="shared" si="7"/>
        <v>-7.6894690027384414</v>
      </c>
      <c r="J91" s="3">
        <f t="shared" si="9"/>
        <v>34.885323012202576</v>
      </c>
      <c r="K91" s="3">
        <f t="shared" si="10"/>
        <v>-12.060992777271103</v>
      </c>
    </row>
    <row r="92" spans="1:11" x14ac:dyDescent="0.2">
      <c r="A92" s="2">
        <v>44256</v>
      </c>
      <c r="B92" s="3">
        <f>'[2]Soy Complex'!$BJ583</f>
        <v>53.370000000000012</v>
      </c>
      <c r="C92" s="4">
        <f>'[2]Soy Complex'!$BJ599</f>
        <v>62.609099999999998</v>
      </c>
      <c r="D92" s="4">
        <f>'[2]Soy Complex'!$BJ345</f>
        <v>154.79033631138</v>
      </c>
      <c r="E92" s="4">
        <f t="shared" si="8"/>
        <v>-92.181236311380005</v>
      </c>
      <c r="F92" s="4">
        <f>'[2]Soy Complex'!$DV425</f>
        <v>0.257261820550375</v>
      </c>
      <c r="G92" s="3">
        <f t="shared" si="11"/>
        <v>46.94631578947368</v>
      </c>
      <c r="H92" s="3">
        <f t="shared" si="6"/>
        <v>42.586459189573475</v>
      </c>
      <c r="I92" s="3">
        <f t="shared" si="7"/>
        <v>-10.783540810426537</v>
      </c>
      <c r="J92" s="3">
        <f t="shared" si="9"/>
        <v>37.906153146300532</v>
      </c>
      <c r="K92" s="3">
        <f t="shared" si="10"/>
        <v>-15.463846853699479</v>
      </c>
    </row>
    <row r="93" spans="1:11" x14ac:dyDescent="0.2">
      <c r="A93" s="2">
        <v>44287</v>
      </c>
      <c r="B93" s="3">
        <f>'[2]Soy Complex'!$BJ584</f>
        <v>58.235714285714302</v>
      </c>
      <c r="C93" s="4">
        <f>'[2]Soy Complex'!$BJ600</f>
        <v>71.7667</v>
      </c>
      <c r="D93" s="4">
        <f>'[2]Soy Complex'!$BJ346</f>
        <v>130.73842815088</v>
      </c>
      <c r="E93" s="4">
        <f t="shared" si="8"/>
        <v>-58.971728150879997</v>
      </c>
      <c r="F93" s="4">
        <f>'[2]Soy Complex'!$DV426</f>
        <v>0.26450672065931452</v>
      </c>
      <c r="G93" s="3">
        <f t="shared" si="11"/>
        <v>53.370000000000012</v>
      </c>
      <c r="H93" s="3">
        <f t="shared" si="6"/>
        <v>48.269517347453018</v>
      </c>
      <c r="I93" s="3">
        <f t="shared" si="7"/>
        <v>-9.9661969382612838</v>
      </c>
      <c r="J93" s="3">
        <f t="shared" si="9"/>
        <v>43.06892636233156</v>
      </c>
      <c r="K93" s="3">
        <f t="shared" si="10"/>
        <v>-15.166787923382742</v>
      </c>
    </row>
    <row r="94" spans="1:11" x14ac:dyDescent="0.2">
      <c r="A94" s="2">
        <v>44317</v>
      </c>
      <c r="B94" s="3">
        <f>'[2]Soy Complex'!$BJ585</f>
        <v>65.639500000000012</v>
      </c>
      <c r="C94" s="4">
        <f>'[2]Soy Complex'!$BJ601</f>
        <v>92.789500000000004</v>
      </c>
      <c r="D94" s="4">
        <f>'[2]Soy Complex'!$BJ347</f>
        <v>71.295192952280004</v>
      </c>
      <c r="E94" s="4">
        <f t="shared" si="8"/>
        <v>21.49430704772</v>
      </c>
      <c r="F94" s="4">
        <f>'[2]Soy Complex'!$DV427</f>
        <v>0.29566342088374692</v>
      </c>
      <c r="G94" s="3">
        <f t="shared" si="11"/>
        <v>58.235714285714302</v>
      </c>
      <c r="H94" s="3">
        <f t="shared" si="6"/>
        <v>52.558827832476382</v>
      </c>
      <c r="I94" s="3">
        <f t="shared" si="7"/>
        <v>-13.08067216752363</v>
      </c>
      <c r="J94" s="3">
        <f t="shared" si="9"/>
        <v>46.96329632397044</v>
      </c>
      <c r="K94" s="3">
        <f t="shared" si="10"/>
        <v>-18.676203676029573</v>
      </c>
    </row>
    <row r="95" spans="1:11" x14ac:dyDescent="0.2">
      <c r="A95" s="2">
        <v>44348</v>
      </c>
      <c r="B95" s="3">
        <f>'[2]Soy Complex'!$BJ586</f>
        <v>65.243181818181839</v>
      </c>
      <c r="C95" s="4">
        <f>'[2]Soy Complex'!$BJ602</f>
        <v>97.356800000000007</v>
      </c>
      <c r="D95" s="4">
        <f>'[2]Soy Complex'!$BJ348</f>
        <v>91.233981261940002</v>
      </c>
      <c r="E95" s="4">
        <f t="shared" si="8"/>
        <v>6.1228187380600048</v>
      </c>
      <c r="F95" s="4">
        <f>'[2]Soy Complex'!$DV428</f>
        <v>0.34154122597605213</v>
      </c>
      <c r="G95" s="3">
        <f t="shared" si="11"/>
        <v>65.639500000000012</v>
      </c>
      <c r="H95" s="3">
        <f t="shared" si="6"/>
        <v>59.123928046023522</v>
      </c>
      <c r="I95" s="3">
        <f t="shared" si="7"/>
        <v>-6.1192537721583165</v>
      </c>
      <c r="J95" s="3">
        <f t="shared" si="9"/>
        <v>52.929659797984584</v>
      </c>
      <c r="K95" s="3">
        <f t="shared" si="10"/>
        <v>-12.313522020197254</v>
      </c>
    </row>
    <row r="96" spans="1:11" x14ac:dyDescent="0.2">
      <c r="A96" s="2">
        <v>44378</v>
      </c>
      <c r="B96" s="3">
        <f>'[2]Soy Complex'!$BJ587</f>
        <v>64.936190476190475</v>
      </c>
      <c r="C96" s="4">
        <f>'[2]Soy Complex'!$BJ603</f>
        <v>92.793300000000002</v>
      </c>
      <c r="D96" s="4">
        <f>'[2]Soy Complex'!$BJ349</f>
        <v>35.53751979954</v>
      </c>
      <c r="E96" s="4">
        <f t="shared" si="8"/>
        <v>57.255780200460002</v>
      </c>
      <c r="F96" s="4">
        <f>'[2]Soy Complex'!$DV429</f>
        <v>0.39267123522180608</v>
      </c>
      <c r="G96" s="3">
        <f t="shared" si="11"/>
        <v>65.243181818181839</v>
      </c>
      <c r="H96" s="3">
        <f t="shared" si="6"/>
        <v>58.758491168030474</v>
      </c>
      <c r="I96" s="3">
        <f t="shared" si="7"/>
        <v>-6.1776993081600011</v>
      </c>
      <c r="J96" s="3">
        <f t="shared" si="9"/>
        <v>52.595561014541687</v>
      </c>
      <c r="K96" s="3">
        <f t="shared" si="10"/>
        <v>-12.340629461648788</v>
      </c>
    </row>
    <row r="97" spans="1:11" x14ac:dyDescent="0.2">
      <c r="A97" s="2">
        <v>44409</v>
      </c>
      <c r="B97" s="3">
        <f>'[2]Soy Complex'!$BJ588</f>
        <v>61.464090909090899</v>
      </c>
      <c r="C97" s="4">
        <f>'[2]Soy Complex'!$BJ604</f>
        <v>82.827699999999993</v>
      </c>
      <c r="D97" s="4">
        <f>'[2]Soy Complex'!$BJ350</f>
        <v>24.694848104960002</v>
      </c>
      <c r="E97" s="4">
        <f t="shared" si="8"/>
        <v>58.132851895039991</v>
      </c>
      <c r="F97" s="4">
        <f>'[2]Soy Complex'!$DV430</f>
        <v>0.31282131491963</v>
      </c>
      <c r="G97" s="3">
        <f t="shared" si="11"/>
        <v>64.936190476190475</v>
      </c>
      <c r="H97" s="3">
        <f t="shared" si="6"/>
        <v>58.486208403889705</v>
      </c>
      <c r="I97" s="3">
        <f t="shared" si="7"/>
        <v>-2.9778825052011939</v>
      </c>
      <c r="J97" s="3">
        <f t="shared" si="9"/>
        <v>52.347958581458059</v>
      </c>
      <c r="K97" s="3">
        <f t="shared" si="10"/>
        <v>-9.1161323276328403</v>
      </c>
    </row>
    <row r="98" spans="1:11" x14ac:dyDescent="0.2">
      <c r="A98" s="2">
        <v>44440</v>
      </c>
      <c r="B98" s="3">
        <f>'[2]Soy Complex'!$BJ589</f>
        <v>33.51047619047619</v>
      </c>
      <c r="C98" s="4">
        <f>'[2]Soy Complex'!$BJ605</f>
        <v>75.1571</v>
      </c>
      <c r="D98" s="4">
        <f>'[2]Soy Complex'!$BJ351</f>
        <v>34.430668282339994</v>
      </c>
      <c r="E98" s="4">
        <f t="shared" si="8"/>
        <v>40.726431717660006</v>
      </c>
      <c r="F98" s="4">
        <f>'[2]Soy Complex'!$DV431</f>
        <v>0.37355882349118696</v>
      </c>
      <c r="G98" s="3">
        <f t="shared" si="11"/>
        <v>61.464090909090899</v>
      </c>
      <c r="H98" s="3">
        <f t="shared" si="6"/>
        <v>55.414277075044019</v>
      </c>
      <c r="I98" s="3">
        <f t="shared" si="7"/>
        <v>21.903800884567829</v>
      </c>
      <c r="J98" s="3">
        <f t="shared" si="9"/>
        <v>49.5573581681871</v>
      </c>
      <c r="K98" s="3">
        <f t="shared" si="10"/>
        <v>16.04688197771091</v>
      </c>
    </row>
    <row r="99" spans="1:11" x14ac:dyDescent="0.2">
      <c r="A99" s="2">
        <v>44470</v>
      </c>
      <c r="B99" s="3">
        <f>'[2]Soy Complex'!$BK578</f>
        <v>61.246190476190478</v>
      </c>
      <c r="C99" s="4">
        <f>'[2]Soy Complex'!$BK594</f>
        <v>79.650999999999996</v>
      </c>
      <c r="D99" s="4">
        <f>'[2]Soy Complex'!$BK340</f>
        <v>57.888122706040001</v>
      </c>
      <c r="E99" s="4">
        <f t="shared" si="8"/>
        <v>21.762877293959995</v>
      </c>
      <c r="F99" s="4">
        <f>'[2]Soy Complex'!$DW420</f>
        <v>0.45396641241802216</v>
      </c>
      <c r="G99" s="3">
        <f t="shared" si="11"/>
        <v>33.51047619047619</v>
      </c>
      <c r="H99" s="3">
        <f t="shared" si="6"/>
        <v>30.648636547946246</v>
      </c>
      <c r="I99" s="3">
        <f t="shared" si="7"/>
        <v>-30.597553928244231</v>
      </c>
      <c r="J99" s="3">
        <f t="shared" si="9"/>
        <v>27.053998824688613</v>
      </c>
      <c r="K99" s="3">
        <f t="shared" si="10"/>
        <v>-34.192191651501865</v>
      </c>
    </row>
    <row r="100" spans="1:11" x14ac:dyDescent="0.2">
      <c r="A100" s="2">
        <v>44501</v>
      </c>
      <c r="B100" s="3">
        <f>'[2]Soy Complex'!$BK579</f>
        <v>59.234761904761896</v>
      </c>
      <c r="C100" s="4">
        <f>'[2]Soy Complex'!$BK595</f>
        <v>77.377600000000001</v>
      </c>
      <c r="D100" s="4">
        <f>'[2]Soy Complex'!$BK341</f>
        <v>229.48059899999998</v>
      </c>
      <c r="E100" s="4">
        <f t="shared" si="8"/>
        <v>-152.10299899999998</v>
      </c>
      <c r="F100" s="4">
        <f>'[2]Soy Complex'!$DW421</f>
        <v>0.45555708975682102</v>
      </c>
      <c r="G100" s="3">
        <f t="shared" si="11"/>
        <v>61.246190476190478</v>
      </c>
      <c r="H100" s="3">
        <f t="shared" si="6"/>
        <v>55.274894413996506</v>
      </c>
      <c r="I100" s="3">
        <f t="shared" si="7"/>
        <v>-3.9598674907653901</v>
      </c>
      <c r="J100" s="3">
        <f t="shared" si="9"/>
        <v>49.438857826812111</v>
      </c>
      <c r="K100" s="3">
        <f t="shared" si="10"/>
        <v>-9.7959040779497855</v>
      </c>
    </row>
    <row r="101" spans="1:11" x14ac:dyDescent="0.2">
      <c r="A101" s="2">
        <v>44531</v>
      </c>
      <c r="B101" s="3">
        <f>'[2]Soy Complex'!$BK580</f>
        <v>55.209545454545463</v>
      </c>
      <c r="C101" s="4">
        <f>'[2]Soy Complex'!$BK596</f>
        <v>73.038600000000002</v>
      </c>
      <c r="D101" s="4">
        <f>'[2]Soy Complex'!$BK342</f>
        <v>164.832829</v>
      </c>
      <c r="E101" s="4">
        <f t="shared" si="8"/>
        <v>-91.794229000000001</v>
      </c>
      <c r="F101" s="4">
        <f>'[2]Soy Complex'!$DW422</f>
        <v>0.47751317872937399</v>
      </c>
      <c r="G101" s="3">
        <f t="shared" si="11"/>
        <v>59.234761904761896</v>
      </c>
      <c r="H101" s="3">
        <f t="shared" si="6"/>
        <v>53.475681752905516</v>
      </c>
      <c r="I101" s="3">
        <f t="shared" si="7"/>
        <v>-1.7338637016399474</v>
      </c>
      <c r="J101" s="3">
        <f t="shared" si="9"/>
        <v>47.801467067348582</v>
      </c>
      <c r="K101" s="3">
        <f t="shared" si="10"/>
        <v>-7.4080783871968805</v>
      </c>
    </row>
    <row r="102" spans="1:11" x14ac:dyDescent="0.2">
      <c r="A102" s="2">
        <v>44562</v>
      </c>
      <c r="B102" s="3">
        <f>'[2]Soy Complex'!$BK581</f>
        <v>60.679999999999993</v>
      </c>
      <c r="C102" s="4">
        <f>'[2]Soy Complex'!$BK597</f>
        <v>75.567499999999995</v>
      </c>
      <c r="D102" s="4">
        <f>'[2]Soy Complex'!$BK343</f>
        <v>283.83997800000003</v>
      </c>
      <c r="E102" s="4">
        <f t="shared" si="8"/>
        <v>-208.27247800000004</v>
      </c>
      <c r="F102" s="4">
        <f>'[2]Soy Complex'!$DW423</f>
        <v>0.48227511119093835</v>
      </c>
      <c r="G102" s="3">
        <f t="shared" si="11"/>
        <v>55.209545454545463</v>
      </c>
      <c r="H102" s="3">
        <f t="shared" si="6"/>
        <v>49.941203636354047</v>
      </c>
      <c r="I102" s="3">
        <f t="shared" si="7"/>
        <v>-10.738796363645946</v>
      </c>
      <c r="J102" s="3">
        <f t="shared" si="9"/>
        <v>44.594566395522818</v>
      </c>
      <c r="K102" s="3">
        <f t="shared" si="10"/>
        <v>-16.085433604477174</v>
      </c>
    </row>
    <row r="103" spans="1:11" x14ac:dyDescent="0.2">
      <c r="A103" s="2">
        <v>44593</v>
      </c>
      <c r="B103" s="3">
        <f>'[2]Soy Complex'!$BK582</f>
        <v>67.012631578947364</v>
      </c>
      <c r="C103" s="4">
        <f>'[2]Soy Complex'!$BK598</f>
        <v>79.657399999999996</v>
      </c>
      <c r="D103" s="4">
        <f>'[2]Soy Complex'!$BK344</f>
        <v>234.146694</v>
      </c>
      <c r="E103" s="4">
        <f t="shared" si="8"/>
        <v>-154.489294</v>
      </c>
      <c r="F103" s="4">
        <f>'[2]Soy Complex'!$DW424</f>
        <v>0.45234458680536604</v>
      </c>
      <c r="G103" s="3">
        <f t="shared" si="11"/>
        <v>60.679999999999993</v>
      </c>
      <c r="H103" s="3">
        <f t="shared" si="6"/>
        <v>54.773832883751496</v>
      </c>
      <c r="I103" s="3">
        <f t="shared" si="7"/>
        <v>-12.238798695195868</v>
      </c>
      <c r="J103" s="3">
        <f t="shared" si="9"/>
        <v>48.983641388735755</v>
      </c>
      <c r="K103" s="3">
        <f t="shared" si="10"/>
        <v>-18.028990190211609</v>
      </c>
    </row>
    <row r="104" spans="1:11" x14ac:dyDescent="0.2">
      <c r="A104" s="2">
        <v>44621</v>
      </c>
      <c r="B104" s="3">
        <f>'[2]Soy Complex'!$BK583</f>
        <v>74.006521739130449</v>
      </c>
      <c r="C104" s="4">
        <f>'[2]Soy Complex'!$BK599</f>
        <v>91.289100000000005</v>
      </c>
      <c r="D104" s="4">
        <f>'[2]Soy Complex'!$BK345</f>
        <v>275.57772299999999</v>
      </c>
      <c r="E104" s="4">
        <f t="shared" si="8"/>
        <v>-184.28862299999997</v>
      </c>
      <c r="F104" s="4">
        <f>'[2]Soy Complex'!$DW425</f>
        <v>0.44452458145598972</v>
      </c>
      <c r="G104" s="3">
        <f t="shared" si="11"/>
        <v>67.012631578947364</v>
      </c>
      <c r="H104" s="3">
        <f t="shared" si="6"/>
        <v>60.39375506195087</v>
      </c>
      <c r="I104" s="3">
        <f t="shared" si="7"/>
        <v>-13.612766677179579</v>
      </c>
      <c r="J104" s="3">
        <f t="shared" si="9"/>
        <v>54.091632187592303</v>
      </c>
      <c r="K104" s="3">
        <f t="shared" si="10"/>
        <v>-19.914889551538145</v>
      </c>
    </row>
    <row r="105" spans="1:11" x14ac:dyDescent="0.2">
      <c r="A105" s="2">
        <v>44652</v>
      </c>
      <c r="B105" s="3">
        <f>'[2]Soy Complex'!$BK584</f>
        <v>79.201999999999998</v>
      </c>
      <c r="C105" s="4">
        <f>'[2]Soy Complex'!$BK600</f>
        <v>96.501999999999995</v>
      </c>
      <c r="D105" s="4">
        <f>'[2]Soy Complex'!$BK346</f>
        <v>157.14760999999999</v>
      </c>
      <c r="E105" s="4">
        <f t="shared" si="8"/>
        <v>-60.645609999999991</v>
      </c>
      <c r="F105" s="4">
        <f>'[2]Soy Complex'!$DW426</f>
        <v>0.41955133558234037</v>
      </c>
      <c r="G105" s="3">
        <f t="shared" si="11"/>
        <v>74.006521739130449</v>
      </c>
      <c r="H105" s="3">
        <f t="shared" si="6"/>
        <v>66.556909395770916</v>
      </c>
      <c r="I105" s="3">
        <f t="shared" si="7"/>
        <v>-12.645090604229082</v>
      </c>
      <c r="J105" s="3">
        <f t="shared" si="9"/>
        <v>59.686850723082543</v>
      </c>
      <c r="K105" s="3">
        <f t="shared" si="10"/>
        <v>-19.515149276917455</v>
      </c>
    </row>
    <row r="106" spans="1:11" x14ac:dyDescent="0.2">
      <c r="A106" s="2">
        <v>44682</v>
      </c>
      <c r="B106" s="3">
        <f>'[2]Soy Complex'!$BK585</f>
        <v>81.004761904761907</v>
      </c>
      <c r="C106" s="4">
        <f>'[2]Soy Complex'!$BK601</f>
        <v>104.0286</v>
      </c>
      <c r="D106" s="4">
        <f>'[2]Soy Complex'!$BK347</f>
        <v>73.899194000000008</v>
      </c>
      <c r="E106" s="4">
        <f t="shared" si="8"/>
        <v>30.129405999999989</v>
      </c>
      <c r="F106" s="4">
        <f>'[2]Soy Complex'!$DW427</f>
        <v>0.42924521166562463</v>
      </c>
      <c r="G106" s="3">
        <f t="shared" si="11"/>
        <v>79.201999999999998</v>
      </c>
      <c r="H106" s="3">
        <f t="shared" si="6"/>
        <v>71.135566840275942</v>
      </c>
      <c r="I106" s="3">
        <f t="shared" si="7"/>
        <v>-9.8691950644859645</v>
      </c>
      <c r="J106" s="3">
        <f t="shared" si="9"/>
        <v>63.843680323526151</v>
      </c>
      <c r="K106" s="3">
        <f t="shared" si="10"/>
        <v>-17.161081581235756</v>
      </c>
    </row>
    <row r="107" spans="1:11" x14ac:dyDescent="0.2">
      <c r="A107" s="2">
        <v>44713</v>
      </c>
      <c r="B107" s="3">
        <f>'[2]Soy Complex'!$BK586</f>
        <v>76.33</v>
      </c>
      <c r="C107" s="4">
        <f>'[2]Soy Complex'!$BK602</f>
        <v>98.782399999999996</v>
      </c>
      <c r="D107" s="4">
        <f>'[2]Soy Complex'!$BK348</f>
        <v>72.837020999999993</v>
      </c>
      <c r="E107" s="4">
        <f t="shared" si="8"/>
        <v>25.945379000000003</v>
      </c>
      <c r="F107" s="4">
        <f>'[2]Soy Complex'!$DW428</f>
        <v>0.45440262378007901</v>
      </c>
      <c r="G107" s="3">
        <f t="shared" si="11"/>
        <v>81.004761904761907</v>
      </c>
      <c r="H107" s="3">
        <f t="shared" si="6"/>
        <v>72.734238497864581</v>
      </c>
      <c r="I107" s="3">
        <f t="shared" si="7"/>
        <v>-3.5957615021354172</v>
      </c>
      <c r="J107" s="3">
        <f t="shared" si="9"/>
        <v>65.296596988666636</v>
      </c>
      <c r="K107" s="3">
        <f t="shared" si="10"/>
        <v>-11.033403011333363</v>
      </c>
    </row>
    <row r="108" spans="1:11" x14ac:dyDescent="0.2">
      <c r="A108" s="2">
        <v>44743</v>
      </c>
      <c r="B108" s="3">
        <f>'[2]Soy Complex'!$BK587</f>
        <v>61.398000000000003</v>
      </c>
      <c r="C108" s="4">
        <f>'[2]Soy Complex'!$BK603</f>
        <v>81.498000000000005</v>
      </c>
      <c r="D108" s="4">
        <f>'[2]Soy Complex'!$BK349</f>
        <v>117.8989</v>
      </c>
      <c r="E108" s="4">
        <f t="shared" si="8"/>
        <v>-36.400899999999993</v>
      </c>
      <c r="F108" s="4">
        <f>'[2]Soy Complex'!$DW429</f>
        <v>0.44256457321480774</v>
      </c>
      <c r="G108" s="3">
        <f t="shared" si="11"/>
        <v>76.33</v>
      </c>
      <c r="H108" s="3">
        <f t="shared" si="6"/>
        <v>68.609092416405161</v>
      </c>
      <c r="I108" s="3">
        <f t="shared" si="7"/>
        <v>7.2110924164051582</v>
      </c>
      <c r="J108" s="3">
        <f t="shared" si="9"/>
        <v>61.550684457794475</v>
      </c>
      <c r="K108" s="3">
        <f t="shared" si="10"/>
        <v>0.15268445779447148</v>
      </c>
    </row>
    <row r="109" spans="1:11" x14ac:dyDescent="0.2">
      <c r="A109" s="2">
        <v>44774</v>
      </c>
      <c r="B109" s="3">
        <f>'[2]Soy Complex'!$BK588</f>
        <v>67.486956521739117</v>
      </c>
      <c r="C109" s="4">
        <f>'[2]Soy Complex'!$BK604</f>
        <v>85.409099999999995</v>
      </c>
      <c r="D109" s="4">
        <f>'[2]Soy Complex'!$BK350</f>
        <v>56.588618000000004</v>
      </c>
      <c r="E109" s="4">
        <f t="shared" si="8"/>
        <v>28.820481999999991</v>
      </c>
      <c r="F109" s="4">
        <f>'[2]Soy Complex'!$DW430</f>
        <v>0.44145448595562881</v>
      </c>
      <c r="G109" s="3">
        <f t="shared" si="11"/>
        <v>61.398000000000003</v>
      </c>
      <c r="H109" s="3">
        <f t="shared" si="6"/>
        <v>55.359027169758292</v>
      </c>
      <c r="I109" s="3">
        <f t="shared" si="7"/>
        <v>-12.127929351980825</v>
      </c>
      <c r="J109" s="3">
        <f t="shared" si="9"/>
        <v>49.507771041767747</v>
      </c>
      <c r="K109" s="3">
        <f t="shared" si="10"/>
        <v>-17.97918547997137</v>
      </c>
    </row>
    <row r="110" spans="1:11" x14ac:dyDescent="0.2">
      <c r="A110" s="2">
        <v>44805</v>
      </c>
      <c r="B110" s="3">
        <f>'[2]Soy Complex'!$BK589</f>
        <v>57.204761904761902</v>
      </c>
      <c r="C110" s="4">
        <f>'[2]Soy Complex'!$BK605</f>
        <v>83.801900000000003</v>
      </c>
      <c r="D110" s="4">
        <f>'[2]Soy Complex'!$BK351</f>
        <v>44.741493000000006</v>
      </c>
      <c r="E110" s="4">
        <f t="shared" si="8"/>
        <v>39.060406999999998</v>
      </c>
      <c r="F110" s="4">
        <f>'[2]Soy Complex'!$DW431</f>
        <v>0.42619637566961671</v>
      </c>
      <c r="G110" s="3">
        <f t="shared" si="11"/>
        <v>67.486956521739117</v>
      </c>
      <c r="H110" s="3">
        <f t="shared" si="6"/>
        <v>60.751866140363539</v>
      </c>
      <c r="I110" s="3">
        <f t="shared" si="7"/>
        <v>3.5471042356016369</v>
      </c>
      <c r="J110" s="3">
        <f t="shared" si="9"/>
        <v>54.407737651464437</v>
      </c>
      <c r="K110" s="3">
        <f t="shared" si="10"/>
        <v>-2.7970242532974652</v>
      </c>
    </row>
    <row r="111" spans="1:11" x14ac:dyDescent="0.2">
      <c r="A111" s="2">
        <v>44835</v>
      </c>
      <c r="B111" s="3">
        <f>'[2]Soy Complex'!$BL578</f>
        <v>68.494285714285709</v>
      </c>
      <c r="C111" s="4">
        <f>'[2]Soy Complex'!$BL594</f>
        <v>84.172857142857154</v>
      </c>
      <c r="D111" s="4">
        <f>'[2]Soy Complex'!$BL340</f>
        <v>23.193758999999996</v>
      </c>
      <c r="E111" s="4">
        <f t="shared" si="8"/>
        <v>60.979098142857154</v>
      </c>
      <c r="F111" s="4">
        <f>'[2]Soy Complex'!$DX420</f>
        <v>0.46125096930408721</v>
      </c>
      <c r="G111" s="3">
        <f>B110</f>
        <v>57.204761904761902</v>
      </c>
      <c r="H111" s="3">
        <f t="shared" si="6"/>
        <v>51.634258137960224</v>
      </c>
      <c r="I111" s="3">
        <f t="shared" si="7"/>
        <v>-16.860027576325486</v>
      </c>
      <c r="J111" s="3">
        <f t="shared" si="9"/>
        <v>46.12181104531971</v>
      </c>
      <c r="K111" s="3">
        <f t="shared" si="10"/>
        <v>-22.372474668965999</v>
      </c>
    </row>
    <row r="112" spans="1:11" x14ac:dyDescent="0.2">
      <c r="C112" s="4" t="e">
        <f>'[2]Soy Complex'!#REF!</f>
        <v>#REF!</v>
      </c>
      <c r="D112" s="4">
        <f>'[2]Soy Complex'!$BL341</f>
        <v>23.562170999999999</v>
      </c>
      <c r="J112" s="3"/>
      <c r="K11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2025-07-17T07:54:41Z</dcterms:created>
  <dcterms:modified xsi:type="dcterms:W3CDTF">2025-07-17T07:55:12Z</dcterms:modified>
</cp:coreProperties>
</file>