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6BBB568A-BD7B-4147-8DE0-1ACA1286930F}" xr6:coauthVersionLast="47" xr6:coauthVersionMax="47" xr10:uidLastSave="{00000000-0000-0000-0000-000000000000}"/>
  <bookViews>
    <workbookView xWindow="2430" yWindow="825" windowWidth="22860" windowHeight="12030" activeTab="1" xr2:uid="{C8D729E0-7D3F-4FE7-A18F-1F035A26AFA6}"/>
  </bookViews>
  <sheets>
    <sheet name="Crush Margin Comp" sheetId="1" r:id="rId1"/>
    <sheet name="Crush Margin Comp (2)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G7" i="2"/>
  <c r="H7" i="2"/>
  <c r="I7" i="2"/>
  <c r="J7" i="2"/>
  <c r="K7" i="2"/>
  <c r="L7" i="2"/>
  <c r="M7" i="2"/>
  <c r="F8" i="2"/>
  <c r="F10" i="2" s="1"/>
  <c r="G8" i="2"/>
  <c r="G18" i="2" s="1"/>
  <c r="H8" i="2"/>
  <c r="H10" i="2" s="1"/>
  <c r="I8" i="2"/>
  <c r="I10" i="2" s="1"/>
  <c r="J8" i="2"/>
  <c r="J10" i="2" s="1"/>
  <c r="K8" i="2"/>
  <c r="K10" i="2" s="1"/>
  <c r="L8" i="2"/>
  <c r="L10" i="2" s="1"/>
  <c r="M8" i="2"/>
  <c r="M18" i="2" s="1"/>
  <c r="F9" i="2"/>
  <c r="F19" i="2" s="1"/>
  <c r="G9" i="2"/>
  <c r="G11" i="2" s="1"/>
  <c r="H9" i="2"/>
  <c r="H19" i="2" s="1"/>
  <c r="I9" i="2"/>
  <c r="I11" i="2" s="1"/>
  <c r="J9" i="2"/>
  <c r="J11" i="2" s="1"/>
  <c r="K9" i="2"/>
  <c r="K19" i="2" s="1"/>
  <c r="L9" i="2"/>
  <c r="L19" i="2" s="1"/>
  <c r="M9" i="2"/>
  <c r="M11" i="2" s="1"/>
  <c r="F16" i="2" a="1"/>
  <c r="F16" i="2" s="1"/>
  <c r="G16" i="2" a="1"/>
  <c r="G16" i="2" s="1"/>
  <c r="H16" i="2" a="1"/>
  <c r="H16" i="2" s="1"/>
  <c r="I16" i="2" a="1"/>
  <c r="I16" i="2" s="1"/>
  <c r="J16" i="2" a="1"/>
  <c r="J16" i="2" s="1"/>
  <c r="K16" i="2" a="1"/>
  <c r="K16" i="2" s="1"/>
  <c r="L16" i="2" a="1"/>
  <c r="L16" i="2" s="1"/>
  <c r="M16" i="2" a="1"/>
  <c r="M16" i="2" s="1"/>
  <c r="I17" i="2"/>
  <c r="L17" i="2"/>
  <c r="F18" i="2"/>
  <c r="H18" i="2"/>
  <c r="I18" i="2"/>
  <c r="J18" i="2"/>
  <c r="K18" i="2"/>
  <c r="F20" i="2" a="1"/>
  <c r="F20" i="2" s="1"/>
  <c r="G20" i="2" a="1"/>
  <c r="G20" i="2" s="1"/>
  <c r="H20" i="2" a="1"/>
  <c r="H20" i="2" s="1"/>
  <c r="J20" i="2" a="1"/>
  <c r="J20" i="2"/>
  <c r="K17" i="2"/>
  <c r="M20" i="2" a="1"/>
  <c r="M20" i="2" s="1"/>
  <c r="F21" i="2" a="1"/>
  <c r="F21" i="2" s="1"/>
  <c r="F7" i="1"/>
  <c r="G7" i="1"/>
  <c r="H7" i="1"/>
  <c r="I7" i="1"/>
  <c r="J7" i="1"/>
  <c r="K7" i="1"/>
  <c r="L7" i="1"/>
  <c r="M7" i="1"/>
  <c r="F8" i="1"/>
  <c r="F18" i="1" s="1"/>
  <c r="G8" i="1"/>
  <c r="G10" i="1" s="1"/>
  <c r="H8" i="1"/>
  <c r="H10" i="1" s="1"/>
  <c r="I8" i="1"/>
  <c r="I18" i="1" s="1"/>
  <c r="J8" i="1"/>
  <c r="J18" i="1" s="1"/>
  <c r="K8" i="1"/>
  <c r="K10" i="1" s="1"/>
  <c r="L8" i="1"/>
  <c r="L18" i="1" s="1"/>
  <c r="M8" i="1"/>
  <c r="M10" i="1" s="1"/>
  <c r="F9" i="1"/>
  <c r="F11" i="1" s="1"/>
  <c r="G9" i="1"/>
  <c r="G11" i="1" s="1"/>
  <c r="H9" i="1"/>
  <c r="H11" i="1" s="1"/>
  <c r="I9" i="1"/>
  <c r="I11" i="1" s="1"/>
  <c r="J9" i="1"/>
  <c r="J11" i="1" s="1"/>
  <c r="K9" i="1"/>
  <c r="K11" i="1" s="1"/>
  <c r="L9" i="1"/>
  <c r="L11" i="1" s="1"/>
  <c r="M9" i="1"/>
  <c r="M11" i="1" s="1"/>
  <c r="F16" i="1" a="1"/>
  <c r="F16" i="1" s="1"/>
  <c r="G16" i="1" a="1"/>
  <c r="G16" i="1" s="1"/>
  <c r="H16" i="1" a="1"/>
  <c r="H16" i="1"/>
  <c r="I16" i="1" a="1"/>
  <c r="I16" i="1" s="1"/>
  <c r="J16" i="1" a="1"/>
  <c r="J16" i="1" s="1"/>
  <c r="K16" i="1" a="1"/>
  <c r="K16" i="1" s="1"/>
  <c r="L16" i="1" a="1"/>
  <c r="L16" i="1" s="1"/>
  <c r="M16" i="1" a="1"/>
  <c r="M16" i="1" s="1"/>
  <c r="I17" i="1"/>
  <c r="K17" i="1"/>
  <c r="F20" i="1" a="1"/>
  <c r="F20" i="1" s="1"/>
  <c r="G20" i="1" a="1"/>
  <c r="G20" i="1" s="1"/>
  <c r="H20" i="1" a="1"/>
  <c r="H20" i="1" s="1"/>
  <c r="J20" i="1" a="1"/>
  <c r="J20" i="1" s="1"/>
  <c r="L17" i="1"/>
  <c r="M20" i="1" a="1"/>
  <c r="M20" i="1" s="1"/>
  <c r="F21" i="1" a="1"/>
  <c r="F21" i="1" s="1"/>
  <c r="F10" i="1" l="1"/>
  <c r="M19" i="1"/>
  <c r="L19" i="1"/>
  <c r="K19" i="1"/>
  <c r="G10" i="2"/>
  <c r="J19" i="1"/>
  <c r="L10" i="1"/>
  <c r="M18" i="1"/>
  <c r="L3" i="1"/>
  <c r="L18" i="2"/>
  <c r="L15" i="2" s="1"/>
  <c r="L4" i="2" s="1"/>
  <c r="M10" i="2"/>
  <c r="M3" i="2" s="1"/>
  <c r="H19" i="1"/>
  <c r="F3" i="1"/>
  <c r="G19" i="1"/>
  <c r="F19" i="1"/>
  <c r="H18" i="1"/>
  <c r="G3" i="2"/>
  <c r="K3" i="1"/>
  <c r="L11" i="2"/>
  <c r="L3" i="2" s="1"/>
  <c r="G3" i="1"/>
  <c r="K11" i="2"/>
  <c r="K3" i="2" s="1"/>
  <c r="H11" i="2"/>
  <c r="H3" i="2" s="1"/>
  <c r="H17" i="1"/>
  <c r="J10" i="1"/>
  <c r="J3" i="1" s="1"/>
  <c r="F11" i="2"/>
  <c r="F3" i="2" s="1"/>
  <c r="I10" i="1"/>
  <c r="I3" i="1" s="1"/>
  <c r="H3" i="1"/>
  <c r="M3" i="1"/>
  <c r="K15" i="2"/>
  <c r="K4" i="2" s="1"/>
  <c r="L15" i="1"/>
  <c r="L4" i="1" s="1"/>
  <c r="L5" i="1" s="1"/>
  <c r="H17" i="2"/>
  <c r="H15" i="2" s="1"/>
  <c r="H4" i="2" s="1"/>
  <c r="M17" i="2"/>
  <c r="J17" i="2"/>
  <c r="G17" i="2"/>
  <c r="F17" i="2"/>
  <c r="F15" i="2" s="1"/>
  <c r="F4" i="2" s="1"/>
  <c r="J3" i="2"/>
  <c r="I3" i="2"/>
  <c r="M19" i="2"/>
  <c r="I19" i="2"/>
  <c r="I15" i="2" s="1"/>
  <c r="I4" i="2" s="1"/>
  <c r="G19" i="2"/>
  <c r="J19" i="2"/>
  <c r="M17" i="1"/>
  <c r="M15" i="1" s="1"/>
  <c r="M4" i="1" s="1"/>
  <c r="J17" i="1"/>
  <c r="J15" i="1" s="1"/>
  <c r="J4" i="1" s="1"/>
  <c r="G17" i="1"/>
  <c r="F17" i="1"/>
  <c r="I19" i="1"/>
  <c r="I15" i="1" s="1"/>
  <c r="I4" i="1" s="1"/>
  <c r="G18" i="1"/>
  <c r="K18" i="1"/>
  <c r="K15" i="1" s="1"/>
  <c r="K4" i="1" s="1"/>
  <c r="L5" i="2" l="1"/>
  <c r="K5" i="1"/>
  <c r="F15" i="1"/>
  <c r="F4" i="1" s="1"/>
  <c r="F5" i="1" s="1"/>
  <c r="H15" i="1"/>
  <c r="H4" i="1" s="1"/>
  <c r="H5" i="1" s="1"/>
  <c r="I5" i="1"/>
  <c r="M5" i="1"/>
  <c r="H5" i="2"/>
  <c r="J5" i="1"/>
  <c r="F5" i="2"/>
  <c r="K5" i="2"/>
  <c r="G15" i="2"/>
  <c r="G4" i="2" s="1"/>
  <c r="G5" i="2" s="1"/>
  <c r="M15" i="2"/>
  <c r="M4" i="2" s="1"/>
  <c r="M5" i="2" s="1"/>
  <c r="J15" i="2"/>
  <c r="J4" i="2" s="1"/>
  <c r="J5" i="2" s="1"/>
  <c r="I5" i="2"/>
  <c r="G15" i="1"/>
  <c r="G4" i="1" s="1"/>
  <c r="G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<sst xmlns="http://schemas.openxmlformats.org/spreadsheetml/2006/main" count="68" uniqueCount="26">
  <si>
    <t>Average of surrounding months used if forward currency contract month not available</t>
  </si>
  <si>
    <t>Canada/U.S. Dollar Cross Benchmark</t>
  </si>
  <si>
    <t>Canada/U.S. Dollar Cross</t>
  </si>
  <si>
    <t>Oil value (basis soybean oil) @ 42% yield*</t>
  </si>
  <si>
    <t>Meal Value (basis soybean meal) @ 58% yield*</t>
  </si>
  <si>
    <t>Canola in $ per tonne</t>
  </si>
  <si>
    <t>Canola</t>
  </si>
  <si>
    <t>Canola Crush Margin $ per tonne</t>
  </si>
  <si>
    <t>CANOLA CRUSH CALCULATION DETAILS</t>
  </si>
  <si>
    <t>Sep</t>
  </si>
  <si>
    <t>Aug</t>
  </si>
  <si>
    <t>Jul</t>
  </si>
  <si>
    <t>Jun</t>
  </si>
  <si>
    <t>May</t>
  </si>
  <si>
    <t>Apr</t>
  </si>
  <si>
    <t>Mar</t>
  </si>
  <si>
    <t>Feb</t>
  </si>
  <si>
    <t>SBO value @ 11.75 lbs per bu</t>
  </si>
  <si>
    <t>Meal Value @ 46.8 lbs per bu.</t>
  </si>
  <si>
    <t>SBO</t>
  </si>
  <si>
    <t>Meal</t>
  </si>
  <si>
    <t>Beans</t>
  </si>
  <si>
    <t>Soybean Crush - Canola Crush</t>
  </si>
  <si>
    <t>Canola Crush Margin</t>
  </si>
  <si>
    <t>Soybean Crush Margin</t>
  </si>
  <si>
    <t>BOARD CRUSH MARGINS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</si>
</sst>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_);_(* \(#,##0.0000\);_(* &quot;-&quot;??_);_(@_)"/>
  </numFmts>
  <fonts count="6" x14ac:knownFonts="1">
    <font>
      <sz val="10"/>
      <color theme="1"/>
      <name val="Arial Narrow"/>
      <family val="2"/>
    </font>
    <font>
      <sz val="8"/>
      <color theme="1"/>
      <name val="Arial Narrow"/>
      <family val="2"/>
    </font>
    <font>
      <sz val="10"/>
      <color theme="4" tint="-0.249977111117893"/>
      <name val="Arial Narrow"/>
      <family val="2"/>
    </font>
    <font>
      <sz val="8"/>
      <color theme="4" tint="-0.249977111117893"/>
      <name val="Arial Narrow"/>
      <family val="2"/>
    </font>
    <font>
      <b/>
      <sz val="10"/>
      <color theme="1"/>
      <name val="Arial Narrow"/>
      <family val="2"/>
    </font>
    <font>
      <sz val="24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4" fillId="0" borderId="1" applyNumberFormat="0" applyFill="0" applyAlignment="0" applyProtection="0"/>
  </cellStyleXfs>
  <cellXfs count="10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43" fontId="2" fillId="2" borderId="0" xfId="0" applyNumberFormat="1" applyFont="1" applyFill="1"/>
    <xf numFmtId="43" fontId="3" fillId="2" borderId="0" xfId="0" applyNumberFormat="1" applyFont="1" applyFill="1"/>
    <xf numFmtId="164" fontId="2" fillId="2" borderId="0" xfId="0" applyNumberFormat="1" applyFont="1" applyFill="1"/>
    <xf numFmtId="43" fontId="2" fillId="3" borderId="0" xfId="0" applyNumberFormat="1" applyFont="1" applyFill="1"/>
    <xf numFmtId="43" fontId="2" fillId="2" borderId="1" xfId="1" applyNumberFormat="1" applyFont="1" applyFill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</cellXfs>
  <cellStyles count="2">
    <cellStyle name="Normal" xfId="0" builtinId="0"/>
    <cellStyle name="Total" xfId="1" builtinId="25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numFmt numFmtId="35" formatCode="_(* #,##0.00_);_(* \(#,##0.00\);_(* &quot;-&quot;??_);_(@_)"/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Arial Narrow"/>
        <family val="2"/>
        <scheme val="none"/>
      </font>
      <fill>
        <patternFill patternType="solid">
          <fgColor theme="4" tint="0.79998168889431442"/>
          <bgColor theme="0"/>
        </patternFill>
      </fill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PROPHETX" ddeTopic="QUOTE">
    <ddeItems>
      <ddeItem name="@BOk3[DTN:cbot]?Last" advise="1"/>
      <ddeItem name="@BOn3[DTN:cbot]?Last" advise="1"/>
      <ddeItem name="@BOq3[DTN:cbot]?Last" advise="1"/>
      <ddeItem name="@BOu3[DTN:cbot]?Last" advise="1"/>
      <ddeItem name="@BOv3[DTN:cbot]?Last" advise="1"/>
      <ddeItem name="@BOz3[DTN:cbot]?Last" advise="1"/>
      <ddeItem name="@CD@a?Last" advise="1"/>
      <ddeItem name="@CDk23?Settle" advise="1"/>
      <ddeItem name="@CDm23?Settle" advise="1"/>
      <ddeItem name="@CDn23?Settle" advise="1"/>
      <ddeItem name="@CDu23?Settle" advise="1"/>
      <ddeItem name="@CDz23?Settle" advise="1"/>
      <ddeItem name="@RSf24?Last" advise="1"/>
      <ddeItem name="@RSk23?Last" advise="1"/>
      <ddeItem name="@RSn23?Last" advise="1"/>
      <ddeItem name="@RSx23?Last" advise="1"/>
      <ddeItem name="@sf4[DTN:cbot]?Last" advise="1"/>
      <ddeItem name="@sk3[DTN:cbot]?Last" advise="1"/>
      <ddeItem name="@smk3[DTN:cbot]?Last" advise="1"/>
      <ddeItem name="@smn3[DTN:cbot]?Last" advise="1"/>
      <ddeItem name="@smq3[DTN:cbot]?Last" advise="1"/>
      <ddeItem name="@smu3[DTN:cbot]?Last" advise="1"/>
      <ddeItem name="@smv3[DTN:cbot]?Last" advise="1"/>
      <ddeItem name="@smz3[DTN:cbot]?Last">
        <values>
          <value t="str">
            <val>Invalid</val>
          </value>
        </values>
      </ddeItem>
      <ddeItem name="@sn3[DTN:cbot]?Last" advise="1"/>
      <ddeItem name="@sq3[DTN:cbot]?Last" advise="1"/>
      <ddeItem name="@su3[DTN:cbot]?Last" advise="1"/>
      <ddeItem name="@sx3[DTN:cbot]?Last" advise="1"/>
      <ddeItem name="StdDocumentName" ole="1" advise="1"/>
    </ddeItems>
  </ddeLin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859B5D-0A16-488A-A3A8-66CC435E2174}" name="Table14" displayName="Table14" ref="F2:M11" totalsRowShown="0" headerRowDxfId="39" dataDxfId="38">
  <tableColumns count="8">
    <tableColumn id="1" xr3:uid="{190A3EA9-9728-4D2A-884C-9C20C5461DA8}" name="Feb" dataDxfId="37"/>
    <tableColumn id="2" xr3:uid="{49518E77-9CE3-4330-A4C5-2CC7E096B0EF}" name="Mar" dataDxfId="36"/>
    <tableColumn id="3" xr3:uid="{45BBCF47-D80E-4D2D-B4E3-8CBE92CF314E}" name="Apr" dataDxfId="35"/>
    <tableColumn id="4" xr3:uid="{F37C2706-F368-4F89-8743-1E4CC44F4B65}" name="May" dataDxfId="34"/>
    <tableColumn id="5" xr3:uid="{7B7A762A-0E14-4D36-A0AA-07137AF888AE}" name="Jun" dataDxfId="33"/>
    <tableColumn id="6" xr3:uid="{E32F57E8-8290-46D2-9BB6-D942B8FD69A1}" name="Jul" dataDxfId="32"/>
    <tableColumn id="7" xr3:uid="{2884281C-0DF0-4866-B85F-C4E0E616EBCD}" name="Aug" dataDxfId="31"/>
    <tableColumn id="8" xr3:uid="{5141BBA4-4DB8-4B35-9F76-FFB474BF9168}" name="Sep" dataDxfId="3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AFAAAD-760A-42A9-9D4B-19407B0B170E}" name="Table25" displayName="Table25" ref="F13:M21" totalsRowShown="0" headerRowDxfId="29" dataDxfId="28">
  <tableColumns count="8">
    <tableColumn id="1" xr3:uid="{57E22BE8-C6FC-420B-9593-B6B3F927AC9D}" name="Feb" dataDxfId="27"/>
    <tableColumn id="2" xr3:uid="{BB7F558F-806B-43B5-850F-3290D6E27E4E}" name="Mar" dataDxfId="26"/>
    <tableColumn id="3" xr3:uid="{440E8C51-2077-40BF-9E0D-EE2168A4E671}" name="Apr" dataDxfId="25"/>
    <tableColumn id="4" xr3:uid="{0CF09104-69B9-4172-8A18-C4592D01C262}" name="May" dataDxfId="24"/>
    <tableColumn id="5" xr3:uid="{51AE1C81-4FDC-46A9-AE26-36433E5FB48E}" name="Jun" dataDxfId="23"/>
    <tableColumn id="6" xr3:uid="{A72CD6DC-F6E8-458D-82F8-79118AA6D43C}" name="Jul" dataDxfId="22"/>
    <tableColumn id="7" xr3:uid="{4CF7DE90-DF9D-49AB-88A8-969806303E75}" name="Aug" dataDxfId="21"/>
    <tableColumn id="8" xr3:uid="{05BE7986-3088-4730-8555-49BCB23DBE0C}" name="Sep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C94E8E-4501-47E3-BF42-E2C69D78F080}" name="Table144" displayName="Table144" ref="F2:M11" totalsRowShown="0" headerRowDxfId="19" dataDxfId="18">
  <tableColumns count="8">
    <tableColumn id="1" xr3:uid="{190A3EA9-9728-4D2A-884C-9C20C5461DA8}" name="Feb" dataDxfId="17"/>
    <tableColumn id="2" xr3:uid="{49518E77-9CE3-4330-A4C5-2CC7E096B0EF}" name="Mar" dataDxfId="16"/>
    <tableColumn id="3" xr3:uid="{45BBCF47-D80E-4D2D-B4E3-8CBE92CF314E}" name="Apr" dataDxfId="15"/>
    <tableColumn id="4" xr3:uid="{F37C2706-F368-4F89-8743-1E4CC44F4B65}" name="May" dataDxfId="14"/>
    <tableColumn id="5" xr3:uid="{7B7A762A-0E14-4D36-A0AA-07137AF888AE}" name="Jun" dataDxfId="13"/>
    <tableColumn id="6" xr3:uid="{E32F57E8-8290-46D2-9BB6-D942B8FD69A1}" name="Jul" dataDxfId="12"/>
    <tableColumn id="7" xr3:uid="{2884281C-0DF0-4866-B85F-C4E0E616EBCD}" name="Aug" dataDxfId="11"/>
    <tableColumn id="8" xr3:uid="{5141BBA4-4DB8-4B35-9F76-FFB474BF9168}" name="Sep" dataDxfId="1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313C38-47E8-48E4-963F-F1F63759E169}" name="Table255" displayName="Table255" ref="F13:M21" totalsRowShown="0" headerRowDxfId="9" dataDxfId="8">
  <tableColumns count="8">
    <tableColumn id="1" xr3:uid="{57E22BE8-C6FC-420B-9593-B6B3F927AC9D}" name="Feb" dataDxfId="7"/>
    <tableColumn id="2" xr3:uid="{BB7F558F-806B-43B5-850F-3290D6E27E4E}" name="Mar" dataDxfId="6"/>
    <tableColumn id="3" xr3:uid="{440E8C51-2077-40BF-9E0D-EE2168A4E671}" name="Apr" dataDxfId="5"/>
    <tableColumn id="4" xr3:uid="{0CF09104-69B9-4172-8A18-C4592D01C262}" name="May" dataDxfId="4"/>
    <tableColumn id="5" xr3:uid="{51AE1C81-4FDC-46A9-AE26-36433E5FB48E}" name="Jun" dataDxfId="3"/>
    <tableColumn id="6" xr3:uid="{A72CD6DC-F6E8-458D-82F8-79118AA6D43C}" name="Jul" dataDxfId="2"/>
    <tableColumn id="7" xr3:uid="{4CF7DE90-DF9D-49AB-88A8-969806303E75}" name="Aug" dataDxfId="1"/>
    <tableColumn id="8" xr3:uid="{05BE7986-3088-4730-8555-49BCB23DBE0C}" name="Se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822FD-F23C-4B2A-B5F8-5A977CAB9746}">
  <dimension ref="E1:M43"/>
  <sheetViews>
    <sheetView workbookViewId="0">
      <selection activeCell="F15" sqref="F15:M20"/>
    </sheetView>
  </sheetViews>
  <sheetFormatPr defaultRowHeight="12.75" x14ac:dyDescent="0.2"/>
  <sheetData>
    <row r="1" spans="5:13" ht="30" x14ac:dyDescent="0.4">
      <c r="F1" s="9" t="s">
        <v>25</v>
      </c>
      <c r="G1" s="9"/>
      <c r="H1" s="9"/>
      <c r="I1" s="9"/>
      <c r="J1" s="9"/>
      <c r="K1" s="9"/>
      <c r="L1" s="9"/>
      <c r="M1" s="9"/>
    </row>
    <row r="2" spans="5:13" x14ac:dyDescent="0.2">
      <c r="F2" s="8" t="s">
        <v>16</v>
      </c>
      <c r="G2" s="8" t="s">
        <v>15</v>
      </c>
      <c r="H2" s="8" t="s">
        <v>14</v>
      </c>
      <c r="I2" s="8" t="s">
        <v>13</v>
      </c>
      <c r="J2" s="8" t="s">
        <v>12</v>
      </c>
      <c r="K2" s="8" t="s">
        <v>11</v>
      </c>
      <c r="L2" s="8" t="s">
        <v>10</v>
      </c>
      <c r="M2" s="8" t="s">
        <v>9</v>
      </c>
    </row>
    <row r="3" spans="5:13" x14ac:dyDescent="0.2">
      <c r="E3" s="1" t="s">
        <v>24</v>
      </c>
      <c r="F3" s="3" t="e">
        <f t="shared" ref="F3:M3" si="0">F11+F10-F7</f>
        <v>#REF!</v>
      </c>
      <c r="G3" s="3" t="e">
        <f t="shared" si="0"/>
        <v>#REF!</v>
      </c>
      <c r="H3" s="3" t="e">
        <f t="shared" si="0"/>
        <v>#REF!</v>
      </c>
      <c r="I3" s="3" t="e">
        <f t="shared" si="0"/>
        <v>#REF!</v>
      </c>
      <c r="J3" s="3" t="e">
        <f t="shared" si="0"/>
        <v>#REF!</v>
      </c>
      <c r="K3" s="3" t="e">
        <f t="shared" si="0"/>
        <v>#REF!</v>
      </c>
      <c r="L3" s="3" t="e">
        <f t="shared" si="0"/>
        <v>#REF!</v>
      </c>
      <c r="M3" s="3" t="e">
        <f t="shared" si="0"/>
        <v>#REF!</v>
      </c>
    </row>
    <row r="4" spans="5:13" x14ac:dyDescent="0.2">
      <c r="E4" s="1" t="s">
        <v>23</v>
      </c>
      <c r="F4" s="6" t="e">
        <f t="shared" ref="F4:M4" si="1">F15/44.092</f>
        <v>#REF!</v>
      </c>
      <c r="G4" s="6" t="e">
        <f t="shared" si="1"/>
        <v>#REF!</v>
      </c>
      <c r="H4" s="6" t="e">
        <f t="shared" si="1"/>
        <v>#REF!</v>
      </c>
      <c r="I4" s="6" t="e">
        <f t="shared" si="1"/>
        <v>#REF!</v>
      </c>
      <c r="J4" s="6" t="e">
        <f t="shared" si="1"/>
        <v>#REF!</v>
      </c>
      <c r="K4" s="6" t="e">
        <f t="shared" si="1"/>
        <v>#REF!</v>
      </c>
      <c r="L4" s="6" t="e">
        <f t="shared" si="1"/>
        <v>#REF!</v>
      </c>
      <c r="M4" s="6" t="e">
        <f t="shared" si="1"/>
        <v>#REF!</v>
      </c>
    </row>
    <row r="5" spans="5:13" x14ac:dyDescent="0.2">
      <c r="E5" s="1" t="s">
        <v>22</v>
      </c>
      <c r="F5" s="3" t="e">
        <f t="shared" ref="F5:M5" si="2">F3-F4</f>
        <v>#REF!</v>
      </c>
      <c r="G5" s="3" t="e">
        <f t="shared" si="2"/>
        <v>#REF!</v>
      </c>
      <c r="H5" s="3" t="e">
        <f t="shared" si="2"/>
        <v>#REF!</v>
      </c>
      <c r="I5" s="3" t="e">
        <f t="shared" si="2"/>
        <v>#REF!</v>
      </c>
      <c r="J5" s="3" t="e">
        <f t="shared" si="2"/>
        <v>#REF!</v>
      </c>
      <c r="K5" s="3" t="e">
        <f t="shared" si="2"/>
        <v>#REF!</v>
      </c>
      <c r="L5" s="3" t="e">
        <f t="shared" si="2"/>
        <v>#REF!</v>
      </c>
      <c r="M5" s="3" t="e">
        <f t="shared" si="2"/>
        <v>#REF!</v>
      </c>
    </row>
    <row r="6" spans="5:13" ht="13.5" thickBot="1" x14ac:dyDescent="0.25">
      <c r="E6" s="1"/>
      <c r="F6" s="7"/>
      <c r="G6" s="7"/>
      <c r="H6" s="7"/>
      <c r="I6" s="7"/>
      <c r="J6" s="7"/>
      <c r="K6" s="7"/>
      <c r="L6" s="7"/>
      <c r="M6" s="7"/>
    </row>
    <row r="7" spans="5:13" ht="13.5" thickTop="1" x14ac:dyDescent="0.2">
      <c r="E7" s="1" t="s">
        <v>21</v>
      </c>
      <c r="F7" s="3" t="e">
        <f>[1]!'@sk3[DTN:cbot]?Last'/100</f>
        <v>#REF!</v>
      </c>
      <c r="G7" s="3" t="e">
        <f>[1]!'@sn3[DTN:cbot]?Last'/100</f>
        <v>#REF!</v>
      </c>
      <c r="H7" s="3" t="e">
        <f>[1]!'@sn3[DTN:cbot]?Last'/100</f>
        <v>#REF!</v>
      </c>
      <c r="I7" s="3" t="e">
        <f>[1]!'@sq3[DTN:cbot]?Last'/100</f>
        <v>#REF!</v>
      </c>
      <c r="J7" s="3" t="e">
        <f>[1]!'@su3[DTN:cbot]?Last'/100</f>
        <v>#REF!</v>
      </c>
      <c r="K7" s="3" t="e">
        <f>[1]!'@sx3[DTN:cbot]?Last'/100</f>
        <v>#REF!</v>
      </c>
      <c r="L7" s="3" t="e">
        <f>[1]!'@sx3[DTN:cbot]?Last'/100</f>
        <v>#REF!</v>
      </c>
      <c r="M7" s="3" t="e">
        <f>[1]!'@sf4[DTN:cbot]?Last'/100</f>
        <v>#REF!</v>
      </c>
    </row>
    <row r="8" spans="5:13" x14ac:dyDescent="0.2">
      <c r="E8" s="1" t="s">
        <v>20</v>
      </c>
      <c r="F8" s="6" t="e">
        <f>[1]!'@smk3[DTN:cbot]?Last'</f>
        <v>#REF!</v>
      </c>
      <c r="G8" s="6" t="e">
        <f>[1]!'@smn3[DTN:cbot]?Last'</f>
        <v>#REF!</v>
      </c>
      <c r="H8" s="6" t="e">
        <f>[1]!'@smn3[DTN:cbot]?Last'</f>
        <v>#REF!</v>
      </c>
      <c r="I8" s="6" t="e">
        <f>[1]!'@smq3[DTN:cbot]?Last'</f>
        <v>#REF!</v>
      </c>
      <c r="J8" s="6" t="e">
        <f>[1]!'@smu3[DTN:cbot]?Last'</f>
        <v>#REF!</v>
      </c>
      <c r="K8" s="6" t="e">
        <f>[1]!'@smv3[DTN:cbot]?Last'</f>
        <v>#REF!</v>
      </c>
      <c r="L8" s="6" t="str">
        <f>[1]!'@smz3[DTN:cbot]?Last'</f>
        <v>Invalid</v>
      </c>
      <c r="M8" s="6" t="str">
        <f>[1]!'@smz3[DTN:cbot]?Last'</f>
        <v>Invalid</v>
      </c>
    </row>
    <row r="9" spans="5:13" x14ac:dyDescent="0.2">
      <c r="E9" s="1" t="s">
        <v>19</v>
      </c>
      <c r="F9" s="3" t="e">
        <f>[1]!'@BOk3[DTN:cbot]?Last'</f>
        <v>#REF!</v>
      </c>
      <c r="G9" s="3" t="e">
        <f>[1]!'@BOn3[DTN:cbot]?Last'</f>
        <v>#REF!</v>
      </c>
      <c r="H9" s="3" t="e">
        <f>[1]!'@BOn3[DTN:cbot]?Last'</f>
        <v>#REF!</v>
      </c>
      <c r="I9" s="3" t="e">
        <f>[1]!'@BOq3[DTN:cbot]?Last'</f>
        <v>#REF!</v>
      </c>
      <c r="J9" s="3" t="e">
        <f>[1]!'@BOu3[DTN:cbot]?Last'</f>
        <v>#REF!</v>
      </c>
      <c r="K9" s="3" t="e">
        <f>[1]!'@BOv3[DTN:cbot]?Last'</f>
        <v>#REF!</v>
      </c>
      <c r="L9" s="3" t="e">
        <f>[1]!'@BOz3[DTN:cbot]?Last'</f>
        <v>#REF!</v>
      </c>
      <c r="M9" s="3" t="e">
        <f>[1]!'@BOz3[DTN:cbot]?Last'</f>
        <v>#REF!</v>
      </c>
    </row>
    <row r="10" spans="5:13" x14ac:dyDescent="0.2">
      <c r="E10" s="1" t="s">
        <v>18</v>
      </c>
      <c r="F10" s="6" t="e">
        <f t="shared" ref="F10:M10" si="3">F8/2000*46.8</f>
        <v>#REF!</v>
      </c>
      <c r="G10" s="6" t="e">
        <f t="shared" si="3"/>
        <v>#REF!</v>
      </c>
      <c r="H10" s="6" t="e">
        <f t="shared" si="3"/>
        <v>#REF!</v>
      </c>
      <c r="I10" s="6" t="e">
        <f t="shared" si="3"/>
        <v>#REF!</v>
      </c>
      <c r="J10" s="6" t="e">
        <f t="shared" si="3"/>
        <v>#REF!</v>
      </c>
      <c r="K10" s="6" t="e">
        <f t="shared" si="3"/>
        <v>#REF!</v>
      </c>
      <c r="L10" s="6" t="e">
        <f t="shared" si="3"/>
        <v>#VALUE!</v>
      </c>
      <c r="M10" s="6" t="e">
        <f t="shared" si="3"/>
        <v>#VALUE!</v>
      </c>
    </row>
    <row r="11" spans="5:13" x14ac:dyDescent="0.2">
      <c r="E11" s="1" t="s">
        <v>17</v>
      </c>
      <c r="F11" s="3" t="e">
        <f t="shared" ref="F11:M11" si="4">F9*11.75/100</f>
        <v>#REF!</v>
      </c>
      <c r="G11" s="3" t="e">
        <f t="shared" si="4"/>
        <v>#REF!</v>
      </c>
      <c r="H11" s="3" t="e">
        <f t="shared" si="4"/>
        <v>#REF!</v>
      </c>
      <c r="I11" s="3" t="e">
        <f t="shared" si="4"/>
        <v>#REF!</v>
      </c>
      <c r="J11" s="3" t="e">
        <f t="shared" si="4"/>
        <v>#REF!</v>
      </c>
      <c r="K11" s="3" t="e">
        <f t="shared" si="4"/>
        <v>#REF!</v>
      </c>
      <c r="L11" s="3" t="e">
        <f t="shared" si="4"/>
        <v>#REF!</v>
      </c>
      <c r="M11" s="3" t="e">
        <f t="shared" si="4"/>
        <v>#REF!</v>
      </c>
    </row>
    <row r="12" spans="5:13" x14ac:dyDescent="0.2">
      <c r="E12" s="1"/>
      <c r="F12" s="3"/>
      <c r="G12" s="3"/>
      <c r="H12" s="3"/>
      <c r="I12" s="3"/>
      <c r="J12" s="3"/>
      <c r="K12" s="3"/>
      <c r="L12" s="3"/>
      <c r="M12" s="3"/>
    </row>
    <row r="13" spans="5:13" x14ac:dyDescent="0.2">
      <c r="F13" s="8" t="s">
        <v>16</v>
      </c>
      <c r="G13" s="8" t="s">
        <v>15</v>
      </c>
      <c r="H13" s="8" t="s">
        <v>14</v>
      </c>
      <c r="I13" s="8" t="s">
        <v>13</v>
      </c>
      <c r="J13" s="8" t="s">
        <v>12</v>
      </c>
      <c r="K13" s="8" t="s">
        <v>11</v>
      </c>
      <c r="L13" s="8" t="s">
        <v>10</v>
      </c>
      <c r="M13" s="8" t="s">
        <v>9</v>
      </c>
    </row>
    <row r="14" spans="5:13" ht="13.5" thickBot="1" x14ac:dyDescent="0.25">
      <c r="F14" s="7" t="s">
        <v>8</v>
      </c>
      <c r="G14" s="7"/>
      <c r="H14" s="7"/>
      <c r="I14" s="7"/>
      <c r="J14" s="7"/>
      <c r="K14" s="7"/>
      <c r="L14" s="7"/>
      <c r="M14" s="7"/>
    </row>
    <row r="15" spans="5:13" ht="13.5" thickTop="1" x14ac:dyDescent="0.2">
      <c r="E15" s="1" t="s">
        <v>7</v>
      </c>
      <c r="F15" s="3" t="e">
        <f t="shared" ref="F15:M15" si="5">F19+F18-F17</f>
        <v>#REF!</v>
      </c>
      <c r="G15" s="3" t="e">
        <f t="shared" si="5"/>
        <v>#REF!</v>
      </c>
      <c r="H15" s="3" t="e">
        <f t="shared" si="5"/>
        <v>#REF!</v>
      </c>
      <c r="I15" s="3" t="e">
        <f t="shared" si="5"/>
        <v>#REF!</v>
      </c>
      <c r="J15" s="3" t="e">
        <f t="shared" si="5"/>
        <v>#REF!</v>
      </c>
      <c r="K15" s="3" t="e">
        <f t="shared" si="5"/>
        <v>#REF!</v>
      </c>
      <c r="L15" s="3" t="e">
        <f t="shared" si="5"/>
        <v>#REF!</v>
      </c>
      <c r="M15" s="3" t="e">
        <f t="shared" si="5"/>
        <v>#REF!</v>
      </c>
    </row>
    <row r="16" spans="5:13" x14ac:dyDescent="0.2">
      <c r="E16" s="1" t="s">
        <v>6</v>
      </c>
      <c r="F16" s="6" t="e" cm="1">
        <f t="array" ref="F16">[1]!'@RSk23?Last'</f>
        <v>#REF!</v>
      </c>
      <c r="G16" s="6" t="e" cm="1">
        <f t="array" ref="G16">[1]!'@RSn23?Last'</f>
        <v>#REF!</v>
      </c>
      <c r="H16" s="6" t="e" cm="1">
        <f t="array" ref="H16">[1]!'@RSn23?Last'</f>
        <v>#REF!</v>
      </c>
      <c r="I16" s="6" t="e" cm="1">
        <f t="array" ref="I16">[1]!'@RSx23?Last'</f>
        <v>#REF!</v>
      </c>
      <c r="J16" s="6" t="e" cm="1">
        <f t="array" ref="J16">[1]!'@RSx23?Last'</f>
        <v>#REF!</v>
      </c>
      <c r="K16" s="6" t="e" cm="1">
        <f t="array" ref="K16">[1]!'@RSx23?Last'</f>
        <v>#REF!</v>
      </c>
      <c r="L16" s="6" t="e" cm="1">
        <f t="array" ref="L16">[1]!'@RSx23?Last'</f>
        <v>#REF!</v>
      </c>
      <c r="M16" s="6" t="e" cm="1">
        <f t="array" ref="M16">[1]!'@RSf24?Last'</f>
        <v>#REF!</v>
      </c>
    </row>
    <row r="17" spans="5:13" x14ac:dyDescent="0.2">
      <c r="E17" s="1" t="s">
        <v>5</v>
      </c>
      <c r="F17" s="3" t="e">
        <f t="shared" ref="F17:M17" si="6">IF(F20="Invalid",F16*$F21,F16*F20)</f>
        <v>#REF!</v>
      </c>
      <c r="G17" s="3" t="e">
        <f t="shared" si="6"/>
        <v>#REF!</v>
      </c>
      <c r="H17" s="3" t="e">
        <f t="shared" si="6"/>
        <v>#REF!</v>
      </c>
      <c r="I17" s="3" t="e">
        <f t="shared" si="6"/>
        <v>#REF!</v>
      </c>
      <c r="J17" s="3" t="e">
        <f t="shared" si="6"/>
        <v>#REF!</v>
      </c>
      <c r="K17" s="3" t="e">
        <f t="shared" si="6"/>
        <v>#REF!</v>
      </c>
      <c r="L17" s="3" t="e">
        <f t="shared" si="6"/>
        <v>#REF!</v>
      </c>
      <c r="M17" s="3" t="e">
        <f t="shared" si="6"/>
        <v>#REF!</v>
      </c>
    </row>
    <row r="18" spans="5:13" x14ac:dyDescent="0.2">
      <c r="E18" s="1" t="s">
        <v>4</v>
      </c>
      <c r="F18" s="6" t="e">
        <f t="shared" ref="F18:M18" si="7">F8*0.58*1.10231</f>
        <v>#REF!</v>
      </c>
      <c r="G18" s="6" t="e">
        <f t="shared" si="7"/>
        <v>#REF!</v>
      </c>
      <c r="H18" s="6" t="e">
        <f t="shared" si="7"/>
        <v>#REF!</v>
      </c>
      <c r="I18" s="6" t="e">
        <f t="shared" si="7"/>
        <v>#REF!</v>
      </c>
      <c r="J18" s="6" t="e">
        <f t="shared" si="7"/>
        <v>#REF!</v>
      </c>
      <c r="K18" s="6" t="e">
        <f t="shared" si="7"/>
        <v>#REF!</v>
      </c>
      <c r="L18" s="6" t="e">
        <f t="shared" si="7"/>
        <v>#VALUE!</v>
      </c>
      <c r="M18" s="6" t="e">
        <f t="shared" si="7"/>
        <v>#VALUE!</v>
      </c>
    </row>
    <row r="19" spans="5:13" x14ac:dyDescent="0.2">
      <c r="E19" s="1" t="s">
        <v>3</v>
      </c>
      <c r="F19" s="3" t="e">
        <f t="shared" ref="F19:M19" si="8">F9*0.42*2204.622/100</f>
        <v>#REF!</v>
      </c>
      <c r="G19" s="3" t="e">
        <f t="shared" si="8"/>
        <v>#REF!</v>
      </c>
      <c r="H19" s="3" t="e">
        <f t="shared" si="8"/>
        <v>#REF!</v>
      </c>
      <c r="I19" s="3" t="e">
        <f t="shared" si="8"/>
        <v>#REF!</v>
      </c>
      <c r="J19" s="3" t="e">
        <f t="shared" si="8"/>
        <v>#REF!</v>
      </c>
      <c r="K19" s="3" t="e">
        <f t="shared" si="8"/>
        <v>#REF!</v>
      </c>
      <c r="L19" s="3" t="e">
        <f t="shared" si="8"/>
        <v>#REF!</v>
      </c>
      <c r="M19" s="3" t="e">
        <f t="shared" si="8"/>
        <v>#REF!</v>
      </c>
    </row>
    <row r="20" spans="5:13" x14ac:dyDescent="0.2">
      <c r="E20" s="1" t="s">
        <v>2</v>
      </c>
      <c r="F20" s="6" t="e" cm="1">
        <f t="array" ref="F20">[1]!'@CDk23?Settle'</f>
        <v>#REF!</v>
      </c>
      <c r="G20" s="6" t="e" cm="1">
        <f t="array" ref="G20">[1]!'@CDm23?Settle'</f>
        <v>#REF!</v>
      </c>
      <c r="H20" s="6" t="e" cm="1">
        <f t="array" ref="H20">[1]!'@CDn23?Settle'</f>
        <v>#REF!</v>
      </c>
      <c r="I20" s="6" t="e">
        <v>#REF!</v>
      </c>
      <c r="J20" s="6" t="e" cm="1">
        <f t="array" ref="J20">[1]!'@CDu23?Settle'</f>
        <v>#REF!</v>
      </c>
      <c r="K20" s="6" t="e">
        <v>#REF!</v>
      </c>
      <c r="L20" s="6" t="e">
        <v>#REF!</v>
      </c>
      <c r="M20" s="6" t="e" cm="1">
        <f t="array" ref="M20">[1]!'@CDz23?Settle'</f>
        <v>#REF!</v>
      </c>
    </row>
    <row r="21" spans="5:13" ht="13.5" x14ac:dyDescent="0.25">
      <c r="E21" s="1" t="s">
        <v>1</v>
      </c>
      <c r="F21" s="5" t="e" cm="1">
        <f t="array" ref="F21">[1]!'@CD@a?Last'</f>
        <v>#REF!</v>
      </c>
      <c r="G21" s="4" t="s">
        <v>0</v>
      </c>
      <c r="H21" s="3"/>
      <c r="I21" s="3"/>
      <c r="J21" s="3"/>
      <c r="K21" s="3"/>
      <c r="L21" s="3"/>
      <c r="M21" s="3"/>
    </row>
    <row r="22" spans="5:13" ht="13.5" x14ac:dyDescent="0.25">
      <c r="E22" s="2"/>
    </row>
    <row r="25" spans="5:13" x14ac:dyDescent="0.2">
      <c r="E25" s="1"/>
    </row>
    <row r="26" spans="5:13" x14ac:dyDescent="0.2">
      <c r="E26" s="1"/>
    </row>
    <row r="27" spans="5:13" x14ac:dyDescent="0.2">
      <c r="E27" s="1"/>
    </row>
    <row r="28" spans="5:13" x14ac:dyDescent="0.2">
      <c r="E28" s="1"/>
    </row>
    <row r="29" spans="5:13" x14ac:dyDescent="0.2">
      <c r="E29" s="1"/>
    </row>
    <row r="30" spans="5:13" x14ac:dyDescent="0.2">
      <c r="E30" s="1"/>
    </row>
    <row r="31" spans="5:13" x14ac:dyDescent="0.2">
      <c r="E31" s="1"/>
    </row>
    <row r="32" spans="5:13" x14ac:dyDescent="0.2">
      <c r="E32" s="1"/>
    </row>
    <row r="33" spans="5:5" x14ac:dyDescent="0.2">
      <c r="E33" s="1"/>
    </row>
    <row r="34" spans="5:5" x14ac:dyDescent="0.2">
      <c r="E34" s="1"/>
    </row>
    <row r="37" spans="5:5" x14ac:dyDescent="0.2">
      <c r="E37" s="1"/>
    </row>
    <row r="38" spans="5:5" x14ac:dyDescent="0.2">
      <c r="E38" s="1"/>
    </row>
    <row r="39" spans="5:5" x14ac:dyDescent="0.2">
      <c r="E39" s="1"/>
    </row>
    <row r="40" spans="5:5" x14ac:dyDescent="0.2">
      <c r="E40" s="1"/>
    </row>
    <row r="41" spans="5:5" x14ac:dyDescent="0.2">
      <c r="E41" s="1"/>
    </row>
    <row r="42" spans="5:5" x14ac:dyDescent="0.2">
      <c r="E42" s="1"/>
    </row>
    <row r="43" spans="5:5" x14ac:dyDescent="0.2">
      <c r="E43" s="1"/>
    </row>
  </sheetData>
  <mergeCells count="1">
    <mergeCell ref="F1:M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3B566-2AFF-4193-9F3F-6BE76F9E34FC}">
  <dimension ref="E1:M43"/>
  <sheetViews>
    <sheetView tabSelected="1" workbookViewId="0">
      <selection activeCell="F15" sqref="F15:M20"/>
    </sheetView>
  </sheetViews>
  <sheetFormatPr defaultRowHeight="12.75" x14ac:dyDescent="0.2"/>
  <sheetData>
    <row r="1" spans="5:13" ht="30" x14ac:dyDescent="0.4">
      <c r="F1" s="9" t="s">
        <v>25</v>
      </c>
      <c r="G1" s="9"/>
      <c r="H1" s="9"/>
      <c r="I1" s="9"/>
      <c r="J1" s="9"/>
      <c r="K1" s="9"/>
      <c r="L1" s="9"/>
      <c r="M1" s="9"/>
    </row>
    <row r="2" spans="5:13" x14ac:dyDescent="0.2">
      <c r="F2" s="8" t="s">
        <v>16</v>
      </c>
      <c r="G2" s="8" t="s">
        <v>15</v>
      </c>
      <c r="H2" s="8" t="s">
        <v>14</v>
      </c>
      <c r="I2" s="8" t="s">
        <v>13</v>
      </c>
      <c r="J2" s="8" t="s">
        <v>12</v>
      </c>
      <c r="K2" s="8" t="s">
        <v>11</v>
      </c>
      <c r="L2" s="8" t="s">
        <v>10</v>
      </c>
      <c r="M2" s="8" t="s">
        <v>9</v>
      </c>
    </row>
    <row r="3" spans="5:13" x14ac:dyDescent="0.2">
      <c r="E3" s="1" t="s">
        <v>24</v>
      </c>
      <c r="F3" s="3" t="e">
        <f t="shared" ref="F3:M3" si="0">F11+F10-F7</f>
        <v>#REF!</v>
      </c>
      <c r="G3" s="3" t="e">
        <f t="shared" si="0"/>
        <v>#REF!</v>
      </c>
      <c r="H3" s="3" t="e">
        <f t="shared" si="0"/>
        <v>#REF!</v>
      </c>
      <c r="I3" s="3" t="e">
        <f t="shared" si="0"/>
        <v>#REF!</v>
      </c>
      <c r="J3" s="3" t="e">
        <f t="shared" si="0"/>
        <v>#REF!</v>
      </c>
      <c r="K3" s="3" t="e">
        <f t="shared" si="0"/>
        <v>#REF!</v>
      </c>
      <c r="L3" s="3" t="e">
        <f t="shared" si="0"/>
        <v>#REF!</v>
      </c>
      <c r="M3" s="3" t="e">
        <f t="shared" si="0"/>
        <v>#REF!</v>
      </c>
    </row>
    <row r="4" spans="5:13" x14ac:dyDescent="0.2">
      <c r="E4" s="1" t="s">
        <v>23</v>
      </c>
      <c r="F4" s="6" t="e">
        <f t="shared" ref="F4:M4" si="1">F15/44.092</f>
        <v>#REF!</v>
      </c>
      <c r="G4" s="6" t="e">
        <f t="shared" si="1"/>
        <v>#REF!</v>
      </c>
      <c r="H4" s="6" t="e">
        <f t="shared" si="1"/>
        <v>#REF!</v>
      </c>
      <c r="I4" s="6" t="e">
        <f t="shared" si="1"/>
        <v>#REF!</v>
      </c>
      <c r="J4" s="6" t="e">
        <f t="shared" si="1"/>
        <v>#REF!</v>
      </c>
      <c r="K4" s="6" t="e">
        <f t="shared" si="1"/>
        <v>#REF!</v>
      </c>
      <c r="L4" s="6" t="e">
        <f t="shared" si="1"/>
        <v>#REF!</v>
      </c>
      <c r="M4" s="6" t="e">
        <f t="shared" si="1"/>
        <v>#REF!</v>
      </c>
    </row>
    <row r="5" spans="5:13" x14ac:dyDescent="0.2">
      <c r="E5" s="1" t="s">
        <v>22</v>
      </c>
      <c r="F5" s="3" t="e">
        <f t="shared" ref="F5:M5" si="2">F3-F4</f>
        <v>#REF!</v>
      </c>
      <c r="G5" s="3" t="e">
        <f t="shared" si="2"/>
        <v>#REF!</v>
      </c>
      <c r="H5" s="3" t="e">
        <f t="shared" si="2"/>
        <v>#REF!</v>
      </c>
      <c r="I5" s="3" t="e">
        <f t="shared" si="2"/>
        <v>#REF!</v>
      </c>
      <c r="J5" s="3" t="e">
        <f t="shared" si="2"/>
        <v>#REF!</v>
      </c>
      <c r="K5" s="3" t="e">
        <f t="shared" si="2"/>
        <v>#REF!</v>
      </c>
      <c r="L5" s="3" t="e">
        <f t="shared" si="2"/>
        <v>#REF!</v>
      </c>
      <c r="M5" s="3" t="e">
        <f t="shared" si="2"/>
        <v>#REF!</v>
      </c>
    </row>
    <row r="6" spans="5:13" ht="13.5" thickBot="1" x14ac:dyDescent="0.25">
      <c r="E6" s="1"/>
      <c r="F6" s="7"/>
      <c r="G6" s="7"/>
      <c r="H6" s="7"/>
      <c r="I6" s="7"/>
      <c r="J6" s="7"/>
      <c r="K6" s="7"/>
      <c r="L6" s="7"/>
      <c r="M6" s="7"/>
    </row>
    <row r="7" spans="5:13" ht="13.5" thickTop="1" x14ac:dyDescent="0.2">
      <c r="E7" s="1" t="s">
        <v>21</v>
      </c>
      <c r="F7" s="3" t="e">
        <f>[1]!'@sk3[DTN:cbot]?Last'/100</f>
        <v>#REF!</v>
      </c>
      <c r="G7" s="3" t="e">
        <f>[1]!'@sn3[DTN:cbot]?Last'/100</f>
        <v>#REF!</v>
      </c>
      <c r="H7" s="3" t="e">
        <f>[1]!'@sn3[DTN:cbot]?Last'/100</f>
        <v>#REF!</v>
      </c>
      <c r="I7" s="3" t="e">
        <f>[1]!'@sq3[DTN:cbot]?Last'/100</f>
        <v>#REF!</v>
      </c>
      <c r="J7" s="3" t="e">
        <f>[1]!'@su3[DTN:cbot]?Last'/100</f>
        <v>#REF!</v>
      </c>
      <c r="K7" s="3" t="e">
        <f>[1]!'@sx3[DTN:cbot]?Last'/100</f>
        <v>#REF!</v>
      </c>
      <c r="L7" s="3" t="e">
        <f>[1]!'@sx3[DTN:cbot]?Last'/100</f>
        <v>#REF!</v>
      </c>
      <c r="M7" s="3" t="e">
        <f>[1]!'@sf4[DTN:cbot]?Last'/100</f>
        <v>#REF!</v>
      </c>
    </row>
    <row r="8" spans="5:13" x14ac:dyDescent="0.2">
      <c r="E8" s="1" t="s">
        <v>20</v>
      </c>
      <c r="F8" s="6" t="e">
        <f>[1]!'@smk3[DTN:cbot]?Last'</f>
        <v>#REF!</v>
      </c>
      <c r="G8" s="6" t="e">
        <f>[1]!'@smn3[DTN:cbot]?Last'</f>
        <v>#REF!</v>
      </c>
      <c r="H8" s="6" t="e">
        <f>[1]!'@smn3[DTN:cbot]?Last'</f>
        <v>#REF!</v>
      </c>
      <c r="I8" s="6" t="e">
        <f>[1]!'@smq3[DTN:cbot]?Last'</f>
        <v>#REF!</v>
      </c>
      <c r="J8" s="6" t="e">
        <f>[1]!'@smu3[DTN:cbot]?Last'</f>
        <v>#REF!</v>
      </c>
      <c r="K8" s="6" t="e">
        <f>[1]!'@smv3[DTN:cbot]?Last'</f>
        <v>#REF!</v>
      </c>
      <c r="L8" s="6" t="str">
        <f>[1]!'@smz3[DTN:cbot]?Last'</f>
        <v>Invalid</v>
      </c>
      <c r="M8" s="6" t="str">
        <f>[1]!'@smz3[DTN:cbot]?Last'</f>
        <v>Invalid</v>
      </c>
    </row>
    <row r="9" spans="5:13" x14ac:dyDescent="0.2">
      <c r="E9" s="1" t="s">
        <v>19</v>
      </c>
      <c r="F9" s="3" t="e">
        <f>[1]!'@BOk3[DTN:cbot]?Last'</f>
        <v>#REF!</v>
      </c>
      <c r="G9" s="3" t="e">
        <f>[1]!'@BOn3[DTN:cbot]?Last'</f>
        <v>#REF!</v>
      </c>
      <c r="H9" s="3" t="e">
        <f>[1]!'@BOn3[DTN:cbot]?Last'</f>
        <v>#REF!</v>
      </c>
      <c r="I9" s="3" t="e">
        <f>[1]!'@BOq3[DTN:cbot]?Last'</f>
        <v>#REF!</v>
      </c>
      <c r="J9" s="3" t="e">
        <f>[1]!'@BOu3[DTN:cbot]?Last'</f>
        <v>#REF!</v>
      </c>
      <c r="K9" s="3" t="e">
        <f>[1]!'@BOv3[DTN:cbot]?Last'</f>
        <v>#REF!</v>
      </c>
      <c r="L9" s="3" t="e">
        <f>[1]!'@BOz3[DTN:cbot]?Last'</f>
        <v>#REF!</v>
      </c>
      <c r="M9" s="3" t="e">
        <f>[1]!'@BOz3[DTN:cbot]?Last'</f>
        <v>#REF!</v>
      </c>
    </row>
    <row r="10" spans="5:13" x14ac:dyDescent="0.2">
      <c r="E10" s="1" t="s">
        <v>18</v>
      </c>
      <c r="F10" s="6" t="e">
        <f t="shared" ref="F10:M10" si="3">F8/2000*46.8</f>
        <v>#REF!</v>
      </c>
      <c r="G10" s="6" t="e">
        <f t="shared" si="3"/>
        <v>#REF!</v>
      </c>
      <c r="H10" s="6" t="e">
        <f t="shared" si="3"/>
        <v>#REF!</v>
      </c>
      <c r="I10" s="6" t="e">
        <f t="shared" si="3"/>
        <v>#REF!</v>
      </c>
      <c r="J10" s="6" t="e">
        <f t="shared" si="3"/>
        <v>#REF!</v>
      </c>
      <c r="K10" s="6" t="e">
        <f t="shared" si="3"/>
        <v>#REF!</v>
      </c>
      <c r="L10" s="6" t="e">
        <f t="shared" si="3"/>
        <v>#VALUE!</v>
      </c>
      <c r="M10" s="6" t="e">
        <f t="shared" si="3"/>
        <v>#VALUE!</v>
      </c>
    </row>
    <row r="11" spans="5:13" x14ac:dyDescent="0.2">
      <c r="E11" s="1" t="s">
        <v>17</v>
      </c>
      <c r="F11" s="3" t="e">
        <f t="shared" ref="F11:M11" si="4">F9*11.75/100</f>
        <v>#REF!</v>
      </c>
      <c r="G11" s="3" t="e">
        <f t="shared" si="4"/>
        <v>#REF!</v>
      </c>
      <c r="H11" s="3" t="e">
        <f t="shared" si="4"/>
        <v>#REF!</v>
      </c>
      <c r="I11" s="3" t="e">
        <f t="shared" si="4"/>
        <v>#REF!</v>
      </c>
      <c r="J11" s="3" t="e">
        <f t="shared" si="4"/>
        <v>#REF!</v>
      </c>
      <c r="K11" s="3" t="e">
        <f t="shared" si="4"/>
        <v>#REF!</v>
      </c>
      <c r="L11" s="3" t="e">
        <f t="shared" si="4"/>
        <v>#REF!</v>
      </c>
      <c r="M11" s="3" t="e">
        <f t="shared" si="4"/>
        <v>#REF!</v>
      </c>
    </row>
    <row r="12" spans="5:13" x14ac:dyDescent="0.2">
      <c r="E12" s="1"/>
      <c r="F12" s="3"/>
      <c r="G12" s="3"/>
      <c r="H12" s="3"/>
      <c r="I12" s="3"/>
      <c r="J12" s="3"/>
      <c r="K12" s="3"/>
      <c r="L12" s="3"/>
      <c r="M12" s="3"/>
    </row>
    <row r="13" spans="5:13" x14ac:dyDescent="0.2">
      <c r="F13" s="8" t="s">
        <v>16</v>
      </c>
      <c r="G13" s="8" t="s">
        <v>15</v>
      </c>
      <c r="H13" s="8" t="s">
        <v>14</v>
      </c>
      <c r="I13" s="8" t="s">
        <v>13</v>
      </c>
      <c r="J13" s="8" t="s">
        <v>12</v>
      </c>
      <c r="K13" s="8" t="s">
        <v>11</v>
      </c>
      <c r="L13" s="8" t="s">
        <v>10</v>
      </c>
      <c r="M13" s="8" t="s">
        <v>9</v>
      </c>
    </row>
    <row r="14" spans="5:13" ht="13.5" thickBot="1" x14ac:dyDescent="0.25">
      <c r="F14" s="7" t="s">
        <v>8</v>
      </c>
      <c r="G14" s="7"/>
      <c r="H14" s="7"/>
      <c r="I14" s="7"/>
      <c r="J14" s="7"/>
      <c r="K14" s="7"/>
      <c r="L14" s="7"/>
      <c r="M14" s="7"/>
    </row>
    <row r="15" spans="5:13" ht="13.5" thickTop="1" x14ac:dyDescent="0.2">
      <c r="E15" s="1" t="s">
        <v>7</v>
      </c>
      <c r="F15" s="3" t="e">
        <f t="shared" ref="F15:M15" si="5">F19+F18-F17</f>
        <v>#REF!</v>
      </c>
      <c r="G15" s="3" t="e">
        <f t="shared" si="5"/>
        <v>#REF!</v>
      </c>
      <c r="H15" s="3" t="e">
        <f t="shared" si="5"/>
        <v>#REF!</v>
      </c>
      <c r="I15" s="3" t="e">
        <f t="shared" si="5"/>
        <v>#REF!</v>
      </c>
      <c r="J15" s="3" t="e">
        <f t="shared" si="5"/>
        <v>#REF!</v>
      </c>
      <c r="K15" s="3" t="e">
        <f t="shared" si="5"/>
        <v>#REF!</v>
      </c>
      <c r="L15" s="3" t="e">
        <f t="shared" si="5"/>
        <v>#REF!</v>
      </c>
      <c r="M15" s="3" t="e">
        <f t="shared" si="5"/>
        <v>#REF!</v>
      </c>
    </row>
    <row r="16" spans="5:13" x14ac:dyDescent="0.2">
      <c r="E16" s="1" t="s">
        <v>6</v>
      </c>
      <c r="F16" s="6" t="e" cm="1">
        <f t="array" ref="F16">[1]!'@RSk23?Last'</f>
        <v>#REF!</v>
      </c>
      <c r="G16" s="6" t="e" cm="1">
        <f t="array" ref="G16">[1]!'@RSn23?Last'</f>
        <v>#REF!</v>
      </c>
      <c r="H16" s="6" t="e" cm="1">
        <f t="array" ref="H16">[1]!'@RSn23?Last'</f>
        <v>#REF!</v>
      </c>
      <c r="I16" s="6" t="e" cm="1">
        <f t="array" ref="I16">[1]!'@RSx23?Last'</f>
        <v>#REF!</v>
      </c>
      <c r="J16" s="6" t="e" cm="1">
        <f t="array" ref="J16">[1]!'@RSx23?Last'</f>
        <v>#REF!</v>
      </c>
      <c r="K16" s="6" t="e" cm="1">
        <f t="array" ref="K16">[1]!'@RSx23?Last'</f>
        <v>#REF!</v>
      </c>
      <c r="L16" s="6" t="e" cm="1">
        <f t="array" ref="L16">[1]!'@RSx23?Last'</f>
        <v>#REF!</v>
      </c>
      <c r="M16" s="6" t="e" cm="1">
        <f t="array" ref="M16">[1]!'@RSf24?Last'</f>
        <v>#REF!</v>
      </c>
    </row>
    <row r="17" spans="5:13" x14ac:dyDescent="0.2">
      <c r="E17" s="1" t="s">
        <v>5</v>
      </c>
      <c r="F17" s="3" t="e">
        <f t="shared" ref="F17:M17" si="6">IF(F20="Invalid",F16*$F21,F16*F20)</f>
        <v>#REF!</v>
      </c>
      <c r="G17" s="3" t="e">
        <f t="shared" si="6"/>
        <v>#REF!</v>
      </c>
      <c r="H17" s="3" t="e">
        <f t="shared" si="6"/>
        <v>#REF!</v>
      </c>
      <c r="I17" s="3" t="e">
        <f t="shared" si="6"/>
        <v>#REF!</v>
      </c>
      <c r="J17" s="3" t="e">
        <f t="shared" si="6"/>
        <v>#REF!</v>
      </c>
      <c r="K17" s="3" t="e">
        <f t="shared" si="6"/>
        <v>#REF!</v>
      </c>
      <c r="L17" s="3" t="e">
        <f t="shared" si="6"/>
        <v>#REF!</v>
      </c>
      <c r="M17" s="3" t="e">
        <f t="shared" si="6"/>
        <v>#REF!</v>
      </c>
    </row>
    <row r="18" spans="5:13" x14ac:dyDescent="0.2">
      <c r="E18" s="1" t="s">
        <v>4</v>
      </c>
      <c r="F18" s="6" t="e">
        <f t="shared" ref="F18:M18" si="7">F8*0.58*1.10231</f>
        <v>#REF!</v>
      </c>
      <c r="G18" s="6" t="e">
        <f t="shared" si="7"/>
        <v>#REF!</v>
      </c>
      <c r="H18" s="6" t="e">
        <f t="shared" si="7"/>
        <v>#REF!</v>
      </c>
      <c r="I18" s="6" t="e">
        <f t="shared" si="7"/>
        <v>#REF!</v>
      </c>
      <c r="J18" s="6" t="e">
        <f t="shared" si="7"/>
        <v>#REF!</v>
      </c>
      <c r="K18" s="6" t="e">
        <f t="shared" si="7"/>
        <v>#REF!</v>
      </c>
      <c r="L18" s="6" t="e">
        <f t="shared" si="7"/>
        <v>#VALUE!</v>
      </c>
      <c r="M18" s="6" t="e">
        <f t="shared" si="7"/>
        <v>#VALUE!</v>
      </c>
    </row>
    <row r="19" spans="5:13" x14ac:dyDescent="0.2">
      <c r="E19" s="1" t="s">
        <v>3</v>
      </c>
      <c r="F19" s="3" t="e">
        <f t="shared" ref="F19:M19" si="8">F9*0.42*2204.622/100</f>
        <v>#REF!</v>
      </c>
      <c r="G19" s="3" t="e">
        <f t="shared" si="8"/>
        <v>#REF!</v>
      </c>
      <c r="H19" s="3" t="e">
        <f t="shared" si="8"/>
        <v>#REF!</v>
      </c>
      <c r="I19" s="3" t="e">
        <f t="shared" si="8"/>
        <v>#REF!</v>
      </c>
      <c r="J19" s="3" t="e">
        <f t="shared" si="8"/>
        <v>#REF!</v>
      </c>
      <c r="K19" s="3" t="e">
        <f t="shared" si="8"/>
        <v>#REF!</v>
      </c>
      <c r="L19" s="3" t="e">
        <f t="shared" si="8"/>
        <v>#REF!</v>
      </c>
      <c r="M19" s="3" t="e">
        <f t="shared" si="8"/>
        <v>#REF!</v>
      </c>
    </row>
    <row r="20" spans="5:13" x14ac:dyDescent="0.2">
      <c r="E20" s="1" t="s">
        <v>2</v>
      </c>
      <c r="F20" s="6" t="e" cm="1">
        <f t="array" ref="F20">[1]!'@CDk23?Settle'</f>
        <v>#REF!</v>
      </c>
      <c r="G20" s="6" t="e" cm="1">
        <f t="array" ref="G20">[1]!'@CDm23?Settle'</f>
        <v>#REF!</v>
      </c>
      <c r="H20" s="6" t="e" cm="1">
        <f t="array" ref="H20">[1]!'@CDn23?Settle'</f>
        <v>#REF!</v>
      </c>
      <c r="I20" s="6" t="e">
        <v>#REF!</v>
      </c>
      <c r="J20" s="6" t="e" cm="1">
        <f t="array" ref="J20">[1]!'@CDu23?Settle'</f>
        <v>#REF!</v>
      </c>
      <c r="K20" s="6" t="e">
        <v>#REF!</v>
      </c>
      <c r="L20" s="6" t="e">
        <v>#REF!</v>
      </c>
      <c r="M20" s="6" t="e" cm="1">
        <f t="array" ref="M20">[1]!'@CDz23?Settle'</f>
        <v>#REF!</v>
      </c>
    </row>
    <row r="21" spans="5:13" ht="13.5" x14ac:dyDescent="0.25">
      <c r="E21" s="1" t="s">
        <v>1</v>
      </c>
      <c r="F21" s="5" t="e" cm="1">
        <f t="array" ref="F21">[1]!'@CD@a?Last'</f>
        <v>#REF!</v>
      </c>
      <c r="G21" s="4" t="s">
        <v>0</v>
      </c>
      <c r="H21" s="3"/>
      <c r="I21" s="3"/>
      <c r="J21" s="3"/>
      <c r="K21" s="3"/>
      <c r="L21" s="3"/>
      <c r="M21" s="3"/>
    </row>
    <row r="22" spans="5:13" ht="13.5" x14ac:dyDescent="0.25">
      <c r="E22" s="2"/>
    </row>
    <row r="25" spans="5:13" x14ac:dyDescent="0.2">
      <c r="E25" s="1"/>
    </row>
    <row r="26" spans="5:13" x14ac:dyDescent="0.2">
      <c r="E26" s="1"/>
    </row>
    <row r="27" spans="5:13" x14ac:dyDescent="0.2">
      <c r="E27" s="1"/>
    </row>
    <row r="28" spans="5:13" x14ac:dyDescent="0.2">
      <c r="E28" s="1"/>
    </row>
    <row r="29" spans="5:13" x14ac:dyDescent="0.2">
      <c r="E29" s="1"/>
    </row>
    <row r="30" spans="5:13" x14ac:dyDescent="0.2">
      <c r="E30" s="1"/>
    </row>
    <row r="31" spans="5:13" x14ac:dyDescent="0.2">
      <c r="E31" s="1"/>
    </row>
    <row r="32" spans="5:13" x14ac:dyDescent="0.2">
      <c r="E32" s="1"/>
    </row>
    <row r="33" spans="5:5" x14ac:dyDescent="0.2">
      <c r="E33" s="1"/>
    </row>
    <row r="34" spans="5:5" x14ac:dyDescent="0.2">
      <c r="E34" s="1"/>
    </row>
    <row r="37" spans="5:5" x14ac:dyDescent="0.2">
      <c r="E37" s="1"/>
    </row>
    <row r="38" spans="5:5" x14ac:dyDescent="0.2">
      <c r="E38" s="1"/>
    </row>
    <row r="39" spans="5:5" x14ac:dyDescent="0.2">
      <c r="E39" s="1"/>
    </row>
    <row r="40" spans="5:5" x14ac:dyDescent="0.2">
      <c r="E40" s="1"/>
    </row>
    <row r="41" spans="5:5" x14ac:dyDescent="0.2">
      <c r="E41" s="1"/>
    </row>
    <row r="42" spans="5:5" x14ac:dyDescent="0.2">
      <c r="E42" s="1"/>
    </row>
    <row r="43" spans="5:5" x14ac:dyDescent="0.2">
      <c r="E43" s="1"/>
    </row>
  </sheetData>
  <mergeCells count="1">
    <mergeCell ref="F1:M1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x>
  <Cntr/>
</Prx>
</file>

<file path=customXml/itemProps1.xml><?xml version="1.0" encoding="utf-8"?>
<ds:datastoreItem xmlns:ds="http://schemas.openxmlformats.org/officeDocument/2006/customXml" ds:itemID="{B6DF1275-AEF2-47FA-A986-6B28C70C95B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Crush Margin Comp</vt:lpstr>
      <vt:lpstr>Crush Margin Comp (2)</vt:lpstr>
    </vt:vector>
  </TitlesOfParts>
  <Company>Euromoney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</dc:creator>
  <cp:lastModifiedBy>Tore Alden</cp:lastModifiedBy>
  <dcterms:created xsi:type="dcterms:W3CDTF">2024-01-03T18:21:10Z</dcterms:created>
  <dcterms:modified xsi:type="dcterms:W3CDTF">2025-07-09T11:26:15Z</dcterms:modified>
</cp:coreProperties>
</file>